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comments1.xml" ContentType="application/vnd.openxmlformats-officedocument.spreadsheetml.comments+xml"/>
  <Override PartName="/xl/tables/table18.xml" ContentType="application/vnd.openxmlformats-officedocument.spreadsheetml.table+xml"/>
  <Override PartName="/xl/comments2.xml" ContentType="application/vnd.openxmlformats-officedocument.spreadsheetml.comments+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comments3.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Override PartName="/xl/threadedComments/threadedComment1.xml" ContentType="application/vnd.ms-excel.threadedcomments+xml"/>
  <Override PartName="/xl/threadedComments/threadedComment2.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showInkAnnotation="0" codeName="ThisWorkbook" defaultThemeVersion="124226"/>
  <mc:AlternateContent xmlns:mc="http://schemas.openxmlformats.org/markup-compatibility/2006">
    <mc:Choice Requires="x15">
      <x15ac:absPath xmlns:x15ac="http://schemas.microsoft.com/office/spreadsheetml/2010/11/ac" url="C:\Users\glori\OneDrive\Desktop\TURISMO\MIPG\2026\"/>
    </mc:Choice>
  </mc:AlternateContent>
  <bookViews>
    <workbookView xWindow="0" yWindow="0" windowWidth="23040" windowHeight="8784" firstSheet="9" activeTab="10"/>
  </bookViews>
  <sheets>
    <sheet name="INSTRUCTIVO ACTIVOS" sheetId="43" r:id="rId1"/>
    <sheet name="ACTIVOS DE INFORMACIÓN" sheetId="42" r:id="rId2"/>
    <sheet name=" 1 INSTRUCTIVO" sheetId="38" r:id="rId3"/>
    <sheet name="2 CONTEXTO E IDENTIFICACIÓN" sheetId="30" r:id="rId4"/>
    <sheet name="H1" sheetId="39" state="hidden" r:id="rId5"/>
    <sheet name="11 FORMULAS" sheetId="34" state="hidden" r:id="rId6"/>
    <sheet name="3 PROBABIL E IMPACTO INHERENTE" sheetId="15" r:id="rId7"/>
    <sheet name="4 MAPA CALOR INHERENTE" sheetId="31" r:id="rId8"/>
    <sheet name="5 VALORACIÓN DEL CONTROL" sheetId="9" r:id="rId9"/>
    <sheet name="6 MAPA CALOR RESIDUAL" sheetId="35" r:id="rId10"/>
    <sheet name="7 MAPA CALOR INHEREN Y RESIDUAL" sheetId="37" r:id="rId11"/>
    <sheet name="8 MAPA RIESGOS" sheetId="36" r:id="rId12"/>
    <sheet name="9 RIESGO DEL PROCESO" sheetId="33" r:id="rId13"/>
    <sheet name="10 CONTROL DE CAMBIOS" sheetId="20" r:id="rId14"/>
  </sheets>
  <externalReferences>
    <externalReference r:id="rId15"/>
    <externalReference r:id="rId16"/>
  </externalReferences>
  <definedNames>
    <definedName name="_xlnm._FilterDatabase" localSheetId="2" hidden="1">' 1 INSTRUCTIVO'!$B$90:$H$124</definedName>
    <definedName name="_xlnm._FilterDatabase" localSheetId="3" hidden="1">'2 CONTEXTO E IDENTIFICACIÓN'!$F$7:$K$8</definedName>
    <definedName name="_xlnm._FilterDatabase" localSheetId="6" hidden="1">'3 PROBABIL E IMPACTO INHERENTE'!$A$8:$N$8</definedName>
    <definedName name="_xlnm._FilterDatabase" localSheetId="7" hidden="1">'4 MAPA CALOR INHERENTE'!$A$8:$AJ$8</definedName>
    <definedName name="_xlnm._FilterDatabase" localSheetId="8" hidden="1">'5 VALORACIÓN DEL CONTROL'!$A$7:$X$127</definedName>
    <definedName name="_xlnm._FilterDatabase" localSheetId="9" hidden="1">'6 MAPA CALOR RESIDUAL'!$A$8:$AL$8</definedName>
    <definedName name="_xlnm._FilterDatabase" localSheetId="10" hidden="1">'7 MAPA CALOR INHEREN Y RESIDUAL'!$A$9:$AL$9</definedName>
    <definedName name="_xlnm._FilterDatabase" localSheetId="11" hidden="1">'8 MAPA RIESGOS'!$A$8:$AX$8</definedName>
    <definedName name="_xlnm._FilterDatabase" localSheetId="4" hidden="1">'H1'!$A$1:$T$193</definedName>
    <definedName name="Afectación_Económica">'3 PROBABIL E IMPACTO INHERENTE'!$X$9:$X$14</definedName>
    <definedName name="AFECTACIÓN_ECONÓMICA_EXTENDIDA">'3 PROBABIL E IMPACTO INHERENTE'!$X$9:$X$14</definedName>
    <definedName name="_xlnm.Print_Area" localSheetId="13">'10 CONTROL DE CAMBIOS'!$A$1:$D$9</definedName>
    <definedName name="_xlnm.Print_Area" localSheetId="6">'3 PROBABIL E IMPACTO INHERENTE'!$A$1:$Y$28</definedName>
    <definedName name="Definicion_tratamiento">'11 FORMULAS'!#REF!</definedName>
    <definedName name="E_Relaciones_Laborales">'11 FORMULAS'!$C$12:$C$17</definedName>
    <definedName name="Ejecución_administración_de_procesos">Tabla2[Ejecución_administración_de_procesos]</definedName>
    <definedName name="Evento_externo">'11 FORMULAS'!$F$45:$F$48</definedName>
    <definedName name="F_Usuarios_Productos_y_Prácticas_Organizacionales">'11 FORMULAS'!$C$18:$C$23</definedName>
    <definedName name="Fiscal">'11 FORMULAS'!$B$32:$B$43</definedName>
    <definedName name="Fiscal_A">'11 FORMULAS'!#REF!</definedName>
    <definedName name="Fiscal_B">'11 FORMULAS'!#REF!</definedName>
    <definedName name="G_Daños_Activos_Físicos">'11 FORMULAS'!$C$24:$C$26</definedName>
    <definedName name="Gestión">'11 FORMULAS'!$A$32:$A$34</definedName>
    <definedName name="Gestiòn">'11 FORMULAS'!#REF!</definedName>
    <definedName name="Gestión_A">'11 FORMULAS'!#REF!</definedName>
    <definedName name="Gestión_B">'11 FORMULAS'!#REF!</definedName>
    <definedName name="IMPACTO_PROCESOS" localSheetId="3">'[1]LISTAS FORMULAS'!$C$3:$C$7</definedName>
    <definedName name="IMPACTO_PROCESOS" localSheetId="7">'[1]LISTAS FORMULAS'!$C$3:$C$7</definedName>
    <definedName name="IMPACTO_PROCESOS" localSheetId="9">'[1]LISTAS FORMULAS'!$C$3:$C$7</definedName>
    <definedName name="IMPACTO_PROCESOS" localSheetId="10">'[1]LISTAS FORMULAS'!$C$3:$C$7</definedName>
    <definedName name="IMPACTO_PROCESOS" localSheetId="11">'[1]LISTAS FORMULAS'!$C$3:$C$7</definedName>
    <definedName name="IMPACTO_PROCESOS" localSheetId="12">'[1]LISTAS FORMULAS'!$C$3:$C$7</definedName>
    <definedName name="Infraestructura">'11 FORMULAS'!$E$45:$E$48</definedName>
    <definedName name="Integridad_Pública_Corrupción">'11 FORMULAS'!$D$32:$D$43</definedName>
    <definedName name="Integridad_Pública_LA_FT_FP">'11 FORMULAS'!$E$32:$E$43</definedName>
    <definedName name="IntegridadPública_Corrupción">'11 FORMULAS'!#REF!</definedName>
    <definedName name="IntegridadPública_LA_FT_FP">'11 FORMULAS'!#REF!</definedName>
    <definedName name="IP_CANALES_LA_FT_FP">'H1'!$D$30:$D$34</definedName>
    <definedName name="IP_CONTRAPARTES_LA_FT_FP">'H1'!$D$20:$D$24</definedName>
    <definedName name="IP_JURISDICCION_LA_FT_FP">'H1'!$D$35:$D$39</definedName>
    <definedName name="IP_PRODUCTOS__LA_FT_FP">'H1'!$D$25:$D$29</definedName>
    <definedName name="NO_APLICA">'H1'!$U$2</definedName>
    <definedName name="opciones" localSheetId="3">'[1]LISTAS FORMULAS'!$F$3:$F$4</definedName>
    <definedName name="opciones" localSheetId="7">'[1]LISTAS FORMULAS'!$F$3:$F$4</definedName>
    <definedName name="opciones" localSheetId="9">'[1]LISTAS FORMULAS'!$F$3:$F$4</definedName>
    <definedName name="opciones" localSheetId="10">'[1]LISTAS FORMULAS'!$F$3:$F$4</definedName>
    <definedName name="opciones" localSheetId="11">'[1]LISTAS FORMULAS'!$F$3:$F$4</definedName>
    <definedName name="opciones" localSheetId="12">'[1]LISTAS FORMULAS'!$F$3:$F$4</definedName>
    <definedName name="opciones2" localSheetId="3">'[1]LISTAS FORMULAS'!$G$3:$G$5</definedName>
    <definedName name="opciones2" localSheetId="7">'[1]LISTAS FORMULAS'!$G$3:$G$5</definedName>
    <definedName name="opciones2" localSheetId="9">'[1]LISTAS FORMULAS'!$G$3:$G$5</definedName>
    <definedName name="opciones2" localSheetId="10">'[1]LISTAS FORMULAS'!$G$3:$G$5</definedName>
    <definedName name="opciones2" localSheetId="11">'[1]LISTAS FORMULAS'!$G$3:$G$5</definedName>
    <definedName name="opciones2" localSheetId="12">'[1]LISTAS FORMULAS'!$G$3:$G$5</definedName>
    <definedName name="Plan_accion">'11 FORMULAS'!#REF!</definedName>
    <definedName name="Plan_acción">'11 FORMULAS'!#REF!</definedName>
    <definedName name="Plan_de_acción">'11 FORMULAS'!#REF!</definedName>
    <definedName name="Posibilidad__de_efecto_dañoso_sobre_el_interes_patrimonial">'11 FORMULAS'!#REF!</definedName>
    <definedName name="Posibilidad_de_pérdida_Económica">'11 FORMULAS'!#REF!</definedName>
    <definedName name="Quince_Cero" localSheetId="3">'[1]LISTAS FORMULAS'!$F$14:$F$15</definedName>
    <definedName name="Quince_Cero" localSheetId="7">'[1]LISTAS FORMULAS'!$F$14:$F$15</definedName>
    <definedName name="Quince_Cero" localSheetId="9">'[1]LISTAS FORMULAS'!$F$14:$F$15</definedName>
    <definedName name="Quince_Cero" localSheetId="10">'[1]LISTAS FORMULAS'!$F$14:$F$15</definedName>
    <definedName name="Quince_Cero" localSheetId="11">'[1]LISTAS FORMULAS'!$F$14:$F$15</definedName>
    <definedName name="Quince_Cero" localSheetId="12">'[1]LISTAS FORMULAS'!$F$14:$F$15</definedName>
    <definedName name="Rango_Calificacion_Ejecucion" localSheetId="3">'[1]LISTAS FORMULAS'!$H$3:$H$5</definedName>
    <definedName name="Rango_Calificacion_Ejecucion" localSheetId="7">'[1]LISTAS FORMULAS'!$H$3:$H$5</definedName>
    <definedName name="Rango_Calificacion_Ejecucion" localSheetId="9">'[1]LISTAS FORMULAS'!$H$3:$H$5</definedName>
    <definedName name="Rango_Calificacion_Ejecucion" localSheetId="10">'[1]LISTAS FORMULAS'!$H$3:$H$5</definedName>
    <definedName name="Rango_Calificacion_Ejecucion" localSheetId="11">'[1]LISTAS FORMULAS'!$H$3:$H$5</definedName>
    <definedName name="Rango_Calificacion_Ejecucion" localSheetId="12">'[1]LISTAS FORMULAS'!$H$3:$H$5</definedName>
    <definedName name="Reducir_mitigar_Transferir_Evitar">'8 MAPA RIESGOS'!$AJ$16:$AJ$18</definedName>
    <definedName name="Reputacional">'3 PROBABIL E IMPACTO INHERENTE'!$Y$11:$Y$13</definedName>
    <definedName name="REPUTACIONAL_EXTENDIDA">'3 PROBABIL E IMPACTO INHERENTE'!$Y$9:$Y$13</definedName>
    <definedName name="Requiere_Plan_de_Acción">'8 MAPA RIESGOS'!$AJ$16:$AJ$18</definedName>
    <definedName name="Seg.Información">'11 FORMULAS'!#REF!</definedName>
    <definedName name="Seguridad_Información">'11 FORMULAS'!$C$32:$C$43</definedName>
    <definedName name="Soborno_entrante">'11 FORMULAS'!$F$32:$F$34</definedName>
    <definedName name="Soborno_saliente">'11 FORMULAS'!$G$32:$G$34</definedName>
    <definedName name="Talento_Humano">'11 FORMULAS'!$C$45:$C$50</definedName>
    <definedName name="Tecnología">'11 FORMULAS'!$D$45:$D$49</definedName>
    <definedName name="TH_C_CORRUPCION">'H1'!$D$14:$D$16</definedName>
    <definedName name="TH_CI_CORRUPCION">'H1'!$D$11:$D$13</definedName>
    <definedName name="TH_FI_CORRUPCION">'H1'!$D$2:$D$4</definedName>
    <definedName name="TH_H_CORRUPCION">'H1'!$D$17:$D$19</definedName>
    <definedName name="TH_SE_CORRUPCION">'H1'!$D$5:$D$7</definedName>
    <definedName name="TH_SS_CORRUPCION">'H1'!$D$8:$D$10</definedName>
    <definedName name="Tipo" localSheetId="13">'[2]CONTEXTO E IDENTIFICACIÓN'!$C$21:$C$24</definedName>
    <definedName name="TIPO" localSheetId="7">'[1]CONTEXTO E IDENTIFICACIÓN'!$E$29:$E$32</definedName>
    <definedName name="TIPO" localSheetId="9">'[1]CONTEXTO E IDENTIFICACIÓN'!$E$29:$E$32</definedName>
    <definedName name="TIPO" localSheetId="10">'[1]CONTEXTO E IDENTIFICACIÓN'!$E$29:$E$32</definedName>
    <definedName name="TIPO" localSheetId="11">'[1]CONTEXTO E IDENTIFICACIÓN'!$E$29:$E$32</definedName>
    <definedName name="TIPO" localSheetId="12">'[1]CONTEXTO E IDENTIFICACIÓN'!$E$29:$E$32</definedName>
    <definedName name="Tipo">'11 FORMULAS'!$A$4:$A$11</definedName>
    <definedName name="_xlnm.Print_Titles" localSheetId="3">'2 CONTEXTO E IDENTIFICACIÓN'!$7:$8</definedName>
    <definedName name="_xlnm.Print_Titles" localSheetId="6">'3 PROBABIL E IMPACTO INHERENTE'!$5:$8</definedName>
    <definedName name="_xlnm.Print_Titles" localSheetId="8">'5 VALORACIÓN DEL CONTROL'!$3:$7</definedName>
    <definedName name="Transacción_u_Operación_aplica_para_LA_FT_FP">'11 FORMULAS'!$B$45:$B$48</definedName>
  </definedNames>
  <calcPr calcId="162913"/>
  <fileRecoveryPr autoRecover="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9" i="36" l="1"/>
  <c r="Y15" i="42" l="1"/>
  <c r="Y16" i="42"/>
  <c r="Y17" i="42"/>
  <c r="Y18" i="42"/>
  <c r="Y19" i="42"/>
  <c r="Y20" i="42"/>
  <c r="Y21" i="42"/>
  <c r="Y22" i="42"/>
  <c r="Y23" i="42"/>
  <c r="Y24" i="42"/>
  <c r="Y25" i="42"/>
  <c r="Y26" i="42"/>
  <c r="Y27" i="42"/>
  <c r="Y28" i="42"/>
  <c r="Y29" i="42"/>
  <c r="Y30" i="42"/>
  <c r="Y31" i="42"/>
  <c r="Y32" i="42"/>
  <c r="Y33" i="42"/>
  <c r="Y34" i="42"/>
  <c r="Y35" i="42"/>
  <c r="Y36" i="42"/>
  <c r="Y37" i="42"/>
  <c r="Y38" i="42"/>
  <c r="Y39" i="42"/>
  <c r="Y40" i="42"/>
  <c r="Y41" i="42"/>
  <c r="Y42" i="42"/>
  <c r="Y43" i="42"/>
  <c r="Y44" i="42"/>
  <c r="Y45" i="42"/>
  <c r="Y46" i="42"/>
  <c r="Y47" i="42"/>
  <c r="Y48" i="42"/>
  <c r="Y49" i="42"/>
  <c r="Y50" i="42"/>
  <c r="Y51" i="42"/>
  <c r="Y52" i="42"/>
  <c r="Y53" i="42"/>
  <c r="Y54" i="42"/>
  <c r="Y55" i="42"/>
  <c r="Y56" i="42"/>
  <c r="Y57" i="42"/>
  <c r="Y58" i="42"/>
  <c r="Y59" i="42"/>
  <c r="Y60" i="42"/>
  <c r="Y61" i="42"/>
  <c r="Y62" i="42"/>
  <c r="Y63" i="42"/>
  <c r="Y64" i="42"/>
  <c r="Y65" i="42"/>
  <c r="Y66" i="42"/>
  <c r="Y67" i="42"/>
  <c r="Y68" i="42"/>
  <c r="Y69" i="42"/>
  <c r="Y70" i="42"/>
  <c r="Y71" i="42"/>
  <c r="Y72" i="42"/>
  <c r="Y73" i="42"/>
  <c r="Y74" i="42"/>
  <c r="Y75" i="42"/>
  <c r="Y76" i="42"/>
  <c r="Y77" i="42"/>
  <c r="Y78" i="42"/>
  <c r="Y79" i="42"/>
  <c r="Y80" i="42"/>
  <c r="Y81" i="42"/>
  <c r="Y82" i="42"/>
  <c r="Y83" i="42"/>
  <c r="Y84" i="42"/>
  <c r="Y85" i="42"/>
  <c r="Y86" i="42"/>
  <c r="Y87" i="42"/>
  <c r="Y88" i="42"/>
  <c r="W15" i="42"/>
  <c r="W16" i="42"/>
  <c r="W17" i="42"/>
  <c r="W18" i="42"/>
  <c r="W19" i="42"/>
  <c r="W20" i="42"/>
  <c r="W21" i="42"/>
  <c r="W22" i="42"/>
  <c r="W23" i="42"/>
  <c r="W24" i="42"/>
  <c r="W25" i="42"/>
  <c r="W26" i="42"/>
  <c r="W27" i="42"/>
  <c r="W28" i="42"/>
  <c r="W29" i="42"/>
  <c r="W30" i="42"/>
  <c r="W31" i="42"/>
  <c r="W32" i="42"/>
  <c r="W33" i="42"/>
  <c r="W34" i="42"/>
  <c r="W35" i="42"/>
  <c r="W36" i="42"/>
  <c r="W37" i="42"/>
  <c r="W38" i="42"/>
  <c r="W39" i="42"/>
  <c r="W40" i="42"/>
  <c r="W41" i="42"/>
  <c r="W42" i="42"/>
  <c r="W43" i="42"/>
  <c r="W44" i="42"/>
  <c r="W45" i="42"/>
  <c r="W46" i="42"/>
  <c r="W47" i="42"/>
  <c r="W48" i="42"/>
  <c r="W49" i="42"/>
  <c r="W50" i="42"/>
  <c r="W51" i="42"/>
  <c r="W52" i="42"/>
  <c r="W53" i="42"/>
  <c r="W54" i="42"/>
  <c r="W55" i="42"/>
  <c r="W56" i="42"/>
  <c r="W57" i="42"/>
  <c r="W58" i="42"/>
  <c r="W59" i="42"/>
  <c r="W60" i="42"/>
  <c r="W61" i="42"/>
  <c r="W62" i="42"/>
  <c r="W63" i="42"/>
  <c r="W64" i="42"/>
  <c r="W65" i="42"/>
  <c r="W66" i="42"/>
  <c r="W67" i="42"/>
  <c r="W68" i="42"/>
  <c r="W69" i="42"/>
  <c r="W70" i="42"/>
  <c r="W71" i="42"/>
  <c r="W72" i="42"/>
  <c r="W73" i="42"/>
  <c r="W74" i="42"/>
  <c r="W75" i="42"/>
  <c r="W76" i="42"/>
  <c r="W77" i="42"/>
  <c r="W78" i="42"/>
  <c r="W79" i="42"/>
  <c r="W80" i="42"/>
  <c r="W81" i="42"/>
  <c r="W82" i="42"/>
  <c r="W83" i="42"/>
  <c r="W84" i="42"/>
  <c r="W85" i="42"/>
  <c r="W86" i="42"/>
  <c r="W87" i="42"/>
  <c r="W88" i="42"/>
  <c r="U15" i="42"/>
  <c r="U16" i="42"/>
  <c r="U17" i="42"/>
  <c r="Z17" i="42" s="1"/>
  <c r="U18" i="42"/>
  <c r="U19" i="42"/>
  <c r="U20" i="42"/>
  <c r="U21" i="42"/>
  <c r="U22" i="42"/>
  <c r="U23" i="42"/>
  <c r="U24" i="42"/>
  <c r="U25" i="42"/>
  <c r="U26" i="42"/>
  <c r="U27" i="42"/>
  <c r="U28" i="42"/>
  <c r="U29" i="42"/>
  <c r="U30" i="42"/>
  <c r="U31" i="42"/>
  <c r="U32" i="42"/>
  <c r="U33" i="42"/>
  <c r="U34" i="42"/>
  <c r="U35" i="42"/>
  <c r="U36" i="42"/>
  <c r="U37" i="42"/>
  <c r="U38" i="42"/>
  <c r="U39" i="42"/>
  <c r="U40" i="42"/>
  <c r="U41" i="42"/>
  <c r="U42" i="42"/>
  <c r="U43" i="42"/>
  <c r="U44" i="42"/>
  <c r="U45" i="42"/>
  <c r="U46" i="42"/>
  <c r="U47" i="42"/>
  <c r="U48" i="42"/>
  <c r="U49" i="42"/>
  <c r="U50" i="42"/>
  <c r="U51" i="42"/>
  <c r="U52" i="42"/>
  <c r="U53" i="42"/>
  <c r="U54" i="42"/>
  <c r="U55" i="42"/>
  <c r="U56" i="42"/>
  <c r="U57" i="42"/>
  <c r="U58" i="42"/>
  <c r="U59" i="42"/>
  <c r="U60" i="42"/>
  <c r="U61" i="42"/>
  <c r="U62" i="42"/>
  <c r="U63" i="42"/>
  <c r="U64" i="42"/>
  <c r="U65" i="42"/>
  <c r="U66" i="42"/>
  <c r="U67" i="42"/>
  <c r="U68" i="42"/>
  <c r="U69" i="42"/>
  <c r="U70" i="42"/>
  <c r="U71" i="42"/>
  <c r="U72" i="42"/>
  <c r="U73" i="42"/>
  <c r="U74" i="42"/>
  <c r="U75" i="42"/>
  <c r="U76" i="42"/>
  <c r="U77" i="42"/>
  <c r="U78" i="42"/>
  <c r="U79" i="42"/>
  <c r="U80" i="42"/>
  <c r="U81" i="42"/>
  <c r="U82" i="42"/>
  <c r="U83" i="42"/>
  <c r="U84" i="42"/>
  <c r="U85" i="42"/>
  <c r="U86" i="42"/>
  <c r="U87" i="42"/>
  <c r="U88" i="42"/>
  <c r="Y14" i="42"/>
  <c r="W14" i="42"/>
  <c r="U14" i="42"/>
  <c r="K12" i="30"/>
  <c r="K13" i="30"/>
  <c r="K14" i="30"/>
  <c r="K15" i="30"/>
  <c r="K16" i="30"/>
  <c r="K17" i="30"/>
  <c r="K18" i="30"/>
  <c r="K19" i="30"/>
  <c r="K20" i="30"/>
  <c r="K21" i="30"/>
  <c r="K22" i="30"/>
  <c r="K23" i="30"/>
  <c r="K24" i="30"/>
  <c r="K25" i="30"/>
  <c r="K26" i="30"/>
  <c r="K27" i="30"/>
  <c r="K28" i="30"/>
  <c r="K10" i="30"/>
  <c r="B14" i="9" s="1"/>
  <c r="K11" i="30"/>
  <c r="A14" i="9"/>
  <c r="I9" i="9"/>
  <c r="I10" i="9"/>
  <c r="I11" i="9"/>
  <c r="I12" i="9"/>
  <c r="I13" i="9"/>
  <c r="I14" i="9"/>
  <c r="I15" i="9"/>
  <c r="I16" i="9"/>
  <c r="I17" i="9"/>
  <c r="I18" i="9"/>
  <c r="I19" i="9"/>
  <c r="I20" i="9"/>
  <c r="I21" i="9"/>
  <c r="I22" i="9"/>
  <c r="I23" i="9"/>
  <c r="I24" i="9"/>
  <c r="I25" i="9"/>
  <c r="I26" i="9"/>
  <c r="I27" i="9"/>
  <c r="I28" i="9"/>
  <c r="I29" i="9"/>
  <c r="I30" i="9"/>
  <c r="I31" i="9"/>
  <c r="I32" i="9"/>
  <c r="I33" i="9"/>
  <c r="I34" i="9"/>
  <c r="I35" i="9"/>
  <c r="I36" i="9"/>
  <c r="I37" i="9"/>
  <c r="I38" i="9"/>
  <c r="I39" i="9"/>
  <c r="I40" i="9"/>
  <c r="I41" i="9"/>
  <c r="I42" i="9"/>
  <c r="I43" i="9"/>
  <c r="I44" i="9"/>
  <c r="I45" i="9"/>
  <c r="I46" i="9"/>
  <c r="I47" i="9"/>
  <c r="I48" i="9"/>
  <c r="I49" i="9"/>
  <c r="I50" i="9"/>
  <c r="I51" i="9"/>
  <c r="I52" i="9"/>
  <c r="I53" i="9"/>
  <c r="I54" i="9"/>
  <c r="I55" i="9"/>
  <c r="I56" i="9"/>
  <c r="I57" i="9"/>
  <c r="I58" i="9"/>
  <c r="I59" i="9"/>
  <c r="I60" i="9"/>
  <c r="I61" i="9"/>
  <c r="I62" i="9"/>
  <c r="I63" i="9"/>
  <c r="I64" i="9"/>
  <c r="I65" i="9"/>
  <c r="I66" i="9"/>
  <c r="I67" i="9"/>
  <c r="I68" i="9"/>
  <c r="I69" i="9"/>
  <c r="I70" i="9"/>
  <c r="I71" i="9"/>
  <c r="I72" i="9"/>
  <c r="I73" i="9"/>
  <c r="I74" i="9"/>
  <c r="I75" i="9"/>
  <c r="I76" i="9"/>
  <c r="I77" i="9"/>
  <c r="I78" i="9"/>
  <c r="I79" i="9"/>
  <c r="I80" i="9"/>
  <c r="I81" i="9"/>
  <c r="I82" i="9"/>
  <c r="I83" i="9"/>
  <c r="I84" i="9"/>
  <c r="I85" i="9"/>
  <c r="I86" i="9"/>
  <c r="I87" i="9"/>
  <c r="I88" i="9"/>
  <c r="I89" i="9"/>
  <c r="I90" i="9"/>
  <c r="I91" i="9"/>
  <c r="I92" i="9"/>
  <c r="I93" i="9"/>
  <c r="I94" i="9"/>
  <c r="I95" i="9"/>
  <c r="I96" i="9"/>
  <c r="I97" i="9"/>
  <c r="I98" i="9"/>
  <c r="I99" i="9"/>
  <c r="I100" i="9"/>
  <c r="I101" i="9"/>
  <c r="I102" i="9"/>
  <c r="I103" i="9"/>
  <c r="I104" i="9"/>
  <c r="I105" i="9"/>
  <c r="I106" i="9"/>
  <c r="I107" i="9"/>
  <c r="I108" i="9"/>
  <c r="I109" i="9"/>
  <c r="I110" i="9"/>
  <c r="I111" i="9"/>
  <c r="I112" i="9"/>
  <c r="I113" i="9"/>
  <c r="I114" i="9"/>
  <c r="I115" i="9"/>
  <c r="I116" i="9"/>
  <c r="I117" i="9"/>
  <c r="I118" i="9"/>
  <c r="I119" i="9"/>
  <c r="I120" i="9"/>
  <c r="I121" i="9"/>
  <c r="I122" i="9"/>
  <c r="I123" i="9"/>
  <c r="I124" i="9"/>
  <c r="I125" i="9"/>
  <c r="I126" i="9"/>
  <c r="I127" i="9"/>
  <c r="AE88" i="42"/>
  <c r="AD88" i="42"/>
  <c r="Z88" i="42"/>
  <c r="AE87" i="42"/>
  <c r="AD87" i="42"/>
  <c r="Z87" i="42"/>
  <c r="AE86" i="42"/>
  <c r="AD86" i="42"/>
  <c r="Z86" i="42"/>
  <c r="AE85" i="42"/>
  <c r="AD85" i="42"/>
  <c r="Z85" i="42"/>
  <c r="AE84" i="42"/>
  <c r="AD84" i="42"/>
  <c r="Z84" i="42"/>
  <c r="AE83" i="42"/>
  <c r="AD83" i="42"/>
  <c r="Z83" i="42"/>
  <c r="AE82" i="42"/>
  <c r="AD82" i="42"/>
  <c r="Z82" i="42"/>
  <c r="AE81" i="42"/>
  <c r="AD81" i="42"/>
  <c r="Z81" i="42"/>
  <c r="AE80" i="42"/>
  <c r="AD80" i="42"/>
  <c r="Z80" i="42"/>
  <c r="AE79" i="42"/>
  <c r="AD79" i="42"/>
  <c r="Z79" i="42"/>
  <c r="AE78" i="42"/>
  <c r="AD78" i="42"/>
  <c r="Z78" i="42"/>
  <c r="AE77" i="42"/>
  <c r="AD77" i="42"/>
  <c r="Z77" i="42"/>
  <c r="AE76" i="42"/>
  <c r="AD76" i="42"/>
  <c r="Z76" i="42"/>
  <c r="AE75" i="42"/>
  <c r="AD75" i="42"/>
  <c r="Z75" i="42"/>
  <c r="AE74" i="42"/>
  <c r="AD74" i="42"/>
  <c r="Z74" i="42"/>
  <c r="AE73" i="42"/>
  <c r="AD73" i="42"/>
  <c r="Z73" i="42"/>
  <c r="AE72" i="42"/>
  <c r="AD72" i="42"/>
  <c r="Z72" i="42"/>
  <c r="AE71" i="42"/>
  <c r="AD71" i="42"/>
  <c r="Z71" i="42"/>
  <c r="AE70" i="42"/>
  <c r="AD70" i="42"/>
  <c r="Z70" i="42"/>
  <c r="AE69" i="42"/>
  <c r="AD69" i="42"/>
  <c r="Z69" i="42"/>
  <c r="AE68" i="42"/>
  <c r="AD68" i="42"/>
  <c r="Z68" i="42"/>
  <c r="AE67" i="42"/>
  <c r="AD67" i="42"/>
  <c r="Z67" i="42"/>
  <c r="AE66" i="42"/>
  <c r="AD66" i="42"/>
  <c r="Z66" i="42"/>
  <c r="AE65" i="42"/>
  <c r="AD65" i="42"/>
  <c r="Z65" i="42"/>
  <c r="AE64" i="42"/>
  <c r="AD64" i="42"/>
  <c r="Z64" i="42"/>
  <c r="AE63" i="42"/>
  <c r="AD63" i="42"/>
  <c r="Z63" i="42"/>
  <c r="AE62" i="42"/>
  <c r="AD62" i="42"/>
  <c r="Z62" i="42"/>
  <c r="AE61" i="42"/>
  <c r="AD61" i="42"/>
  <c r="Z61" i="42"/>
  <c r="AE60" i="42"/>
  <c r="AD60" i="42"/>
  <c r="Z60" i="42"/>
  <c r="AE59" i="42"/>
  <c r="AD59" i="42"/>
  <c r="Z59" i="42"/>
  <c r="AE58" i="42"/>
  <c r="AD58" i="42"/>
  <c r="Z58" i="42"/>
  <c r="AE57" i="42"/>
  <c r="AD57" i="42"/>
  <c r="Z57" i="42"/>
  <c r="AE56" i="42"/>
  <c r="AD56" i="42"/>
  <c r="Z56" i="42"/>
  <c r="AE55" i="42"/>
  <c r="AD55" i="42"/>
  <c r="Z55" i="42"/>
  <c r="AE54" i="42"/>
  <c r="AD54" i="42"/>
  <c r="Z54" i="42"/>
  <c r="AE53" i="42"/>
  <c r="AD53" i="42"/>
  <c r="Z53" i="42"/>
  <c r="AE52" i="42"/>
  <c r="AD52" i="42"/>
  <c r="Z52" i="42"/>
  <c r="AE51" i="42"/>
  <c r="AD51" i="42"/>
  <c r="Z51" i="42"/>
  <c r="AE50" i="42"/>
  <c r="AD50" i="42"/>
  <c r="Z50" i="42"/>
  <c r="AE49" i="42"/>
  <c r="AD49" i="42"/>
  <c r="Z49" i="42"/>
  <c r="AE48" i="42"/>
  <c r="AD48" i="42"/>
  <c r="Z48" i="42"/>
  <c r="AE47" i="42"/>
  <c r="AD47" i="42"/>
  <c r="Z47" i="42"/>
  <c r="AE46" i="42"/>
  <c r="AD46" i="42"/>
  <c r="Z46" i="42"/>
  <c r="AE45" i="42"/>
  <c r="AD45" i="42"/>
  <c r="Z45" i="42"/>
  <c r="AE44" i="42"/>
  <c r="AD44" i="42"/>
  <c r="Z44" i="42"/>
  <c r="AE43" i="42"/>
  <c r="AD43" i="42"/>
  <c r="Z43" i="42"/>
  <c r="AE42" i="42"/>
  <c r="AD42" i="42"/>
  <c r="Z42" i="42"/>
  <c r="AE41" i="42"/>
  <c r="AD41" i="42"/>
  <c r="Z41" i="42"/>
  <c r="AE40" i="42"/>
  <c r="AD40" i="42"/>
  <c r="Z40" i="42"/>
  <c r="AE39" i="42"/>
  <c r="AD39" i="42"/>
  <c r="Z39" i="42"/>
  <c r="AE38" i="42"/>
  <c r="AD38" i="42"/>
  <c r="Z38" i="42"/>
  <c r="AE37" i="42"/>
  <c r="AD37" i="42"/>
  <c r="Z37" i="42"/>
  <c r="AE36" i="42"/>
  <c r="AD36" i="42"/>
  <c r="Z36" i="42"/>
  <c r="AE35" i="42"/>
  <c r="AD35" i="42"/>
  <c r="Z35" i="42"/>
  <c r="AE34" i="42"/>
  <c r="AD34" i="42"/>
  <c r="Z34" i="42"/>
  <c r="AE33" i="42"/>
  <c r="AD33" i="42"/>
  <c r="Z33" i="42"/>
  <c r="AE32" i="42"/>
  <c r="AD32" i="42"/>
  <c r="Z32" i="42"/>
  <c r="AE31" i="42"/>
  <c r="AD31" i="42"/>
  <c r="Z31" i="42"/>
  <c r="AE30" i="42"/>
  <c r="AD30" i="42"/>
  <c r="Z30" i="42"/>
  <c r="AE29" i="42"/>
  <c r="AD29" i="42"/>
  <c r="Z29" i="42"/>
  <c r="AE28" i="42"/>
  <c r="AD28" i="42"/>
  <c r="Z28" i="42"/>
  <c r="AE27" i="42"/>
  <c r="AD27" i="42"/>
  <c r="Z27" i="42"/>
  <c r="AE26" i="42"/>
  <c r="AD26" i="42"/>
  <c r="Z26" i="42"/>
  <c r="AE25" i="42"/>
  <c r="AD25" i="42"/>
  <c r="Z25" i="42"/>
  <c r="AE24" i="42"/>
  <c r="AD24" i="42"/>
  <c r="Z24" i="42"/>
  <c r="AE23" i="42"/>
  <c r="AD23" i="42"/>
  <c r="Z23" i="42"/>
  <c r="AE22" i="42"/>
  <c r="AD22" i="42"/>
  <c r="Z22" i="42"/>
  <c r="AE21" i="42"/>
  <c r="AD21" i="42"/>
  <c r="Z21" i="42"/>
  <c r="AE20" i="42"/>
  <c r="AD20" i="42"/>
  <c r="Z20" i="42"/>
  <c r="AE19" i="42"/>
  <c r="AD19" i="42"/>
  <c r="Z19" i="42"/>
  <c r="AE18" i="42"/>
  <c r="AD18" i="42"/>
  <c r="AE17" i="42"/>
  <c r="AD17" i="42"/>
  <c r="AD16" i="42"/>
  <c r="AE15" i="42"/>
  <c r="AD15" i="42"/>
  <c r="AE14" i="42"/>
  <c r="AD14" i="42"/>
  <c r="Z14" i="42"/>
  <c r="Z18" i="42" l="1"/>
  <c r="Z15" i="42"/>
  <c r="Z16" i="42"/>
  <c r="K9" i="30"/>
  <c r="O21" i="39" l="1"/>
  <c r="P21" i="39"/>
  <c r="Q21" i="39"/>
  <c r="R21" i="39"/>
  <c r="O17" i="39"/>
  <c r="P17" i="39"/>
  <c r="Q17" i="39"/>
  <c r="R17" i="39"/>
  <c r="O18" i="39"/>
  <c r="P18" i="39"/>
  <c r="Q18" i="39"/>
  <c r="R18" i="39"/>
  <c r="O19" i="39"/>
  <c r="P19" i="39"/>
  <c r="Q19" i="39"/>
  <c r="R19" i="39"/>
  <c r="O20" i="39"/>
  <c r="P20" i="39"/>
  <c r="Q20" i="39"/>
  <c r="R20" i="39"/>
  <c r="O12" i="39"/>
  <c r="P12" i="39"/>
  <c r="Q12" i="39"/>
  <c r="R12" i="39"/>
  <c r="O13" i="39"/>
  <c r="P13" i="39"/>
  <c r="Q13" i="39"/>
  <c r="R13" i="39"/>
  <c r="O14" i="39"/>
  <c r="P14" i="39"/>
  <c r="Q14" i="39"/>
  <c r="R14" i="39"/>
  <c r="O15" i="39"/>
  <c r="P15" i="39"/>
  <c r="Q15" i="39"/>
  <c r="R15" i="39"/>
  <c r="O16" i="39"/>
  <c r="P16" i="39"/>
  <c r="Q16" i="39"/>
  <c r="R16" i="39"/>
  <c r="S16" i="39" s="1"/>
  <c r="O9" i="39"/>
  <c r="P9" i="39"/>
  <c r="Q9" i="39"/>
  <c r="R9" i="39"/>
  <c r="O10" i="39"/>
  <c r="P10" i="39"/>
  <c r="Q10" i="39"/>
  <c r="T10" i="39" s="1"/>
  <c r="R10" i="39"/>
  <c r="O11" i="39"/>
  <c r="P11" i="39"/>
  <c r="Q11" i="39"/>
  <c r="R11" i="39"/>
  <c r="O3" i="39"/>
  <c r="P3" i="39"/>
  <c r="Q3" i="39"/>
  <c r="R3" i="39"/>
  <c r="O4" i="39"/>
  <c r="P4" i="39"/>
  <c r="Q4" i="39"/>
  <c r="R4" i="39"/>
  <c r="O5" i="39"/>
  <c r="P5" i="39"/>
  <c r="Q5" i="39"/>
  <c r="R5" i="39"/>
  <c r="O6" i="39"/>
  <c r="P6" i="39"/>
  <c r="Q6" i="39"/>
  <c r="R6" i="39"/>
  <c r="O7" i="39"/>
  <c r="P7" i="39"/>
  <c r="Q7" i="39"/>
  <c r="R7" i="39"/>
  <c r="O8" i="39"/>
  <c r="P8" i="39"/>
  <c r="Q8" i="39"/>
  <c r="R8" i="39"/>
  <c r="F3" i="39"/>
  <c r="F4" i="39"/>
  <c r="F5" i="39"/>
  <c r="F6" i="39"/>
  <c r="F7" i="39"/>
  <c r="F8" i="39"/>
  <c r="F9" i="39"/>
  <c r="F10" i="39"/>
  <c r="F11" i="39"/>
  <c r="F12" i="39"/>
  <c r="F13" i="39"/>
  <c r="F14" i="39"/>
  <c r="F15" i="39"/>
  <c r="F16" i="39"/>
  <c r="F17" i="39"/>
  <c r="F18" i="39"/>
  <c r="F19" i="39"/>
  <c r="F20" i="39"/>
  <c r="F21" i="39"/>
  <c r="F22" i="39"/>
  <c r="F23" i="39"/>
  <c r="F24" i="39"/>
  <c r="F25" i="39"/>
  <c r="F26" i="39"/>
  <c r="F27" i="39"/>
  <c r="F28" i="39"/>
  <c r="F29" i="39"/>
  <c r="F30" i="39"/>
  <c r="F31" i="39"/>
  <c r="F32" i="39"/>
  <c r="F33" i="39"/>
  <c r="F34" i="39"/>
  <c r="F35" i="39"/>
  <c r="F36" i="39"/>
  <c r="F37" i="39"/>
  <c r="F38" i="39"/>
  <c r="F39" i="39"/>
  <c r="F40" i="39"/>
  <c r="F41" i="39"/>
  <c r="F42" i="39"/>
  <c r="F43" i="39"/>
  <c r="F44" i="39"/>
  <c r="F45" i="39"/>
  <c r="F46" i="39"/>
  <c r="F47" i="39"/>
  <c r="F48" i="39"/>
  <c r="F49" i="39"/>
  <c r="F50" i="39"/>
  <c r="F51" i="39"/>
  <c r="F52" i="39"/>
  <c r="F53" i="39"/>
  <c r="F54" i="39"/>
  <c r="F55" i="39"/>
  <c r="F56" i="39"/>
  <c r="F57" i="39"/>
  <c r="F58" i="39"/>
  <c r="F59" i="39"/>
  <c r="F60" i="39"/>
  <c r="F61" i="39"/>
  <c r="F62" i="39"/>
  <c r="F63" i="39"/>
  <c r="F64" i="39"/>
  <c r="F65" i="39"/>
  <c r="F66" i="39"/>
  <c r="F67" i="39"/>
  <c r="F68" i="39"/>
  <c r="F69" i="39"/>
  <c r="F70" i="39"/>
  <c r="F71" i="39"/>
  <c r="F72" i="39"/>
  <c r="F73" i="39"/>
  <c r="F74" i="39"/>
  <c r="F75" i="39"/>
  <c r="F76" i="39"/>
  <c r="F77" i="39"/>
  <c r="F78" i="39"/>
  <c r="F79" i="39"/>
  <c r="F80" i="39"/>
  <c r="F81" i="39"/>
  <c r="F82" i="39"/>
  <c r="F83" i="39"/>
  <c r="F84" i="39"/>
  <c r="F85" i="39"/>
  <c r="F86" i="39"/>
  <c r="F87" i="39"/>
  <c r="F88" i="39"/>
  <c r="F89" i="39"/>
  <c r="F90" i="39"/>
  <c r="F91" i="39"/>
  <c r="F92" i="39"/>
  <c r="F93" i="39"/>
  <c r="F94" i="39"/>
  <c r="F95" i="39"/>
  <c r="F96" i="39"/>
  <c r="F97" i="39"/>
  <c r="F98" i="39"/>
  <c r="F99" i="39"/>
  <c r="F100" i="39"/>
  <c r="F101" i="39"/>
  <c r="F102" i="39"/>
  <c r="F103" i="39"/>
  <c r="F104" i="39"/>
  <c r="F105" i="39"/>
  <c r="F106" i="39"/>
  <c r="F107" i="39"/>
  <c r="F108" i="39"/>
  <c r="F109" i="39"/>
  <c r="F110" i="39"/>
  <c r="F111" i="39"/>
  <c r="F112" i="39"/>
  <c r="F113" i="39"/>
  <c r="F114" i="39"/>
  <c r="F115" i="39"/>
  <c r="F116" i="39"/>
  <c r="F117" i="39"/>
  <c r="F118" i="39"/>
  <c r="F119" i="39"/>
  <c r="F120" i="39"/>
  <c r="F121" i="39"/>
  <c r="F122" i="39"/>
  <c r="F123" i="39"/>
  <c r="F124" i="39"/>
  <c r="F125" i="39"/>
  <c r="F126" i="39"/>
  <c r="F127" i="39"/>
  <c r="F128" i="39"/>
  <c r="F129" i="39"/>
  <c r="F130" i="39"/>
  <c r="F131" i="39"/>
  <c r="F132" i="39"/>
  <c r="F133" i="39"/>
  <c r="F134" i="39"/>
  <c r="F135" i="39"/>
  <c r="F136" i="39"/>
  <c r="F137" i="39"/>
  <c r="F138" i="39"/>
  <c r="F139" i="39"/>
  <c r="F140" i="39"/>
  <c r="F141" i="39"/>
  <c r="F142" i="39"/>
  <c r="F143" i="39"/>
  <c r="F144" i="39"/>
  <c r="F145" i="39"/>
  <c r="F146" i="39"/>
  <c r="F147" i="39"/>
  <c r="F148" i="39"/>
  <c r="F149" i="39"/>
  <c r="F150" i="39"/>
  <c r="F151" i="39"/>
  <c r="F152" i="39"/>
  <c r="F153" i="39"/>
  <c r="F154" i="39"/>
  <c r="F155" i="39"/>
  <c r="F156" i="39"/>
  <c r="F157" i="39"/>
  <c r="F158" i="39"/>
  <c r="F159" i="39"/>
  <c r="F160" i="39"/>
  <c r="F161" i="39"/>
  <c r="F162" i="39"/>
  <c r="F163" i="39"/>
  <c r="F164" i="39"/>
  <c r="F165" i="39"/>
  <c r="F166" i="39"/>
  <c r="F167" i="39"/>
  <c r="F168" i="39"/>
  <c r="F169" i="39"/>
  <c r="F170" i="39"/>
  <c r="F171" i="39"/>
  <c r="F172" i="39"/>
  <c r="F173" i="39"/>
  <c r="F174" i="39"/>
  <c r="F175" i="39"/>
  <c r="F176" i="39"/>
  <c r="F177" i="39"/>
  <c r="F178" i="39"/>
  <c r="F179" i="39"/>
  <c r="F180" i="39"/>
  <c r="F181" i="39"/>
  <c r="F182" i="39"/>
  <c r="F183" i="39"/>
  <c r="F184" i="39"/>
  <c r="F185" i="39"/>
  <c r="F186" i="39"/>
  <c r="F187" i="39"/>
  <c r="F188" i="39"/>
  <c r="F189" i="39"/>
  <c r="F190" i="39"/>
  <c r="F191" i="39"/>
  <c r="F192" i="39"/>
  <c r="F193" i="39"/>
  <c r="F2" i="39"/>
  <c r="E3" i="39"/>
  <c r="E4" i="39"/>
  <c r="E5" i="39"/>
  <c r="E6" i="39"/>
  <c r="E7" i="39"/>
  <c r="E8" i="39"/>
  <c r="E9" i="39"/>
  <c r="E10" i="39"/>
  <c r="E11" i="39"/>
  <c r="E12" i="39"/>
  <c r="E13" i="39"/>
  <c r="E14" i="39"/>
  <c r="E15" i="39"/>
  <c r="E16" i="39"/>
  <c r="E17" i="39"/>
  <c r="E18" i="39"/>
  <c r="E19" i="39"/>
  <c r="E20" i="39"/>
  <c r="E21" i="39"/>
  <c r="E22" i="39"/>
  <c r="E23" i="39"/>
  <c r="E24" i="39"/>
  <c r="E25" i="39"/>
  <c r="E26" i="39"/>
  <c r="E27" i="39"/>
  <c r="E28" i="39"/>
  <c r="E29" i="39"/>
  <c r="E30" i="39"/>
  <c r="E31" i="39"/>
  <c r="E32" i="39"/>
  <c r="E33" i="39"/>
  <c r="E34" i="39"/>
  <c r="E35" i="39"/>
  <c r="E36" i="39"/>
  <c r="E37" i="39"/>
  <c r="E38" i="39"/>
  <c r="E39" i="39"/>
  <c r="E40" i="39"/>
  <c r="E41" i="39"/>
  <c r="E42" i="39"/>
  <c r="E43" i="39"/>
  <c r="E44" i="39"/>
  <c r="E45" i="39"/>
  <c r="E46" i="39"/>
  <c r="E47" i="39"/>
  <c r="E48" i="39"/>
  <c r="E49" i="39"/>
  <c r="E50" i="39"/>
  <c r="E51" i="39"/>
  <c r="E52" i="39"/>
  <c r="E53" i="39"/>
  <c r="E54" i="39"/>
  <c r="E55" i="39"/>
  <c r="E56" i="39"/>
  <c r="E57" i="39"/>
  <c r="E58" i="39"/>
  <c r="E59" i="39"/>
  <c r="E60" i="39"/>
  <c r="E61" i="39"/>
  <c r="E62" i="39"/>
  <c r="E63" i="39"/>
  <c r="E64" i="39"/>
  <c r="E65" i="39"/>
  <c r="E66" i="39"/>
  <c r="E67" i="39"/>
  <c r="E68" i="39"/>
  <c r="E69" i="39"/>
  <c r="E70" i="39"/>
  <c r="E71" i="39"/>
  <c r="E72" i="39"/>
  <c r="E73" i="39"/>
  <c r="E74" i="39"/>
  <c r="E75" i="39"/>
  <c r="E76" i="39"/>
  <c r="E77" i="39"/>
  <c r="E78" i="39"/>
  <c r="E79" i="39"/>
  <c r="E80" i="39"/>
  <c r="E81" i="39"/>
  <c r="E82" i="39"/>
  <c r="E83" i="39"/>
  <c r="E84" i="39"/>
  <c r="E85" i="39"/>
  <c r="E86" i="39"/>
  <c r="E87" i="39"/>
  <c r="E88" i="39"/>
  <c r="E89" i="39"/>
  <c r="E90" i="39"/>
  <c r="E91" i="39"/>
  <c r="E92" i="39"/>
  <c r="E93" i="39"/>
  <c r="E94" i="39"/>
  <c r="E95" i="39"/>
  <c r="E96" i="39"/>
  <c r="E97" i="39"/>
  <c r="E98" i="39"/>
  <c r="E99" i="39"/>
  <c r="E100" i="39"/>
  <c r="E101" i="39"/>
  <c r="E102" i="39"/>
  <c r="E103" i="39"/>
  <c r="E104" i="39"/>
  <c r="E105" i="39"/>
  <c r="E106" i="39"/>
  <c r="E107" i="39"/>
  <c r="E108" i="39"/>
  <c r="E109" i="39"/>
  <c r="E110" i="39"/>
  <c r="E111" i="39"/>
  <c r="E112" i="39"/>
  <c r="E113" i="39"/>
  <c r="E114" i="39"/>
  <c r="E115" i="39"/>
  <c r="E116" i="39"/>
  <c r="E117" i="39"/>
  <c r="E118" i="39"/>
  <c r="E119" i="39"/>
  <c r="E120" i="39"/>
  <c r="E121" i="39"/>
  <c r="E122" i="39"/>
  <c r="E123" i="39"/>
  <c r="E124" i="39"/>
  <c r="E125" i="39"/>
  <c r="E126" i="39"/>
  <c r="E127" i="39"/>
  <c r="E128" i="39"/>
  <c r="E129" i="39"/>
  <c r="E130" i="39"/>
  <c r="E131" i="39"/>
  <c r="E132" i="39"/>
  <c r="E133" i="39"/>
  <c r="E134" i="39"/>
  <c r="E135" i="39"/>
  <c r="E136" i="39"/>
  <c r="E137" i="39"/>
  <c r="E138" i="39"/>
  <c r="E139" i="39"/>
  <c r="E140" i="39"/>
  <c r="E141" i="39"/>
  <c r="E142" i="39"/>
  <c r="E143" i="39"/>
  <c r="E144" i="39"/>
  <c r="E145" i="39"/>
  <c r="E146" i="39"/>
  <c r="E147" i="39"/>
  <c r="E148" i="39"/>
  <c r="E149" i="39"/>
  <c r="E150" i="39"/>
  <c r="E151" i="39"/>
  <c r="E152" i="39"/>
  <c r="E153" i="39"/>
  <c r="E154" i="39"/>
  <c r="E155" i="39"/>
  <c r="E156" i="39"/>
  <c r="E157" i="39"/>
  <c r="E158" i="39"/>
  <c r="E159" i="39"/>
  <c r="E160" i="39"/>
  <c r="E161" i="39"/>
  <c r="E162" i="39"/>
  <c r="E163" i="39"/>
  <c r="E164" i="39"/>
  <c r="E165" i="39"/>
  <c r="E166" i="39"/>
  <c r="E167" i="39"/>
  <c r="E168" i="39"/>
  <c r="E169" i="39"/>
  <c r="E170" i="39"/>
  <c r="E171" i="39"/>
  <c r="E172" i="39"/>
  <c r="E173" i="39"/>
  <c r="E174" i="39"/>
  <c r="E175" i="39"/>
  <c r="E176" i="39"/>
  <c r="E177" i="39"/>
  <c r="E178" i="39"/>
  <c r="E179" i="39"/>
  <c r="E180" i="39"/>
  <c r="E181" i="39"/>
  <c r="E182" i="39"/>
  <c r="E183" i="39"/>
  <c r="E184" i="39"/>
  <c r="E185" i="39"/>
  <c r="E186" i="39"/>
  <c r="E187" i="39"/>
  <c r="E188" i="39"/>
  <c r="E189" i="39"/>
  <c r="E190" i="39"/>
  <c r="E191" i="39"/>
  <c r="E192" i="39"/>
  <c r="E193" i="39"/>
  <c r="E2" i="39"/>
  <c r="E9" i="30"/>
  <c r="P2" i="39"/>
  <c r="O2" i="39"/>
  <c r="R2" i="39"/>
  <c r="Q2" i="39"/>
  <c r="E10" i="30"/>
  <c r="E11" i="30"/>
  <c r="E12" i="30"/>
  <c r="E13" i="30"/>
  <c r="E14" i="30"/>
  <c r="E15" i="30"/>
  <c r="E16" i="30"/>
  <c r="E17" i="30"/>
  <c r="E18" i="30"/>
  <c r="E19" i="30"/>
  <c r="E20" i="30"/>
  <c r="E21" i="30"/>
  <c r="E22" i="30"/>
  <c r="E23" i="30"/>
  <c r="E24" i="30"/>
  <c r="E25" i="30"/>
  <c r="E26" i="30"/>
  <c r="E27" i="30"/>
  <c r="E28" i="30"/>
  <c r="D2" i="20"/>
  <c r="I2" i="33"/>
  <c r="G2" i="33"/>
  <c r="B5" i="33"/>
  <c r="B4" i="33"/>
  <c r="G1" i="33"/>
  <c r="D2" i="33"/>
  <c r="I2" i="36"/>
  <c r="G2" i="36"/>
  <c r="B5" i="36"/>
  <c r="B4" i="36"/>
  <c r="G1" i="36"/>
  <c r="D2" i="36"/>
  <c r="M2" i="37"/>
  <c r="K2" i="37"/>
  <c r="B5" i="37"/>
  <c r="B4" i="37"/>
  <c r="K1" i="37"/>
  <c r="F2" i="37"/>
  <c r="J2" i="35"/>
  <c r="H2" i="35"/>
  <c r="H1" i="35"/>
  <c r="B5" i="35"/>
  <c r="B4" i="35"/>
  <c r="D2" i="35"/>
  <c r="J2" i="9"/>
  <c r="H2" i="9"/>
  <c r="H1" i="9"/>
  <c r="B4" i="9"/>
  <c r="B3" i="9"/>
  <c r="D2" i="9"/>
  <c r="L3" i="31"/>
  <c r="J3" i="31"/>
  <c r="J2" i="31"/>
  <c r="B5" i="31"/>
  <c r="B4" i="31"/>
  <c r="D2" i="31"/>
  <c r="D2" i="15"/>
  <c r="H2" i="15"/>
  <c r="J4" i="15"/>
  <c r="H4" i="15"/>
  <c r="N9" i="9"/>
  <c r="N10" i="9"/>
  <c r="N11" i="9"/>
  <c r="N12" i="9"/>
  <c r="N13" i="9"/>
  <c r="N14" i="9"/>
  <c r="N15" i="9"/>
  <c r="N16" i="9"/>
  <c r="N17" i="9"/>
  <c r="N18" i="9"/>
  <c r="N19" i="9"/>
  <c r="N20" i="9"/>
  <c r="N21" i="9"/>
  <c r="N22" i="9"/>
  <c r="N23" i="9"/>
  <c r="N24" i="9"/>
  <c r="N25" i="9"/>
  <c r="N26" i="9"/>
  <c r="N27" i="9"/>
  <c r="N28" i="9"/>
  <c r="N29" i="9"/>
  <c r="N30" i="9"/>
  <c r="N31" i="9"/>
  <c r="N32" i="9"/>
  <c r="N33" i="9"/>
  <c r="N34" i="9"/>
  <c r="N35" i="9"/>
  <c r="N36" i="9"/>
  <c r="N37" i="9"/>
  <c r="N38" i="9"/>
  <c r="N39" i="9"/>
  <c r="N40" i="9"/>
  <c r="N41" i="9"/>
  <c r="N42" i="9"/>
  <c r="N43" i="9"/>
  <c r="N44" i="9"/>
  <c r="N45" i="9"/>
  <c r="N46" i="9"/>
  <c r="N47" i="9"/>
  <c r="N48" i="9"/>
  <c r="N49" i="9"/>
  <c r="N50" i="9"/>
  <c r="N51" i="9"/>
  <c r="N52" i="9"/>
  <c r="N53" i="9"/>
  <c r="N54" i="9"/>
  <c r="N55" i="9"/>
  <c r="N56" i="9"/>
  <c r="N57" i="9"/>
  <c r="N58" i="9"/>
  <c r="N59" i="9"/>
  <c r="N60" i="9"/>
  <c r="N61" i="9"/>
  <c r="N62" i="9"/>
  <c r="N63" i="9"/>
  <c r="N64" i="9"/>
  <c r="N65" i="9"/>
  <c r="N66" i="9"/>
  <c r="N67" i="9"/>
  <c r="N68" i="9"/>
  <c r="N69" i="9"/>
  <c r="N70" i="9"/>
  <c r="N71" i="9"/>
  <c r="N72" i="9"/>
  <c r="N73" i="9"/>
  <c r="N74" i="9"/>
  <c r="N75" i="9"/>
  <c r="N76" i="9"/>
  <c r="N77" i="9"/>
  <c r="N78" i="9"/>
  <c r="N79" i="9"/>
  <c r="N80" i="9"/>
  <c r="N81" i="9"/>
  <c r="N82" i="9"/>
  <c r="N83" i="9"/>
  <c r="N84" i="9"/>
  <c r="N85" i="9"/>
  <c r="N86" i="9"/>
  <c r="N87" i="9"/>
  <c r="N88" i="9"/>
  <c r="N89" i="9"/>
  <c r="N90" i="9"/>
  <c r="N91" i="9"/>
  <c r="N92" i="9"/>
  <c r="N93" i="9"/>
  <c r="N94" i="9"/>
  <c r="N95" i="9"/>
  <c r="N96" i="9"/>
  <c r="N97" i="9"/>
  <c r="N98" i="9"/>
  <c r="N99" i="9"/>
  <c r="N100" i="9"/>
  <c r="N101" i="9"/>
  <c r="N102" i="9"/>
  <c r="N103" i="9"/>
  <c r="N104" i="9"/>
  <c r="N105" i="9"/>
  <c r="N106" i="9"/>
  <c r="N107" i="9"/>
  <c r="N108" i="9"/>
  <c r="N109" i="9"/>
  <c r="N110" i="9"/>
  <c r="N111" i="9"/>
  <c r="N112" i="9"/>
  <c r="N113" i="9"/>
  <c r="N114" i="9"/>
  <c r="N115" i="9"/>
  <c r="N116" i="9"/>
  <c r="N117" i="9"/>
  <c r="N118" i="9"/>
  <c r="N119" i="9"/>
  <c r="N120" i="9"/>
  <c r="N121" i="9"/>
  <c r="N122" i="9"/>
  <c r="N123" i="9"/>
  <c r="N124" i="9"/>
  <c r="N125" i="9"/>
  <c r="N126" i="9"/>
  <c r="N127" i="9"/>
  <c r="N8" i="9"/>
  <c r="L9" i="9"/>
  <c r="L10" i="9"/>
  <c r="L11" i="9"/>
  <c r="L12" i="9"/>
  <c r="L13" i="9"/>
  <c r="L14" i="9"/>
  <c r="L15" i="9"/>
  <c r="L16" i="9"/>
  <c r="L17" i="9"/>
  <c r="L18" i="9"/>
  <c r="L19" i="9"/>
  <c r="L20" i="9"/>
  <c r="L21" i="9"/>
  <c r="L22" i="9"/>
  <c r="L23" i="9"/>
  <c r="L24" i="9"/>
  <c r="L25" i="9"/>
  <c r="L26" i="9"/>
  <c r="L27" i="9"/>
  <c r="L28" i="9"/>
  <c r="L29" i="9"/>
  <c r="L30" i="9"/>
  <c r="L31" i="9"/>
  <c r="L32" i="9"/>
  <c r="L33" i="9"/>
  <c r="L34" i="9"/>
  <c r="L35" i="9"/>
  <c r="L36" i="9"/>
  <c r="L37" i="9"/>
  <c r="L38" i="9"/>
  <c r="L39" i="9"/>
  <c r="L40" i="9"/>
  <c r="L41" i="9"/>
  <c r="L42" i="9"/>
  <c r="L43" i="9"/>
  <c r="L44" i="9"/>
  <c r="L45" i="9"/>
  <c r="L46" i="9"/>
  <c r="L47" i="9"/>
  <c r="L48" i="9"/>
  <c r="L49" i="9"/>
  <c r="L50" i="9"/>
  <c r="L51" i="9"/>
  <c r="L52" i="9"/>
  <c r="L53" i="9"/>
  <c r="L54" i="9"/>
  <c r="L55" i="9"/>
  <c r="L56" i="9"/>
  <c r="L57" i="9"/>
  <c r="L58" i="9"/>
  <c r="L59" i="9"/>
  <c r="L60" i="9"/>
  <c r="L61" i="9"/>
  <c r="L62" i="9"/>
  <c r="L63" i="9"/>
  <c r="L64" i="9"/>
  <c r="L65" i="9"/>
  <c r="L66" i="9"/>
  <c r="L67" i="9"/>
  <c r="L68" i="9"/>
  <c r="L69" i="9"/>
  <c r="L70" i="9"/>
  <c r="L71" i="9"/>
  <c r="L72" i="9"/>
  <c r="L73" i="9"/>
  <c r="L74" i="9"/>
  <c r="L75" i="9"/>
  <c r="L76" i="9"/>
  <c r="L77" i="9"/>
  <c r="L78" i="9"/>
  <c r="L79" i="9"/>
  <c r="L80" i="9"/>
  <c r="L81" i="9"/>
  <c r="L82" i="9"/>
  <c r="L83" i="9"/>
  <c r="L84" i="9"/>
  <c r="L85" i="9"/>
  <c r="L86" i="9"/>
  <c r="L87" i="9"/>
  <c r="L88" i="9"/>
  <c r="L89" i="9"/>
  <c r="L90" i="9"/>
  <c r="L91" i="9"/>
  <c r="L92" i="9"/>
  <c r="L93" i="9"/>
  <c r="L94" i="9"/>
  <c r="L95" i="9"/>
  <c r="L96" i="9"/>
  <c r="L97" i="9"/>
  <c r="L98" i="9"/>
  <c r="L99" i="9"/>
  <c r="L100" i="9"/>
  <c r="L101" i="9"/>
  <c r="L102" i="9"/>
  <c r="L103" i="9"/>
  <c r="L104" i="9"/>
  <c r="L105" i="9"/>
  <c r="L106" i="9"/>
  <c r="L107" i="9"/>
  <c r="L108" i="9"/>
  <c r="L109" i="9"/>
  <c r="L110" i="9"/>
  <c r="L111" i="9"/>
  <c r="L112" i="9"/>
  <c r="L113" i="9"/>
  <c r="L114" i="9"/>
  <c r="L115" i="9"/>
  <c r="L116" i="9"/>
  <c r="L117" i="9"/>
  <c r="L118" i="9"/>
  <c r="L119" i="9"/>
  <c r="L120" i="9"/>
  <c r="L121" i="9"/>
  <c r="L122" i="9"/>
  <c r="L123" i="9"/>
  <c r="L124" i="9"/>
  <c r="L125" i="9"/>
  <c r="L126" i="9"/>
  <c r="L127" i="9"/>
  <c r="L8" i="9"/>
  <c r="K9" i="9"/>
  <c r="K10" i="9"/>
  <c r="K11" i="9"/>
  <c r="K12" i="9"/>
  <c r="K13" i="9"/>
  <c r="K14" i="9"/>
  <c r="K15" i="9"/>
  <c r="K16" i="9"/>
  <c r="K17" i="9"/>
  <c r="S17" i="9" s="1"/>
  <c r="K18" i="9"/>
  <c r="K19" i="9"/>
  <c r="K20" i="9"/>
  <c r="K21" i="9"/>
  <c r="K22" i="9"/>
  <c r="S22" i="9" s="1"/>
  <c r="K23" i="9"/>
  <c r="S23" i="9" s="1"/>
  <c r="K24" i="9"/>
  <c r="S24" i="9" s="1"/>
  <c r="K25" i="9"/>
  <c r="S25" i="9" s="1"/>
  <c r="K26" i="9"/>
  <c r="K27" i="9"/>
  <c r="K28" i="9"/>
  <c r="K29" i="9"/>
  <c r="K30" i="9"/>
  <c r="K31" i="9"/>
  <c r="S31" i="9" s="1"/>
  <c r="K32" i="9"/>
  <c r="K33" i="9"/>
  <c r="K34" i="9"/>
  <c r="K35" i="9"/>
  <c r="S35" i="9" s="1"/>
  <c r="K36" i="9"/>
  <c r="S36" i="9" s="1"/>
  <c r="K37" i="9"/>
  <c r="S37" i="9" s="1"/>
  <c r="K38" i="9"/>
  <c r="S38" i="9" s="1"/>
  <c r="K39" i="9"/>
  <c r="S39" i="9" s="1"/>
  <c r="K40" i="9"/>
  <c r="S40" i="9" s="1"/>
  <c r="K41" i="9"/>
  <c r="K42" i="9"/>
  <c r="K43" i="9"/>
  <c r="K44" i="9"/>
  <c r="K45" i="9"/>
  <c r="S45" i="9" s="1"/>
  <c r="K46" i="9"/>
  <c r="S46" i="9" s="1"/>
  <c r="K47" i="9"/>
  <c r="K48" i="9"/>
  <c r="K49" i="9"/>
  <c r="S49" i="9" s="1"/>
  <c r="K50" i="9"/>
  <c r="S50" i="9" s="1"/>
  <c r="K51" i="9"/>
  <c r="S51" i="9" s="1"/>
  <c r="K52" i="9"/>
  <c r="S52" i="9" s="1"/>
  <c r="K53" i="9"/>
  <c r="S53" i="9" s="1"/>
  <c r="K54" i="9"/>
  <c r="S54" i="9" s="1"/>
  <c r="K55" i="9"/>
  <c r="K56" i="9"/>
  <c r="K57" i="9"/>
  <c r="K58" i="9"/>
  <c r="K59" i="9"/>
  <c r="S59" i="9" s="1"/>
  <c r="K60" i="9"/>
  <c r="S60" i="9" s="1"/>
  <c r="K61" i="9"/>
  <c r="K62" i="9"/>
  <c r="K63" i="9"/>
  <c r="S63" i="9" s="1"/>
  <c r="K64" i="9"/>
  <c r="S64" i="9" s="1"/>
  <c r="K65" i="9"/>
  <c r="S65" i="9" s="1"/>
  <c r="K66" i="9"/>
  <c r="S66" i="9" s="1"/>
  <c r="K67" i="9"/>
  <c r="S67" i="9" s="1"/>
  <c r="K68" i="9"/>
  <c r="S68" i="9" s="1"/>
  <c r="K69" i="9"/>
  <c r="K70" i="9"/>
  <c r="K71" i="9"/>
  <c r="K72" i="9"/>
  <c r="K73" i="9"/>
  <c r="S73" i="9" s="1"/>
  <c r="K74" i="9"/>
  <c r="S74" i="9" s="1"/>
  <c r="K75" i="9"/>
  <c r="K76" i="9"/>
  <c r="K77" i="9"/>
  <c r="K78" i="9"/>
  <c r="K79" i="9"/>
  <c r="K80" i="9"/>
  <c r="S80" i="9" s="1"/>
  <c r="K81" i="9"/>
  <c r="S81" i="9" s="1"/>
  <c r="K82" i="9"/>
  <c r="S82" i="9" s="1"/>
  <c r="K83" i="9"/>
  <c r="K84" i="9"/>
  <c r="K85" i="9"/>
  <c r="K86" i="9"/>
  <c r="K87" i="9"/>
  <c r="S87" i="9" s="1"/>
  <c r="K88" i="9"/>
  <c r="K89" i="9"/>
  <c r="K90" i="9"/>
  <c r="K91" i="9"/>
  <c r="K92" i="9"/>
  <c r="K93" i="9"/>
  <c r="K94" i="9"/>
  <c r="K95" i="9"/>
  <c r="K96" i="9"/>
  <c r="K97" i="9"/>
  <c r="K98" i="9"/>
  <c r="K99" i="9"/>
  <c r="K100" i="9"/>
  <c r="K101" i="9"/>
  <c r="K102" i="9"/>
  <c r="K103" i="9"/>
  <c r="K104" i="9"/>
  <c r="K105" i="9"/>
  <c r="K106" i="9"/>
  <c r="K107" i="9"/>
  <c r="K108" i="9"/>
  <c r="K109" i="9"/>
  <c r="K110" i="9"/>
  <c r="K111" i="9"/>
  <c r="K112" i="9"/>
  <c r="K113" i="9"/>
  <c r="K114" i="9"/>
  <c r="K115" i="9"/>
  <c r="K116" i="9"/>
  <c r="K117" i="9"/>
  <c r="K118" i="9"/>
  <c r="K119" i="9"/>
  <c r="K120" i="9"/>
  <c r="K121" i="9"/>
  <c r="K122" i="9"/>
  <c r="K123" i="9"/>
  <c r="K124" i="9"/>
  <c r="K125" i="9"/>
  <c r="K126" i="9"/>
  <c r="K127" i="9"/>
  <c r="K8" i="9"/>
  <c r="S32" i="9" l="1"/>
  <c r="S21" i="9"/>
  <c r="S26" i="9"/>
  <c r="S18" i="9"/>
  <c r="T20" i="39"/>
  <c r="S86" i="9"/>
  <c r="S72" i="9"/>
  <c r="S58" i="9"/>
  <c r="S44" i="9"/>
  <c r="S30" i="9"/>
  <c r="S16" i="9"/>
  <c r="S14" i="39"/>
  <c r="N14" i="39" s="1"/>
  <c r="S21" i="39"/>
  <c r="N21" i="39" s="1"/>
  <c r="T6" i="39"/>
  <c r="M6" i="39" s="1"/>
  <c r="T16" i="39"/>
  <c r="M16" i="39" s="1"/>
  <c r="T18" i="39"/>
  <c r="M18" i="39" s="1"/>
  <c r="T15" i="39"/>
  <c r="S62" i="9"/>
  <c r="S48" i="9"/>
  <c r="S34" i="9"/>
  <c r="S20" i="9"/>
  <c r="S89" i="9"/>
  <c r="S75" i="9"/>
  <c r="S61" i="9"/>
  <c r="S33" i="9"/>
  <c r="S19" i="9"/>
  <c r="S127" i="9"/>
  <c r="S85" i="9"/>
  <c r="S71" i="9"/>
  <c r="S57" i="9"/>
  <c r="S43" i="9"/>
  <c r="S29" i="9"/>
  <c r="S15" i="9"/>
  <c r="S84" i="9"/>
  <c r="S70" i="9"/>
  <c r="S56" i="9"/>
  <c r="S42" i="9"/>
  <c r="S28" i="9"/>
  <c r="S83" i="9"/>
  <c r="S69" i="9"/>
  <c r="S55" i="9"/>
  <c r="S41" i="9"/>
  <c r="S27" i="9"/>
  <c r="S10" i="9"/>
  <c r="S13" i="9"/>
  <c r="S12" i="9"/>
  <c r="S11" i="9"/>
  <c r="S13" i="39"/>
  <c r="N13" i="39" s="1"/>
  <c r="S8" i="39"/>
  <c r="N8" i="39" s="1"/>
  <c r="S17" i="39"/>
  <c r="N17" i="39" s="1"/>
  <c r="T19" i="39"/>
  <c r="M19" i="39" s="1"/>
  <c r="S47" i="9"/>
  <c r="T17" i="39"/>
  <c r="M17" i="39" s="1"/>
  <c r="S19" i="39"/>
  <c r="N19" i="39" s="1"/>
  <c r="S20" i="39"/>
  <c r="N20" i="39" s="1"/>
  <c r="S15" i="39"/>
  <c r="N15" i="39" s="1"/>
  <c r="T8" i="39"/>
  <c r="M8" i="39" s="1"/>
  <c r="T21" i="39"/>
  <c r="M21" i="39" s="1"/>
  <c r="S79" i="9"/>
  <c r="S76" i="9"/>
  <c r="S77" i="9"/>
  <c r="S90" i="9"/>
  <c r="S91" i="9"/>
  <c r="S92" i="9"/>
  <c r="S93" i="9"/>
  <c r="S94" i="9"/>
  <c r="S95" i="9"/>
  <c r="S96" i="9"/>
  <c r="S97" i="9"/>
  <c r="S98" i="9"/>
  <c r="S99" i="9"/>
  <c r="S100" i="9"/>
  <c r="S101" i="9"/>
  <c r="S102" i="9"/>
  <c r="S103" i="9"/>
  <c r="S104" i="9"/>
  <c r="S105" i="9"/>
  <c r="S106" i="9"/>
  <c r="S107" i="9"/>
  <c r="S108" i="9"/>
  <c r="S109" i="9"/>
  <c r="S110" i="9"/>
  <c r="S111" i="9"/>
  <c r="S112" i="9"/>
  <c r="S113" i="9"/>
  <c r="S114" i="9"/>
  <c r="S115" i="9"/>
  <c r="S116" i="9"/>
  <c r="S117" i="9"/>
  <c r="S118" i="9"/>
  <c r="S119" i="9"/>
  <c r="S120" i="9"/>
  <c r="S121" i="9"/>
  <c r="S122" i="9"/>
  <c r="S123" i="9"/>
  <c r="S124" i="9"/>
  <c r="S125" i="9"/>
  <c r="S126" i="9"/>
  <c r="S78" i="9"/>
  <c r="T12" i="39"/>
  <c r="M12" i="39" s="1"/>
  <c r="T13" i="39"/>
  <c r="M13" i="39" s="1"/>
  <c r="T14" i="39"/>
  <c r="M14" i="39" s="1"/>
  <c r="T11" i="39"/>
  <c r="S11" i="39"/>
  <c r="N11" i="39" s="1"/>
  <c r="T4" i="39"/>
  <c r="O23" i="39" s="1"/>
  <c r="S12" i="39"/>
  <c r="N12" i="39" s="1"/>
  <c r="T9" i="39"/>
  <c r="T7" i="39"/>
  <c r="M7" i="39" s="1"/>
  <c r="S7" i="39"/>
  <c r="N7" i="39" s="1"/>
  <c r="S6" i="39"/>
  <c r="N6" i="39" s="1"/>
  <c r="T5" i="39"/>
  <c r="M5" i="39" s="1"/>
  <c r="S5" i="39"/>
  <c r="N5" i="39" s="1"/>
  <c r="M10" i="39"/>
  <c r="M15" i="39"/>
  <c r="N16" i="39"/>
  <c r="M20" i="39"/>
  <c r="S4" i="39"/>
  <c r="N4" i="39" s="1"/>
  <c r="T3" i="39"/>
  <c r="M3" i="39" s="1"/>
  <c r="S3" i="39"/>
  <c r="N3" i="39" s="1"/>
  <c r="S10" i="39"/>
  <c r="N10" i="39" s="1"/>
  <c r="S18" i="39"/>
  <c r="N18" i="39" s="1"/>
  <c r="S9" i="39"/>
  <c r="N9" i="39" s="1"/>
  <c r="T2" i="39"/>
  <c r="S2" i="39"/>
  <c r="N2" i="39" s="1"/>
  <c r="P4" i="15"/>
  <c r="S9" i="9"/>
  <c r="S14" i="9"/>
  <c r="S8" i="9"/>
  <c r="S88" i="9"/>
  <c r="M4" i="39" l="1"/>
  <c r="M9" i="39"/>
  <c r="M11" i="39"/>
  <c r="O40" i="39"/>
  <c r="M2" i="39"/>
  <c r="O42" i="39"/>
  <c r="O41" i="39"/>
  <c r="D9" i="15"/>
  <c r="F9" i="15" s="1"/>
  <c r="C9" i="31" s="1"/>
  <c r="E2" i="37"/>
  <c r="C2" i="20"/>
  <c r="C2" i="33"/>
  <c r="C2" i="36"/>
  <c r="C2" i="35"/>
  <c r="C2" i="9"/>
  <c r="C2" i="31"/>
  <c r="C2" i="15"/>
  <c r="B1" i="20"/>
  <c r="B1" i="33"/>
  <c r="B1" i="36"/>
  <c r="B1" i="37"/>
  <c r="B1" i="35"/>
  <c r="B1" i="9"/>
  <c r="B1" i="31"/>
  <c r="B1" i="15"/>
  <c r="D9" i="30"/>
  <c r="F2" i="33"/>
  <c r="F1" i="33"/>
  <c r="J2" i="37"/>
  <c r="J1" i="37"/>
  <c r="F2" i="36"/>
  <c r="F1" i="36"/>
  <c r="G2" i="35"/>
  <c r="G1" i="35"/>
  <c r="G2" i="9"/>
  <c r="G1" i="9"/>
  <c r="A122" i="9"/>
  <c r="A116" i="9"/>
  <c r="A110" i="9"/>
  <c r="A104" i="9"/>
  <c r="A98" i="9"/>
  <c r="A92" i="9"/>
  <c r="A86" i="9"/>
  <c r="A80" i="9"/>
  <c r="A74" i="9"/>
  <c r="A68" i="9"/>
  <c r="A62" i="9"/>
  <c r="A56" i="9"/>
  <c r="A50" i="9"/>
  <c r="A44" i="9"/>
  <c r="A38" i="9"/>
  <c r="A32" i="9"/>
  <c r="A26" i="9"/>
  <c r="A20" i="9"/>
  <c r="I8" i="9"/>
  <c r="I3" i="31"/>
  <c r="I2" i="31"/>
  <c r="G4" i="15"/>
  <c r="G2" i="15"/>
  <c r="D10" i="30"/>
  <c r="D11" i="30"/>
  <c r="D12" i="30"/>
  <c r="D13" i="30"/>
  <c r="D14" i="30"/>
  <c r="D15" i="30"/>
  <c r="D16" i="30"/>
  <c r="D17" i="30"/>
  <c r="D18" i="30"/>
  <c r="D19" i="30"/>
  <c r="D20" i="30"/>
  <c r="D21" i="30"/>
  <c r="D22" i="30"/>
  <c r="D23" i="30"/>
  <c r="D24" i="30"/>
  <c r="D25" i="30"/>
  <c r="D26" i="30"/>
  <c r="D27" i="30"/>
  <c r="D28" i="30"/>
  <c r="H9" i="15"/>
  <c r="H10" i="15"/>
  <c r="H11" i="15"/>
  <c r="H12" i="15"/>
  <c r="H13" i="15"/>
  <c r="H14" i="15"/>
  <c r="H15" i="15"/>
  <c r="H16" i="15"/>
  <c r="H17" i="15"/>
  <c r="H18" i="15"/>
  <c r="H19" i="15"/>
  <c r="H20" i="15"/>
  <c r="H21" i="15"/>
  <c r="H22" i="15"/>
  <c r="H23" i="15"/>
  <c r="H24" i="15"/>
  <c r="H25" i="15"/>
  <c r="H26" i="15"/>
  <c r="H27" i="15"/>
  <c r="H28" i="15"/>
  <c r="L9" i="15"/>
  <c r="K10" i="15"/>
  <c r="L10" i="15"/>
  <c r="K11" i="15"/>
  <c r="L11" i="15"/>
  <c r="K12" i="15"/>
  <c r="L12" i="15"/>
  <c r="K13" i="15"/>
  <c r="L13" i="15"/>
  <c r="K14" i="15"/>
  <c r="L14" i="15"/>
  <c r="K15" i="15"/>
  <c r="L15" i="15"/>
  <c r="K16" i="15"/>
  <c r="L16" i="15"/>
  <c r="K17" i="15"/>
  <c r="L17" i="15"/>
  <c r="K18" i="15"/>
  <c r="L18" i="15"/>
  <c r="K19" i="15"/>
  <c r="L19" i="15"/>
  <c r="K20" i="15"/>
  <c r="L20" i="15"/>
  <c r="K21" i="15"/>
  <c r="L21" i="15"/>
  <c r="K22" i="15"/>
  <c r="L22" i="15"/>
  <c r="K23" i="15"/>
  <c r="L23" i="15"/>
  <c r="K24" i="15"/>
  <c r="L24" i="15"/>
  <c r="K25" i="15"/>
  <c r="L25" i="15"/>
  <c r="K26" i="15"/>
  <c r="L26" i="15"/>
  <c r="K27" i="15"/>
  <c r="L27" i="15"/>
  <c r="K28" i="15"/>
  <c r="L28" i="15"/>
  <c r="K9" i="15"/>
  <c r="I10" i="15"/>
  <c r="I11" i="15"/>
  <c r="I12" i="15"/>
  <c r="I13" i="15"/>
  <c r="I14" i="15"/>
  <c r="I15" i="15"/>
  <c r="I16" i="15"/>
  <c r="I17" i="15"/>
  <c r="I18" i="15"/>
  <c r="I19" i="15"/>
  <c r="I20" i="15"/>
  <c r="I21" i="15"/>
  <c r="I22" i="15"/>
  <c r="I23" i="15"/>
  <c r="I24" i="15"/>
  <c r="I25" i="15"/>
  <c r="I26" i="15"/>
  <c r="I27" i="15"/>
  <c r="I28" i="15"/>
  <c r="I9" i="15"/>
  <c r="D10" i="15"/>
  <c r="E10" i="15" s="1"/>
  <c r="C14" i="9" s="1"/>
  <c r="T14" i="9" s="1"/>
  <c r="T15" i="9" s="1"/>
  <c r="T16" i="9" s="1"/>
  <c r="T17" i="9" s="1"/>
  <c r="T18" i="9" s="1"/>
  <c r="T19" i="9" s="1"/>
  <c r="D11" i="15"/>
  <c r="E11" i="15" s="1"/>
  <c r="C11" i="36" s="1"/>
  <c r="D12" i="15"/>
  <c r="E12" i="15" s="1"/>
  <c r="D13" i="15"/>
  <c r="F13" i="15" s="1"/>
  <c r="C13" i="31" s="1"/>
  <c r="D14" i="15"/>
  <c r="E14" i="15" s="1"/>
  <c r="D15" i="15"/>
  <c r="F15" i="15" s="1"/>
  <c r="C15" i="31" s="1"/>
  <c r="D16" i="15"/>
  <c r="F16" i="15" s="1"/>
  <c r="C16" i="31" s="1"/>
  <c r="D17" i="15"/>
  <c r="F17" i="15" s="1"/>
  <c r="C17" i="31" s="1"/>
  <c r="D18" i="15"/>
  <c r="F18" i="15" s="1"/>
  <c r="C18" i="31" s="1"/>
  <c r="D19" i="15"/>
  <c r="F19" i="15" s="1"/>
  <c r="C19" i="31" s="1"/>
  <c r="D20" i="15"/>
  <c r="E20" i="15" s="1"/>
  <c r="D21" i="15"/>
  <c r="E21" i="15" s="1"/>
  <c r="D22" i="15"/>
  <c r="D23" i="15"/>
  <c r="E23" i="15" s="1"/>
  <c r="D24" i="15"/>
  <c r="E24" i="15" s="1"/>
  <c r="D25" i="15"/>
  <c r="E25" i="15" s="1"/>
  <c r="D26" i="15"/>
  <c r="E26" i="15" s="1"/>
  <c r="D27" i="15"/>
  <c r="F27" i="15" s="1"/>
  <c r="C27" i="31" s="1"/>
  <c r="D28" i="15"/>
  <c r="F28" i="15" s="1"/>
  <c r="C28" i="31" s="1"/>
  <c r="E22" i="15"/>
  <c r="C86" i="9" s="1"/>
  <c r="T86" i="9" s="1"/>
  <c r="T87" i="9" s="1"/>
  <c r="T88" i="9" s="1"/>
  <c r="T89" i="9" s="1"/>
  <c r="T90" i="9" s="1"/>
  <c r="T91" i="9" s="1"/>
  <c r="B10" i="15"/>
  <c r="B20" i="9"/>
  <c r="B26" i="9"/>
  <c r="B32" i="9"/>
  <c r="B14" i="31"/>
  <c r="B15" i="35"/>
  <c r="B50" i="9"/>
  <c r="B56" i="9"/>
  <c r="B62" i="9"/>
  <c r="B19" i="35"/>
  <c r="B74" i="9"/>
  <c r="B80" i="9"/>
  <c r="B86" i="9"/>
  <c r="B92" i="9"/>
  <c r="B98" i="9"/>
  <c r="B25" i="31"/>
  <c r="B26" i="35"/>
  <c r="B116" i="9"/>
  <c r="B28" i="15"/>
  <c r="B9" i="15"/>
  <c r="A28" i="36"/>
  <c r="A27" i="36"/>
  <c r="A26" i="36"/>
  <c r="A25" i="36"/>
  <c r="A24" i="36"/>
  <c r="B23" i="36"/>
  <c r="A23" i="36"/>
  <c r="A22" i="36"/>
  <c r="A21" i="36"/>
  <c r="A20" i="36"/>
  <c r="A19" i="36"/>
  <c r="A18" i="36"/>
  <c r="A17" i="36"/>
  <c r="A16" i="36"/>
  <c r="A15" i="36"/>
  <c r="A14" i="36"/>
  <c r="B13" i="36"/>
  <c r="A13" i="36"/>
  <c r="A12" i="36"/>
  <c r="A11" i="36"/>
  <c r="A10" i="36"/>
  <c r="A9" i="36"/>
  <c r="A28" i="35"/>
  <c r="A27" i="35"/>
  <c r="A26" i="35"/>
  <c r="A25" i="35"/>
  <c r="A24" i="35"/>
  <c r="A23" i="35"/>
  <c r="A22" i="35"/>
  <c r="A21" i="35"/>
  <c r="A20" i="35"/>
  <c r="A19" i="35"/>
  <c r="A18" i="35"/>
  <c r="A17" i="35"/>
  <c r="A16" i="35"/>
  <c r="A15" i="35"/>
  <c r="A14" i="35"/>
  <c r="A13" i="35"/>
  <c r="A12" i="35"/>
  <c r="A11" i="35"/>
  <c r="A10" i="35"/>
  <c r="A9" i="35"/>
  <c r="A8" i="9"/>
  <c r="F21" i="15"/>
  <c r="C21" i="31" s="1"/>
  <c r="F22" i="15"/>
  <c r="C22" i="31" s="1"/>
  <c r="A10" i="31"/>
  <c r="A11" i="31"/>
  <c r="A9" i="31"/>
  <c r="A12" i="31"/>
  <c r="A13" i="31"/>
  <c r="A14" i="31"/>
  <c r="A15" i="31"/>
  <c r="A16" i="31"/>
  <c r="A17" i="31"/>
  <c r="A18" i="31"/>
  <c r="A19" i="31"/>
  <c r="A20" i="31"/>
  <c r="A21" i="31"/>
  <c r="A22" i="31"/>
  <c r="A23" i="31"/>
  <c r="A24" i="31"/>
  <c r="A25" i="31"/>
  <c r="A26" i="31"/>
  <c r="A27" i="31"/>
  <c r="A28" i="31"/>
  <c r="A17" i="15"/>
  <c r="A18" i="15"/>
  <c r="A19" i="15"/>
  <c r="A20" i="15"/>
  <c r="A21" i="15"/>
  <c r="A22" i="15"/>
  <c r="A23" i="15"/>
  <c r="B23" i="15"/>
  <c r="A24" i="15"/>
  <c r="A25" i="15"/>
  <c r="A26" i="15"/>
  <c r="A27" i="15"/>
  <c r="A28" i="15"/>
  <c r="A16" i="15"/>
  <c r="A15" i="15"/>
  <c r="A14" i="15"/>
  <c r="A13" i="15"/>
  <c r="A12" i="15"/>
  <c r="A11" i="15"/>
  <c r="A10" i="15"/>
  <c r="A9" i="15"/>
  <c r="M14" i="15" l="1"/>
  <c r="N14" i="15" s="1"/>
  <c r="D14" i="31" s="1"/>
  <c r="F14" i="36" s="1"/>
  <c r="M22" i="15"/>
  <c r="M19" i="15"/>
  <c r="D19" i="36" s="1"/>
  <c r="C21" i="36"/>
  <c r="C80" i="9"/>
  <c r="T80" i="9" s="1"/>
  <c r="T81" i="9" s="1"/>
  <c r="T82" i="9" s="1"/>
  <c r="T83" i="9" s="1"/>
  <c r="T84" i="9" s="1"/>
  <c r="T85" i="9" s="1"/>
  <c r="E27" i="15"/>
  <c r="C116" i="9" s="1"/>
  <c r="T116" i="9" s="1"/>
  <c r="T117" i="9" s="1"/>
  <c r="T118" i="9" s="1"/>
  <c r="T119" i="9" s="1"/>
  <c r="T120" i="9" s="1"/>
  <c r="T121" i="9" s="1"/>
  <c r="F26" i="15"/>
  <c r="C26" i="31" s="1"/>
  <c r="F25" i="15"/>
  <c r="C25" i="31" s="1"/>
  <c r="M20" i="15"/>
  <c r="N20" i="15" s="1"/>
  <c r="D20" i="31" s="1"/>
  <c r="F20" i="36" s="1"/>
  <c r="F14" i="15"/>
  <c r="C14" i="31" s="1"/>
  <c r="C27" i="36"/>
  <c r="E19" i="15"/>
  <c r="C19" i="36" s="1"/>
  <c r="V14" i="9"/>
  <c r="C25" i="36"/>
  <c r="C104" i="9"/>
  <c r="T104" i="9" s="1"/>
  <c r="T105" i="9" s="1"/>
  <c r="T106" i="9" s="1"/>
  <c r="T107" i="9" s="1"/>
  <c r="T108" i="9" s="1"/>
  <c r="T109" i="9" s="1"/>
  <c r="E19" i="36"/>
  <c r="C110" i="9"/>
  <c r="T110" i="9" s="1"/>
  <c r="T111" i="9" s="1"/>
  <c r="T112" i="9" s="1"/>
  <c r="T113" i="9" s="1"/>
  <c r="T114" i="9" s="1"/>
  <c r="T115" i="9" s="1"/>
  <c r="C26" i="36"/>
  <c r="F24" i="15"/>
  <c r="C24" i="31" s="1"/>
  <c r="C22" i="36"/>
  <c r="E17" i="15"/>
  <c r="F20" i="15"/>
  <c r="C20" i="31" s="1"/>
  <c r="E20" i="36" s="1"/>
  <c r="E16" i="15"/>
  <c r="C16" i="36" s="1"/>
  <c r="E28" i="15"/>
  <c r="E13" i="15"/>
  <c r="C13" i="36" s="1"/>
  <c r="C14" i="36"/>
  <c r="C38" i="9"/>
  <c r="T38" i="9" s="1"/>
  <c r="T39" i="9" s="1"/>
  <c r="T40" i="9" s="1"/>
  <c r="T41" i="9" s="1"/>
  <c r="T42" i="9" s="1"/>
  <c r="T43" i="9" s="1"/>
  <c r="V38" i="9" s="1"/>
  <c r="F12" i="15"/>
  <c r="C12" i="31" s="1"/>
  <c r="E12" i="36" s="1"/>
  <c r="F11" i="15"/>
  <c r="C11" i="31" s="1"/>
  <c r="E11" i="36" s="1"/>
  <c r="M15" i="15"/>
  <c r="D15" i="36" s="1"/>
  <c r="M28" i="15"/>
  <c r="N28" i="15" s="1"/>
  <c r="D28" i="31" s="1"/>
  <c r="F28" i="36" s="1"/>
  <c r="M12" i="15"/>
  <c r="D12" i="36" s="1"/>
  <c r="M26" i="15"/>
  <c r="N26" i="15" s="1"/>
  <c r="D26" i="31" s="1"/>
  <c r="M18" i="15"/>
  <c r="D18" i="36" s="1"/>
  <c r="M17" i="15"/>
  <c r="D17" i="36" s="1"/>
  <c r="D14" i="36"/>
  <c r="D38" i="9"/>
  <c r="U38" i="9" s="1"/>
  <c r="U39" i="9" s="1"/>
  <c r="U40" i="9" s="1"/>
  <c r="U41" i="9" s="1"/>
  <c r="U42" i="9" s="1"/>
  <c r="U43" i="9" s="1"/>
  <c r="W38" i="9" s="1"/>
  <c r="M23" i="15"/>
  <c r="D23" i="36" s="1"/>
  <c r="M10" i="15"/>
  <c r="N10" i="15" s="1"/>
  <c r="D10" i="31" s="1"/>
  <c r="F10" i="36" s="1"/>
  <c r="F10" i="15"/>
  <c r="C10" i="31" s="1"/>
  <c r="E10" i="36" s="1"/>
  <c r="M27" i="15"/>
  <c r="D116" i="9" s="1"/>
  <c r="M25" i="15"/>
  <c r="N25" i="15" s="1"/>
  <c r="D25" i="31" s="1"/>
  <c r="F25" i="36" s="1"/>
  <c r="M24" i="15"/>
  <c r="D24" i="36" s="1"/>
  <c r="M21" i="15"/>
  <c r="N21" i="15" s="1"/>
  <c r="D21" i="31" s="1"/>
  <c r="F21" i="36" s="1"/>
  <c r="M16" i="15"/>
  <c r="D16" i="36" s="1"/>
  <c r="M13" i="15"/>
  <c r="D32" i="9" s="1"/>
  <c r="M11" i="15"/>
  <c r="N11" i="15" s="1"/>
  <c r="D11" i="31" s="1"/>
  <c r="F11" i="36" s="1"/>
  <c r="B110" i="9"/>
  <c r="B13" i="15"/>
  <c r="B13" i="35"/>
  <c r="B12" i="31"/>
  <c r="B18" i="36"/>
  <c r="B19" i="36"/>
  <c r="B26" i="15"/>
  <c r="B12" i="15"/>
  <c r="B16" i="31"/>
  <c r="B18" i="15"/>
  <c r="B25" i="36"/>
  <c r="B17" i="35"/>
  <c r="B25" i="35"/>
  <c r="B104" i="9"/>
  <c r="B19" i="31"/>
  <c r="B13" i="31"/>
  <c r="B25" i="15"/>
  <c r="B19" i="15"/>
  <c r="B38" i="9"/>
  <c r="B21" i="15"/>
  <c r="B14" i="15"/>
  <c r="B20" i="31"/>
  <c r="B14" i="35"/>
  <c r="B14" i="36"/>
  <c r="B68" i="9"/>
  <c r="B15" i="31"/>
  <c r="B11" i="31"/>
  <c r="B10" i="36"/>
  <c r="B27" i="15"/>
  <c r="B23" i="35"/>
  <c r="B23" i="31"/>
  <c r="B20" i="35"/>
  <c r="B20" i="15"/>
  <c r="B18" i="31"/>
  <c r="B11" i="35"/>
  <c r="B11" i="36"/>
  <c r="B26" i="36"/>
  <c r="B27" i="31"/>
  <c r="B16" i="35"/>
  <c r="B21" i="35"/>
  <c r="B17" i="36"/>
  <c r="B22" i="36"/>
  <c r="B17" i="15"/>
  <c r="B11" i="15"/>
  <c r="B16" i="15"/>
  <c r="B21" i="31"/>
  <c r="B17" i="31"/>
  <c r="B12" i="35"/>
  <c r="B27" i="35"/>
  <c r="B27" i="36"/>
  <c r="B44" i="9"/>
  <c r="B22" i="15"/>
  <c r="B26" i="31"/>
  <c r="B22" i="31"/>
  <c r="B10" i="35"/>
  <c r="B18" i="35"/>
  <c r="B22" i="35"/>
  <c r="B15" i="36"/>
  <c r="B10" i="31"/>
  <c r="B15" i="15"/>
  <c r="B21" i="36"/>
  <c r="B24" i="15"/>
  <c r="B28" i="31"/>
  <c r="B24" i="31"/>
  <c r="B24" i="35"/>
  <c r="B28" i="35"/>
  <c r="E21" i="31"/>
  <c r="G21" i="36" s="1"/>
  <c r="E21" i="36"/>
  <c r="E18" i="36"/>
  <c r="C92" i="9"/>
  <c r="T92" i="9" s="1"/>
  <c r="T93" i="9" s="1"/>
  <c r="T94" i="9" s="1"/>
  <c r="T95" i="9" s="1"/>
  <c r="T96" i="9" s="1"/>
  <c r="T97" i="9" s="1"/>
  <c r="C23" i="36"/>
  <c r="D22" i="36"/>
  <c r="D86" i="9"/>
  <c r="N22" i="15"/>
  <c r="D22" i="31" s="1"/>
  <c r="F22" i="36" s="1"/>
  <c r="E16" i="36"/>
  <c r="E22" i="31"/>
  <c r="G22" i="36" s="1"/>
  <c r="E22" i="36"/>
  <c r="E15" i="36"/>
  <c r="E27" i="36"/>
  <c r="E26" i="36"/>
  <c r="E28" i="36"/>
  <c r="C20" i="36"/>
  <c r="C74" i="9"/>
  <c r="T74" i="9" s="1"/>
  <c r="T75" i="9" s="1"/>
  <c r="T76" i="9" s="1"/>
  <c r="T77" i="9" s="1"/>
  <c r="T78" i="9" s="1"/>
  <c r="T79" i="9" s="1"/>
  <c r="C12" i="36"/>
  <c r="C26" i="9"/>
  <c r="T26" i="9" s="1"/>
  <c r="T27" i="9" s="1"/>
  <c r="T28" i="9" s="1"/>
  <c r="T29" i="9" s="1"/>
  <c r="T30" i="9" s="1"/>
  <c r="T31" i="9" s="1"/>
  <c r="C24" i="36"/>
  <c r="C98" i="9"/>
  <c r="T98" i="9" s="1"/>
  <c r="T99" i="9" s="1"/>
  <c r="T100" i="9" s="1"/>
  <c r="T101" i="9" s="1"/>
  <c r="T102" i="9" s="1"/>
  <c r="T103" i="9" s="1"/>
  <c r="E13" i="36"/>
  <c r="E25" i="36"/>
  <c r="B12" i="36"/>
  <c r="B16" i="36"/>
  <c r="B20" i="36"/>
  <c r="B24" i="36"/>
  <c r="B28" i="36"/>
  <c r="C20" i="9"/>
  <c r="T20" i="9" s="1"/>
  <c r="T21" i="9" s="1"/>
  <c r="B122" i="9"/>
  <c r="E15" i="15"/>
  <c r="E18" i="15"/>
  <c r="E17" i="36"/>
  <c r="C10" i="36"/>
  <c r="F23" i="15"/>
  <c r="C23" i="31" s="1"/>
  <c r="D68" i="9"/>
  <c r="E9" i="15"/>
  <c r="C8" i="9" s="1"/>
  <c r="T8" i="9" s="1"/>
  <c r="E9" i="36"/>
  <c r="M9" i="15"/>
  <c r="D8" i="9" s="1"/>
  <c r="B9" i="35"/>
  <c r="B9" i="36"/>
  <c r="B8" i="9"/>
  <c r="B9" i="31"/>
  <c r="N19" i="15" l="1"/>
  <c r="D19" i="31" s="1"/>
  <c r="F19" i="36" s="1"/>
  <c r="D20" i="36"/>
  <c r="D92" i="9"/>
  <c r="N23" i="15"/>
  <c r="D23" i="31" s="1"/>
  <c r="F23" i="36" s="1"/>
  <c r="D74" i="9"/>
  <c r="U32" i="9"/>
  <c r="U33" i="9" s="1"/>
  <c r="U34" i="9" s="1"/>
  <c r="U35" i="9" s="1"/>
  <c r="U36" i="9" s="1"/>
  <c r="U37" i="9" s="1"/>
  <c r="W32" i="9" s="1"/>
  <c r="U110" i="9"/>
  <c r="U111" i="9" s="1"/>
  <c r="U112" i="9" s="1"/>
  <c r="U113" i="9" s="1"/>
  <c r="U114" i="9" s="1"/>
  <c r="U115" i="9" s="1"/>
  <c r="I26" i="36" s="1"/>
  <c r="K26" i="36" s="1"/>
  <c r="U50" i="9"/>
  <c r="U51" i="9" s="1"/>
  <c r="U52" i="9" s="1"/>
  <c r="U53" i="9" s="1"/>
  <c r="U54" i="9" s="1"/>
  <c r="U55" i="9" s="1"/>
  <c r="U104" i="9"/>
  <c r="U105" i="9" s="1"/>
  <c r="U106" i="9" s="1"/>
  <c r="U107" i="9" s="1"/>
  <c r="U108" i="9" s="1"/>
  <c r="U109" i="9" s="1"/>
  <c r="W104" i="9" s="1"/>
  <c r="U44" i="9"/>
  <c r="U45" i="9" s="1"/>
  <c r="U46" i="9" s="1"/>
  <c r="U47" i="9" s="1"/>
  <c r="U48" i="9" s="1"/>
  <c r="U49" i="9" s="1"/>
  <c r="U62" i="9"/>
  <c r="U63" i="9" s="1"/>
  <c r="U64" i="9" s="1"/>
  <c r="U65" i="9" s="1"/>
  <c r="U66" i="9" s="1"/>
  <c r="U67" i="9" s="1"/>
  <c r="D18" i="35" s="1"/>
  <c r="F18" i="35" s="1"/>
  <c r="U98" i="9"/>
  <c r="U99" i="9" s="1"/>
  <c r="U100" i="9" s="1"/>
  <c r="U101" i="9" s="1"/>
  <c r="U102" i="9" s="1"/>
  <c r="U103" i="9" s="1"/>
  <c r="I24" i="36" s="1"/>
  <c r="K24" i="36" s="1"/>
  <c r="U68" i="9"/>
  <c r="U69" i="9" s="1"/>
  <c r="U70" i="9" s="1"/>
  <c r="U71" i="9" s="1"/>
  <c r="U72" i="9" s="1"/>
  <c r="U73" i="9" s="1"/>
  <c r="I19" i="36" s="1"/>
  <c r="K19" i="36" s="1"/>
  <c r="U56" i="9"/>
  <c r="U57" i="9" s="1"/>
  <c r="U58" i="9" s="1"/>
  <c r="U59" i="9" s="1"/>
  <c r="U60" i="9" s="1"/>
  <c r="U61" i="9" s="1"/>
  <c r="U92" i="9"/>
  <c r="U93" i="9" s="1"/>
  <c r="U94" i="9" s="1"/>
  <c r="U95" i="9" s="1"/>
  <c r="U96" i="9" s="1"/>
  <c r="U97" i="9" s="1"/>
  <c r="D23" i="35" s="1"/>
  <c r="F23" i="35" s="1"/>
  <c r="U74" i="9"/>
  <c r="U75" i="9" s="1"/>
  <c r="U76" i="9" s="1"/>
  <c r="U77" i="9" s="1"/>
  <c r="U78" i="9" s="1"/>
  <c r="U79" i="9" s="1"/>
  <c r="W74" i="9" s="1"/>
  <c r="U86" i="9"/>
  <c r="U87" i="9" s="1"/>
  <c r="U88" i="9" s="1"/>
  <c r="U89" i="9" s="1"/>
  <c r="U90" i="9" s="1"/>
  <c r="U91" i="9" s="1"/>
  <c r="I22" i="36" s="1"/>
  <c r="K22" i="36" s="1"/>
  <c r="U116" i="9"/>
  <c r="U117" i="9" s="1"/>
  <c r="U118" i="9" s="1"/>
  <c r="U119" i="9" s="1"/>
  <c r="U120" i="9" s="1"/>
  <c r="U121" i="9" s="1"/>
  <c r="D27" i="35" s="1"/>
  <c r="F27" i="35" s="1"/>
  <c r="U80" i="9"/>
  <c r="U81" i="9" s="1"/>
  <c r="U82" i="9" s="1"/>
  <c r="U83" i="9" s="1"/>
  <c r="U84" i="9" s="1"/>
  <c r="U85" i="9" s="1"/>
  <c r="U122" i="9"/>
  <c r="U123" i="9" s="1"/>
  <c r="U124" i="9" s="1"/>
  <c r="U125" i="9" s="1"/>
  <c r="U126" i="9" s="1"/>
  <c r="U127" i="9" s="1"/>
  <c r="D28" i="35" s="1"/>
  <c r="F28" i="35" s="1"/>
  <c r="C50" i="9"/>
  <c r="T50" i="9" s="1"/>
  <c r="T51" i="9" s="1"/>
  <c r="T52" i="9" s="1"/>
  <c r="T53" i="9" s="1"/>
  <c r="T54" i="9" s="1"/>
  <c r="T55" i="9" s="1"/>
  <c r="F26" i="36"/>
  <c r="E26" i="31"/>
  <c r="G26" i="36" s="1"/>
  <c r="E28" i="31"/>
  <c r="G28" i="36" s="1"/>
  <c r="E19" i="31"/>
  <c r="G19" i="36" s="1"/>
  <c r="E25" i="31"/>
  <c r="G25" i="36" s="1"/>
  <c r="D110" i="9"/>
  <c r="D26" i="36"/>
  <c r="E20" i="31"/>
  <c r="G20" i="36" s="1"/>
  <c r="C68" i="9"/>
  <c r="T68" i="9" s="1"/>
  <c r="T69" i="9" s="1"/>
  <c r="T70" i="9" s="1"/>
  <c r="T71" i="9" s="1"/>
  <c r="T72" i="9" s="1"/>
  <c r="T73" i="9" s="1"/>
  <c r="H19" i="36" s="1"/>
  <c r="J19" i="36" s="1"/>
  <c r="T22" i="9"/>
  <c r="T23" i="9" s="1"/>
  <c r="T24" i="9" s="1"/>
  <c r="T25" i="9" s="1"/>
  <c r="V20" i="9" s="1"/>
  <c r="C56" i="9"/>
  <c r="T56" i="9" s="1"/>
  <c r="T57" i="9" s="1"/>
  <c r="T58" i="9" s="1"/>
  <c r="T59" i="9" s="1"/>
  <c r="T60" i="9" s="1"/>
  <c r="T61" i="9" s="1"/>
  <c r="C17" i="36"/>
  <c r="E24" i="36"/>
  <c r="C28" i="36"/>
  <c r="C122" i="9"/>
  <c r="T122" i="9" s="1"/>
  <c r="T123" i="9" s="1"/>
  <c r="T124" i="9" s="1"/>
  <c r="T125" i="9" s="1"/>
  <c r="T126" i="9" s="1"/>
  <c r="T127" i="9" s="1"/>
  <c r="D62" i="9"/>
  <c r="D26" i="9"/>
  <c r="U26" i="9" s="1"/>
  <c r="U27" i="9" s="1"/>
  <c r="U28" i="9" s="1"/>
  <c r="U29" i="9" s="1"/>
  <c r="U30" i="9" s="1"/>
  <c r="U31" i="9" s="1"/>
  <c r="E14" i="36"/>
  <c r="E14" i="31"/>
  <c r="G14" i="36" s="1"/>
  <c r="C32" i="9"/>
  <c r="T32" i="9" s="1"/>
  <c r="T33" i="9" s="1"/>
  <c r="T34" i="9" s="1"/>
  <c r="T35" i="9" s="1"/>
  <c r="T36" i="9" s="1"/>
  <c r="T37" i="9" s="1"/>
  <c r="V32" i="9" s="1"/>
  <c r="N13" i="15"/>
  <c r="D13" i="31" s="1"/>
  <c r="D13" i="36"/>
  <c r="N12" i="15"/>
  <c r="D12" i="31" s="1"/>
  <c r="F12" i="36" s="1"/>
  <c r="E11" i="31"/>
  <c r="G11" i="36" s="1"/>
  <c r="N18" i="15"/>
  <c r="D18" i="31" s="1"/>
  <c r="D122" i="9"/>
  <c r="D28" i="36"/>
  <c r="D80" i="9"/>
  <c r="D21" i="36"/>
  <c r="D25" i="36"/>
  <c r="D44" i="9"/>
  <c r="N15" i="15"/>
  <c r="D15" i="31" s="1"/>
  <c r="D104" i="9"/>
  <c r="D56" i="9"/>
  <c r="N17" i="15"/>
  <c r="D17" i="31" s="1"/>
  <c r="D20" i="9"/>
  <c r="U20" i="9" s="1"/>
  <c r="U21" i="9" s="1"/>
  <c r="U22" i="9" s="1"/>
  <c r="U23" i="9" s="1"/>
  <c r="U24" i="9" s="1"/>
  <c r="U25" i="9" s="1"/>
  <c r="D11" i="36"/>
  <c r="D27" i="36"/>
  <c r="D50" i="9"/>
  <c r="N27" i="15"/>
  <c r="D27" i="31" s="1"/>
  <c r="N16" i="15"/>
  <c r="D16" i="31" s="1"/>
  <c r="I14" i="36"/>
  <c r="K14" i="36" s="1"/>
  <c r="N24" i="15"/>
  <c r="D24" i="31" s="1"/>
  <c r="F24" i="36" s="1"/>
  <c r="D98" i="9"/>
  <c r="D14" i="9"/>
  <c r="U14" i="9" s="1"/>
  <c r="U15" i="9" s="1"/>
  <c r="U16" i="9" s="1"/>
  <c r="U17" i="9" s="1"/>
  <c r="U18" i="9" s="1"/>
  <c r="U19" i="9" s="1"/>
  <c r="W14" i="9" s="1"/>
  <c r="D10" i="36"/>
  <c r="E10" i="31"/>
  <c r="G10" i="36" s="1"/>
  <c r="N9" i="15"/>
  <c r="D9" i="31" s="1"/>
  <c r="E9" i="31" s="1"/>
  <c r="G9" i="36" s="1"/>
  <c r="D9" i="36"/>
  <c r="U8" i="9"/>
  <c r="U9" i="9" s="1"/>
  <c r="U10" i="9" s="1"/>
  <c r="U11" i="9" s="1"/>
  <c r="U12" i="9" s="1"/>
  <c r="U13" i="9" s="1"/>
  <c r="W8" i="9" s="1"/>
  <c r="E23" i="31"/>
  <c r="G23" i="36" s="1"/>
  <c r="E23" i="36"/>
  <c r="C9" i="36"/>
  <c r="C15" i="36"/>
  <c r="C44" i="9"/>
  <c r="T44" i="9" s="1"/>
  <c r="T45" i="9" s="1"/>
  <c r="T46" i="9" s="1"/>
  <c r="T47" i="9" s="1"/>
  <c r="T48" i="9" s="1"/>
  <c r="T49" i="9" s="1"/>
  <c r="H15" i="36" s="1"/>
  <c r="J15" i="36" s="1"/>
  <c r="H26" i="36"/>
  <c r="J26" i="36" s="1"/>
  <c r="V98" i="9"/>
  <c r="C12" i="35"/>
  <c r="E12" i="35" s="1"/>
  <c r="C17" i="35"/>
  <c r="E17" i="35" s="1"/>
  <c r="T9" i="9"/>
  <c r="T10" i="9" s="1"/>
  <c r="T11" i="9" s="1"/>
  <c r="T12" i="9" s="1"/>
  <c r="T13" i="9" s="1"/>
  <c r="V8" i="9" s="1"/>
  <c r="C22" i="35"/>
  <c r="E22" i="35" s="1"/>
  <c r="V116" i="9"/>
  <c r="C20" i="35"/>
  <c r="E20" i="35" s="1"/>
  <c r="V104" i="9"/>
  <c r="C23" i="35"/>
  <c r="E23" i="35" s="1"/>
  <c r="V50" i="9"/>
  <c r="C21" i="35"/>
  <c r="E21" i="35" s="1"/>
  <c r="C62" i="9"/>
  <c r="T62" i="9" s="1"/>
  <c r="T63" i="9" s="1"/>
  <c r="T64" i="9" s="1"/>
  <c r="T65" i="9" s="1"/>
  <c r="T66" i="9" s="1"/>
  <c r="T67" i="9" s="1"/>
  <c r="H18" i="36" s="1"/>
  <c r="J18" i="36" s="1"/>
  <c r="C18" i="36"/>
  <c r="D25" i="35" l="1"/>
  <c r="F25" i="35" s="1"/>
  <c r="D26" i="35"/>
  <c r="F26" i="35" s="1"/>
  <c r="W110" i="9"/>
  <c r="W116" i="9"/>
  <c r="I25" i="36"/>
  <c r="K25" i="36" s="1"/>
  <c r="I27" i="36"/>
  <c r="K27" i="36" s="1"/>
  <c r="W122" i="9"/>
  <c r="I28" i="36"/>
  <c r="K28" i="36" s="1"/>
  <c r="D24" i="35"/>
  <c r="F24" i="35" s="1"/>
  <c r="W98" i="9"/>
  <c r="W92" i="9"/>
  <c r="I23" i="36"/>
  <c r="K23" i="36" s="1"/>
  <c r="F16" i="36"/>
  <c r="E16" i="31"/>
  <c r="G16" i="36" s="1"/>
  <c r="F27" i="36"/>
  <c r="E27" i="31"/>
  <c r="G27" i="36" s="1"/>
  <c r="F18" i="36"/>
  <c r="E18" i="31"/>
  <c r="G18" i="36" s="1"/>
  <c r="E24" i="31"/>
  <c r="G24" i="36" s="1"/>
  <c r="F17" i="36"/>
  <c r="E17" i="31"/>
  <c r="G17" i="36" s="1"/>
  <c r="F15" i="36"/>
  <c r="E15" i="31"/>
  <c r="G15" i="36" s="1"/>
  <c r="I12" i="36"/>
  <c r="K12" i="36" s="1"/>
  <c r="W68" i="9"/>
  <c r="I20" i="36"/>
  <c r="K20" i="36" s="1"/>
  <c r="C11" i="35"/>
  <c r="E11" i="35" s="1"/>
  <c r="V110" i="9"/>
  <c r="C14" i="35"/>
  <c r="E14" i="35" s="1"/>
  <c r="H14" i="36"/>
  <c r="J14" i="36" s="1"/>
  <c r="H16" i="36"/>
  <c r="J16" i="36" s="1"/>
  <c r="C16" i="35"/>
  <c r="E16" i="35" s="1"/>
  <c r="H20" i="36"/>
  <c r="J20" i="36" s="1"/>
  <c r="F13" i="36"/>
  <c r="E13" i="31"/>
  <c r="G13" i="36" s="1"/>
  <c r="E12" i="31"/>
  <c r="G12" i="36" s="1"/>
  <c r="D22" i="35"/>
  <c r="F22" i="35" s="1"/>
  <c r="G22" i="35" s="1"/>
  <c r="W86" i="9"/>
  <c r="D20" i="35"/>
  <c r="F20" i="35" s="1"/>
  <c r="G20" i="35" s="1"/>
  <c r="W62" i="9"/>
  <c r="I18" i="36"/>
  <c r="K18" i="36" s="1"/>
  <c r="L18" i="36" s="1"/>
  <c r="N18" i="36" s="1"/>
  <c r="M18" i="36" s="1"/>
  <c r="P18" i="36" s="1"/>
  <c r="D13" i="35"/>
  <c r="F13" i="35" s="1"/>
  <c r="I13" i="36"/>
  <c r="K13" i="36" s="1"/>
  <c r="D19" i="35"/>
  <c r="F19" i="35" s="1"/>
  <c r="I17" i="36"/>
  <c r="K17" i="36" s="1"/>
  <c r="D17" i="35"/>
  <c r="F17" i="35" s="1"/>
  <c r="G17" i="35" s="1"/>
  <c r="W56" i="9"/>
  <c r="D14" i="35"/>
  <c r="F14" i="35" s="1"/>
  <c r="I9" i="31"/>
  <c r="C10" i="37" s="1"/>
  <c r="M12" i="31"/>
  <c r="G13" i="37" s="1"/>
  <c r="M10" i="31"/>
  <c r="G11" i="37" s="1"/>
  <c r="K12" i="31"/>
  <c r="E13" i="37" s="1"/>
  <c r="L12" i="31"/>
  <c r="F13" i="37" s="1"/>
  <c r="L13" i="31"/>
  <c r="F14" i="37" s="1"/>
  <c r="L9" i="31"/>
  <c r="F10" i="37" s="1"/>
  <c r="J9" i="31"/>
  <c r="D10" i="37" s="1"/>
  <c r="J13" i="31"/>
  <c r="D14" i="37" s="1"/>
  <c r="I10" i="31"/>
  <c r="C11" i="37" s="1"/>
  <c r="K10" i="31"/>
  <c r="E11" i="37" s="1"/>
  <c r="K9" i="31"/>
  <c r="E10" i="37" s="1"/>
  <c r="M11" i="31"/>
  <c r="G12" i="37" s="1"/>
  <c r="L10" i="31"/>
  <c r="F11" i="37" s="1"/>
  <c r="I13" i="31"/>
  <c r="C14" i="37" s="1"/>
  <c r="K11" i="31"/>
  <c r="E12" i="37" s="1"/>
  <c r="J11" i="31"/>
  <c r="D12" i="37" s="1"/>
  <c r="M9" i="31"/>
  <c r="G10" i="37" s="1"/>
  <c r="I12" i="31"/>
  <c r="C13" i="37" s="1"/>
  <c r="M13" i="31"/>
  <c r="G14" i="37" s="1"/>
  <c r="L11" i="31"/>
  <c r="F12" i="37" s="1"/>
  <c r="J12" i="31"/>
  <c r="D13" i="37" s="1"/>
  <c r="K13" i="31"/>
  <c r="E14" i="37" s="1"/>
  <c r="I11" i="31"/>
  <c r="C12" i="37" s="1"/>
  <c r="V74" i="9"/>
  <c r="D9" i="35"/>
  <c r="I9" i="36" s="1"/>
  <c r="J10" i="31"/>
  <c r="D11" i="37" s="1"/>
  <c r="G23" i="35"/>
  <c r="F9" i="36"/>
  <c r="H17" i="36"/>
  <c r="J17" i="36" s="1"/>
  <c r="L19" i="36"/>
  <c r="N19" i="36" s="1"/>
  <c r="M19" i="36" s="1"/>
  <c r="P19" i="36" s="1"/>
  <c r="H24" i="36"/>
  <c r="J24" i="36" s="1"/>
  <c r="L24" i="36" s="1"/>
  <c r="N24" i="36" s="1"/>
  <c r="M24" i="36" s="1"/>
  <c r="P24" i="36" s="1"/>
  <c r="C27" i="35"/>
  <c r="E27" i="35" s="1"/>
  <c r="G27" i="35" s="1"/>
  <c r="C13" i="35"/>
  <c r="E13" i="35" s="1"/>
  <c r="C15" i="35"/>
  <c r="E15" i="35" s="1"/>
  <c r="C9" i="35"/>
  <c r="H9" i="36" s="1"/>
  <c r="H13" i="36"/>
  <c r="J13" i="36" s="1"/>
  <c r="V44" i="9"/>
  <c r="H27" i="36"/>
  <c r="J27" i="36" s="1"/>
  <c r="L27" i="36" s="1"/>
  <c r="N27" i="36" s="1"/>
  <c r="M27" i="36" s="1"/>
  <c r="P27" i="36" s="1"/>
  <c r="C19" i="35"/>
  <c r="E19" i="35" s="1"/>
  <c r="H21" i="36"/>
  <c r="J21" i="36" s="1"/>
  <c r="H22" i="36"/>
  <c r="J22" i="36" s="1"/>
  <c r="L22" i="36" s="1"/>
  <c r="N22" i="36" s="1"/>
  <c r="M22" i="36" s="1"/>
  <c r="P22" i="36" s="1"/>
  <c r="V56" i="9"/>
  <c r="V68" i="9"/>
  <c r="V80" i="9"/>
  <c r="C24" i="35"/>
  <c r="E24" i="35" s="1"/>
  <c r="G24" i="35" s="1"/>
  <c r="L26" i="36"/>
  <c r="N26" i="36" s="1"/>
  <c r="M26" i="36" s="1"/>
  <c r="P26" i="36" s="1"/>
  <c r="C26" i="35"/>
  <c r="E26" i="35" s="1"/>
  <c r="G26" i="35" s="1"/>
  <c r="V86" i="9"/>
  <c r="V122" i="9"/>
  <c r="C28" i="35"/>
  <c r="E28" i="35" s="1"/>
  <c r="G28" i="35" s="1"/>
  <c r="H28" i="36"/>
  <c r="J28" i="36" s="1"/>
  <c r="L28" i="36" s="1"/>
  <c r="N28" i="36" s="1"/>
  <c r="M28" i="36" s="1"/>
  <c r="P28" i="36" s="1"/>
  <c r="C25" i="35"/>
  <c r="E25" i="35" s="1"/>
  <c r="G25" i="35" s="1"/>
  <c r="V26" i="9"/>
  <c r="H12" i="36"/>
  <c r="J12" i="36" s="1"/>
  <c r="V62" i="9"/>
  <c r="C18" i="35"/>
  <c r="E18" i="35" s="1"/>
  <c r="G18" i="35" s="1"/>
  <c r="V92" i="9"/>
  <c r="H10" i="36"/>
  <c r="J10" i="36" s="1"/>
  <c r="H23" i="36"/>
  <c r="J23" i="36" s="1"/>
  <c r="L23" i="36" s="1"/>
  <c r="N23" i="36" s="1"/>
  <c r="M23" i="36" s="1"/>
  <c r="P23" i="36" s="1"/>
  <c r="C10" i="35"/>
  <c r="E10" i="35" s="1"/>
  <c r="H11" i="36"/>
  <c r="J11" i="36" s="1"/>
  <c r="H25" i="36"/>
  <c r="J25" i="36" s="1"/>
  <c r="L25" i="36" s="1"/>
  <c r="N25" i="36" s="1"/>
  <c r="M25" i="36" s="1"/>
  <c r="P25" i="36" s="1"/>
  <c r="B15" i="33" l="1"/>
  <c r="B14" i="33"/>
  <c r="L12" i="36"/>
  <c r="N12" i="36" s="1"/>
  <c r="M12" i="36" s="1"/>
  <c r="P12" i="36" s="1"/>
  <c r="W26" i="9"/>
  <c r="D12" i="35"/>
  <c r="F12" i="35" s="1"/>
  <c r="G12" i="35" s="1"/>
  <c r="G19" i="35"/>
  <c r="G14" i="35"/>
  <c r="L14" i="36"/>
  <c r="N14" i="36" s="1"/>
  <c r="M14" i="36" s="1"/>
  <c r="P14" i="36" s="1"/>
  <c r="L20" i="36"/>
  <c r="N20" i="36" s="1"/>
  <c r="M20" i="36" s="1"/>
  <c r="P20" i="36" s="1"/>
  <c r="B16" i="33"/>
  <c r="B17" i="33"/>
  <c r="L13" i="36"/>
  <c r="N13" i="36" s="1"/>
  <c r="M13" i="36" s="1"/>
  <c r="P13" i="36" s="1"/>
  <c r="G13" i="35"/>
  <c r="L17" i="36"/>
  <c r="N17" i="36" s="1"/>
  <c r="M17" i="36" s="1"/>
  <c r="P17" i="36" s="1"/>
  <c r="W80" i="9"/>
  <c r="I21" i="36"/>
  <c r="K21" i="36" s="1"/>
  <c r="L21" i="36" s="1"/>
  <c r="N21" i="36" s="1"/>
  <c r="M21" i="36" s="1"/>
  <c r="P21" i="36" s="1"/>
  <c r="D21" i="35"/>
  <c r="F21" i="35" s="1"/>
  <c r="G21" i="35" s="1"/>
  <c r="W20" i="9"/>
  <c r="D11" i="35"/>
  <c r="F11" i="35" s="1"/>
  <c r="G11" i="35" s="1"/>
  <c r="I11" i="36"/>
  <c r="K11" i="36" s="1"/>
  <c r="L11" i="36" s="1"/>
  <c r="N11" i="36" s="1"/>
  <c r="M11" i="36" s="1"/>
  <c r="P11" i="36" s="1"/>
  <c r="I15" i="36"/>
  <c r="K15" i="36" s="1"/>
  <c r="L15" i="36" s="1"/>
  <c r="N15" i="36" s="1"/>
  <c r="M15" i="36" s="1"/>
  <c r="P15" i="36" s="1"/>
  <c r="W44" i="9"/>
  <c r="D15" i="35"/>
  <c r="F15" i="35" s="1"/>
  <c r="G15" i="35" s="1"/>
  <c r="F9" i="35"/>
  <c r="W50" i="9"/>
  <c r="D16" i="35"/>
  <c r="F16" i="35" s="1"/>
  <c r="G16" i="35" s="1"/>
  <c r="I16" i="36"/>
  <c r="K16" i="36" s="1"/>
  <c r="L16" i="36" s="1"/>
  <c r="N16" i="36" s="1"/>
  <c r="M16" i="36" s="1"/>
  <c r="P16" i="36" s="1"/>
  <c r="D10" i="35"/>
  <c r="F10" i="35" s="1"/>
  <c r="I10" i="36"/>
  <c r="K10" i="36" s="1"/>
  <c r="L10" i="36" s="1"/>
  <c r="N10" i="36" s="1"/>
  <c r="M10" i="36" s="1"/>
  <c r="P10" i="36" s="1"/>
  <c r="E9" i="35"/>
  <c r="J9" i="36" l="1"/>
  <c r="B18" i="33"/>
  <c r="C18" i="33" s="1"/>
  <c r="L10" i="35"/>
  <c r="L11" i="37" s="1"/>
  <c r="M9" i="35"/>
  <c r="M10" i="37" s="1"/>
  <c r="K12" i="35"/>
  <c r="K13" i="37" s="1"/>
  <c r="G9" i="35"/>
  <c r="L9" i="36" s="1"/>
  <c r="D14" i="33" s="1"/>
  <c r="K10" i="35"/>
  <c r="K11" i="37" s="1"/>
  <c r="O13" i="35"/>
  <c r="O14" i="37" s="1"/>
  <c r="L11" i="35"/>
  <c r="L12" i="37" s="1"/>
  <c r="M11" i="35"/>
  <c r="M12" i="37" s="1"/>
  <c r="M13" i="35"/>
  <c r="M14" i="37" s="1"/>
  <c r="L9" i="35"/>
  <c r="L10" i="37" s="1"/>
  <c r="N9" i="35"/>
  <c r="N10" i="37" s="1"/>
  <c r="N11" i="35"/>
  <c r="N12" i="37" s="1"/>
  <c r="M12" i="35"/>
  <c r="M13" i="37" s="1"/>
  <c r="O10" i="35"/>
  <c r="O11" i="37" s="1"/>
  <c r="K11" i="35"/>
  <c r="K12" i="37" s="1"/>
  <c r="O12" i="35"/>
  <c r="O13" i="37" s="1"/>
  <c r="O11" i="35"/>
  <c r="O12" i="37" s="1"/>
  <c r="K9" i="35"/>
  <c r="K10" i="37" s="1"/>
  <c r="M10" i="35"/>
  <c r="M11" i="37" s="1"/>
  <c r="K13" i="35"/>
  <c r="K14" i="37" s="1"/>
  <c r="L13" i="35"/>
  <c r="L14" i="37" s="1"/>
  <c r="N10" i="35"/>
  <c r="N11" i="37" s="1"/>
  <c r="L12" i="35"/>
  <c r="L13" i="37" s="1"/>
  <c r="N13" i="35"/>
  <c r="N14" i="37" s="1"/>
  <c r="G10" i="35"/>
  <c r="N12" i="35"/>
  <c r="N13" i="37" s="1"/>
  <c r="O9" i="35"/>
  <c r="O10" i="37" s="1"/>
  <c r="C15" i="33" l="1"/>
  <c r="B21" i="33"/>
  <c r="C14" i="33"/>
  <c r="C17" i="33"/>
  <c r="C16" i="33"/>
  <c r="D17" i="33"/>
  <c r="D16" i="33"/>
  <c r="N9" i="36"/>
  <c r="M9" i="36" s="1"/>
  <c r="P9" i="36" s="1"/>
  <c r="D15" i="33"/>
  <c r="D18" i="33" l="1"/>
  <c r="E18" i="33" s="1"/>
  <c r="E16" i="33" l="1"/>
  <c r="E17" i="33"/>
  <c r="E15" i="33"/>
  <c r="E14" i="33"/>
  <c r="D21" i="33"/>
</calcChain>
</file>

<file path=xl/comments1.xml><?xml version="1.0" encoding="utf-8"?>
<comments xmlns="http://schemas.openxmlformats.org/spreadsheetml/2006/main">
  <authors>
    <author/>
  </authors>
  <commentList>
    <comment ref="A13" authorId="0" shapeId="0">
      <text>
        <r>
          <rPr>
            <sz val="11"/>
            <color theme="1"/>
            <rFont val="Calibri"/>
            <family val="2"/>
            <scheme val="minor"/>
          </rPr>
          <t>======
ID#AAAB8BNu2S8
Oficina TIC    (2026-05-21 15:53:23)
Proceso de la entidad al que pertenece el activo de información (En caso de que existan)</t>
        </r>
      </text>
    </comment>
    <comment ref="B13" authorId="0" shapeId="0">
      <text>
        <r>
          <rPr>
            <sz val="11"/>
            <color theme="1"/>
            <rFont val="Calibri"/>
            <family val="2"/>
            <scheme val="minor"/>
          </rPr>
          <t>======
ID#AAAB8BNu2Qw
Oficina TIC    (2026-05-21 15:53:40)
SubProceso de la Entidad al que pertenece el activo de información</t>
        </r>
      </text>
    </comment>
    <comment ref="C13" authorId="0" shapeId="0">
      <text>
        <r>
          <rPr>
            <sz val="11"/>
            <color theme="1"/>
            <rFont val="Calibri"/>
            <family val="2"/>
            <scheme val="minor"/>
          </rPr>
          <t>======
ID#AAAB8BNu2Q0
Oficina TIC    (2026-05-21 15:53:53)
Relacionar código de la serie como se encuentra identificado el activo en la TDR, si aplica, de lo contrario poner N/A</t>
        </r>
      </text>
    </comment>
    <comment ref="D13" authorId="0" shapeId="0">
      <text>
        <r>
          <rPr>
            <sz val="11"/>
            <color theme="1"/>
            <rFont val="Calibri"/>
            <family val="2"/>
            <scheme val="minor"/>
          </rPr>
          <t>======
ID#AAAB8BNu2Sk
Oficina TIC    (2026-05-21 15:54:07)
Se sugiere que el identificador sea una concatenación del código de la dependencia + número consecutivo. Ejemplo (TIC-001).</t>
        </r>
      </text>
    </comment>
    <comment ref="E13" authorId="0" shapeId="0">
      <text>
        <r>
          <rPr>
            <sz val="11"/>
            <color theme="1"/>
            <rFont val="Calibri"/>
            <family val="2"/>
            <scheme val="minor"/>
          </rPr>
          <t>======
ID#AAAB8BNu2SU
Oficina TIC    (2026-05-21 15:54:25)
Tipo de activo según la ISO 27001</t>
        </r>
      </text>
    </comment>
    <comment ref="F13" authorId="0" shapeId="0">
      <text>
        <r>
          <rPr>
            <sz val="11"/>
            <color theme="1"/>
            <rFont val="Calibri"/>
            <family val="2"/>
            <scheme val="minor"/>
          </rPr>
          <t>======
ID#AAAB8BNu2S4
Oficina TIC    (2026-05-21 15:54:45)
Oficina, dependencia o secretaria al que pertenece el activo de información.</t>
        </r>
      </text>
    </comment>
    <comment ref="G13" authorId="0" shapeId="0">
      <text>
        <r>
          <rPr>
            <sz val="11"/>
            <color theme="1"/>
            <rFont val="Calibri"/>
            <family val="2"/>
            <scheme val="minor"/>
          </rPr>
          <t>======
ID#AAAB8BNu2So
Oficina TIC    (2026-05-21 15:55:48)
Serie documental del área, dependencia o proceso que se encuentra identificando el Activo.</t>
        </r>
      </text>
    </comment>
    <comment ref="H13" authorId="0" shapeId="0">
      <text>
        <r>
          <rPr>
            <sz val="11"/>
            <color theme="1"/>
            <rFont val="Calibri"/>
            <family val="2"/>
            <scheme val="minor"/>
          </rPr>
          <t>======
ID#AAAB8BNu2R0
Oficina TIC    (2026-05-21 15:55:59)
Subserie documental la serie documental en la que se encuentra el activo.</t>
        </r>
      </text>
    </comment>
    <comment ref="I13" authorId="0" shapeId="0">
      <text>
        <r>
          <rPr>
            <sz val="11"/>
            <color theme="1"/>
            <rFont val="Calibri"/>
            <family val="2"/>
            <scheme val="minor"/>
          </rPr>
          <t>======
ID#AAAB8BNu2Q8
Oficina TIC    (2026-05-21 15:56:15)
Nombre del activo de información (por ejemplo, "Registro de empleados", "Base de datos de clientes").</t>
        </r>
      </text>
    </comment>
    <comment ref="K13" authorId="0" shapeId="0">
      <text>
        <r>
          <rPr>
            <sz val="11"/>
            <color theme="1"/>
            <rFont val="Calibri"/>
            <family val="2"/>
            <scheme val="minor"/>
          </rPr>
          <t>======
ID#AAAB8BNu2Rc
Oficina TIC    (2026-05-21 15:56:35)
Describir de manera resumida que función cumple el activo</t>
        </r>
      </text>
    </comment>
    <comment ref="L13" authorId="0" shapeId="0">
      <text>
        <r>
          <rPr>
            <sz val="11"/>
            <color theme="1"/>
            <rFont val="Calibri"/>
            <family val="2"/>
            <scheme val="minor"/>
          </rPr>
          <t>======
ID#AAAB8BNu2SQ
Oficina TIC    (2026-05-21 15:57:10)
Cargo de la persona encargada de crear o generar la información</t>
        </r>
      </text>
    </comment>
    <comment ref="M13" authorId="0" shapeId="0">
      <text>
        <r>
          <rPr>
            <sz val="11"/>
            <color theme="1"/>
            <rFont val="Calibri"/>
            <family val="2"/>
            <scheme val="minor"/>
          </rPr>
          <t>======
ID#AAAB8BNu2Rk
Oficina TIC    (2026-05-21 15:57:23)
Fecha en la que el activo de información fue incluido en el inventario de activos de información.</t>
        </r>
      </text>
    </comment>
    <comment ref="N13" authorId="0" shapeId="0">
      <text>
        <r>
          <rPr>
            <sz val="11"/>
            <color theme="1"/>
            <rFont val="Calibri"/>
            <family val="2"/>
            <scheme val="minor"/>
          </rPr>
          <t>======
ID#AAAB8BNu2TA
Oficina TIC    (2026-05-21 15:58:50)
Cargo de la persona encargada de custodiar y mantener el activo.</t>
        </r>
      </text>
    </comment>
    <comment ref="O13" authorId="0" shapeId="0">
      <text>
        <r>
          <rPr>
            <sz val="11"/>
            <color theme="1"/>
            <rFont val="Calibri"/>
            <family val="2"/>
            <scheme val="minor"/>
          </rPr>
          <t>======
ID#AAAB8BNu2RY
Oficina TIC    (2026-05-21 15:59:04)
Fecha en la que el activo fue archivado o almacenado en el sistema de gestión documental.</t>
        </r>
      </text>
    </comment>
    <comment ref="P13" authorId="0" shapeId="0">
      <text>
        <r>
          <rPr>
            <sz val="11"/>
            <color theme="1"/>
            <rFont val="Calibri"/>
            <family val="2"/>
            <scheme val="minor"/>
          </rPr>
          <t>======
ID#AAAB8BNu2RU
Oficina TIC    (2026-05-21 16:56:15)
Es el material, elemento físico o electrónico sobre el cual se escribe, graba o codifica inicialmente la información.</t>
        </r>
      </text>
    </comment>
    <comment ref="Q13" authorId="0" shapeId="0">
      <text>
        <r>
          <rPr>
            <sz val="11"/>
            <color theme="1"/>
            <rFont val="Calibri"/>
            <family val="2"/>
            <scheme val="minor"/>
          </rPr>
          <t>======
ID#AAAB8BNu2RQ
Oficina TIC    (2026-05-21 16:00:12)
Se refiere al estado, formato o contenedor tecnológico diseñado para garantizar la integridad, legibilidad y preservación del activo a largo plazo.
- Físico: Este campo se diligencia si el Tipo de activo es "Hardware”
-Digital o Electrónico: Este campo se diligencia si el Tipo de activo es "Información o Software”
-N/A: Para el resto de los tipos de activos se debe seleccionar</t>
        </r>
      </text>
    </comment>
    <comment ref="R13" authorId="0" shapeId="0">
      <text>
        <r>
          <rPr>
            <sz val="11"/>
            <color theme="1"/>
            <rFont val="Calibri"/>
            <family val="2"/>
            <scheme val="minor"/>
          </rPr>
          <t>======
ID#AAAB8BNu2Sw
Oficina TIC    (2026-05-21 16:00:35)
Forma o modo en la que se presenta la información o se permite su visualización o consulta del activo.</t>
        </r>
      </text>
    </comment>
    <comment ref="S13" authorId="0" shapeId="0">
      <text>
        <r>
          <rPr>
            <sz val="11"/>
            <color theme="1"/>
            <rFont val="Calibri"/>
            <family val="2"/>
            <scheme val="minor"/>
          </rPr>
          <t>======
ID#AAAB8BNu2Q4
Oficina TIC    (2026-05-21 16:02:47)
Establece el idioma, lengua o dialecto en que se encuentra la información.</t>
        </r>
      </text>
    </comment>
    <comment ref="T13" authorId="0" shapeId="0">
      <text>
        <r>
          <rPr>
            <sz val="11"/>
            <color rgb="FF000000"/>
            <rFont val="Calibri"/>
            <family val="2"/>
          </rPr>
          <t xml:space="preserve">======
</t>
        </r>
        <r>
          <rPr>
            <sz val="11"/>
            <color rgb="FF000000"/>
            <rFont val="Calibri"/>
            <family val="2"/>
          </rPr>
          <t xml:space="preserve">ID#AAAB8BNu2Rg
</t>
        </r>
        <r>
          <rPr>
            <sz val="11"/>
            <color rgb="FF000000"/>
            <rFont val="Calibri"/>
            <family val="2"/>
          </rPr>
          <t xml:space="preserve">Oficina TIC    (2026-05-21 16:03:30)
</t>
        </r>
        <r>
          <rPr>
            <sz val="11"/>
            <color rgb="FF000000"/>
            <rFont val="Calibri"/>
            <family val="2"/>
          </rPr>
          <t>Se refiere a que la información no esté disponible ni sea revelada a individuos, entidades o procesos no autorizados.</t>
        </r>
      </text>
    </comment>
    <comment ref="V13" authorId="0" shapeId="0">
      <text>
        <r>
          <rPr>
            <sz val="11"/>
            <color theme="1"/>
            <rFont val="Calibri"/>
            <family val="2"/>
            <scheme val="minor"/>
          </rPr>
          <t>======
ID#AAAB8BNu2RI
Oficina TIC    (2026-05-21 16:03:47)
Se refiere a la exactitud y completitud de la información. Esta propiedad es la que permite que la información sea precisa, coherente y completa desde su creación hasta su destrucción.</t>
        </r>
      </text>
    </comment>
    <comment ref="X13" authorId="0" shapeId="0">
      <text>
        <r>
          <rPr>
            <sz val="11"/>
            <color rgb="FF000000"/>
            <rFont val="Calibri"/>
            <family val="2"/>
          </rPr>
          <t xml:space="preserve">======
</t>
        </r>
        <r>
          <rPr>
            <sz val="11"/>
            <color rgb="FF000000"/>
            <rFont val="Calibri"/>
            <family val="2"/>
          </rPr>
          <t xml:space="preserve">ID#AAAB8BNu2SE
</t>
        </r>
        <r>
          <rPr>
            <sz val="11"/>
            <color rgb="FF000000"/>
            <rFont val="Calibri"/>
            <family val="2"/>
          </rPr>
          <t xml:space="preserve">Oficina TIC    (2026-05-21 16:04:34)
</t>
        </r>
        <r>
          <rPr>
            <sz val="11"/>
            <color rgb="FF000000"/>
            <rFont val="Calibri"/>
            <family val="2"/>
          </rPr>
          <t>Se refiere a que ésta debe ser accesible y utilizable por solicitud de una persona entidad o proceso autorizada cuando así lo requiera está, en el momento y en la forma que se requiere ahora y en el futuro, al igual que los recursos necesarios para su uso.</t>
        </r>
      </text>
    </comment>
    <comment ref="Z13" authorId="0" shapeId="0">
      <text>
        <r>
          <rPr>
            <sz val="11"/>
            <color theme="1"/>
            <rFont val="Calibri"/>
            <family val="2"/>
            <scheme val="minor"/>
          </rPr>
          <t>======
ID#AAAB8BNu2R4
Oficina TIC    (2026-05-21 16:05:02)
Promedio de los valores de la confidencialidad, integridad y
disponibilidad, con el fin de calcular el nivel de criticidad.</t>
        </r>
      </text>
    </comment>
    <comment ref="AA13" authorId="0" shapeId="0">
      <text>
        <r>
          <rPr>
            <sz val="11"/>
            <color theme="1"/>
            <rFont val="Calibri"/>
            <family val="2"/>
            <scheme val="minor"/>
          </rPr>
          <t>======
ID#AAAB8BNu2Sc
Oficina TIC    (2026-05-25 18:05:30)
Indicar si la información fue publicada o no</t>
        </r>
      </text>
    </comment>
    <comment ref="AB13" authorId="0" shapeId="0">
      <text>
        <r>
          <rPr>
            <sz val="11"/>
            <color theme="1"/>
            <rFont val="Calibri"/>
            <family val="2"/>
            <scheme val="minor"/>
          </rPr>
          <t>======
ID#AAAB8BNu2RA
Oficina TIC    (2026-05-25 18:05:45)
Ingresar el lugar de consulta del activo</t>
        </r>
      </text>
    </comment>
    <comment ref="AC13" authorId="0" shapeId="0">
      <text>
        <r>
          <rPr>
            <sz val="11"/>
            <color theme="1"/>
            <rFont val="Calibri"/>
            <family val="2"/>
            <scheme val="minor"/>
          </rPr>
          <t>======
ID#AAAB8BNu2SM
Oficina TIC    (2026-05-21 16:05:25)
Se refiere a la justificación jurídica válida que permite reservar, clasificar o denegar el acceso a cierta información pública. Es la causal o motivo legal, como la protección de datos personales o la seguridad nacional, que autoriza a las entidades estatales a mantener documentos en reserva. (por ejemplo, por razones de seguridad, confidencialidad, o acceso restringido).</t>
        </r>
      </text>
    </comment>
    <comment ref="AD13" authorId="0" shapeId="0">
      <text>
        <r>
          <rPr>
            <sz val="11"/>
            <color theme="1"/>
            <rFont val="Calibri"/>
            <family val="2"/>
            <scheme val="minor"/>
          </rPr>
          <t>======
ID#AAAB8BNu2Ro
Oficina TIC    (2026-05-21 16:05:44)
Detallar la ley, resolución o decreto que justifique la clasificación de la información como reservada o confidencial.</t>
        </r>
      </text>
    </comment>
    <comment ref="AE13" authorId="0" shapeId="0">
      <text>
        <r>
          <rPr>
            <sz val="11"/>
            <color theme="1"/>
            <rFont val="Calibri"/>
            <family val="2"/>
            <scheme val="minor"/>
          </rPr>
          <t>======
ID#AAAB8BNu2Sg
Oficina TIC    (2026-05-21 16:06:04)
Norma jurídica que fundamenta la clasificación o reserva de la información.</t>
        </r>
      </text>
    </comment>
    <comment ref="AF13" authorId="0" shapeId="0">
      <text>
        <r>
          <rPr>
            <sz val="11"/>
            <color theme="1"/>
            <rFont val="Calibri"/>
            <family val="2"/>
            <scheme val="minor"/>
          </rPr>
          <t>======
ID#AAAB8BNu2RE
Oficina TIC    (2026-05-21 16:06:23)
Determina la excepcionalidad de totalidad del documento si es total o parcial. 
- Excepción total cuando todo el activo está cobijado por la excepción de acceso.
- Excepción parcial cuando solo una parte, sección, apartado o frase del activo está cobijado por la excepción de acceso.</t>
        </r>
      </text>
    </comment>
    <comment ref="AG13" authorId="0" shapeId="0">
      <text>
        <r>
          <rPr>
            <sz val="11"/>
            <color theme="1"/>
            <rFont val="Calibri"/>
            <family val="2"/>
            <scheme val="minor"/>
          </rPr>
          <t>======
ID#AAAB8BNu2Rw
Oficina TIC    (2026-05-25 18:23:07)
Fecha en la que se clasifica el activo en el formato</t>
        </r>
      </text>
    </comment>
    <comment ref="AH13" authorId="0" shapeId="0">
      <text>
        <r>
          <rPr>
            <sz val="11"/>
            <color theme="1"/>
            <rFont val="Calibri"/>
            <family val="2"/>
            <scheme val="minor"/>
          </rPr>
          <t>======
ID#AAAB8BNu2S0
Oficina TIC    (2026-05-21 20:23:09)
Duración durante la cual se mantendrá la clasificación de la información (por ejemplo, 1 año, 5 años, hasta que se elimine).</t>
        </r>
      </text>
    </comment>
    <comment ref="AI13" authorId="0" shapeId="0">
      <text>
        <r>
          <rPr>
            <sz val="11"/>
            <color theme="1"/>
            <rFont val="Calibri"/>
            <family val="2"/>
            <scheme val="minor"/>
          </rPr>
          <t>======
ID#AAAB8BNu2R8
Oficina TIC    (2026-05-21 20:23:23)
Indicar si el activo de información contiene datos personales (por ejemplo, nombre, dirección, teléfono, etc.)</t>
        </r>
      </text>
    </comment>
    <comment ref="AJ13" authorId="0" shapeId="0">
      <text>
        <r>
          <rPr>
            <sz val="11"/>
            <color theme="1"/>
            <rFont val="Calibri"/>
            <family val="2"/>
            <scheme val="minor"/>
          </rPr>
          <t>======
ID#AAAB8BNu2Rs
Oficina TIC    (2026-05-21 20:23:35)
Indicar si los datos personales son de menores de edad.</t>
        </r>
      </text>
    </comment>
    <comment ref="AK13" authorId="0" shapeId="0">
      <text>
        <r>
          <rPr>
            <sz val="11"/>
            <color theme="1"/>
            <rFont val="Calibri"/>
            <family val="2"/>
            <scheme val="minor"/>
          </rPr>
          <t>======
ID#AAAB8BNu2SA
Oficina TIC    (2026-05-21 20:23:50)
Especificar el tipo de datos personales (por ejemplo Datos personales público, privados, Semiprivados, sensible, N/A</t>
        </r>
      </text>
    </comment>
    <comment ref="AL13" authorId="0" shapeId="0">
      <text>
        <r>
          <rPr>
            <sz val="11"/>
            <color theme="1"/>
            <rFont val="Calibri"/>
            <family val="2"/>
            <scheme val="minor"/>
          </rPr>
          <t>======
ID#AAAB8BNu2Qo
Oficina TIC    (2026-05-21 20:24:02)
Especificar el propósito por el cual se recolectan estos datos.</t>
        </r>
      </text>
    </comment>
    <comment ref="AM13" authorId="0" shapeId="0">
      <text>
        <r>
          <rPr>
            <sz val="11"/>
            <color theme="1"/>
            <rFont val="Calibri"/>
            <family val="2"/>
            <scheme val="minor"/>
          </rPr>
          <t>======
ID#AAAB8BNu2Ss
Oficina TIC    (2026-05-21 20:24:14)
Confirmar si se tiene la autorización de los titulares de los datos para su tratamiento.</t>
        </r>
      </text>
    </comment>
  </commentList>
</comments>
</file>

<file path=xl/comments2.xml><?xml version="1.0" encoding="utf-8"?>
<comments xmlns="http://schemas.openxmlformats.org/spreadsheetml/2006/main">
  <authors>
    <author>tc={328DCD8F-2BC7-40E3-9BD1-16944617103A}</author>
    <author>tc={81F5701B-CEFE-4DD6-99A5-58125D1F532F}</author>
    <author>tc={04B42A38-D706-4C70-ADC8-8D887BDD66B9}</author>
  </authors>
  <commentList>
    <comment ref="M2" authorId="0" shapeId="0">
      <text>
        <r>
          <rPr>
            <sz val="11"/>
            <color theme="1"/>
            <rFont val="Calibri"/>
            <family val="2"/>
            <scheme val="minor"/>
          </rPr>
          <t>[Comentario encadenado]
Su versión de Excel le permite leer este comentario encadenado; sin embargo, las ediciones que se apliquen se quitarán si el archivo se abre en una versión más reciente de Excel. Más información: https://go.microsoft.com/fwlink/?linkid=870924
Comentario:
    Si escoge otra tipologia diferente a la tabla de esa hoja, entonces muestre la lista según el indirecto F9 en la hoja de contexto</t>
        </r>
      </text>
    </comment>
    <comment ref="N2" authorId="1" shapeId="0">
      <text>
        <r>
          <rPr>
            <sz val="11"/>
            <color theme="1"/>
            <rFont val="Calibri"/>
            <family val="2"/>
            <scheme val="minor"/>
          </rPr>
          <t>[Comentario encadenado]
Su versión de Excel le permite leer este comentario encadenado; sin embargo, las ediciones que se apliquen se quitarán si el archivo se abre en una versión más reciente de Excel. Más información: https://go.microsoft.com/fwlink/?linkid=870924
Comentario:
    Para mostrar lista en la columna afectacion hoja 3.</t>
        </r>
      </text>
    </comment>
    <comment ref="V2" authorId="2" shapeId="0">
      <text>
        <r>
          <rPr>
            <sz val="11"/>
            <color theme="1"/>
            <rFont val="Calibri"/>
            <family val="2"/>
            <scheme val="minor"/>
          </rPr>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Si TIPOLOGIA = FISCAL Y ¿Qué IMPACTO ? = “Posibilidad  de efecto dañoso sobre bienes de uso fiscal” ENTONCES  se inhabilite con N/A la tabla de impacto reputacional Hoja 3 – Columna J.
</t>
        </r>
      </text>
    </comment>
  </commentList>
</comments>
</file>

<file path=xl/comments3.xml><?xml version="1.0" encoding="utf-8"?>
<comments xmlns="http://schemas.openxmlformats.org/spreadsheetml/2006/main">
  <authors>
    <author>tc={9E28237E-1158-4B7E-A4DB-5F3F4FF7AA7A}</author>
  </authors>
  <commentList>
    <comment ref="A44" authorId="0" shapeId="0">
      <text>
        <r>
          <rPr>
            <sz val="11"/>
            <color theme="1"/>
            <rFont val="Calibri"/>
            <family val="2"/>
            <scheme val="minor"/>
          </rPr>
          <t>[Comentario encadenado]
Su versión de Excel le permite leer este comentario encadenado; sin embargo, las ediciones que se apliquen se quitarán si el archivo se abre en una versión más reciente de Excel. Más información: https://go.microsoft.com/fwlink/?linkid=870924
Comentario:
    Lista de la columna FACTOR DE RIESGO</t>
        </r>
      </text>
    </comment>
  </commentList>
</comments>
</file>

<file path=xl/sharedStrings.xml><?xml version="1.0" encoding="utf-8"?>
<sst xmlns="http://schemas.openxmlformats.org/spreadsheetml/2006/main" count="3118" uniqueCount="791">
  <si>
    <t>Matriz Mapa de Riesgos</t>
  </si>
  <si>
    <r>
      <t xml:space="preserve">Con la expedición del Decreto 1499 de 2017 “Por medio del cual se modifica el Decreto 1083 de 2015, Decreto Único Reglamentario del Sector Función Pública, en lo relacionado con el Sistema de Gestión establecido en el artículo 133 de la Ley 1753 de 2015”, se crea un solo Sistema de Gestión y se alinea con el Sistema de Control Interno, hoy todas las entidades públicas requieren actualizar y/o implementar el Modelo Integrado de Planeación y Gestión MIPG, modelo que incorpora el Modelo Estándar de Control Interno MECI a través de la 7a dimensión del mismo.  En este marco general, el proceso de administración del riesgo es un esfuerzo conjunto entre la Alta Dirección y los servidores en todos sus niveles, ejercicio que inicia con la formulación de la política de Administración del Riesgo, la cual incluye los niveles de responsabilidad frente al seguimiento y evaluación, aspectos que deberán definirse acorde con el Esquema de Líneas de Defensa vinculado a la Dimensión 7.
Teniendo en cuenta lo anterior y dada la necesidad de las entidades frente a la estructuración de los mapas de riesgos, como herramienta fundamental frente a la gestión del riesgo, el presente formato desarrolla un esquema completo acorde con los contenidos metodológicos de la </t>
    </r>
    <r>
      <rPr>
        <b/>
        <sz val="10"/>
        <color theme="9" tint="-0.249977111117893"/>
        <rFont val="Arial Narrow"/>
        <family val="2"/>
      </rPr>
      <t>Guía para la Administración del Riesgo y el diseño de controles V5</t>
    </r>
    <r>
      <rPr>
        <sz val="10"/>
        <rFont val="Arial Narrow"/>
        <family val="2"/>
      </rPr>
      <t>. El formato cuenta con celdas parametrizadas y permite contar con los respectivos mapas de calor para riesgo inherente y riesgo residual.</t>
    </r>
  </si>
  <si>
    <t>Orientaciones Generales</t>
  </si>
  <si>
    <r>
      <t xml:space="preserve">Antes de iniciar con el diligenciamiento de la información en la matriz, se requiere haber avanzado en el análisis del </t>
    </r>
    <r>
      <rPr>
        <b/>
        <sz val="11"/>
        <rFont val="Arial Narrow"/>
        <family val="2"/>
      </rPr>
      <t>proceso, su objetivo, alcance, actividades clave</t>
    </r>
    <r>
      <rPr>
        <sz val="11"/>
        <rFont val="Arial Narrow"/>
        <family val="2"/>
      </rPr>
      <t xml:space="preserve">, considere los lineamientos establecidos en el </t>
    </r>
    <r>
      <rPr>
        <b/>
        <sz val="11"/>
        <color theme="9" tint="-0.249977111117893"/>
        <rFont val="Arial Narrow"/>
        <family val="2"/>
      </rPr>
      <t>Paso 2: identificación del riesgo</t>
    </r>
    <r>
      <rPr>
        <sz val="11"/>
        <rFont val="Arial Narrow"/>
        <family val="2"/>
      </rPr>
      <t xml:space="preserve">, donde se explica ampliamente las bases para adelantar este análisis.
Así mismo, considere en el </t>
    </r>
    <r>
      <rPr>
        <b/>
        <sz val="11"/>
        <color theme="9" tint="-0.249977111117893"/>
        <rFont val="Arial Narrow"/>
        <family val="2"/>
      </rPr>
      <t>Paso 3: valoración del riesgo</t>
    </r>
    <r>
      <rPr>
        <sz val="11"/>
        <rFont val="Arial Narrow"/>
        <family val="2"/>
      </rPr>
      <t xml:space="preserve"> los lineamientos para definir el No. de veces que se hace la actividad con la cual se relaciona el riesgo y su impacto en términos económicos o reputacionales. En este mismo paso se analizan los controles que deben responder a los atributos de eficiencia e informativos.</t>
    </r>
  </si>
  <si>
    <t>Las hojas se encuentran protegidas para evidar dañar las formulas, para desprotegerlas no se requiere contraseña</t>
  </si>
  <si>
    <t>Se debe ingresar información solo en las celdas identificadas con color NARANJA CLARO, las demás contienen formulas de autollenado</t>
  </si>
  <si>
    <t>El formato de fecha es: DD/MM/AAAA</t>
  </si>
  <si>
    <t>El archivo contiene las siguientes hojas:</t>
  </si>
  <si>
    <r>
      <t>1 INSTRUCTIVO:</t>
    </r>
    <r>
      <rPr>
        <sz val="11"/>
        <rFont val="Arial Narrow"/>
        <family val="2"/>
      </rPr>
      <t xml:space="preserve"> Identifica el contenido del archivo y su funcionalidad</t>
    </r>
  </si>
  <si>
    <r>
      <t>2 CONTEXTO E IDENTIFICACIÓN:</t>
    </r>
    <r>
      <rPr>
        <sz val="11"/>
        <rFont val="Arial Narrow"/>
        <family val="2"/>
      </rPr>
      <t xml:space="preserve"> Se establece el Número, Descripción y Factor del riesgo</t>
    </r>
  </si>
  <si>
    <t>Columna</t>
  </si>
  <si>
    <t>Descripción - Lineamientos para el diligenciamiento</t>
  </si>
  <si>
    <t>Proceso</t>
  </si>
  <si>
    <t>Diligencie el nombre del proceso al cual se le identificarán y valorarán los riesgos.</t>
  </si>
  <si>
    <t>Objetivo del Proceso</t>
  </si>
  <si>
    <t>Diligencie el objetivo del proceso.</t>
  </si>
  <si>
    <t>Elaboración o Actualización:</t>
  </si>
  <si>
    <t>Fecha en la que realiza el diligenciamiento o actualización del mapa de riesgos, formato (DD/MM/AAAA)</t>
  </si>
  <si>
    <t>Vigencia:</t>
  </si>
  <si>
    <t>Vigencia que tiene el mapa de riesgos fecha inicio fecha final, formato (DD/MM/AAAA)</t>
  </si>
  <si>
    <t>No. de Riesgo</t>
  </si>
  <si>
    <t xml:space="preserve">Permite definir unl consecutivo de riesgos.
Una entidad puede ir en el riesgo 150, pero tener 70 riesgos, lo que permite llevar una traza de los riesgos. Esta información la debe administrar la oficina asesora de planeación o gerencia de riesgos.  Cuando un el riesgo salga del mapa no existirá otro riesgo con el mismo número. </t>
  </si>
  <si>
    <t>¿QUÉ? 
IMPACTO</t>
  </si>
  <si>
    <t>Analice las consecuencias que puede ocasionar a la organización la materialización del riesgo, Seleccione de la lista desplegable entre: 
Posibilidad de pérdida Económica
Posibilidad de pérdida Reputacional
Posibilidad de pérdida Económica y Reputacional</t>
  </si>
  <si>
    <t xml:space="preserve">¿CÓMO?
CAUSA INMEDIATA </t>
  </si>
  <si>
    <r>
      <t xml:space="preserve">Circunstancias bajo las cuales se presenta el riesgo, es la situación más evidente frente al riesgo, redacte de la forma más concreta posible.
(Iniciar con la palabra </t>
    </r>
    <r>
      <rPr>
        <b/>
        <sz val="9"/>
        <rFont val="Arial Narrow"/>
        <family val="2"/>
      </rPr>
      <t>por</t>
    </r>
    <r>
      <rPr>
        <sz val="9"/>
        <rFont val="Arial Narrow"/>
        <family val="2"/>
      </rPr>
      <t>)</t>
    </r>
  </si>
  <si>
    <t>¿PORQUÉ?
CAUSA RAÍZ</t>
  </si>
  <si>
    <r>
      <t xml:space="preserve">Causa  principal  o básica, corresponde a las razones por la cuales se puede presentar  el riesgo, redacte de la forma más concreta posible.
(Iniciar </t>
    </r>
    <r>
      <rPr>
        <b/>
        <sz val="9"/>
        <rFont val="Arial Narrow"/>
        <family val="2"/>
      </rPr>
      <t>con debido a</t>
    </r>
    <r>
      <rPr>
        <sz val="9"/>
        <rFont val="Arial Narrow"/>
        <family val="2"/>
      </rPr>
      <t>)</t>
    </r>
  </si>
  <si>
    <t>DESCRIPCIÓN DEL RIESGO</t>
  </si>
  <si>
    <r>
      <t xml:space="preserve">Consolida o resume los análisis sobre impacto + causa inmediata + causa raíz, permitiendo contar con una redacción clara y concreta del riesgo indentificado. Tenga en cuenta la estructura de alto nivel establecida en al guía, inicia con </t>
    </r>
    <r>
      <rPr>
        <b/>
        <sz val="9"/>
        <color theme="9" tint="-0.249977111117893"/>
        <rFont val="Arial Narrow"/>
        <family val="2"/>
      </rPr>
      <t>POSIBILIDAD DE + Impacto para la entidad (Qué) + Causa Inmediata (Cómo) + Causa Raíz (Por qué)</t>
    </r>
    <r>
      <rPr>
        <sz val="9"/>
        <rFont val="Arial Narrow"/>
        <family val="2"/>
      </rPr>
      <t xml:space="preserve"> 
(Se genera automáticamente)</t>
    </r>
  </si>
  <si>
    <t>FACTOR DEL RIESGO / TIPO</t>
  </si>
  <si>
    <t>Seleccione de la lista desplegable entre las opiciones:
A_Ejecución_y_Administración_de_procesos
B_Fraude_Externo
C_Fraude_Interno
D_Fallas_Tecnológicas
E_Relaciones_Laborales
F_Usuarios_Productos_y_Prácticas_Organizacionales
G_Daños_Activos_Físicos</t>
  </si>
  <si>
    <t>FACTOR DEL RIESGO / SELECCIONE FUENTE GENERADORA DEL EVENTO PARA TIPO E,F,G</t>
  </si>
  <si>
    <r>
      <rPr>
        <b/>
        <sz val="9"/>
        <rFont val="Arial Narrow"/>
        <family val="2"/>
      </rPr>
      <t>Si en TIPO seleccioneó las opiciones:</t>
    </r>
    <r>
      <rPr>
        <sz val="9"/>
        <rFont val="Arial Narrow"/>
        <family val="2"/>
      </rPr>
      <t xml:space="preserve">
E_Relaciones_Laborales
F_Usuarios_Productos_y_Prácticas_Organizacionales
G_Daños_Activos_Físicos
</t>
    </r>
    <r>
      <rPr>
        <b/>
        <sz val="9"/>
        <rFont val="Arial Narrow"/>
        <family val="2"/>
      </rPr>
      <t>Debe definir la fuente generadora de la lista desplegable</t>
    </r>
  </si>
  <si>
    <t>RESULTADO FUENTE GENERADORA DEL EVENTO</t>
  </si>
  <si>
    <t>Se rellena automáticamente según lo seleccinado de FACTOR DEL RIESGO</t>
  </si>
  <si>
    <t xml:space="preserve">3 PROBABIL E IMPACTO INHERENTE: </t>
  </si>
  <si>
    <t>No. veces que realiza la actividad al año</t>
  </si>
  <si>
    <r>
      <t xml:space="preserve">Defina el número de veces que se ejecuta la actividad durante el año, (Recuerde la probabilidad e ocurrencia del riesgo se define como el No. de veces que se pasa por el punto de riesgo en el periodo de 1 año). La matriz automáticamente hará el cálculo para el nivel de probabilidad inherente.
</t>
    </r>
    <r>
      <rPr>
        <b/>
        <sz val="9"/>
        <rFont val="Arial Narrow"/>
        <family val="2"/>
      </rPr>
      <t>La matriz calcula automáticamente:</t>
    </r>
    <r>
      <rPr>
        <sz val="9"/>
        <rFont val="Arial Narrow"/>
        <family val="2"/>
      </rPr>
      <t xml:space="preserve">
Frecuencia de la Actividad
% Probabilidad
Nivel Probabilidad
</t>
    </r>
  </si>
  <si>
    <t>Afectación Económica</t>
  </si>
  <si>
    <t>Selecciona de la lista desplegable el rango de afectación económica y la matriz calcula:
%
Nivel</t>
  </si>
  <si>
    <t>Reputacional</t>
  </si>
  <si>
    <t>Selecciona de la lista desplegable el rango de afectación reputacional y la matriz calcula:
%
Nivel</t>
  </si>
  <si>
    <t>Resultado / Porcentaje de Impacto / Nivel de Impacto</t>
  </si>
  <si>
    <t>Se calcula automáticamente según la información de afectación económica y reputacional</t>
  </si>
  <si>
    <r>
      <t>4 MAPA CALOR INHERENTE:</t>
    </r>
    <r>
      <rPr>
        <sz val="11"/>
        <rFont val="Arial Narrow"/>
        <family val="2"/>
      </rPr>
      <t xml:space="preserve"> Representación gráfica de la ubicación de cada riesgo inherente en el mapa de calor (En esta hoja no se ingresan datos)</t>
    </r>
  </si>
  <si>
    <r>
      <t>5 VALORACIÓN DEL CONTROL:</t>
    </r>
    <r>
      <rPr>
        <sz val="11"/>
        <rFont val="Arial Narrow"/>
        <family val="2"/>
      </rPr>
      <t xml:space="preserve"> Se realiza la descripción y atributos del control, calcula automáticamente el Valor Total del Control, Probabilidad residual e Impacto Residual</t>
    </r>
  </si>
  <si>
    <t>Descripción del Control</t>
  </si>
  <si>
    <r>
      <t xml:space="preserve">Recuerde que el control se define como la medida que permite reducir o mitigar un riesgo. Defina el control (es) que atacan la causa raíz del riesgo, considere la estructura explicada en la guía: </t>
    </r>
    <r>
      <rPr>
        <b/>
        <sz val="9"/>
        <color theme="9" tint="-0.249977111117893"/>
        <rFont val="Arial Narrow"/>
        <family val="2"/>
      </rPr>
      <t>Responsable de ejecutar el control + Acción + Complemento</t>
    </r>
  </si>
  <si>
    <t>Tipo de control</t>
  </si>
  <si>
    <t>Debe seleccionar de lista desplegable entre:
Preventivo
Detectivo
Correctivo</t>
  </si>
  <si>
    <t>Peso del Control</t>
  </si>
  <si>
    <t>Se calcula automáticamente según lo seleccionado en Tipo de Control
Preventivo: 25 %
Detectivo: 15 %
Correctivo: 10 %</t>
  </si>
  <si>
    <t>Afectación o Desplazamiento en la Matriz</t>
  </si>
  <si>
    <t>Implementación</t>
  </si>
  <si>
    <t>Debe seleccionar de lista desplegable entre:
Automático: 25 %
Manual: 15 %</t>
  </si>
  <si>
    <t>Peso de la implementación</t>
  </si>
  <si>
    <t>Se calcula automáticamente según lo seleccionado en Implementación
Manual
Automático</t>
  </si>
  <si>
    <t>Informativos</t>
  </si>
  <si>
    <t>Debe seleccionar de listas desplegables
Documentación: Documentado - Sin Documentar
Frecuencia: Continua - Aleatoria
Evidencia: Con registro - Sin registro</t>
  </si>
  <si>
    <t>Valor Total del Control</t>
  </si>
  <si>
    <t>Se calcula automáticamente:
Peso del Control + Peso de la implementación</t>
  </si>
  <si>
    <t>Probabilidad residual</t>
  </si>
  <si>
    <t>Se calcula automáticamente:
% Probabilidad Riesgo Inherente-(% Probabilidad Riesgo Inherente*Valor Total del Control)</t>
  </si>
  <si>
    <t>Impacto Residual</t>
  </si>
  <si>
    <t>% Impacto Riesgo Inherente-(% Impacto Riesgo Inherente*Valor Total del Control)</t>
  </si>
  <si>
    <r>
      <t>6 MAPA CALOR RESIDUAL:</t>
    </r>
    <r>
      <rPr>
        <sz val="11"/>
        <rFont val="Arial Narrow"/>
        <family val="2"/>
      </rPr>
      <t xml:space="preserve"> Representación gráfica de la ubicación de cada riesgo residual en el mapa de calor (En esta hoja no se ingresan datos)</t>
    </r>
  </si>
  <si>
    <r>
      <t>7 MAPA CALOR INHEREN Y RESIDUAL:</t>
    </r>
    <r>
      <rPr>
        <sz val="11"/>
        <rFont val="Arial Narrow"/>
        <family val="2"/>
      </rPr>
      <t xml:space="preserve"> Comparación gráfica de la ubicación de cada riesgo inherente y residual en el mapa de calor (En esta hoja no se ingresan dados)</t>
    </r>
  </si>
  <si>
    <r>
      <t>8 MAPA RIESGOS:</t>
    </r>
    <r>
      <rPr>
        <sz val="11"/>
        <rFont val="Arial Narrow"/>
        <family val="2"/>
      </rPr>
      <t xml:space="preserve"> Establece el Tratamiento, Plan de Acción, Seguimientos por parte del Líder del Proceso, Verificación por parte de segunda línea de defensa o quien haga sus veces, Verificación por parte de la Oficina de Control Interno o quien haga sus veces y el estado de la acción.</t>
    </r>
  </si>
  <si>
    <t>SEVERIDAD (NIVEL DE RIESGO)</t>
  </si>
  <si>
    <t>Se calcula automáticamente según CALIFICACIÓN RIESGO RESIDUAL / PROBABILIDAD E IMPACTO</t>
  </si>
  <si>
    <t>Tratamiento</t>
  </si>
  <si>
    <t>Se calcula automáticamente según SEVERIDAD (NIVEL DE RIESGO):
Extremo, Alto, Moderado: Reducir, mitigar, Transferir, Evitar
Bajo: Aceptar</t>
  </si>
  <si>
    <t>¿Requiere Plan de Acción?</t>
  </si>
  <si>
    <t>Se calcula automáticamente según Tratamiento
Reducir, mitigar, Transferir, Evitar: Requiere plan de acción
Aceptar: No requiere plan de acción</t>
  </si>
  <si>
    <t xml:space="preserve">Plan de Acción
Descripción de la Acción, basado en el análisis de causas
Responsable (Cargo)
Fecha de Inicio
Fecha de Finalización
</t>
  </si>
  <si>
    <t xml:space="preserve">Esta casilla dependerá del tratamiento establecido, si es Aceptar no se requieren acciones adicionales, en caso de escoger Reducir (mitigar) se deben diligenciar las acciones que se adelantarán como complemento a los controles establecidos, no necesariamente son controles adicionales. Para Reducir (compartir), es viable diligenciar la acción que deriva de esta (ejemplo póliza seguros, terceración), indicando información relevante. </t>
  </si>
  <si>
    <t>Seguimientos por parte del Líder del Proceso</t>
  </si>
  <si>
    <t>Realizar descripción de los seguimientos por parte del proceso</t>
  </si>
  <si>
    <t>Verificación por parte de segunda línea de defensa o quien haga sus veces (Fecha y Descripción)</t>
  </si>
  <si>
    <t>Realizar descripción de las verificaciones de la segunda línea de defensa</t>
  </si>
  <si>
    <t>Verificación por parte de la Oficina de Control Interno o quien haga sus veces (Fecha y Descripción)</t>
  </si>
  <si>
    <t>Realizar descripción de las verificaciones que realiza Control Interno o quien haga sus veces.</t>
  </si>
  <si>
    <t>Estado</t>
  </si>
  <si>
    <t>Utilice la lista de despligue que se encuentra parametrizada, le aparecerán las opciones:
Sin Iniciar, En proceso, Cerrado,
la selección en este caso dependerá de las acciones del plan que se hayan establecido en cada caso.</t>
  </si>
  <si>
    <r>
      <t>9 RIESGO DEL PROCESO:</t>
    </r>
    <r>
      <rPr>
        <sz val="11"/>
        <rFont val="Arial Narrow"/>
        <family val="2"/>
      </rPr>
      <t xml:space="preserve"> Calcula el nivel de riesgo del proceso (En esta hoja no se ingresan datos)</t>
    </r>
  </si>
  <si>
    <r>
      <t>10 CONTROL DE CAMBIOS:</t>
    </r>
    <r>
      <rPr>
        <sz val="11"/>
        <rFont val="Arial Narrow"/>
        <family val="2"/>
      </rPr>
      <t xml:space="preserve"> En ella se debe registrar los cambios al formato y al contenido del mismo</t>
    </r>
  </si>
  <si>
    <r>
      <t>11 FORMULAS:</t>
    </r>
    <r>
      <rPr>
        <sz val="11"/>
        <rFont val="Arial Narrow"/>
        <family val="2"/>
      </rPr>
      <t xml:space="preserve"> La información que contiene se utiliza para realizar operaciones en las demás hojas (En esta hoja no se ingresan datos)</t>
    </r>
  </si>
  <si>
    <t>Lista de datos de la matriz:</t>
  </si>
  <si>
    <t>Hoja</t>
  </si>
  <si>
    <r>
      <t xml:space="preserve">Consolida o resume los análisis sobre impacto + causa inmediata + causa raíz, permitiendo contar con una redacción clara y concreta del riesgo indentificado. Tenga en cuenta la estructura de alto nivel establecida en al guía, inicia con </t>
    </r>
    <r>
      <rPr>
        <b/>
        <sz val="9"/>
        <rFont val="Arial Narrow"/>
        <family val="2"/>
      </rPr>
      <t>POSIBILIDAD DE + Impacto para la entidad (Qué) + Causa Inmediata (Cómo) + Causa Raíz (Por qué)</t>
    </r>
    <r>
      <rPr>
        <sz val="9"/>
        <rFont val="Arial Narrow"/>
        <family val="2"/>
      </rPr>
      <t xml:space="preserve"> 
(Se genera automáticamente)</t>
    </r>
  </si>
  <si>
    <r>
      <t xml:space="preserve">Recuerde que el control se define como la medida que permite reducir o mitigar un riesgo. Defina el control (es) que atacan la causa raíz del riesgo, considere la estructura explicada en la guía: </t>
    </r>
    <r>
      <rPr>
        <b/>
        <sz val="9"/>
        <rFont val="Arial Narrow"/>
        <family val="2"/>
      </rPr>
      <t>Responsable de ejecutar el control + Acción + Complemento</t>
    </r>
  </si>
  <si>
    <t>Archivo creado por:</t>
  </si>
  <si>
    <t>MAPA DE RIESGOS</t>
  </si>
  <si>
    <t>VERSIÓN:</t>
  </si>
  <si>
    <t>ENTIDAD:</t>
  </si>
  <si>
    <t>PROCESO:</t>
  </si>
  <si>
    <t xml:space="preserve">Vigencia: </t>
  </si>
  <si>
    <t>Del</t>
  </si>
  <si>
    <t>Al</t>
  </si>
  <si>
    <t>No. de Riesgo
(Mismo consecutivo para toda la entidad)</t>
  </si>
  <si>
    <t>FACTOR DEL RIESGO</t>
  </si>
  <si>
    <t>FACTOR DE RIESGO</t>
  </si>
  <si>
    <t>SELECCIONE FUENTE GENERADORA DEL EVENTO PARA TIPO E,F,G</t>
  </si>
  <si>
    <t>VALIDACIÓN FUENTE GENERADORA DEL EVENTO PARA TIPO A,B,C,D</t>
  </si>
  <si>
    <t>DESCRIPCIÓN DEL TIPO DE FACTOR DE RIESGO</t>
  </si>
  <si>
    <t>TIPOLOGÍA</t>
  </si>
  <si>
    <r>
      <t>¿CÓMO?
CAUSA INMEDIATA 
(</t>
    </r>
    <r>
      <rPr>
        <sz val="11"/>
        <rFont val="Arial"/>
        <family val="2"/>
      </rPr>
      <t xml:space="preserve">Iniciar con la palabra 
</t>
    </r>
    <r>
      <rPr>
        <b/>
        <sz val="11"/>
        <rFont val="Arial"/>
        <family val="2"/>
      </rPr>
      <t>por)</t>
    </r>
  </si>
  <si>
    <r>
      <t>¿PORQUÉ?
CAUSA RAÍZ
(</t>
    </r>
    <r>
      <rPr>
        <sz val="11"/>
        <rFont val="Arial"/>
        <family val="2"/>
      </rPr>
      <t xml:space="preserve">Iniciar con 
</t>
    </r>
    <r>
      <rPr>
        <b/>
        <sz val="11"/>
        <rFont val="Arial"/>
        <family val="2"/>
      </rPr>
      <t>debido a/a causa de)</t>
    </r>
  </si>
  <si>
    <t>SUB CAUSAS (Si aplica)</t>
  </si>
  <si>
    <t>R1</t>
  </si>
  <si>
    <t xml:space="preserve">Productos (bienes o servicios) que oferta/requiere </t>
  </si>
  <si>
    <t>Fiscal</t>
  </si>
  <si>
    <t>Posibilidad  de efecto dañoso sobre bienes de uso público</t>
  </si>
  <si>
    <t>R2</t>
  </si>
  <si>
    <t>R3</t>
  </si>
  <si>
    <t>R4</t>
  </si>
  <si>
    <t>R5</t>
  </si>
  <si>
    <t>R6</t>
  </si>
  <si>
    <t>R7</t>
  </si>
  <si>
    <t>R8</t>
  </si>
  <si>
    <t>R9</t>
  </si>
  <si>
    <t>R10</t>
  </si>
  <si>
    <t>R11</t>
  </si>
  <si>
    <t>R12</t>
  </si>
  <si>
    <t>R13</t>
  </si>
  <si>
    <t>R14</t>
  </si>
  <si>
    <t>R15</t>
  </si>
  <si>
    <t>R16</t>
  </si>
  <si>
    <t>R17</t>
  </si>
  <si>
    <t>R18</t>
  </si>
  <si>
    <t>R19</t>
  </si>
  <si>
    <t>R20</t>
  </si>
  <si>
    <t>Esta hoja se utiliza para realizar cálculos en las demás, en ella no se ingresan datos</t>
  </si>
  <si>
    <t>NO REQUIERE CLAVE PARA DESBLOQUEAR LAS HOJAS</t>
  </si>
  <si>
    <t>Eficiencia</t>
  </si>
  <si>
    <t xml:space="preserve">Atributos formalización del control </t>
  </si>
  <si>
    <t>¿QUÉ? IMPACTO</t>
  </si>
  <si>
    <t>TIPO</t>
  </si>
  <si>
    <t>Documentación</t>
  </si>
  <si>
    <t>Frecuencia</t>
  </si>
  <si>
    <t>Evidencia</t>
  </si>
  <si>
    <t>Ejecuión</t>
  </si>
  <si>
    <t>Afecta</t>
  </si>
  <si>
    <t>Reducir</t>
  </si>
  <si>
    <t>Posibilidad de pérdida Económica</t>
  </si>
  <si>
    <t>Sin Iniciar</t>
  </si>
  <si>
    <t>A_Ejecución_y_Administración_de_procesos</t>
  </si>
  <si>
    <t>Procesos</t>
  </si>
  <si>
    <t>Preventivo</t>
  </si>
  <si>
    <t>Automático</t>
  </si>
  <si>
    <t>Procedimientos</t>
  </si>
  <si>
    <t xml:space="preserve">Siempre que se ejecuta la actividad </t>
  </si>
  <si>
    <t>Con registro manual</t>
  </si>
  <si>
    <t>Interna</t>
  </si>
  <si>
    <t>Probabilidad</t>
  </si>
  <si>
    <t>Mitigar</t>
  </si>
  <si>
    <t>Posibilidad de pérdida Reputacional</t>
  </si>
  <si>
    <t>En proceso</t>
  </si>
  <si>
    <t>B_Fraude_Externo</t>
  </si>
  <si>
    <t>Detectivo</t>
  </si>
  <si>
    <t>Manual</t>
  </si>
  <si>
    <t>Sistemas de información</t>
  </si>
  <si>
    <t>Periódicamente (diario, mensual, bimestral, trimestral, semestral).</t>
  </si>
  <si>
    <t>Con registro electrónico</t>
  </si>
  <si>
    <t>Externa</t>
  </si>
  <si>
    <t>Transferir</t>
  </si>
  <si>
    <t>Posibilidad de pérdida Económica y Reputacional</t>
  </si>
  <si>
    <t>Cerrado</t>
  </si>
  <si>
    <t>C_Fraude_Interno</t>
  </si>
  <si>
    <t>Evento_Externo</t>
  </si>
  <si>
    <t>Correctivo</t>
  </si>
  <si>
    <t>Otros Esquemas</t>
  </si>
  <si>
    <t>Mixta</t>
  </si>
  <si>
    <t>Impacto</t>
  </si>
  <si>
    <t>Aceptar</t>
  </si>
  <si>
    <t>Posibilidad de pérdida Reputacional y Económica</t>
  </si>
  <si>
    <t>D_Fallas_Tecnológicas</t>
  </si>
  <si>
    <t>Evitar</t>
  </si>
  <si>
    <t>E_Relaciones_Laborales</t>
  </si>
  <si>
    <t>Talento_Humano</t>
  </si>
  <si>
    <t>F_Usuarios_Productos_y_Prácticas_Organizacionales</t>
  </si>
  <si>
    <t>G_Daños_Activos_Físicos</t>
  </si>
  <si>
    <t>Tecnologías</t>
  </si>
  <si>
    <t>Gestión</t>
  </si>
  <si>
    <t>Seg. de la Información</t>
  </si>
  <si>
    <t>Infraestructura</t>
  </si>
  <si>
    <t>Integridad Pùblica - Corrupción</t>
  </si>
  <si>
    <t>Integridad Pùblica - LA/FT/FP</t>
  </si>
  <si>
    <t>Seguridad_Información</t>
  </si>
  <si>
    <t>Integridad_Pública_Corrupción</t>
  </si>
  <si>
    <t>Integridad_Pública_LA_FT_FP</t>
  </si>
  <si>
    <t>Posibilidad de afectación económica</t>
  </si>
  <si>
    <t>Posibilidad  de efecto dañoso sobre el recurso público</t>
  </si>
  <si>
    <t>Posibilidad de perdida de integridad</t>
  </si>
  <si>
    <t>Posibilidad de afectación reputacional</t>
  </si>
  <si>
    <t>Posibilidad de perdida de confidencialidad</t>
  </si>
  <si>
    <t>Posibilidad de afectación económica y reputacional</t>
  </si>
  <si>
    <t>Posibilidad  de efecto dañoso sobre bienes de uso fiscal</t>
  </si>
  <si>
    <t>Posibilidad de perdida de disponibilidad</t>
  </si>
  <si>
    <t>Posibilidad  de efecto dañoso sobre el interes patrimonial</t>
  </si>
  <si>
    <t>Descripción</t>
  </si>
  <si>
    <t>Ejecución_administración_de_procesos</t>
  </si>
  <si>
    <t>Tecnología</t>
  </si>
  <si>
    <t>Evento_externo</t>
  </si>
  <si>
    <t>Eventos relacionados con la ejecución de los procesos y procedimientos determinados para la operación de la entidad, uso de sistemas de información, por errores en las actividades que deben realizar los servidores de la organización.
Estructura organizacional que afecta la capacidad organizacional</t>
  </si>
  <si>
    <t>Falta de aplicación de los procedimientos</t>
  </si>
  <si>
    <t>Contrapartes de la entidad (naturales o jurídicas)</t>
  </si>
  <si>
    <t>Fraude interno</t>
  </si>
  <si>
    <t>Daño de equipos</t>
  </si>
  <si>
    <t>Derrumbes</t>
  </si>
  <si>
    <t>Fraude Externo</t>
  </si>
  <si>
    <t>Eventos relacionados con transacciones y Operaciones realizadas por un cliente o usuario, que accede o entrega un bien o servicio a la entidad, a través de los canales dispuestos y en una jurisdicción específica.</t>
  </si>
  <si>
    <t>Falta segregación de funciones</t>
  </si>
  <si>
    <t>Caída de sistemas de información y aplicaciones</t>
  </si>
  <si>
    <t>Incendios</t>
  </si>
  <si>
    <t>Suplantación de identidad</t>
  </si>
  <si>
    <t>Eventos relacionados con las conductas o comportamientos de los empleados que afectan la Integridad Pública</t>
  </si>
  <si>
    <t>Errores de grabación, autorización</t>
  </si>
  <si>
    <t>Canales utilizados para la operación</t>
  </si>
  <si>
    <t xml:space="preserve">Gestión inadecuada de conflicto de Intereses </t>
  </si>
  <si>
    <t>Caída de redes</t>
  </si>
  <si>
    <t>Inundaciones</t>
  </si>
  <si>
    <t>Asalto a la oficina</t>
  </si>
  <si>
    <t>Eventos relacionados con la infraestructura tecnológica de la entidad.</t>
  </si>
  <si>
    <t>Errores en cálculos para pagos internos y externos</t>
  </si>
  <si>
    <t>Jurisdicciones (nacional o territorial)</t>
  </si>
  <si>
    <t>Corrupción</t>
  </si>
  <si>
    <t>Errores en hardware o software</t>
  </si>
  <si>
    <t>Daños a activos fijos</t>
  </si>
  <si>
    <t>Atentados, vandalismo, orden público</t>
  </si>
  <si>
    <t>Eventos relacionados con la infraestructura física de la entidad.</t>
  </si>
  <si>
    <t>Falta de supervisión o interventoría</t>
  </si>
  <si>
    <t>Errores en programas</t>
  </si>
  <si>
    <t>Eventos por situaciones externas que afectan la entidad.</t>
  </si>
  <si>
    <t xml:space="preserve">Alta rotación o insuficiencia de personal </t>
  </si>
  <si>
    <t>Acciones contrarias a las leyes o acuerdos de empleo, salud o seguridad en el trabajo</t>
  </si>
  <si>
    <t>Acciones contrarias a las leyes o acuerdos contractuales</t>
  </si>
  <si>
    <t>Falta de capacitación y otros temas relacionados con el personal</t>
  </si>
  <si>
    <t>Características de Eficiencia</t>
  </si>
  <si>
    <t>Peso</t>
  </si>
  <si>
    <t>Factor</t>
  </si>
  <si>
    <t>Tipo</t>
  </si>
  <si>
    <r>
      <t>*</t>
    </r>
    <r>
      <rPr>
        <b/>
        <sz val="9"/>
        <color rgb="FF4D4D4D"/>
        <rFont val="Arial"/>
        <family val="2"/>
      </rPr>
      <t>Implementación</t>
    </r>
  </si>
  <si>
    <r>
      <t xml:space="preserve">*Nota: </t>
    </r>
    <r>
      <rPr>
        <sz val="7"/>
        <color rgb="FF4D4D4D"/>
        <rFont val="Arial"/>
        <family val="2"/>
      </rPr>
      <t>En implementación no se tienen controles semiautomáticos.</t>
    </r>
  </si>
  <si>
    <t>Atributos adicionales del control no tienen valoración pero deben cumplir con todos</t>
  </si>
  <si>
    <t>Basados en la estructura del Modelo de Operación por procesos, despliegue desde cada proceso, sus procedimientos y esquemas asociados, que se encuentren documentados.</t>
  </si>
  <si>
    <t>Sistemas de información de apoyo a la ejecución del control (si existen).</t>
  </si>
  <si>
    <t>Políticas de operación, manuales o guías específicas.</t>
  </si>
  <si>
    <t>Diario</t>
  </si>
  <si>
    <t>La oportunidad en que se ejecuta el control debe ayudar a prevenir la mitigación del riesgo o a detectar la materialización del riesgo de manera oportuna.</t>
  </si>
  <si>
    <t>Mensual</t>
  </si>
  <si>
    <t>Bimestral</t>
  </si>
  <si>
    <t>Trimestral</t>
  </si>
  <si>
    <t>Semestral</t>
  </si>
  <si>
    <r>
      <t xml:space="preserve">Evidencia
</t>
    </r>
    <r>
      <rPr>
        <sz val="9"/>
        <color rgb="FF4D4D4D"/>
        <rFont val="Arial"/>
        <family val="2"/>
      </rPr>
      <t>(Trazabilidad de la ejecución)</t>
    </r>
  </si>
  <si>
    <t>Se deja evidencia o rastro de la ejecución del control.</t>
  </si>
  <si>
    <r>
      <t xml:space="preserve">Ejecución 
</t>
    </r>
    <r>
      <rPr>
        <sz val="9"/>
        <color rgb="FF4D4D4D"/>
        <rFont val="Arial"/>
        <family val="2"/>
      </rPr>
      <t>(Fuentes de información internas o externas)</t>
    </r>
  </si>
  <si>
    <t>Formatos o registros internos formales.</t>
  </si>
  <si>
    <t xml:space="preserve">Externa </t>
  </si>
  <si>
    <t>Registros externos confiables (extractos bancarios, confirmaciones de autenticidad de documentos, SECOP, SIIF, SIGEP, bases de datos).</t>
  </si>
  <si>
    <t>Combinación de datos de fuentes internas y externas formales.</t>
  </si>
  <si>
    <t>IMPACTO INHERENTE</t>
  </si>
  <si>
    <t>PROBABILIDAD INHERENTE</t>
  </si>
  <si>
    <t>Resultado</t>
  </si>
  <si>
    <t>PROBABILIDAD</t>
  </si>
  <si>
    <t>IMPACTO</t>
  </si>
  <si>
    <t>No. Riesgo</t>
  </si>
  <si>
    <t>Riesgo</t>
  </si>
  <si>
    <t>Frecuencia de la Actividad</t>
  </si>
  <si>
    <t>% Probabilidad</t>
  </si>
  <si>
    <t>Nivel Probabilidad</t>
  </si>
  <si>
    <t>%</t>
  </si>
  <si>
    <t>Nivel</t>
  </si>
  <si>
    <t>Porcentaje de Impacto</t>
  </si>
  <si>
    <t>Nivel de Impacto</t>
  </si>
  <si>
    <t>Mínimo</t>
  </si>
  <si>
    <t>Máximo</t>
  </si>
  <si>
    <t>% Impacto</t>
  </si>
  <si>
    <t>Afectación_Económica</t>
  </si>
  <si>
    <t>Entre 10 y 50 SMLMV</t>
  </si>
  <si>
    <t>El riesgo afecta la imagen de algún área de la organización.</t>
  </si>
  <si>
    <t>Muy Baja</t>
  </si>
  <si>
    <t>La actividad que conlleva el riesgo se ejecuta como máximos 2 veces por año</t>
  </si>
  <si>
    <t>Leve</t>
  </si>
  <si>
    <t>Menor a 10 SMLMV</t>
  </si>
  <si>
    <t>Baja</t>
  </si>
  <si>
    <t>La actividad que conlleva el riesgo se ejecuta de 3 a 24 veces por año</t>
  </si>
  <si>
    <t>Menor</t>
  </si>
  <si>
    <t>El riesgo afecta la imagen de la entidad internamente, de conocimiento general nivel interno, de junta directiva y accionistas y/o de proveedores.</t>
  </si>
  <si>
    <t>Media</t>
  </si>
  <si>
    <t>La actividad que conlleva el riesgo se ejecuta de 24 a 500 veces por año</t>
  </si>
  <si>
    <t>Moderado</t>
  </si>
  <si>
    <t>Entre 50 y 100 SMLMV</t>
  </si>
  <si>
    <t>El riesgo afecta la imagen de la entidad con algunos usuarios de relevancia frente al logro de los objetivos.</t>
  </si>
  <si>
    <t>Alta</t>
  </si>
  <si>
    <t>La actividad que conlleva el riesgo se ejecuta mínimo 500 veces al año y máximo 5.000 veces por año</t>
  </si>
  <si>
    <t>Mayor</t>
  </si>
  <si>
    <t>Entre 100 y 500 SMLMV</t>
  </si>
  <si>
    <t>El riesgo afecta la imagen de la entidad con efecto publicitario sostenido a nivel de sector administrativo, nivel departamental o municipal.</t>
  </si>
  <si>
    <t>Muy Alta</t>
  </si>
  <si>
    <t>La actividad que conlleva el riesgo se ejecuta más de 5.000 veces por año</t>
  </si>
  <si>
    <t>Catastrófico</t>
  </si>
  <si>
    <t>Mayor a 500 SMLMV</t>
  </si>
  <si>
    <t>El riesgo afecta la imagen de la entidad a nivel nacional, con efecto publicitario sostenido a nivel país</t>
  </si>
  <si>
    <t>N/A</t>
  </si>
  <si>
    <t>MAPA DE CALOR RIESGO INHERENTE</t>
  </si>
  <si>
    <t>CALIFICACIÓN RIESGO INHERENTE</t>
  </si>
  <si>
    <t>No. DEL RIESGO</t>
  </si>
  <si>
    <t>RIESGO</t>
  </si>
  <si>
    <t>Alto</t>
  </si>
  <si>
    <t>Extremo</t>
  </si>
  <si>
    <t>Bajo</t>
  </si>
  <si>
    <t>NIVELES DE RIESGO</t>
  </si>
  <si>
    <t xml:space="preserve"> </t>
  </si>
  <si>
    <t>VALORACIÓN DEL CONTROL</t>
  </si>
  <si>
    <t xml:space="preserve">Peso del Control + Peso de la implementación </t>
  </si>
  <si>
    <t>% Probabilidad Riesgo Inherente-(% Probabilidad Riesgo Inherente*Valor Total del Control)</t>
  </si>
  <si>
    <t>NIVEL</t>
  </si>
  <si>
    <t>Atributos del control</t>
  </si>
  <si>
    <t>% MIN</t>
  </si>
  <si>
    <t>% MAX</t>
  </si>
  <si>
    <t>% Probabilidad Riesgo Inherente</t>
  </si>
  <si>
    <t>% Impacto Riesgo Inherente</t>
  </si>
  <si>
    <t>No. Control</t>
  </si>
  <si>
    <t xml:space="preserve">Formalización del control </t>
  </si>
  <si>
    <t>Acción
(Inicia con un verbo)</t>
  </si>
  <si>
    <t>Descripción del control</t>
  </si>
  <si>
    <t>Evidencia
(Trazabilidad de la ejecución)</t>
  </si>
  <si>
    <t>Ejecución</t>
  </si>
  <si>
    <t>Probabilidad residual Final</t>
  </si>
  <si>
    <t>Impacto Residual Final</t>
  </si>
  <si>
    <t>MAPA DE CALOR RIESGO RESIDUAL</t>
  </si>
  <si>
    <t>CALIFICACIÓN RIESGO RESIDUAL</t>
  </si>
  <si>
    <t>Probabilidad Residual</t>
  </si>
  <si>
    <t>Severidad 
(Nivel de Riesgo)</t>
  </si>
  <si>
    <t>Plan de Acción</t>
  </si>
  <si>
    <t>% Probabilidad Inherente</t>
  </si>
  <si>
    <t>% Impacto Inherente</t>
  </si>
  <si>
    <t>% Probabilidad Residual</t>
  </si>
  <si>
    <t>% Impacto Residual</t>
  </si>
  <si>
    <t xml:space="preserve">Determine el tratamiento a seguir 
</t>
  </si>
  <si>
    <t>Definición del Tratamiento</t>
  </si>
  <si>
    <t>Descripción de la Acción, basado en el análisis de causas</t>
  </si>
  <si>
    <t>Responsable 
(Cargo)</t>
  </si>
  <si>
    <t>Fecha de Inicio</t>
  </si>
  <si>
    <t>Fecha de Finalización</t>
  </si>
  <si>
    <t>Seguimiento 1 (Fecha y avance)</t>
  </si>
  <si>
    <t>Seguimiento 2 (Fecha y avance)</t>
  </si>
  <si>
    <t>Seguimiento 3 ... (Fecha y avance)</t>
  </si>
  <si>
    <t>Verificación por parte de segunda línea de defensa o quien haga sus veces 
(Fecha y Descripción)</t>
  </si>
  <si>
    <t>Verificación por parte de la Oficina de Control Interno o quien haga sus veces 
(Fecha y Descripción)</t>
  </si>
  <si>
    <t>Reducir_Mitigar</t>
  </si>
  <si>
    <t>Reducir_mitigar_Transferir_Evitar</t>
  </si>
  <si>
    <t>Requiere Plan de Acción</t>
  </si>
  <si>
    <t>Reducir_Transferir</t>
  </si>
  <si>
    <t>No requiere Plan de Acción</t>
  </si>
  <si>
    <t>RIESGO INHERENTE Y RESIDUAL DEL PROCESO</t>
  </si>
  <si>
    <r>
      <rPr>
        <b/>
        <sz val="11"/>
        <color theme="1"/>
        <rFont val="Calibri"/>
        <family val="2"/>
        <scheme val="minor"/>
      </rPr>
      <t>Explicaciones Para realizar la ponderación de Riesgos.</t>
    </r>
    <r>
      <rPr>
        <sz val="11"/>
        <color theme="1"/>
        <rFont val="Calibri"/>
        <family val="2"/>
        <scheme val="minor"/>
      </rPr>
      <t xml:space="preserve">
1. Si en la sumatoria de los riesgos los Extremos representan mas o igual al 20% de los Riesgos, la calificación del Proceso será EXTREMO.</t>
    </r>
  </si>
  <si>
    <t>2. Si en la sumatoria de los riesgos Extermos y altos representan mas o igual al 30% de los Riesgos Calificados, y menos del 20% de los Riesgos Extremos la calificación del Proceso será ALTO.</t>
  </si>
  <si>
    <t>3. Si en la sumatoria de los riesgos Extremos, altos y moderados representan mas o igual al  40% de los Riesgos Calificados, y menos del 30% de los Riesgos Extremos y Altos, y Menos del 20% de los Riesgos Extremos, la calificación del Proceso será MODERADO.</t>
  </si>
  <si>
    <r>
      <t xml:space="preserve">4. Si en la sumatoria de los riesgos Extremos, altos,  moderados y bajos representan mas o igual al  50% de los Riesgos Calificados, y menos del 40% de los riesgos Extremos, altos y moderados, y menos del 30% de los riesgos calificados en Extremos y Altos, y menos del 20% de los riesgos Extremos, la calificación del proceso sera BAJO.
</t>
    </r>
    <r>
      <rPr>
        <b/>
        <sz val="11"/>
        <color theme="1"/>
        <rFont val="Calibri"/>
        <family val="2"/>
        <scheme val="minor"/>
      </rPr>
      <t xml:space="preserve">Nota: </t>
    </r>
    <r>
      <rPr>
        <sz val="11"/>
        <color theme="1"/>
        <rFont val="Calibri"/>
        <family val="2"/>
        <scheme val="minor"/>
      </rPr>
      <t>Adapatado de Instituto de Auditores Internos</t>
    </r>
    <r>
      <rPr>
        <b/>
        <sz val="11"/>
        <color theme="1"/>
        <rFont val="Calibri"/>
        <family val="2"/>
        <scheme val="minor"/>
      </rPr>
      <t xml:space="preserve"> COSO ERM </t>
    </r>
    <r>
      <rPr>
        <sz val="11"/>
        <color theme="1"/>
        <rFont val="Calibri"/>
        <family val="2"/>
        <scheme val="minor"/>
      </rPr>
      <t>Agosto 2014</t>
    </r>
  </si>
  <si>
    <t>RIESGO INHERENTE DEL PROCESO</t>
  </si>
  <si>
    <t>RIESGO RESIDUAL DEL PROCESO</t>
  </si>
  <si>
    <t>Sumatoria de riesgos Extremos</t>
  </si>
  <si>
    <t>Sumatoria de riesgos altos</t>
  </si>
  <si>
    <t>Sumatoria de riesgos moderados</t>
  </si>
  <si>
    <t>Sumatoria de Riesgos bajos</t>
  </si>
  <si>
    <t>Total</t>
  </si>
  <si>
    <t>Fecha</t>
  </si>
  <si>
    <t>Control de Cambios</t>
  </si>
  <si>
    <t>PROCESO: Control Interno</t>
  </si>
  <si>
    <t xml:space="preserve">FACTOR DEL RIESGO / SELECCIONE FUENTE GENERADORA DEL EVENTO </t>
  </si>
  <si>
    <r>
      <rPr>
        <b/>
        <sz val="9"/>
        <rFont val="Arial Narrow"/>
        <family val="2"/>
      </rPr>
      <t>Seleccione de la lista desplegable entre las opiciones:</t>
    </r>
    <r>
      <rPr>
        <sz val="9"/>
        <rFont val="Arial Narrow"/>
        <family val="2"/>
      </rPr>
      <t xml:space="preserve">
A_Ejecución_y_Administración_de_procesos
</t>
    </r>
    <r>
      <rPr>
        <sz val="9"/>
        <color theme="1"/>
        <rFont val="Arial Narrow"/>
        <family val="2"/>
      </rPr>
      <t>B_Infraestructura</t>
    </r>
    <r>
      <rPr>
        <sz val="9"/>
        <rFont val="Arial Narrow"/>
        <family val="2"/>
      </rPr>
      <t xml:space="preserve">
</t>
    </r>
    <r>
      <rPr>
        <sz val="9"/>
        <color theme="1"/>
        <rFont val="Arial Narrow"/>
        <family val="2"/>
      </rPr>
      <t>D_Evento externo</t>
    </r>
    <r>
      <rPr>
        <sz val="9"/>
        <rFont val="Arial Narrow"/>
        <family val="2"/>
      </rPr>
      <t xml:space="preserve">
</t>
    </r>
    <r>
      <rPr>
        <sz val="9"/>
        <color theme="1"/>
        <rFont val="Arial Narrow"/>
        <family val="2"/>
      </rPr>
      <t>E_Talento_Humano</t>
    </r>
    <r>
      <rPr>
        <sz val="9"/>
        <rFont val="Arial Narrow"/>
        <family val="2"/>
      </rPr>
      <t xml:space="preserve">
</t>
    </r>
    <r>
      <rPr>
        <sz val="9"/>
        <color theme="1"/>
        <rFont val="Arial Narrow"/>
        <family val="2"/>
      </rPr>
      <t>F_Transacción_u_Operación_aplica_para_LA_FT_FP</t>
    </r>
    <r>
      <rPr>
        <sz val="9"/>
        <rFont val="Arial Narrow"/>
        <family val="2"/>
      </rPr>
      <t xml:space="preserve">
</t>
    </r>
    <r>
      <rPr>
        <sz val="9"/>
        <color theme="1"/>
        <rFont val="Arial Narrow"/>
        <family val="2"/>
      </rPr>
      <t>G_Tecnología</t>
    </r>
  </si>
  <si>
    <r>
      <rPr>
        <b/>
        <sz val="9"/>
        <rFont val="Arial Narrow"/>
        <family val="2"/>
      </rPr>
      <t>F_Transacción_u_Operación_aplica_para_LA_FT_FP</t>
    </r>
    <r>
      <rPr>
        <sz val="9"/>
        <rFont val="Arial Narrow"/>
        <family val="2"/>
      </rPr>
      <t xml:space="preserve">
- Contrapartes de la entidad (naturales o jurídicas)
- Productos (bienes o servicios) que oferta/requiere
- Canales utilizados para la operación
- Jurisdicciones (nacional o territorial)</t>
    </r>
  </si>
  <si>
    <r>
      <rPr>
        <b/>
        <sz val="9"/>
        <rFont val="Arial Narrow"/>
        <family val="2"/>
      </rPr>
      <t>G_Tecnología</t>
    </r>
    <r>
      <rPr>
        <sz val="9"/>
        <rFont val="Arial Narrow"/>
        <family val="2"/>
      </rPr>
      <t xml:space="preserve">
- Daño de equipos
- Caída de sistemas de información y aplicaciones
- Caída de redes
- Errores en hardware o software
- Errores en programas</t>
    </r>
  </si>
  <si>
    <r>
      <rPr>
        <b/>
        <sz val="9"/>
        <rFont val="Arial Narrow"/>
        <family val="2"/>
      </rPr>
      <t>D_Evento externo:</t>
    </r>
    <r>
      <rPr>
        <sz val="9"/>
        <rFont val="Arial Narrow"/>
        <family val="2"/>
      </rPr>
      <t xml:space="preserve">
- Fraude Externo
- Suplantación de identidad
- Asalto a la oficina
- Atentados, vandalismo, orden público</t>
    </r>
  </si>
  <si>
    <r>
      <rPr>
        <b/>
        <sz val="9"/>
        <rFont val="Arial Narrow"/>
        <family val="2"/>
      </rPr>
      <t>B_Infraestructura:</t>
    </r>
    <r>
      <rPr>
        <sz val="9"/>
        <rFont val="Arial Narrow"/>
        <family val="2"/>
      </rPr>
      <t xml:space="preserve">
- Derrumbes
- Incendios
- Inundaciones
- Daños a activos fijos</t>
    </r>
  </si>
  <si>
    <r>
      <rPr>
        <b/>
        <sz val="9"/>
        <rFont val="Arial Narrow"/>
        <family val="2"/>
      </rPr>
      <t>Seleccione de la lista desplegable entre las opiciones:</t>
    </r>
    <r>
      <rPr>
        <sz val="9"/>
        <rFont val="Arial Narrow"/>
        <family val="2"/>
      </rPr>
      <t xml:space="preserve">
</t>
    </r>
    <r>
      <rPr>
        <b/>
        <sz val="9"/>
        <rFont val="Arial Narrow"/>
        <family val="2"/>
      </rPr>
      <t>A_Ejecución_y_Administración_de_procesos:</t>
    </r>
    <r>
      <rPr>
        <sz val="9"/>
        <rFont val="Arial Narrow"/>
        <family val="2"/>
      </rPr>
      <t xml:space="preserve">
- Falta de aplicación de los procedimientos
- Falta segregación de funciones
- Errores de grabación, autorización
- Errores en cálculos para pagos internos y externos
- Falta de supervisión o interventoría
- Alta rotación o insuficiencia de personal
- Acciones contrarias a las leyes o acuerdos de empleo, salud o seguridad en el     trabajo
- Acciones contrarias a las leyes o acuerdos contractuales
- Falta de capacitación y otros temas relacionados con el personal</t>
    </r>
  </si>
  <si>
    <r>
      <rPr>
        <b/>
        <sz val="9"/>
        <rFont val="Arial Narrow"/>
        <family val="2"/>
      </rPr>
      <t>E_Talento_Humano:</t>
    </r>
    <r>
      <rPr>
        <sz val="9"/>
        <rFont val="Arial Narrow"/>
        <family val="2"/>
      </rPr>
      <t xml:space="preserve">
- Fraude interno
- Soborno
- Gestión inadecuada de conflicto de Intereses
- Corrupción
- Hurto de activos</t>
    </r>
  </si>
  <si>
    <t>Afectación económica por Soborno Entrante</t>
  </si>
  <si>
    <t>Afectación económica por Soborno Saliente</t>
  </si>
  <si>
    <t>Afectación económica por Conflicto de interés</t>
  </si>
  <si>
    <t>Afectación reputacional por Soborno Entrante</t>
  </si>
  <si>
    <t>Afectación reputacional por Soborno Saliente</t>
  </si>
  <si>
    <t>Afectación reputacional por Conflicto de interés</t>
  </si>
  <si>
    <t>Afectación reputacional por Corrupción</t>
  </si>
  <si>
    <t xml:space="preserve">Afectación económica por Corrupción </t>
  </si>
  <si>
    <t>Afectación económica y reputacional por Soborno Entrante</t>
  </si>
  <si>
    <t>Afectación económica y reputacional por Soborno Saliente</t>
  </si>
  <si>
    <t>Afectación económica y reputacional por Conflicto de interés</t>
  </si>
  <si>
    <t xml:space="preserve">Afectación económica y reputacional por Corrupción </t>
  </si>
  <si>
    <t xml:space="preserve">Reputacional </t>
  </si>
  <si>
    <t xml:space="preserve">Economico </t>
  </si>
  <si>
    <t>Afectación económica por consecuencias legales</t>
  </si>
  <si>
    <t>Afectación económica</t>
  </si>
  <si>
    <t>Afectación reputacional</t>
  </si>
  <si>
    <t>Afectación económica operativa o de contagio</t>
  </si>
  <si>
    <t>Hurto de activos</t>
  </si>
  <si>
    <t xml:space="preserve">   </t>
  </si>
  <si>
    <t xml:space="preserve">Afectación económica y reputacional por Hurto de activos </t>
  </si>
  <si>
    <t xml:space="preserve">Afectación reputacional por Hurto de activos </t>
  </si>
  <si>
    <t xml:space="preserve">Afectación económica por Hurto de activos  </t>
  </si>
  <si>
    <t>Soborno entrante</t>
  </si>
  <si>
    <t>Soborno saliente</t>
  </si>
  <si>
    <t>Talento_humano</t>
  </si>
  <si>
    <t xml:space="preserve">Niveles </t>
  </si>
  <si>
    <t>De medio a Catastrófico</t>
  </si>
  <si>
    <t>FACTOR</t>
  </si>
  <si>
    <t>FUENTE GENERADORA</t>
  </si>
  <si>
    <t>¿QUÉ IMPACTO</t>
  </si>
  <si>
    <t>Afectación económica por fraude interno</t>
  </si>
  <si>
    <t>Afectación reputacional por fraude interno</t>
  </si>
  <si>
    <t>Afectación económica y reputacional por fraude interno</t>
  </si>
  <si>
    <t>TIPOLOGÍA seleccionado en la hoja 2 Contexto</t>
  </si>
  <si>
    <t>¿QUÉ? IMPACTO seleccionado en la hoja 2 Contexto</t>
  </si>
  <si>
    <t>Productos (bienes o servicios) que oferta/requiere</t>
  </si>
  <si>
    <t>NO_APLICA</t>
  </si>
  <si>
    <t>Soborno_entrante</t>
  </si>
  <si>
    <t>Soborno_saliente</t>
  </si>
  <si>
    <t>PARA LA LISTA DE IMPACTO</t>
  </si>
  <si>
    <t>TH_FI_CORRUPCION</t>
  </si>
  <si>
    <t>TH_SE_CORRUPCION</t>
  </si>
  <si>
    <t>TH_SS_CORRUPCION</t>
  </si>
  <si>
    <t>TH_CI_CORRUPCION</t>
  </si>
  <si>
    <t>TH_C_CORRUPCION</t>
  </si>
  <si>
    <t>TH_H_CORRUPCION</t>
  </si>
  <si>
    <t>CONCATENAR PARA LA LISTA DE IMPACTO</t>
  </si>
  <si>
    <t>CONCATENAR PARA CALIFICAR ECONOMICO/REPUTACIONAL</t>
  </si>
  <si>
    <t>CONCATENAR PARA DETERMINAR LA LISTA DE IMPACTOS</t>
  </si>
  <si>
    <t>IP_CONTRAPARTES_LA_FT_FP</t>
  </si>
  <si>
    <t>IP_PRODUCTOS__LA_FT_FP</t>
  </si>
  <si>
    <t>IP_CANALES_LA_FT_FP</t>
  </si>
  <si>
    <t>IP_JURISDICCION_LA_FT_FP</t>
  </si>
  <si>
    <t>concatenar lo que viene de la hoja 2 CONTEXTO para calificar economica / reputacional</t>
  </si>
  <si>
    <t>Todos los niveles / De medio a Catastrófico</t>
  </si>
  <si>
    <t xml:space="preserve">Todos los niveles </t>
  </si>
  <si>
    <t>Todos los niveles / Todos los niveles</t>
  </si>
  <si>
    <t>REPUTACIONAL_EXTENDIDA</t>
  </si>
  <si>
    <t>RIESGO 1</t>
  </si>
  <si>
    <t>RIESGO 2</t>
  </si>
  <si>
    <t>RIESGO 3</t>
  </si>
  <si>
    <t>RIESGO 4</t>
  </si>
  <si>
    <t>RIESGO 5</t>
  </si>
  <si>
    <t>RIESGO 6</t>
  </si>
  <si>
    <t>RIESGO 7</t>
  </si>
  <si>
    <t>RIESGO 8</t>
  </si>
  <si>
    <t>RIESGO 9</t>
  </si>
  <si>
    <t>RIESGO 10</t>
  </si>
  <si>
    <t>RIESGO 11</t>
  </si>
  <si>
    <t>RIESGO 12</t>
  </si>
  <si>
    <t>RIESGO 13</t>
  </si>
  <si>
    <t>RIESGO 14</t>
  </si>
  <si>
    <t>RIESGO 15</t>
  </si>
  <si>
    <t>RIESGO 16</t>
  </si>
  <si>
    <t>RIESGO 17</t>
  </si>
  <si>
    <t>RIESGO 18</t>
  </si>
  <si>
    <t>RIESGO 19</t>
  </si>
  <si>
    <t>RIESGO 20</t>
  </si>
  <si>
    <t>Posibilidad de pérdida económica</t>
  </si>
  <si>
    <t>Posibilidad de pérdida reputacional</t>
  </si>
  <si>
    <t>Posibilidad de pérdida económica y reputacional</t>
  </si>
  <si>
    <t>ACTIVO DE INFORMACION (Diligenciar solo si Tipologia es Seguridad_Información)</t>
  </si>
  <si>
    <t>FORMATO DE GESTIÓN Y CLASIFICACIÓN DE ACTIVOS DE INFORMACIÓN</t>
  </si>
  <si>
    <t>Código: GIC-TEI-F-09</t>
  </si>
  <si>
    <t xml:space="preserve">Fecha actualización:08/05/2026
</t>
  </si>
  <si>
    <t>Versión: 1</t>
  </si>
  <si>
    <t>IDENTIFICACIÓN DEL ACTIVO DE INFORMACIÓN ( LEY 594 DE 2000 - LEY 1712 DE 2014- DECRETO 103 DE 2015 - DECRETO 1080 DE 2015 - ISO 27001 )</t>
  </si>
  <si>
    <t>CLASIFICACIÓN DEL ACTIVO DE INFORMACIÓN ( ISO 27001 )</t>
  </si>
  <si>
    <t>ÍNDICE DE INFORMACIÓN CLASIFICADA Y RESERVADA ( DECRETO 103 DE 2015)</t>
  </si>
  <si>
    <t>DATOS PERSONALES ( LEY 1581 DE 2012)</t>
  </si>
  <si>
    <t>Subproceso</t>
  </si>
  <si>
    <t>Código del sistema de gestión documental</t>
  </si>
  <si>
    <t>Identificador</t>
  </si>
  <si>
    <t>Dependencia</t>
  </si>
  <si>
    <t>Serie documental</t>
  </si>
  <si>
    <t>Subserie documental</t>
  </si>
  <si>
    <t>Nombre</t>
  </si>
  <si>
    <t>Cargo de la producción de la información
( Propietario del activo)</t>
  </si>
  <si>
    <t>Fecha de generación de la información</t>
  </si>
  <si>
    <t>Cargo de la persona encargada de la información
(Custodio del activo)</t>
  </si>
  <si>
    <t>Fecha de ingreso del activo al archivo</t>
  </si>
  <si>
    <t>Soporte de registro</t>
  </si>
  <si>
    <t>Medio de conservación</t>
  </si>
  <si>
    <t>Formato</t>
  </si>
  <si>
    <t>Idioma</t>
  </si>
  <si>
    <t>Confidencialidad</t>
  </si>
  <si>
    <t>C</t>
  </si>
  <si>
    <t>Integridad</t>
  </si>
  <si>
    <t>I</t>
  </si>
  <si>
    <t>Disponibilidad</t>
  </si>
  <si>
    <t>D</t>
  </si>
  <si>
    <t>Criticidad del activo</t>
  </si>
  <si>
    <t>Información publicada</t>
  </si>
  <si>
    <t>Lugar de consulta o ubicación</t>
  </si>
  <si>
    <t>Objeto legítimo de la excepción</t>
  </si>
  <si>
    <t>Fundamento constitucional o legal</t>
  </si>
  <si>
    <t>Fundamento jurídico de la excepción</t>
  </si>
  <si>
    <t>Excepción total o parcial</t>
  </si>
  <si>
    <t>Fecha de clasificación
(DD/MM/AAAA)</t>
  </si>
  <si>
    <t>Tiempo de clasificación</t>
  </si>
  <si>
    <t>¿Contiene datos personales?</t>
  </si>
  <si>
    <t>¿Contiene datos personales de niños, niñas o adolescentes?</t>
  </si>
  <si>
    <t xml:space="preserve">Tipos de datos personales </t>
  </si>
  <si>
    <t>Finalidad de la recolección de los datos personales</t>
  </si>
  <si>
    <t xml:space="preserve">Existe la autorización para el tratamiento de los datos personales </t>
  </si>
  <si>
    <t>Gestión de la Información y las Comunicaciones</t>
  </si>
  <si>
    <t>Tecnologías de la Información</t>
  </si>
  <si>
    <t>Hardware</t>
  </si>
  <si>
    <t>Tecnologías de la Información y las Comunicaciones​</t>
  </si>
  <si>
    <t>Fisico</t>
  </si>
  <si>
    <t>Hoja de calculo</t>
  </si>
  <si>
    <t>Información pública reservada</t>
  </si>
  <si>
    <t>Disponible a solicitud</t>
  </si>
  <si>
    <t>Portal web propios</t>
  </si>
  <si>
    <t>Sí</t>
  </si>
  <si>
    <t>Parcial</t>
  </si>
  <si>
    <t>1 año</t>
  </si>
  <si>
    <t>Software</t>
  </si>
  <si>
    <t>Sistema de Correo Institucional</t>
  </si>
  <si>
    <t>Plataforma de correo electrónico institucional para comunicaciones oficiales.</t>
  </si>
  <si>
    <t>Digital</t>
  </si>
  <si>
    <t>Otro</t>
  </si>
  <si>
    <t>No publicada o disponible</t>
  </si>
  <si>
    <t>Portal web de terceros</t>
  </si>
  <si>
    <t>No</t>
  </si>
  <si>
    <t>R</t>
  </si>
  <si>
    <t>Oficina</t>
  </si>
  <si>
    <t>Medio de Conservación</t>
  </si>
  <si>
    <t>Información</t>
  </si>
  <si>
    <t>Vigente</t>
  </si>
  <si>
    <t>Despacho del Alcalde</t>
  </si>
  <si>
    <t>Audio</t>
  </si>
  <si>
    <t>Obsoleto</t>
  </si>
  <si>
    <t>Agricultura</t>
  </si>
  <si>
    <t>Documento de texto</t>
  </si>
  <si>
    <t>Electronico</t>
  </si>
  <si>
    <t>Ambiente</t>
  </si>
  <si>
    <t>No aplica</t>
  </si>
  <si>
    <t>Documento PDF</t>
  </si>
  <si>
    <t>Servicios</t>
  </si>
  <si>
    <t>Asuntos Étnicos</t>
  </si>
  <si>
    <t>Presentación</t>
  </si>
  <si>
    <t>Intangibles</t>
  </si>
  <si>
    <t>Cultura</t>
  </si>
  <si>
    <t>Componentes de red</t>
  </si>
  <si>
    <t>Desarrollo Social</t>
  </si>
  <si>
    <t>Imagen</t>
  </si>
  <si>
    <t>Recurso humano</t>
  </si>
  <si>
    <t>Educación</t>
  </si>
  <si>
    <t>Video</t>
  </si>
  <si>
    <t>Gobierno</t>
  </si>
  <si>
    <t>Base de datos</t>
  </si>
  <si>
    <t>Gestión Institucional</t>
  </si>
  <si>
    <t>Hacienda</t>
  </si>
  <si>
    <t>Planeación</t>
  </si>
  <si>
    <t>Salud</t>
  </si>
  <si>
    <t>Turismo</t>
  </si>
  <si>
    <t>Vivienda</t>
  </si>
  <si>
    <t>General</t>
  </si>
  <si>
    <t>Jurídica</t>
  </si>
  <si>
    <t>Seguridad y Convivencia</t>
  </si>
  <si>
    <t>Comunicaciones</t>
  </si>
  <si>
    <t>Control I​nterno</t>
  </si>
  <si>
    <t>Control Interno y Disciplinario​</t>
  </si>
  <si>
    <t>Cooperación Internacion​al​</t>
  </si>
  <si>
    <t>Progr​amas Especiales​</t>
  </si>
  <si>
    <t>Posconflicto​</t>
  </si>
  <si>
    <t>Equidad de Género​</t>
  </si>
  <si>
    <t>Juventudes</t>
  </si>
  <si>
    <t>Libertad Religiosa</t>
  </si>
  <si>
    <t>Gestión Catastral</t>
  </si>
  <si>
    <t>Publicada</t>
  </si>
  <si>
    <t>Información pública clasificada</t>
  </si>
  <si>
    <t>Información pública</t>
  </si>
  <si>
    <t>Intranet</t>
  </si>
  <si>
    <t>No clasificada</t>
  </si>
  <si>
    <t>Archivo físico</t>
  </si>
  <si>
    <t>Archivo digital</t>
  </si>
  <si>
    <t>Sistema de información</t>
  </si>
  <si>
    <t>Fundamento de constitución legal</t>
  </si>
  <si>
    <t>Ley 1581 de 2012</t>
  </si>
  <si>
    <t>Artículo 10 y 13</t>
  </si>
  <si>
    <t>Dato público</t>
  </si>
  <si>
    <t>Ley 1755 de 2015</t>
  </si>
  <si>
    <t>Artículo 27</t>
  </si>
  <si>
    <t>Dato semiprivado</t>
  </si>
  <si>
    <t>Sin excepción</t>
  </si>
  <si>
    <t>Dato privado</t>
  </si>
  <si>
    <t>Dato sensible</t>
  </si>
  <si>
    <t>Dato vulnerable</t>
  </si>
  <si>
    <t>INDICE DE INFORMACIÓN CLASIFICADA O RESERVADA</t>
  </si>
  <si>
    <t>Direccionamiento Estratégico</t>
  </si>
  <si>
    <t>Gestión de Servicios de Salud</t>
  </si>
  <si>
    <t>Gestión Educativa</t>
  </si>
  <si>
    <t>Convivencia Ciudadana, Seguridad y Orden Público</t>
  </si>
  <si>
    <t>Desarrollo Social Integral y Ambiental del Territorio</t>
  </si>
  <si>
    <t>Gestión Financiera</t>
  </si>
  <si>
    <t>Gestión Administrativa</t>
  </si>
  <si>
    <t>Gestión del Talento Humano</t>
  </si>
  <si>
    <t>Gestión Jurídica</t>
  </si>
  <si>
    <t>Gestión Estadística</t>
  </si>
  <si>
    <t>Control Interno</t>
  </si>
  <si>
    <t>Banco de Programas y Proyectos</t>
  </si>
  <si>
    <t>Comunicación Pública</t>
  </si>
  <si>
    <t>Aseguramiento en Salud</t>
  </si>
  <si>
    <t>Calidad Educativa</t>
  </si>
  <si>
    <t>Convivencia y Cultura Ciudadana (Inspección de policía - comisaría de familia, metrología)</t>
  </si>
  <si>
    <t>Gestión de Vivienda y Saneamiento Básico</t>
  </si>
  <si>
    <t>Tesorería</t>
  </si>
  <si>
    <t>Actualización Catastral</t>
  </si>
  <si>
    <t>Atención al Ciudadano</t>
  </si>
  <si>
    <t>Administración del Talento Humano</t>
  </si>
  <si>
    <t>Gestión Contractual</t>
  </si>
  <si>
    <t>Gestión del Sisbén</t>
  </si>
  <si>
    <t>Evaluación a la Gestión</t>
  </si>
  <si>
    <t>Gestión para el Mejoramiento Institucional</t>
  </si>
  <si>
    <t>Salud Pública</t>
  </si>
  <si>
    <t>Cobertura Educativa</t>
  </si>
  <si>
    <t>Gestión de Riesgo de Desastres</t>
  </si>
  <si>
    <t>Gestión Cultural</t>
  </si>
  <si>
    <t>Fiscalización</t>
  </si>
  <si>
    <t>Conservación Catastral</t>
  </si>
  <si>
    <t>Gestión Documental (Archivo - Ventanilla Única)</t>
  </si>
  <si>
    <t>Seguridad y Salud en el Trabajo</t>
  </si>
  <si>
    <t>Defensa Judicial</t>
  </si>
  <si>
    <t>Información Estadística</t>
  </si>
  <si>
    <t>Ordenamiento Territorial</t>
  </si>
  <si>
    <t>Salud Ambiental</t>
  </si>
  <si>
    <t>Inspección y Vigilancia Educativa</t>
  </si>
  <si>
    <t>Víctimas</t>
  </si>
  <si>
    <t>Gestión Turística</t>
  </si>
  <si>
    <t>Contabilidad General</t>
  </si>
  <si>
    <t>Administración Plaza de Mercado</t>
  </si>
  <si>
    <t>Control Disciplinario</t>
  </si>
  <si>
    <t>Juzgamiento Disciplinario</t>
  </si>
  <si>
    <t>Cooperación Internacional</t>
  </si>
  <si>
    <t>Defensa de los Derechos de los Ciudadanos</t>
  </si>
  <si>
    <t>Gestión de Movilidad y Seguridad Vial</t>
  </si>
  <si>
    <t>Gestión para las Comunidades Étnicas</t>
  </si>
  <si>
    <t xml:space="preserve">Gestión Presupuestal </t>
  </si>
  <si>
    <t>Gestión de Inventarios de Bienes Muebles e Inmuebles</t>
  </si>
  <si>
    <t>Gestión Presupuestal</t>
  </si>
  <si>
    <t>Mantenimiento Espacios de Uso Público e Infraestructura Vial</t>
  </si>
  <si>
    <t>Sostenibilidad Ambiental y Minera</t>
  </si>
  <si>
    <t>Atención Social y Participación Ciudadana</t>
  </si>
  <si>
    <t>Desarrollo Agropecuario</t>
  </si>
  <si>
    <t>Gestión para el Posconflicto</t>
  </si>
  <si>
    <t>Macroproceso</t>
  </si>
  <si>
    <t>ç</t>
  </si>
  <si>
    <t>INSTRUCTIVO DILIGENCIAMIENTO DE ACTIVOS DE INFORMACIÓN</t>
  </si>
  <si>
    <t>OBJETIVO
 Establecer de manera clara, detallada y paso a paso la forma correcta de diligenciar cada campo del Formato de Gestión y Clasificación de Activos de Información, permitiendo a las dependencias de la entidad identificar, clasificar, valorar y proteger sus activos de información conforme a los lineamientos del Modelo de Seguridad y Privacidad de la Información (MSPI), ISO 27001, Ley 1712 de 2014, Ley 1581 de 2012 y demás normatividad aplicable.
 A continuación se presenta el diligenciamiento fila por fila para facilitar el registro del formato.</t>
  </si>
  <si>
    <t>FASE</t>
  </si>
  <si>
    <t>FASE 1</t>
  </si>
  <si>
    <t>MACROPROCESO</t>
  </si>
  <si>
    <t>Seleccione el macroproceso de la lista desplegable entre:
 Direccionamiento Estratégico 
 Gestión de la Información y las Comunicaciones 
 Gestión de Servicios de Salud 
 Gestión Educativa 
 Convivencia Ciudadana, Seguridad y Orden Público 
 Desarrollo Social Integral y Ambiental del Territorio 
 Gestión Financiera 
 Gestión Catastral 
 Gestión Administrativa 
 Gestión del Talento Humano 
 Gestión Jurídica 
 Gestión Estadística 
 Control Interno</t>
  </si>
  <si>
    <t>PROCESO</t>
  </si>
  <si>
    <t>Seleccione el proceso relacionado con el macroproceso y con el activo de información de la lista desplegable.</t>
  </si>
  <si>
    <t>CÓDIGO DEL SISTEMA DE GESTIÓN DOCUMENTAL</t>
  </si>
  <si>
    <t>Diligencie el código documental asignado en la Tabla de Retención Documental (TDR) o instrumentos archivísticos. Si no existe, escriba “No aplica”.</t>
  </si>
  <si>
    <t>IDENTIFICADOR</t>
  </si>
  <si>
    <t>Registre un código único que permita identificar el activo. Se recomienda usar una combinación de la dependencia + número consecutivo.
 Por ejemplo, TIC-001</t>
  </si>
  <si>
    <t>Seleccione el tipo de activo de información de la lista desplegable entre:
 Información (Bases de datos de clientes, contratos, hojas de cálculo financieras, manuales internos, correos electrónicos, reportes de ventas)
 Software (Sistema ERP, antivirus, sistema operativo Windows/Linux, aplicación contable, CRM, aplicaciones móviles)
 Hardware (Servidores, computadores portátiles, impresoras, discos duros externos, routers, cámaras de seguridad)
 Servicios (Servicio de correo electrónico corporativo, hosting web, nube (AWS/Azure), internet empresarial, mesa de ayuda TI)
 Intangibles (Marca de la empresa, propiedad intelectual, licencias, patentes, reputación corporativa, know-how)
 Componentes de red (Switches, firewalls, access points Wi-Fi, cables de red, módems, balanceadores de carga)
 Recurso humano 
 No aplica</t>
  </si>
  <si>
    <t>OFICINA</t>
  </si>
  <si>
    <t>Seleccione la dependencia u oficina responsable o relacionada con el activo de información de la lista desplegable entre:
 Despacho del Alcalde
 Agricultura
 Ambiente
 Asuntos Étnicos
 Cultura
 Desarrollo Social
 Educación
 Gobierno
 Gestión Institucional
 Hacienda
 Infraestructura
 Planeación
 Salud
 Turismo
 Vivienda
 General
 Jurídica
 Seguridad y Convivencia
 Comunicaciones
 Control I​nterno
 Control Interno y Disciplinario​
 Cooperación Internacion​al​
 Tecnologías de la Información y las Comunicaciones​
 Progr​amas Especiales​
 Posconflicto​
 Equidad de Género​
 Juventudes
 Libertad Religiosa
 Gestión Catastral</t>
  </si>
  <si>
    <t>SERIE DOCUMENTAL</t>
  </si>
  <si>
    <t>Ingrese la serie documental del área, dependencia o proceso donde se encuentra identificado el activo. Por ejemplo: Si el activo se encuentra en la secretaría jurírica y el activo es un PROCESO JURIDICO el número de serie 34-42</t>
  </si>
  <si>
    <t>SUBSERIE DOCUMENTAL</t>
  </si>
  <si>
    <t>Ingrese la subserie documental correspondiente a la serie donde se encuentra el activo. Por ejemplo: Para el PROCESO JURIDICO si es un proceso de cobro coactivo el número de serie sería 34-42 01</t>
  </si>
  <si>
    <t>NOMBRE</t>
  </si>
  <si>
    <t>Registre el nombre del activo de información de forma clara y específica.</t>
  </si>
  <si>
    <t>DESCRIPCIÓN</t>
  </si>
  <si>
    <t>Describa de manera resumida la función, contenido o propósito del activo.</t>
  </si>
  <si>
    <t>NOMBRE DEL RESPONSABLE DE LA PRODUCCIÓN DE LA INFORMACIÓN (PROPIETARIO DEL ACTIVO)</t>
  </si>
  <si>
    <t>Diligencie el nombre completo de la persona encargada de crear, generar o administrar funcionalmente la información.</t>
  </si>
  <si>
    <t>FECHA DE GENERACIÓN DE LA INFORMACIÓN</t>
  </si>
  <si>
    <t>Ingrese la fecha en la que el activo de información fue creado o comenzó a generarse.</t>
  </si>
  <si>
    <t>NOMBRE DEL RESPONSABLE DE LA INFORMACIÓN (CUSTODIO DEL ACTIVO)</t>
  </si>
  <si>
    <t>Ingrese el nombre completo de la persona encargada de custodiar, almacenar o mantener el activo.</t>
  </si>
  <si>
    <t>FECHA DE INGRESO DEL ACTIVO AL ARCHIVO</t>
  </si>
  <si>
    <t>Ingrese la fecha en la que el activo fue archivado o incorporado al sistema de gestión documental, formato (DD/MM/AAAA)</t>
  </si>
  <si>
    <t>MEDIO DE CONSERVACIÓN</t>
  </si>
  <si>
    <t>Seleccione el medio de conservación del activo (físico, formato, contenedor o soporte tecnológico) de la lista desplegable entre:
 Fisico
 Digital
 No aplica</t>
  </si>
  <si>
    <t>FORMATO</t>
  </si>
  <si>
    <t>Seleccione el tipo de formato en el que se presenta o consulta el activo de la lista desplegable entre:
 Formato
 Audio
 Documento de texto
 Documento PDF
 Presentación
 Hoja de calculo
 Imagen
 Video
 Base de datos
 Otro
 No aplica</t>
  </si>
  <si>
    <t>IDIOMA</t>
  </si>
  <si>
    <t>Establezca el idioma en el que está redactado o disponible el activo.</t>
  </si>
  <si>
    <t>FASE 2</t>
  </si>
  <si>
    <t>CONFIDENCIALIDAD</t>
  </si>
  <si>
    <t>Seleccione el nivel de restricción del activo de información según el acceso permitido de la lista desplegable entre: 
 Información pública reservada: Es la información que no debe ser divulgada debido a que esto puede causar daño a intereses públicos. Solamente la Constitución o la ley pueden definir qué información es de carácter reservado.
 Información pública clasificada: Es la información que no debe ser divulgada debido a que se pueden vulnerar los derechos de las personas naturales o jurídicas, tales como: derecho de las personas a la intimidad, derecho a la vida, salud o seguridad y los secretos comerciales, industriales y profesionales.
 Información pública: Información que puede ser entregada o publicada sin restricciones a cualquier persona dentro y fuera de la entidad, sin que esto implique daños a terceros ni a las actividades y procesos de la entidad.
 No clasificada: Activos de Información que deben ser incluidos en el inventario y que aún no han sido clasificados, deben ser tratados como activos de INFORMACIÓN PÚBLICA RESERVADA. como: Hardware, Colaboradores de Planta o Contratistas</t>
  </si>
  <si>
    <t>INTEGRIDAD</t>
  </si>
  <si>
    <t>Seleccione el nivel de importancia relacionado con la exactitud y completitud de la información de la lista desplegable entre:
 Alta: Información cuya pérdida de exactitud y completitud puede conllevar un impacto negativo de índole legal o económica, retrasar sus funciones, o generar pérdidas de imagen severas de la entidad.
 Media: Información cuya pérdida de exactitud y completitud puede conllevar un impacto negativo de índole legal o económica, retrasar sus funciones, o generar pérdida de imagen moderada a funcionarios de la entidad.
 Baja: Información cuya pérdida de exactitud y completitud conlleva un impacto no significativo para la entidad o entes externos.
 No clasificada: Activos de Información que deben ser incluidos en el inventario y que aún no han sido clasificados, deben ser tratados como activos de información de integridad ALTA.</t>
  </si>
  <si>
    <t>DISPONIBILIDAD</t>
  </si>
  <si>
    <t>Seleccione el nivel de necesidad de acceso continuo al activo de información de la lista desplegable entre:
 Alta: La no disponibilidad de la información puede conllevar un impacto negativo de índole legal o económica, retrasar sus funciones, o generar pérdidas de imagen severas a entes externos.
 Media: La no disponibilidad de la información puede conllevar un impacto negativo de índole legal o económica, retrasar sus funciones, o generar pérdida de imagen moderada de la entidad.
 Baja: La no disponibilidad de la información puede afectar la operación normal de la entidad o entes externos, pero no conlleva implicaciones legales, económicas o de pérdida de imagen.
 No clasificada: Activos de Información que deben ser incluidos en el inventario y que aún no han sido clasificados, deben ser tratados como activos de información de disponibilidad ALTA.</t>
  </si>
  <si>
    <t>INFORMACIÓN PUBLICADA</t>
  </si>
  <si>
    <t>Seleccione el estado de publicación de la información de la lista desplegable entre:
 Publicada
 Disponible a solicitud
 No publicada o disponible</t>
  </si>
  <si>
    <t>LUGAR DE CONSULTA O UBICACIÓN</t>
  </si>
  <si>
    <t>Seleccione el lugar físico o digital donde se consulta o almacena el activo de la lista desplegable entre:
 Portal web propios
 Portal web de terceros
 Intranet
 Archivo físico
 Archivo digital
 Sistema de información
 Base de datos</t>
  </si>
  <si>
    <t>FASE 3</t>
  </si>
  <si>
    <t>OBJETO LEGÍTIMO DE LA EXCEPCIÓN</t>
  </si>
  <si>
    <t>Se refiere a la justificación jurídica válida que permite reservar, clasificar o denegar el acceso a cierta información pública. Es la causal o motivo legal, como la protección de datos personales o la seguridad nacional, que autoriza a las entidades estatales a mantener documentos en reserva. (por ejemplo, por razones de seguridad, confidencialidad, o acceso restringido).</t>
  </si>
  <si>
    <t>FUNDAMENTO CONSTITUCIONAL O LEGAL</t>
  </si>
  <si>
    <t>Registrar la norma o artículo que soporta la clasificación o reserva de la información. Ejemplo: “Ley 1581 de 2012” para tipos de activo software, “Ley 1712 de 2014” para todos los demás activos“ Constitución Política Art. 15”.</t>
  </si>
  <si>
    <t>EXCEPCIÓN TOTAL O PARCIAL</t>
  </si>
  <si>
    <t>Indicar si la restricción aplica sobre toda la información o solo una parte de ella. 
 Seleccione de la lista desplegable entre:
 Total
 Parical
 Sin excepción</t>
  </si>
  <si>
    <t>FECHA DE CLASIFICACIÓN</t>
  </si>
  <si>
    <t>Registrar la fecha en la cual el activo fue clasificado como reservado o clasificado. Utilizar formato DD/MM/AAAA. Ejemplo: “15/01/2026”.</t>
  </si>
  <si>
    <t>TIEMPO DE LA CLASIFICACIÓN</t>
  </si>
  <si>
    <t>Registrar el tiempo durante el cual la información permanecerá clasificada o reservada, según la normatividad aplicable. Ejemplo: “15 años”, “5 años”, “Permanente”.</t>
  </si>
  <si>
    <t>FASE 4</t>
  </si>
  <si>
    <t>¿CONTIENE DATOS PERSONALES?</t>
  </si>
  <si>
    <t>Seleccione si el activo contiene información asociada a personas naturales identificadas o identificables de la lista desplegable entre:
 Sí
 No. 
 Por ejempolo si es de “Nómina = Sí”.</t>
  </si>
  <si>
    <t>¿CONTIENE DATOS DE NIÑOS, NIÑAS O ADOLESCENTES?</t>
  </si>
  <si>
    <t>"Seleccione si el activo contiene información asociada a personas naturales identificadas o identificables de la lista desplegable entre:
 Sí
 No. 
 Por ejempolo si es de “Base de datos estudiantil= Sí”."</t>
  </si>
  <si>
    <t>TIPOS DE DATOS PERSONALES</t>
  </si>
  <si>
    <t>Seleccione el tipo de dato personal contenido en el activo de la lista desplegable entre:
 Dato público: Información que puede ser conocida y consultada por cualquier persona sin necesidad de autorización del titular, debido a que no afecta su intimidad ni genera riesgos de discriminación. Ejemplo: nombre, estado civil, profesión u oficio, calidad de comerciante o servidor público.
 Dato semiprivado: Información que no tiene naturaleza íntima, reservada ni pública, y cuyo conocimiento puede interesar tanto al titular como a un grupo determinado de personas o a la sociedad. Su acceso está sujeto a ciertos controles. Ejemplo: historial crediticio, información financiera o comercial.
 Dato privado: Información que únicamente interesa al titular por su carácter íntimo o reservado y que no debe ser conocida públicamente sin autorización. Ejemplo: dirección de residencia, número telefónico personal, correos electrónicos personales o información laboral interna.
 Dato sensible: Información que puede afectar la intimidad del titular o generar discriminación en caso de ser divulgada. Requiere especial protección legal. Ejemplo: origen racial o étnico, orientación política, convicciones religiosas, datos biométricos, información de salud, orientación sexual.
 Dato vulnerable: Información asociada a personas que requieren protección especial debido a condiciones particulares de edad, discapacidad, situación social o dependencia. Incluye datos de menores de edad, adultos mayores, víctimas del conflicto, personas con discapacidad, entre otros.
 No aplica: Clasificación utilizada cuando la información evaluada no corresponde a datos personales o no contiene información relacionada con personas naturales identificadas o identificables.</t>
  </si>
  <si>
    <t>FINALIDAD DE LA RECOLECCIÓN DE LOS DATOS PERSONALES</t>
  </si>
  <si>
    <t>Registrar el propósito para el cual fueron recolectados los datos personales. Ejemplo: “Gestión de pagos salariales”, “Atención al ciudadano”, “Gestión académica”.</t>
  </si>
  <si>
    <t>EXISTE AUTORIZACIÓN PARA EL TRATAMIENTO DE DATOS PERSONALES</t>
  </si>
  <si>
    <t>Indicar si la entidad cuenta con autorización para el tratamiento de los datos personales.</t>
  </si>
  <si>
    <t>Nota: Si el campo no aplica al activo, escriba “No aplica” únicamente cuando el instructivo o el formato lo permitan.</t>
  </si>
  <si>
    <t>Responsable y Frecuencia
(Escribir el cargo)</t>
  </si>
  <si>
    <t>Complemento ( Observaciones o Desviaciones)</t>
  </si>
  <si>
    <t>Posibilidad de perdida de disponibilidad y confidencialidad de la información</t>
  </si>
  <si>
    <t>Posibilidad de perdida de disponibilidad e integridad de la información</t>
  </si>
  <si>
    <t>Posibilidad de perdida de confidencialidad e integridad de la información</t>
  </si>
  <si>
    <t>Posibilidad de perdida de Disponibilidad, confidencialidad e integridad de la información</t>
  </si>
  <si>
    <t xml:space="preserve"> PROCESO:</t>
  </si>
  <si>
    <t>Afectación económica y reputacional Soborno soborno entrante o saliente</t>
  </si>
  <si>
    <t>Afectación económica por soborno entrante o saliente</t>
  </si>
  <si>
    <t>Afectación reputacional por soborno entrante o saliente</t>
  </si>
  <si>
    <t>Afectación económica por conflicto de intereses</t>
  </si>
  <si>
    <t>Afectación reputacional por conflito de interes</t>
  </si>
  <si>
    <t>Afectación económica y reputacional conflicto de interes</t>
  </si>
  <si>
    <t>Afectación económica por acto de corrupción</t>
  </si>
  <si>
    <t>Afectación reputacional por Acto de corrupción</t>
  </si>
  <si>
    <t>Afectación económica y reputacional Acto de ciorrupción</t>
  </si>
  <si>
    <t>Cantidad</t>
  </si>
  <si>
    <t>SISNET</t>
  </si>
  <si>
    <t>Software de gestión de correspondencia.</t>
  </si>
  <si>
    <t>Profesional Atención al ciudadano.</t>
  </si>
  <si>
    <t>Técnico administrativo 1 -Oficina TIC</t>
  </si>
  <si>
    <t>Repositorio Archivo digital de correspondecia</t>
  </si>
  <si>
    <t>Base de datos en Drive de la correspondencia fisica escaneada y digital</t>
  </si>
  <si>
    <t>Sistema de Información</t>
  </si>
  <si>
    <t>GECO</t>
  </si>
  <si>
    <t>Plataforma de gestión contractual</t>
  </si>
  <si>
    <t>Secretario de despacho</t>
  </si>
  <si>
    <t>Secretaría Jurídica</t>
  </si>
  <si>
    <t>Portal web</t>
  </si>
  <si>
    <t>Vivejamundi.com, es la plataforma digital oficial que promociona la oferta turística del Municipio. (Directorio oficial de operadores turísticos de Jamundí)</t>
  </si>
  <si>
    <t>Secretario de Despacho</t>
  </si>
  <si>
    <t>Jefe de Oficina Comunicaciones</t>
  </si>
  <si>
    <t>por fallas en el sistema</t>
  </si>
  <si>
    <t>debido a deficiencias en la infraestructura tecnológica, ausencia o insuficiencia de mantenimiento preventivo y correctivo</t>
  </si>
  <si>
    <t xml:space="preserve">por eliminación accidental de archivos,  fallas en el sistema o accesos no autorizados   </t>
  </si>
  <si>
    <t>por fallas tecnológicas y manipulación indebida de la información o interrupciones del servicio</t>
  </si>
  <si>
    <t>debido a controles de seguridad y autenticación de usuarios, falta de actualización o  monitoreo de la plataforma</t>
  </si>
  <si>
    <t>a causa de deficiencias en copias de seguridad, controles de accesos o ausencia de politicas de preservación digital</t>
  </si>
  <si>
    <t>por accesos no autorizados, hackeos o fallas en el servicio</t>
  </si>
  <si>
    <t>debido a falta de actualización tecnólogica, vulnerabilidades en la administración de la plataforma o controles de seguridad avanzados</t>
  </si>
  <si>
    <t xml:space="preserve">por ataques cibernéticos, modificaciones no autorizadas o fallas del servidor </t>
  </si>
  <si>
    <t>debido a ausencia de monitoreo permanente y mantenimiento de la plataforma o deficiencias en la implementación de controles de seguridad</t>
  </si>
  <si>
    <t>La auxiliar administrativa cada que se requiera</t>
  </si>
  <si>
    <t xml:space="preserve">asistirá a las jornadas de capacitaciones que realice el encargado del SISNET </t>
  </si>
  <si>
    <t>para las actualizaciones a que haya lugar y debido uso.</t>
  </si>
  <si>
    <t>solicitará apoyo cuando se genere una alerta por falla</t>
  </si>
  <si>
    <t>al area encargada del mantenimiento de la plataforma.</t>
  </si>
  <si>
    <t>El Secretario de Despacho, semestralmente</t>
  </si>
  <si>
    <t>Auxiliar Administrativa</t>
  </si>
  <si>
    <t>Auxiliar administrativa</t>
  </si>
  <si>
    <t xml:space="preserve">El Secretario de Despacho trimestralmente </t>
  </si>
  <si>
    <t xml:space="preserve">realizará verificación de accesos al drive </t>
  </si>
  <si>
    <t>donde reposa el archivo digital de la secretaria de turismo.</t>
  </si>
  <si>
    <t>asistirá a las jornadas de capacitaciones que realice el encargado de la plataforma</t>
  </si>
  <si>
    <t>El Secretario de Despacho, trimestralemente</t>
  </si>
  <si>
    <t xml:space="preserve">realizara sensibilización sobre el debido uso con los usuarios del correo electronico en la entidad </t>
  </si>
  <si>
    <t>en caso de retiro de personal se eliminará su dispositivo.</t>
  </si>
  <si>
    <t xml:space="preserve">solicitará restauración de archivos desde las copias de seguridad </t>
  </si>
  <si>
    <t>si se llega a perder o borrar información del archivo digital.</t>
  </si>
  <si>
    <t>revisará que la información suministrada en el portal web</t>
  </si>
  <si>
    <t>no haya sido modificada ni alterada.</t>
  </si>
  <si>
    <t>si se materializa el riesgo del o se generaran alertas  y llamados de atención.</t>
  </si>
  <si>
    <t>verificará que únicamente los usuarios autorizados tengan acceso al correo eléctronico,</t>
  </si>
  <si>
    <t>reportará incidentes de seguridad de la información y realizará seguimiento hasta que  se brinde una solución</t>
  </si>
  <si>
    <t>por parte del área encargada.</t>
  </si>
  <si>
    <t>La auxiliar administrativa asistirá a las capacitaciones cada vez que se requiera y se evidenciará con la asistencia y se realizarán reportes de fallas, cada que se presenten.</t>
  </si>
  <si>
    <t>El secretario de despacho, realizará sensibilización con los usuarios del correo electrónico para su debido uso.</t>
  </si>
  <si>
    <t>El secretario de despacho verificará que los accesos al archivo digital sean lo asignados.</t>
  </si>
  <si>
    <t>La auxiliar administrativa asistirá a las capacitaciones requeridas y se reportarán fallas cuando se presenten.</t>
  </si>
  <si>
    <t>El secretario de despacho realizará verificación de los datos publicados en la plataforma y reportes de falla cuando se presenten.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</si>
</sst>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164" formatCode="0;\-0;;@"/>
    <numFmt numFmtId="165" formatCode="0.0"/>
    <numFmt numFmtId="166" formatCode="d/m/yyyy"/>
    <numFmt numFmtId="167" formatCode="dd/mm/yyyy"/>
  </numFmts>
  <fonts count="85">
    <font>
      <sz val="11"/>
      <color theme="1"/>
      <name val="Calibri"/>
      <family val="2"/>
      <scheme val="minor"/>
    </font>
    <font>
      <sz val="11"/>
      <color indexed="8"/>
      <name val="Calibri"/>
      <family val="2"/>
    </font>
    <font>
      <sz val="10"/>
      <name val="Arial"/>
      <family val="2"/>
    </font>
    <font>
      <sz val="10"/>
      <name val="Tahoma"/>
      <family val="2"/>
    </font>
    <font>
      <sz val="11"/>
      <name val="Tahoma"/>
      <family val="2"/>
    </font>
    <font>
      <b/>
      <sz val="11"/>
      <name val="Tahoma"/>
      <family val="2"/>
    </font>
    <font>
      <sz val="11"/>
      <name val="Arial"/>
      <family val="2"/>
    </font>
    <font>
      <b/>
      <sz val="12"/>
      <name val="Tahoma"/>
      <family val="2"/>
    </font>
    <font>
      <b/>
      <sz val="11"/>
      <color theme="1"/>
      <name val="Calibri"/>
      <family val="2"/>
      <scheme val="minor"/>
    </font>
    <font>
      <sz val="12"/>
      <name val="Tahoma"/>
      <family val="2"/>
    </font>
    <font>
      <sz val="10"/>
      <name val="Tahoma"/>
      <family val="2"/>
    </font>
    <font>
      <sz val="11"/>
      <name val="Tahoma"/>
      <family val="2"/>
    </font>
    <font>
      <b/>
      <sz val="11"/>
      <name val="Arial"/>
      <family val="2"/>
    </font>
    <font>
      <b/>
      <sz val="10"/>
      <name val="Arial"/>
      <family val="2"/>
    </font>
    <font>
      <sz val="11"/>
      <name val="Calibri"/>
      <family val="2"/>
      <scheme val="minor"/>
    </font>
    <font>
      <sz val="14"/>
      <name val="Arial"/>
      <family val="2"/>
    </font>
    <font>
      <sz val="8"/>
      <name val="Calibri"/>
      <family val="2"/>
      <scheme val="minor"/>
    </font>
    <font>
      <b/>
      <sz val="11"/>
      <name val="Calibri"/>
      <family val="2"/>
      <scheme val="minor"/>
    </font>
    <font>
      <sz val="11"/>
      <color rgb="FFFF0000"/>
      <name val="Calibri"/>
      <family val="2"/>
      <scheme val="minor"/>
    </font>
    <font>
      <sz val="16"/>
      <color theme="1"/>
      <name val="Calibri"/>
      <family val="2"/>
      <scheme val="minor"/>
    </font>
    <font>
      <b/>
      <sz val="12"/>
      <color theme="1"/>
      <name val="Arial"/>
      <family val="2"/>
    </font>
    <font>
      <sz val="12"/>
      <color theme="1"/>
      <name val="Arial"/>
      <family val="2"/>
    </font>
    <font>
      <sz val="10"/>
      <color theme="1"/>
      <name val="Arial"/>
      <family val="2"/>
    </font>
    <font>
      <sz val="10"/>
      <color rgb="FF202124"/>
      <name val="Arial"/>
      <family val="2"/>
    </font>
    <font>
      <b/>
      <sz val="10"/>
      <color theme="1"/>
      <name val="Arial"/>
      <family val="2"/>
    </font>
    <font>
      <sz val="10"/>
      <color rgb="FFFF0000"/>
      <name val="Arial"/>
      <family val="2"/>
    </font>
    <font>
      <b/>
      <sz val="10"/>
      <color rgb="FF000000"/>
      <name val="Arial"/>
      <family val="2"/>
    </font>
    <font>
      <sz val="10"/>
      <color indexed="8"/>
      <name val="Arial"/>
      <family val="2"/>
    </font>
    <font>
      <sz val="10"/>
      <color rgb="FF000000"/>
      <name val="Arial"/>
      <family val="2"/>
    </font>
    <font>
      <b/>
      <sz val="10"/>
      <color rgb="FF7030A0"/>
      <name val="Arial"/>
      <family val="2"/>
    </font>
    <font>
      <b/>
      <sz val="10"/>
      <color indexed="8"/>
      <name val="Arial"/>
      <family val="2"/>
    </font>
    <font>
      <sz val="10"/>
      <color rgb="FF7030A0"/>
      <name val="Arial"/>
      <family val="2"/>
    </font>
    <font>
      <b/>
      <sz val="10"/>
      <name val="Tahoma"/>
      <family val="2"/>
    </font>
    <font>
      <sz val="8"/>
      <name val="Arial"/>
      <family val="2"/>
    </font>
    <font>
      <b/>
      <sz val="14"/>
      <name val="Arial Narrow"/>
      <family val="2"/>
    </font>
    <font>
      <sz val="10"/>
      <name val="Arial Narrow"/>
      <family val="2"/>
    </font>
    <font>
      <b/>
      <sz val="10"/>
      <color theme="9" tint="-0.249977111117893"/>
      <name val="Arial Narrow"/>
      <family val="2"/>
    </font>
    <font>
      <b/>
      <u/>
      <sz val="11"/>
      <name val="Arial Narrow"/>
      <family val="2"/>
    </font>
    <font>
      <b/>
      <sz val="11"/>
      <name val="Arial Narrow"/>
      <family val="2"/>
    </font>
    <font>
      <sz val="11"/>
      <name val="Arial Narrow"/>
      <family val="2"/>
    </font>
    <font>
      <b/>
      <sz val="11"/>
      <color theme="9" tint="-0.249977111117893"/>
      <name val="Arial Narrow"/>
      <family val="2"/>
    </font>
    <font>
      <b/>
      <sz val="10"/>
      <name val="Arial Narrow"/>
      <family val="2"/>
    </font>
    <font>
      <sz val="12"/>
      <name val="Times New Roman"/>
      <family val="1"/>
    </font>
    <font>
      <b/>
      <sz val="9"/>
      <name val="Arial Narrow"/>
      <family val="2"/>
    </font>
    <font>
      <sz val="9"/>
      <name val="Arial Narrow"/>
      <family val="2"/>
    </font>
    <font>
      <b/>
      <sz val="9"/>
      <color theme="9" tint="-0.249977111117893"/>
      <name val="Arial Narrow"/>
      <family val="2"/>
    </font>
    <font>
      <b/>
      <sz val="8"/>
      <name val="Tahoma"/>
      <family val="2"/>
    </font>
    <font>
      <b/>
      <sz val="12"/>
      <color rgb="FFFF0000"/>
      <name val="Tahoma"/>
      <family val="2"/>
    </font>
    <font>
      <sz val="11"/>
      <color theme="1"/>
      <name val="Helvetica"/>
      <family val="2"/>
    </font>
    <font>
      <sz val="11"/>
      <color rgb="FF000000"/>
      <name val="Helvetica"/>
      <family val="2"/>
    </font>
    <font>
      <sz val="11"/>
      <color theme="1"/>
      <name val="Calibri"/>
      <family val="2"/>
      <scheme val="minor"/>
    </font>
    <font>
      <b/>
      <sz val="9"/>
      <color rgb="FFFFFFFF"/>
      <name val="Arial"/>
      <family val="2"/>
    </font>
    <font>
      <b/>
      <sz val="9"/>
      <color rgb="FF4D4D4D"/>
      <name val="Arial"/>
      <family val="2"/>
    </font>
    <font>
      <sz val="9"/>
      <color rgb="FF4D4D4D"/>
      <name val="Arial"/>
      <family val="2"/>
    </font>
    <font>
      <sz val="7"/>
      <color rgb="FF4D4D4D"/>
      <name val="Arial"/>
      <family val="2"/>
    </font>
    <font>
      <b/>
      <sz val="16"/>
      <name val="Arial"/>
      <family val="2"/>
    </font>
    <font>
      <sz val="9"/>
      <color theme="1"/>
      <name val="Arial Narrow"/>
      <family val="2"/>
    </font>
    <font>
      <b/>
      <sz val="8"/>
      <name val="Arial"/>
      <family val="2"/>
    </font>
    <font>
      <sz val="10"/>
      <color theme="1"/>
      <name val="Calibri"/>
      <family val="2"/>
      <scheme val="minor"/>
    </font>
    <font>
      <sz val="8"/>
      <color theme="1"/>
      <name val="Calibri"/>
      <family val="2"/>
      <scheme val="minor"/>
    </font>
    <font>
      <b/>
      <sz val="8"/>
      <color theme="1"/>
      <name val="Calibri"/>
      <family val="2"/>
      <scheme val="minor"/>
    </font>
    <font>
      <sz val="11"/>
      <color theme="1"/>
      <name val="Helvetica"/>
      <family val="2"/>
    </font>
    <font>
      <sz val="11"/>
      <color rgb="FFFF0000"/>
      <name val="Helvetica"/>
      <family val="2"/>
    </font>
    <font>
      <sz val="9"/>
      <color theme="1"/>
      <name val="Libre Franklin"/>
    </font>
    <font>
      <sz val="11"/>
      <color theme="1"/>
      <name val="Calibri"/>
      <family val="2"/>
    </font>
    <font>
      <b/>
      <sz val="15"/>
      <color theme="1"/>
      <name val="Calibri"/>
      <family val="2"/>
    </font>
    <font>
      <sz val="11"/>
      <name val="Calibri"/>
      <family val="2"/>
    </font>
    <font>
      <b/>
      <sz val="10"/>
      <color rgb="FFFFFFFF"/>
      <name val="Libre Franklin"/>
    </font>
    <font>
      <b/>
      <sz val="11"/>
      <color rgb="FFFFFFFF"/>
      <name val="Libre Franklin"/>
    </font>
    <font>
      <b/>
      <sz val="10"/>
      <color theme="0"/>
      <name val="Libre Franklin"/>
    </font>
    <font>
      <sz val="10"/>
      <color theme="1"/>
      <name val="Libre Franklin"/>
    </font>
    <font>
      <sz val="11"/>
      <color rgb="FF000000"/>
      <name val="Calibri"/>
      <family val="2"/>
    </font>
    <font>
      <b/>
      <sz val="11"/>
      <color theme="0"/>
      <name val="Calibri"/>
      <family val="2"/>
    </font>
    <font>
      <b/>
      <sz val="11"/>
      <color rgb="FFFFFFFF"/>
      <name val="Calibri"/>
      <family val="2"/>
    </font>
    <font>
      <sz val="9"/>
      <color theme="1"/>
      <name val="Arial Narrow"/>
      <family val="2"/>
    </font>
    <font>
      <sz val="11"/>
      <color theme="1"/>
      <name val="Libre Franklin"/>
    </font>
    <font>
      <sz val="11"/>
      <color rgb="FFFFFFFF"/>
      <name val="Calibri"/>
      <family val="2"/>
    </font>
    <font>
      <sz val="11"/>
      <color rgb="FF000000"/>
      <name val="Libre Franklin"/>
    </font>
    <font>
      <sz val="10"/>
      <color rgb="FF000000"/>
      <name val="Libre Franklin"/>
    </font>
    <font>
      <b/>
      <sz val="15"/>
      <color rgb="FFFFFFFF"/>
      <name val="Calibri"/>
      <family val="2"/>
    </font>
    <font>
      <b/>
      <sz val="12"/>
      <color rgb="FFFFFFFF"/>
      <name val="Calibri"/>
      <family val="2"/>
    </font>
    <font>
      <b/>
      <sz val="12"/>
      <color rgb="FF000000"/>
      <name val="Calibri"/>
      <family val="2"/>
    </font>
    <font>
      <sz val="12"/>
      <color rgb="FF000000"/>
      <name val="Calibri"/>
      <family val="2"/>
    </font>
    <font>
      <sz val="10"/>
      <color rgb="FF000000"/>
      <name val="Helvetica"/>
      <family val="2"/>
    </font>
    <font>
      <sz val="10"/>
      <color theme="1"/>
      <name val="Arial"/>
      <family val="2"/>
    </font>
  </fonts>
  <fills count="37">
    <fill>
      <patternFill patternType="none"/>
    </fill>
    <fill>
      <patternFill patternType="gray125"/>
    </fill>
    <fill>
      <patternFill patternType="solid">
        <fgColor indexed="9"/>
        <bgColor indexed="64"/>
      </patternFill>
    </fill>
    <fill>
      <patternFill patternType="solid">
        <fgColor theme="9" tint="0.79998168889431442"/>
        <bgColor indexed="64"/>
      </patternFill>
    </fill>
    <fill>
      <patternFill patternType="solid">
        <fgColor theme="0"/>
        <bgColor indexed="64"/>
      </patternFill>
    </fill>
    <fill>
      <patternFill patternType="solid">
        <fgColor theme="0" tint="-0.14999847407452621"/>
        <bgColor indexed="64"/>
      </patternFill>
    </fill>
    <fill>
      <patternFill patternType="solid">
        <fgColor rgb="FF92D050"/>
        <bgColor indexed="64"/>
      </patternFill>
    </fill>
    <fill>
      <patternFill patternType="solid">
        <fgColor rgb="FFFF0000"/>
        <bgColor indexed="64"/>
      </patternFill>
    </fill>
    <fill>
      <patternFill patternType="solid">
        <fgColor rgb="FFFFC000"/>
        <bgColor indexed="64"/>
      </patternFill>
    </fill>
    <fill>
      <patternFill patternType="solid">
        <fgColor rgb="FFFF6600"/>
        <bgColor indexed="64"/>
      </patternFill>
    </fill>
    <fill>
      <patternFill patternType="solid">
        <fgColor rgb="FFFFFF66"/>
        <bgColor indexed="64"/>
      </patternFill>
    </fill>
    <fill>
      <patternFill patternType="solid">
        <fgColor rgb="FF00B0F0"/>
        <bgColor indexed="64"/>
      </patternFill>
    </fill>
    <fill>
      <patternFill patternType="solid">
        <fgColor rgb="FFADDB7B"/>
        <bgColor indexed="64"/>
      </patternFill>
    </fill>
    <fill>
      <patternFill patternType="solid">
        <fgColor rgb="FF01B150"/>
        <bgColor indexed="64"/>
      </patternFill>
    </fill>
    <fill>
      <patternFill patternType="solid">
        <fgColor rgb="FFFFFC66"/>
        <bgColor indexed="64"/>
      </patternFill>
    </fill>
    <fill>
      <patternFill patternType="solid">
        <fgColor rgb="FFFF2500"/>
        <bgColor indexed="64"/>
      </patternFill>
    </fill>
    <fill>
      <patternFill patternType="solid">
        <fgColor theme="4" tint="0.79998168889431442"/>
        <bgColor theme="4" tint="0.79998168889431442"/>
      </patternFill>
    </fill>
    <fill>
      <patternFill patternType="solid">
        <fgColor rgb="FF4F81BD"/>
        <bgColor indexed="64"/>
      </patternFill>
    </fill>
    <fill>
      <patternFill patternType="solid">
        <fgColor rgb="FFFFFF00"/>
        <bgColor indexed="64"/>
      </patternFill>
    </fill>
    <fill>
      <patternFill patternType="solid">
        <fgColor theme="4" tint="0.39997558519241921"/>
        <bgColor indexed="64"/>
      </patternFill>
    </fill>
    <fill>
      <patternFill patternType="solid">
        <fgColor theme="3" tint="0.59999389629810485"/>
        <bgColor indexed="64"/>
      </patternFill>
    </fill>
    <fill>
      <patternFill patternType="solid">
        <fgColor theme="6" tint="0.79998168889431442"/>
        <bgColor indexed="64"/>
      </patternFill>
    </fill>
    <fill>
      <patternFill patternType="solid">
        <fgColor theme="5" tint="0.59999389629810485"/>
        <bgColor indexed="64"/>
      </patternFill>
    </fill>
    <fill>
      <patternFill patternType="solid">
        <fgColor theme="8" tint="0.79998168889431442"/>
        <bgColor indexed="64"/>
      </patternFill>
    </fill>
    <fill>
      <patternFill patternType="solid">
        <fgColor theme="6" tint="0.59999389629810485"/>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4" tint="0.59999389629810485"/>
        <bgColor indexed="64"/>
      </patternFill>
    </fill>
    <fill>
      <patternFill patternType="solid">
        <fgColor theme="2"/>
        <bgColor indexed="64"/>
      </patternFill>
    </fill>
    <fill>
      <patternFill patternType="solid">
        <fgColor theme="9" tint="0.59999389629810485"/>
        <bgColor indexed="64"/>
      </patternFill>
    </fill>
    <fill>
      <patternFill patternType="solid">
        <fgColor rgb="FF31859B"/>
        <bgColor rgb="FF31859B"/>
      </patternFill>
    </fill>
    <fill>
      <patternFill patternType="solid">
        <fgColor rgb="FF59B5CB"/>
        <bgColor rgb="FF59B5CB"/>
      </patternFill>
    </fill>
    <fill>
      <patternFill patternType="solid">
        <fgColor rgb="FF92D050"/>
        <bgColor rgb="FF92D050"/>
      </patternFill>
    </fill>
    <fill>
      <patternFill patternType="solid">
        <fgColor theme="4"/>
        <bgColor theme="4"/>
      </patternFill>
    </fill>
    <fill>
      <patternFill patternType="solid">
        <fgColor rgb="FF4F81BD"/>
        <bgColor rgb="FF4F81BD"/>
      </patternFill>
    </fill>
    <fill>
      <patternFill patternType="solid">
        <fgColor rgb="FFF2F2F2"/>
        <bgColor rgb="FFF2F2F2"/>
      </patternFill>
    </fill>
    <fill>
      <patternFill patternType="solid">
        <fgColor theme="0"/>
        <bgColor theme="0"/>
      </patternFill>
    </fill>
  </fills>
  <borders count="115">
    <border>
      <left/>
      <right/>
      <top/>
      <bottom/>
      <diagonal/>
    </border>
    <border>
      <left style="thin">
        <color indexed="64"/>
      </left>
      <right style="thin">
        <color indexed="64"/>
      </right>
      <top style="thin">
        <color indexed="64"/>
      </top>
      <bottom style="thin">
        <color indexed="64"/>
      </bottom>
      <diagonal/>
    </border>
    <border>
      <left/>
      <right style="medium">
        <color indexed="64"/>
      </right>
      <top/>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right/>
      <top/>
      <bottom style="thin">
        <color indexed="64"/>
      </bottom>
      <diagonal/>
    </border>
    <border>
      <left/>
      <right/>
      <top style="thin">
        <color indexed="64"/>
      </top>
      <bottom style="thin">
        <color indexed="64"/>
      </bottom>
      <diagonal/>
    </border>
    <border>
      <left style="thin">
        <color indexed="64"/>
      </left>
      <right/>
      <top/>
      <bottom style="thin">
        <color indexed="64"/>
      </bottom>
      <diagonal/>
    </border>
    <border>
      <left/>
      <right style="medium">
        <color indexed="64"/>
      </right>
      <top/>
      <bottom style="medium">
        <color indexed="64"/>
      </bottom>
      <diagonal/>
    </border>
    <border>
      <left/>
      <right/>
      <top/>
      <bottom style="medium">
        <color indexed="64"/>
      </bottom>
      <diagonal/>
    </border>
    <border>
      <left style="medium">
        <color indexed="64"/>
      </left>
      <right/>
      <top/>
      <bottom style="medium">
        <color indexed="64"/>
      </bottom>
      <diagonal/>
    </border>
    <border>
      <left style="medium">
        <color indexed="64"/>
      </left>
      <right/>
      <top/>
      <bottom/>
      <diagonal/>
    </border>
    <border>
      <left/>
      <right style="medium">
        <color indexed="64"/>
      </right>
      <top style="medium">
        <color indexed="64"/>
      </top>
      <bottom/>
      <diagonal/>
    </border>
    <border>
      <left/>
      <right/>
      <top style="medium">
        <color indexed="64"/>
      </top>
      <bottom/>
      <diagonal/>
    </border>
    <border>
      <left style="medium">
        <color indexed="64"/>
      </left>
      <right/>
      <top style="medium">
        <color indexed="64"/>
      </top>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indexed="64"/>
      </left>
      <right style="thin">
        <color indexed="64"/>
      </right>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medium">
        <color indexed="64"/>
      </right>
      <top style="thin">
        <color indexed="64"/>
      </top>
      <bottom/>
      <diagonal/>
    </border>
    <border>
      <left style="thin">
        <color indexed="64"/>
      </left>
      <right style="medium">
        <color indexed="64"/>
      </right>
      <top/>
      <bottom/>
      <diagonal/>
    </border>
    <border>
      <left style="thin">
        <color indexed="64"/>
      </left>
      <right/>
      <top/>
      <bottom style="medium">
        <color indexed="64"/>
      </bottom>
      <diagonal/>
    </border>
    <border>
      <left style="medium">
        <color indexed="64"/>
      </left>
      <right/>
      <top style="thin">
        <color indexed="64"/>
      </top>
      <bottom/>
      <diagonal/>
    </border>
    <border>
      <left/>
      <right/>
      <top style="thin">
        <color auto="1"/>
      </top>
      <bottom/>
      <diagonal/>
    </border>
    <border>
      <left/>
      <right style="medium">
        <color indexed="64"/>
      </right>
      <top style="thin">
        <color indexed="64"/>
      </top>
      <bottom/>
      <diagonal/>
    </border>
    <border>
      <left style="medium">
        <color indexed="64"/>
      </left>
      <right/>
      <top/>
      <bottom style="thin">
        <color indexed="64"/>
      </bottom>
      <diagonal/>
    </border>
    <border>
      <left/>
      <right style="medium">
        <color indexed="64"/>
      </right>
      <top/>
      <bottom style="thin">
        <color indexed="64"/>
      </bottom>
      <diagonal/>
    </border>
    <border>
      <left style="double">
        <color indexed="64"/>
      </left>
      <right/>
      <top style="double">
        <color indexed="64"/>
      </top>
      <bottom/>
      <diagonal/>
    </border>
    <border>
      <left/>
      <right style="thin">
        <color theme="0"/>
      </right>
      <top style="double">
        <color indexed="64"/>
      </top>
      <bottom/>
      <diagonal/>
    </border>
    <border>
      <left style="thin">
        <color theme="0"/>
      </left>
      <right/>
      <top style="double">
        <color indexed="64"/>
      </top>
      <bottom style="thin">
        <color indexed="64"/>
      </bottom>
      <diagonal/>
    </border>
    <border>
      <left/>
      <right style="double">
        <color indexed="64"/>
      </right>
      <top style="double">
        <color indexed="64"/>
      </top>
      <bottom style="thin">
        <color indexed="64"/>
      </bottom>
      <diagonal/>
    </border>
    <border>
      <left style="double">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top style="thin">
        <color indexed="64"/>
      </top>
      <bottom style="hair">
        <color indexed="64"/>
      </bottom>
      <diagonal/>
    </border>
    <border>
      <left/>
      <right style="double">
        <color indexed="64"/>
      </right>
      <top style="thin">
        <color indexed="64"/>
      </top>
      <bottom style="hair">
        <color indexed="64"/>
      </bottom>
      <diagonal/>
    </border>
    <border>
      <left style="double">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auto="1"/>
      </left>
      <right/>
      <top style="hair">
        <color auto="1"/>
      </top>
      <bottom style="hair">
        <color auto="1"/>
      </bottom>
      <diagonal/>
    </border>
    <border>
      <left/>
      <right style="double">
        <color indexed="64"/>
      </right>
      <top style="hair">
        <color indexed="64"/>
      </top>
      <bottom style="hair">
        <color indexed="64"/>
      </bottom>
      <diagonal/>
    </border>
    <border>
      <left style="double">
        <color indexed="64"/>
      </left>
      <right/>
      <top style="hair">
        <color indexed="64"/>
      </top>
      <bottom style="hair">
        <color indexed="64"/>
      </bottom>
      <diagonal/>
    </border>
    <border>
      <left/>
      <right style="hair">
        <color indexed="64"/>
      </right>
      <top style="hair">
        <color indexed="64"/>
      </top>
      <bottom style="hair">
        <color indexed="64"/>
      </bottom>
      <diagonal/>
    </border>
    <border>
      <left style="double">
        <color indexed="64"/>
      </left>
      <right/>
      <top style="hair">
        <color indexed="64"/>
      </top>
      <bottom style="double">
        <color indexed="64"/>
      </bottom>
      <diagonal/>
    </border>
    <border>
      <left/>
      <right style="hair">
        <color indexed="64"/>
      </right>
      <top style="hair">
        <color indexed="64"/>
      </top>
      <bottom style="double">
        <color indexed="64"/>
      </bottom>
      <diagonal/>
    </border>
    <border>
      <left style="hair">
        <color indexed="64"/>
      </left>
      <right/>
      <top style="hair">
        <color indexed="64"/>
      </top>
      <bottom style="double">
        <color indexed="64"/>
      </bottom>
      <diagonal/>
    </border>
    <border>
      <left/>
      <right style="double">
        <color indexed="64"/>
      </right>
      <top style="hair">
        <color indexed="64"/>
      </top>
      <bottom style="double">
        <color indexed="64"/>
      </bottom>
      <diagonal/>
    </border>
    <border>
      <left/>
      <right style="thin">
        <color indexed="64"/>
      </right>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right style="medium">
        <color indexed="64"/>
      </right>
      <top style="thin">
        <color indexed="64"/>
      </top>
      <bottom style="thin">
        <color indexed="64"/>
      </bottom>
      <diagonal/>
    </border>
    <border>
      <left/>
      <right/>
      <top style="double">
        <color indexed="64"/>
      </top>
      <bottom/>
      <diagonal/>
    </border>
    <border>
      <left/>
      <right style="hair">
        <color indexed="64"/>
      </right>
      <top style="thin">
        <color indexed="64"/>
      </top>
      <bottom style="hair">
        <color indexed="64"/>
      </bottom>
      <diagonal/>
    </border>
    <border>
      <left/>
      <right/>
      <top style="hair">
        <color indexed="64"/>
      </top>
      <bottom style="hair">
        <color indexed="64"/>
      </bottom>
      <diagonal/>
    </border>
    <border>
      <left style="thin">
        <color indexed="64"/>
      </left>
      <right/>
      <top style="thin">
        <color indexed="64"/>
      </top>
      <bottom/>
      <diagonal/>
    </border>
    <border>
      <left style="thin">
        <color indexed="64"/>
      </left>
      <right/>
      <top/>
      <bottom/>
      <diagonal/>
    </border>
    <border>
      <left/>
      <right style="thin">
        <color indexed="64"/>
      </right>
      <top/>
      <bottom/>
      <diagonal/>
    </border>
    <border>
      <left style="dotted">
        <color rgb="FF1F497D"/>
      </left>
      <right/>
      <top style="dotted">
        <color rgb="FF1F497D"/>
      </top>
      <bottom style="dotted">
        <color rgb="FF1F497D"/>
      </bottom>
      <diagonal/>
    </border>
    <border>
      <left/>
      <right style="dotted">
        <color rgb="FF1F497D"/>
      </right>
      <top style="dotted">
        <color rgb="FF1F497D"/>
      </top>
      <bottom style="dotted">
        <color rgb="FF1F497D"/>
      </bottom>
      <diagonal/>
    </border>
    <border>
      <left style="medium">
        <color indexed="64"/>
      </left>
      <right style="thin">
        <color indexed="64"/>
      </right>
      <top style="thin">
        <color indexed="64"/>
      </top>
      <bottom/>
      <diagonal/>
    </border>
    <border>
      <left/>
      <right style="thin">
        <color indexed="64"/>
      </right>
      <top style="medium">
        <color indexed="64"/>
      </top>
      <bottom style="thin">
        <color indexed="64"/>
      </bottom>
      <diagonal/>
    </border>
    <border>
      <left style="thin">
        <color indexed="64"/>
      </left>
      <right style="thin">
        <color indexed="64"/>
      </right>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hair">
        <color auto="1"/>
      </left>
      <right/>
      <top/>
      <bottom style="hair">
        <color auto="1"/>
      </bottom>
      <diagonal/>
    </border>
    <border>
      <left/>
      <right style="double">
        <color indexed="64"/>
      </right>
      <top/>
      <bottom style="hair">
        <color indexed="64"/>
      </bottom>
      <diagonal/>
    </border>
    <border>
      <left style="double">
        <color indexed="64"/>
      </left>
      <right/>
      <top style="hair">
        <color indexed="64"/>
      </top>
      <bottom/>
      <diagonal/>
    </border>
    <border>
      <left style="double">
        <color indexed="64"/>
      </left>
      <right/>
      <top/>
      <bottom/>
      <diagonal/>
    </border>
    <border>
      <left style="double">
        <color indexed="64"/>
      </left>
      <right style="hair">
        <color indexed="64"/>
      </right>
      <top style="hair">
        <color indexed="64"/>
      </top>
      <bottom/>
      <diagonal/>
    </border>
    <border>
      <left style="hair">
        <color indexed="64"/>
      </left>
      <right style="hair">
        <color indexed="64"/>
      </right>
      <top style="hair">
        <color indexed="64"/>
      </top>
      <bottom/>
      <diagonal/>
    </border>
    <border>
      <left style="double">
        <color indexed="64"/>
      </left>
      <right style="hair">
        <color indexed="64"/>
      </right>
      <top/>
      <bottom style="hair">
        <color indexed="64"/>
      </bottom>
      <diagonal/>
    </border>
    <border>
      <left style="hair">
        <color indexed="64"/>
      </left>
      <right style="hair">
        <color indexed="64"/>
      </right>
      <top/>
      <bottom style="hair">
        <color indexed="64"/>
      </bottom>
      <diagonal/>
    </border>
    <border>
      <left/>
      <right style="hair">
        <color indexed="64"/>
      </right>
      <top style="hair">
        <color indexed="64"/>
      </top>
      <bottom/>
      <diagonal/>
    </border>
    <border>
      <left/>
      <right style="hair">
        <color indexed="64"/>
      </right>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bottom/>
      <diagonal/>
    </border>
    <border>
      <left style="thin">
        <color rgb="FF000000"/>
      </left>
      <right style="thin">
        <color rgb="FF000000"/>
      </right>
      <top/>
      <bottom/>
      <diagonal/>
    </border>
    <border>
      <left style="thin">
        <color rgb="FF000000"/>
      </left>
      <right/>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999999"/>
      </left>
      <right/>
      <top style="thin">
        <color rgb="FF999999"/>
      </top>
      <bottom/>
      <diagonal/>
    </border>
    <border>
      <left/>
      <right/>
      <top style="thin">
        <color rgb="FF999999"/>
      </top>
      <bottom/>
      <diagonal/>
    </border>
    <border>
      <left style="thin">
        <color rgb="FF999999"/>
      </left>
      <right style="thin">
        <color rgb="FF999999"/>
      </right>
      <top/>
      <bottom style="thin">
        <color rgb="FF999999"/>
      </bottom>
      <diagonal/>
    </border>
    <border>
      <left/>
      <right style="thin">
        <color rgb="FF999999"/>
      </right>
      <top/>
      <bottom style="thin">
        <color rgb="FF999999"/>
      </bottom>
      <diagonal/>
    </border>
    <border>
      <left style="thin">
        <color rgb="FF999999"/>
      </left>
      <right/>
      <top/>
      <bottom/>
      <diagonal/>
    </border>
    <border>
      <left style="thin">
        <color rgb="FF999999"/>
      </left>
      <right style="thin">
        <color rgb="FF999999"/>
      </right>
      <top style="thin">
        <color rgb="FF999999"/>
      </top>
      <bottom style="thin">
        <color rgb="FF999999"/>
      </bottom>
      <diagonal/>
    </border>
    <border>
      <left/>
      <right style="thin">
        <color rgb="FF999999"/>
      </right>
      <top/>
      <bottom/>
      <diagonal/>
    </border>
    <border>
      <left/>
      <right style="thin">
        <color rgb="FF999999"/>
      </right>
      <top style="thin">
        <color rgb="FF999999"/>
      </top>
      <bottom style="thin">
        <color rgb="FF999999"/>
      </bottom>
      <diagonal/>
    </border>
  </borders>
  <cellStyleXfs count="7">
    <xf numFmtId="0" fontId="0" fillId="0" borderId="0"/>
    <xf numFmtId="0" fontId="2" fillId="0" borderId="0"/>
    <xf numFmtId="0" fontId="2" fillId="0" borderId="0"/>
    <xf numFmtId="0" fontId="1" fillId="0" borderId="0"/>
    <xf numFmtId="0" fontId="2" fillId="0" borderId="0"/>
    <xf numFmtId="0" fontId="42" fillId="0" borderId="0"/>
    <xf numFmtId="9" fontId="50" fillId="0" borderId="0" applyFont="0" applyFill="0" applyBorder="0" applyAlignment="0" applyProtection="0"/>
  </cellStyleXfs>
  <cellXfs count="754">
    <xf numFmtId="0" fontId="0" fillId="0" borderId="0" xfId="0"/>
    <xf numFmtId="0" fontId="6" fillId="3" borderId="1" xfId="2" applyFont="1" applyFill="1" applyBorder="1" applyAlignment="1" applyProtection="1">
      <alignment horizontal="center" vertical="center" wrapText="1"/>
      <protection locked="0"/>
    </xf>
    <xf numFmtId="0" fontId="3" fillId="2" borderId="0" xfId="2" applyFont="1" applyFill="1"/>
    <xf numFmtId="0" fontId="4" fillId="0" borderId="0" xfId="2" applyFont="1" applyAlignment="1">
      <alignment vertical="center" wrapText="1"/>
    </xf>
    <xf numFmtId="0" fontId="4" fillId="0" borderId="0" xfId="2" applyFont="1" applyAlignment="1">
      <alignment horizontal="justify" vertical="top" wrapText="1"/>
    </xf>
    <xf numFmtId="0" fontId="9" fillId="0" borderId="0" xfId="2" applyFont="1" applyAlignment="1">
      <alignment vertical="center" wrapText="1"/>
    </xf>
    <xf numFmtId="0" fontId="6" fillId="0" borderId="0" xfId="2" applyFont="1" applyAlignment="1">
      <alignment horizontal="center" vertical="center" wrapText="1"/>
    </xf>
    <xf numFmtId="0" fontId="2" fillId="0" borderId="0" xfId="0" applyFont="1" applyAlignment="1">
      <alignment vertical="center" wrapText="1"/>
    </xf>
    <xf numFmtId="0" fontId="4" fillId="2" borderId="0" xfId="2" applyFont="1" applyFill="1" applyAlignment="1">
      <alignment vertical="center" wrapText="1"/>
    </xf>
    <xf numFmtId="0" fontId="6" fillId="0" borderId="1" xfId="0" applyFont="1" applyBorder="1" applyAlignment="1" applyProtection="1">
      <alignment horizontal="left" vertical="center" wrapText="1"/>
      <protection locked="0"/>
    </xf>
    <xf numFmtId="0" fontId="12" fillId="0" borderId="1" xfId="2" applyFont="1" applyBorder="1" applyAlignment="1">
      <alignment vertical="center" wrapText="1"/>
    </xf>
    <xf numFmtId="9" fontId="2" fillId="0" borderId="0" xfId="0" applyNumberFormat="1" applyFont="1" applyAlignment="1">
      <alignment horizontal="left" vertical="center" wrapText="1"/>
    </xf>
    <xf numFmtId="9" fontId="4" fillId="0" borderId="0" xfId="2" applyNumberFormat="1" applyFont="1" applyAlignment="1">
      <alignment vertical="center" wrapText="1"/>
    </xf>
    <xf numFmtId="0" fontId="7" fillId="0" borderId="0" xfId="2" applyFont="1" applyAlignment="1">
      <alignment horizontal="center" vertical="center"/>
    </xf>
    <xf numFmtId="0" fontId="13" fillId="0" borderId="0" xfId="0" applyFont="1" applyAlignment="1">
      <alignment vertical="center" wrapText="1"/>
    </xf>
    <xf numFmtId="0" fontId="5" fillId="0" borderId="34" xfId="2" applyFont="1" applyBorder="1" applyAlignment="1">
      <alignment vertical="center" wrapText="1"/>
    </xf>
    <xf numFmtId="0" fontId="5" fillId="0" borderId="36" xfId="2" applyFont="1" applyBorder="1" applyAlignment="1">
      <alignment vertical="center" wrapText="1"/>
    </xf>
    <xf numFmtId="0" fontId="5" fillId="0" borderId="0" xfId="2" applyFont="1" applyAlignment="1">
      <alignment vertical="center" wrapText="1"/>
    </xf>
    <xf numFmtId="0" fontId="5" fillId="0" borderId="1" xfId="2" applyFont="1" applyBorder="1" applyAlignment="1">
      <alignment vertical="center" wrapText="1"/>
    </xf>
    <xf numFmtId="0" fontId="20" fillId="0" borderId="3" xfId="0" applyFont="1" applyBorder="1" applyAlignment="1">
      <alignment horizontal="center" vertical="center" wrapText="1"/>
    </xf>
    <xf numFmtId="0" fontId="20" fillId="0" borderId="1" xfId="0" applyFont="1" applyBorder="1" applyAlignment="1">
      <alignment horizontal="center" vertical="center" wrapText="1"/>
    </xf>
    <xf numFmtId="0" fontId="20" fillId="0" borderId="26" xfId="0" applyFont="1" applyBorder="1" applyAlignment="1">
      <alignment horizontal="center" vertical="center" wrapText="1"/>
    </xf>
    <xf numFmtId="0" fontId="6" fillId="0" borderId="3" xfId="2" applyFont="1" applyBorder="1" applyAlignment="1">
      <alignment horizontal="center" vertical="center" wrapText="1"/>
    </xf>
    <xf numFmtId="9" fontId="0" fillId="0" borderId="33" xfId="0" applyNumberFormat="1" applyBorder="1" applyAlignment="1">
      <alignment horizontal="center" vertical="center" wrapText="1"/>
    </xf>
    <xf numFmtId="0" fontId="21" fillId="0" borderId="1" xfId="0" applyFont="1" applyBorder="1" applyAlignment="1">
      <alignment vertical="center" wrapText="1"/>
    </xf>
    <xf numFmtId="9" fontId="21" fillId="0" borderId="26" xfId="0" applyNumberFormat="1" applyFont="1" applyBorder="1" applyAlignment="1">
      <alignment horizontal="center" vertical="center" wrapText="1"/>
    </xf>
    <xf numFmtId="9" fontId="21" fillId="0" borderId="1" xfId="0" applyNumberFormat="1" applyFont="1" applyBorder="1" applyAlignment="1">
      <alignment horizontal="center" vertical="center" wrapText="1"/>
    </xf>
    <xf numFmtId="0" fontId="21" fillId="0" borderId="33" xfId="0" applyFont="1" applyBorder="1" applyAlignment="1">
      <alignment vertical="center" wrapText="1"/>
    </xf>
    <xf numFmtId="0" fontId="21" fillId="0" borderId="1" xfId="0" applyFont="1" applyBorder="1" applyAlignment="1">
      <alignment horizontal="justify" vertical="center" wrapText="1"/>
    </xf>
    <xf numFmtId="0" fontId="21" fillId="0" borderId="26" xfId="0" applyFont="1" applyBorder="1" applyAlignment="1">
      <alignment vertical="center" wrapText="1"/>
    </xf>
    <xf numFmtId="0" fontId="21" fillId="8" borderId="3" xfId="0" applyFont="1" applyFill="1" applyBorder="1" applyAlignment="1">
      <alignment horizontal="center" vertical="center" wrapText="1"/>
    </xf>
    <xf numFmtId="0" fontId="4" fillId="0" borderId="27" xfId="2" applyFont="1" applyBorder="1" applyAlignment="1">
      <alignment vertical="center" wrapText="1"/>
    </xf>
    <xf numFmtId="0" fontId="4" fillId="0" borderId="28" xfId="2" applyFont="1" applyBorder="1" applyAlignment="1">
      <alignment vertical="center" wrapText="1"/>
    </xf>
    <xf numFmtId="0" fontId="4" fillId="0" borderId="29" xfId="2" applyFont="1" applyBorder="1" applyAlignment="1">
      <alignment vertical="center" wrapText="1"/>
    </xf>
    <xf numFmtId="0" fontId="6" fillId="0" borderId="27" xfId="2" applyFont="1" applyBorder="1" applyAlignment="1">
      <alignment horizontal="center" vertical="center" wrapText="1"/>
    </xf>
    <xf numFmtId="9" fontId="0" fillId="0" borderId="35" xfId="0" applyNumberFormat="1" applyBorder="1" applyAlignment="1">
      <alignment horizontal="center" vertical="center" wrapText="1"/>
    </xf>
    <xf numFmtId="0" fontId="4" fillId="0" borderId="0" xfId="2" applyFont="1" applyAlignment="1">
      <alignment horizontal="center" vertical="center" wrapText="1"/>
    </xf>
    <xf numFmtId="0" fontId="13" fillId="0" borderId="1" xfId="0" applyFont="1" applyBorder="1" applyAlignment="1">
      <alignment horizontal="left" vertical="center" wrapText="1"/>
    </xf>
    <xf numFmtId="0" fontId="10" fillId="2" borderId="0" xfId="2" applyFont="1" applyFill="1" applyAlignment="1">
      <alignment horizontal="center" vertical="center" wrapText="1"/>
    </xf>
    <xf numFmtId="0" fontId="13" fillId="0" borderId="0" xfId="0" applyFont="1" applyAlignment="1">
      <alignment horizontal="left" vertical="center" wrapText="1"/>
    </xf>
    <xf numFmtId="9" fontId="9" fillId="0" borderId="0" xfId="2" applyNumberFormat="1" applyFont="1" applyAlignment="1">
      <alignment vertical="center"/>
    </xf>
    <xf numFmtId="0" fontId="11" fillId="0" borderId="0" xfId="2" applyFont="1" applyAlignment="1">
      <alignment horizontal="center" vertical="center" wrapText="1"/>
    </xf>
    <xf numFmtId="0" fontId="7" fillId="0" borderId="0" xfId="2" applyFont="1" applyAlignment="1">
      <alignment vertical="center"/>
    </xf>
    <xf numFmtId="0" fontId="3" fillId="0" borderId="0" xfId="2" applyFont="1" applyAlignment="1">
      <alignment vertical="center" wrapText="1"/>
    </xf>
    <xf numFmtId="0" fontId="10" fillId="0" borderId="0" xfId="2" applyFont="1" applyAlignment="1">
      <alignment horizontal="center" vertical="center" wrapText="1"/>
    </xf>
    <xf numFmtId="0" fontId="5" fillId="0" borderId="5" xfId="2" applyFont="1" applyBorder="1" applyAlignment="1">
      <alignment vertical="center" wrapText="1"/>
    </xf>
    <xf numFmtId="9" fontId="5" fillId="0" borderId="5" xfId="2" applyNumberFormat="1" applyFont="1" applyBorder="1" applyAlignment="1">
      <alignment horizontal="center" vertical="center" wrapText="1"/>
    </xf>
    <xf numFmtId="9" fontId="11" fillId="0" borderId="0" xfId="2" applyNumberFormat="1" applyFont="1" applyAlignment="1">
      <alignment horizontal="center" vertical="center" wrapText="1"/>
    </xf>
    <xf numFmtId="0" fontId="4" fillId="3" borderId="6" xfId="2" applyFont="1" applyFill="1" applyBorder="1" applyAlignment="1" applyProtection="1">
      <alignment horizontal="left" vertical="center" wrapText="1"/>
      <protection locked="0"/>
    </xf>
    <xf numFmtId="0" fontId="2" fillId="0" borderId="1" xfId="2" applyBorder="1" applyAlignment="1" applyProtection="1">
      <alignment horizontal="justify" vertical="center" wrapText="1"/>
      <protection locked="0"/>
    </xf>
    <xf numFmtId="0" fontId="6" fillId="4" borderId="0" xfId="2" applyFont="1" applyFill="1" applyAlignment="1">
      <alignment vertical="center" wrapText="1"/>
    </xf>
    <xf numFmtId="0" fontId="2" fillId="2" borderId="0" xfId="2" applyFill="1"/>
    <xf numFmtId="0" fontId="2" fillId="2" borderId="0" xfId="2" applyFill="1" applyAlignment="1">
      <alignment horizontal="center" vertical="center"/>
    </xf>
    <xf numFmtId="0" fontId="13" fillId="0" borderId="0" xfId="2" applyFont="1" applyAlignment="1">
      <alignment horizontal="center" vertical="center"/>
    </xf>
    <xf numFmtId="0" fontId="13" fillId="0" borderId="0" xfId="2" applyFont="1" applyAlignment="1">
      <alignment vertical="center"/>
    </xf>
    <xf numFmtId="0" fontId="2" fillId="2" borderId="0" xfId="2" applyFill="1" applyAlignment="1">
      <alignment horizontal="center"/>
    </xf>
    <xf numFmtId="0" fontId="2" fillId="2" borderId="18" xfId="2" applyFill="1" applyBorder="1"/>
    <xf numFmtId="0" fontId="2" fillId="2" borderId="17" xfId="2" applyFill="1" applyBorder="1"/>
    <xf numFmtId="0" fontId="13" fillId="0" borderId="24" xfId="2" applyFont="1" applyBorder="1" applyAlignment="1">
      <alignment vertical="center" wrapText="1"/>
    </xf>
    <xf numFmtId="0" fontId="13" fillId="0" borderId="4" xfId="2" applyFont="1" applyBorder="1" applyAlignment="1">
      <alignment vertical="center" wrapText="1"/>
    </xf>
    <xf numFmtId="0" fontId="13" fillId="0" borderId="0" xfId="2" applyFont="1" applyAlignment="1">
      <alignment horizontal="center" vertical="center" wrapText="1"/>
    </xf>
    <xf numFmtId="0" fontId="2" fillId="0" borderId="18" xfId="2" applyBorder="1" applyAlignment="1">
      <alignment vertical="center" wrapText="1"/>
    </xf>
    <xf numFmtId="0" fontId="2" fillId="0" borderId="17" xfId="2" applyBorder="1" applyAlignment="1">
      <alignment vertical="center" wrapText="1"/>
    </xf>
    <xf numFmtId="0" fontId="2" fillId="0" borderId="0" xfId="2" applyAlignment="1">
      <alignment vertical="center" wrapText="1"/>
    </xf>
    <xf numFmtId="0" fontId="2" fillId="0" borderId="15" xfId="2" applyBorder="1" applyAlignment="1">
      <alignment vertical="center" wrapText="1"/>
    </xf>
    <xf numFmtId="9" fontId="2" fillId="0" borderId="1" xfId="2" applyNumberFormat="1" applyBorder="1" applyAlignment="1">
      <alignment horizontal="center" vertical="center" wrapText="1"/>
    </xf>
    <xf numFmtId="9" fontId="2" fillId="0" borderId="26" xfId="2" applyNumberFormat="1" applyBorder="1" applyAlignment="1">
      <alignment horizontal="center" vertical="center" wrapText="1"/>
    </xf>
    <xf numFmtId="0" fontId="25" fillId="0" borderId="0" xfId="2" applyFont="1" applyAlignment="1">
      <alignment vertical="center" wrapText="1"/>
    </xf>
    <xf numFmtId="0" fontId="2" fillId="0" borderId="0" xfId="2" applyAlignment="1">
      <alignment horizontal="center" vertical="center" wrapText="1"/>
    </xf>
    <xf numFmtId="0" fontId="13" fillId="0" borderId="24" xfId="2" applyFont="1" applyBorder="1" applyAlignment="1">
      <alignment horizontal="center" vertical="center" wrapText="1"/>
    </xf>
    <xf numFmtId="0" fontId="13" fillId="0" borderId="4" xfId="2" applyFont="1" applyBorder="1" applyAlignment="1">
      <alignment horizontal="center" vertical="center" wrapText="1"/>
    </xf>
    <xf numFmtId="0" fontId="13" fillId="0" borderId="1" xfId="2" applyFont="1" applyBorder="1" applyAlignment="1">
      <alignment horizontal="center" vertical="center" wrapText="1"/>
    </xf>
    <xf numFmtId="0" fontId="13" fillId="0" borderId="8" xfId="2" applyFont="1" applyBorder="1" applyAlignment="1">
      <alignment horizontal="center" vertical="center" wrapText="1"/>
    </xf>
    <xf numFmtId="0" fontId="13" fillId="0" borderId="1" xfId="2" applyFont="1" applyBorder="1" applyAlignment="1">
      <alignment vertical="center" wrapText="1"/>
    </xf>
    <xf numFmtId="0" fontId="26" fillId="0" borderId="1" xfId="0" applyFont="1" applyBorder="1" applyAlignment="1">
      <alignment horizontal="center" vertical="center" wrapText="1" readingOrder="1"/>
    </xf>
    <xf numFmtId="0" fontId="26" fillId="0" borderId="26" xfId="0" applyFont="1" applyBorder="1" applyAlignment="1">
      <alignment horizontal="center" vertical="center" wrapText="1" readingOrder="1"/>
    </xf>
    <xf numFmtId="0" fontId="2" fillId="0" borderId="1" xfId="2" applyBorder="1" applyAlignment="1">
      <alignment vertical="center" wrapText="1"/>
    </xf>
    <xf numFmtId="0" fontId="2" fillId="0" borderId="1" xfId="0" applyFont="1" applyBorder="1" applyAlignment="1">
      <alignment horizontal="center" vertical="center" wrapText="1" readingOrder="1"/>
    </xf>
    <xf numFmtId="0" fontId="2" fillId="0" borderId="26" xfId="0" applyFont="1" applyBorder="1" applyAlignment="1">
      <alignment horizontal="center" vertical="center" wrapText="1" readingOrder="1"/>
    </xf>
    <xf numFmtId="0" fontId="27" fillId="0" borderId="0" xfId="3" applyFont="1"/>
    <xf numFmtId="0" fontId="2" fillId="0" borderId="3" xfId="2" applyBorder="1" applyAlignment="1">
      <alignment horizontal="center" vertical="center" wrapText="1"/>
    </xf>
    <xf numFmtId="0" fontId="2" fillId="0" borderId="1" xfId="2" applyBorder="1" applyAlignment="1">
      <alignment horizontal="justify" vertical="center" wrapText="1"/>
    </xf>
    <xf numFmtId="9" fontId="22" fillId="0" borderId="4" xfId="0" applyNumberFormat="1" applyFont="1" applyBorder="1" applyAlignment="1">
      <alignment horizontal="center" vertical="center" wrapText="1"/>
    </xf>
    <xf numFmtId="0" fontId="2" fillId="0" borderId="0" xfId="2" applyAlignment="1">
      <alignment horizontal="justify" vertical="center" wrapText="1"/>
    </xf>
    <xf numFmtId="0" fontId="28" fillId="9" borderId="1" xfId="0" applyFont="1" applyFill="1" applyBorder="1" applyAlignment="1">
      <alignment horizontal="center" vertical="center" wrapText="1" readingOrder="1"/>
    </xf>
    <xf numFmtId="0" fontId="2" fillId="7" borderId="26" xfId="0" applyFont="1" applyFill="1" applyBorder="1" applyAlignment="1">
      <alignment horizontal="center" vertical="center" wrapText="1" readingOrder="1"/>
    </xf>
    <xf numFmtId="9" fontId="2" fillId="0" borderId="3" xfId="2" applyNumberFormat="1" applyBorder="1" applyAlignment="1">
      <alignment horizontal="center" vertical="center" wrapText="1"/>
    </xf>
    <xf numFmtId="0" fontId="27" fillId="0" borderId="0" xfId="3" applyFont="1" applyAlignment="1">
      <alignment horizontal="center" vertical="center"/>
    </xf>
    <xf numFmtId="0" fontId="28" fillId="10" borderId="1" xfId="0" applyFont="1" applyFill="1" applyBorder="1" applyAlignment="1">
      <alignment horizontal="center" vertical="center" wrapText="1" readingOrder="1"/>
    </xf>
    <xf numFmtId="0" fontId="29" fillId="0" borderId="0" xfId="3" applyFont="1" applyAlignment="1">
      <alignment vertical="center" textRotation="90" wrapText="1"/>
    </xf>
    <xf numFmtId="0" fontId="30" fillId="0" borderId="0" xfId="3" applyFont="1" applyAlignment="1">
      <alignment horizontal="center" vertical="center" wrapText="1"/>
    </xf>
    <xf numFmtId="0" fontId="27" fillId="0" borderId="0" xfId="3" applyFont="1" applyAlignment="1">
      <alignment horizontal="center" vertical="center" wrapText="1"/>
    </xf>
    <xf numFmtId="0" fontId="28" fillId="6" borderId="1" xfId="0" applyFont="1" applyFill="1" applyBorder="1" applyAlignment="1">
      <alignment horizontal="center" vertical="center" wrapText="1" readingOrder="1"/>
    </xf>
    <xf numFmtId="0" fontId="26" fillId="0" borderId="28" xfId="0" applyFont="1" applyBorder="1" applyAlignment="1">
      <alignment horizontal="center" vertical="center" wrapText="1" readingOrder="1"/>
    </xf>
    <xf numFmtId="0" fontId="28" fillId="6" borderId="28" xfId="0" applyFont="1" applyFill="1" applyBorder="1" applyAlignment="1">
      <alignment horizontal="center" vertical="center" wrapText="1" readingOrder="1"/>
    </xf>
    <xf numFmtId="0" fontId="28" fillId="10" borderId="28" xfId="0" applyFont="1" applyFill="1" applyBorder="1" applyAlignment="1">
      <alignment horizontal="center" vertical="center" wrapText="1" readingOrder="1"/>
    </xf>
    <xf numFmtId="0" fontId="28" fillId="9" borderId="28" xfId="0" applyFont="1" applyFill="1" applyBorder="1" applyAlignment="1">
      <alignment horizontal="center" vertical="center" wrapText="1" readingOrder="1"/>
    </xf>
    <xf numFmtId="0" fontId="2" fillId="7" borderId="29" xfId="0" applyFont="1" applyFill="1" applyBorder="1" applyAlignment="1">
      <alignment horizontal="center" vertical="center" wrapText="1" readingOrder="1"/>
    </xf>
    <xf numFmtId="9" fontId="2" fillId="0" borderId="27" xfId="2" applyNumberFormat="1" applyBorder="1" applyAlignment="1">
      <alignment horizontal="center" vertical="center" wrapText="1"/>
    </xf>
    <xf numFmtId="0" fontId="2" fillId="0" borderId="28" xfId="0" applyFont="1" applyBorder="1" applyAlignment="1">
      <alignment horizontal="center" vertical="center" wrapText="1" readingOrder="1"/>
    </xf>
    <xf numFmtId="0" fontId="27" fillId="0" borderId="0" xfId="3" applyFont="1" applyAlignment="1">
      <alignment vertical="center"/>
    </xf>
    <xf numFmtId="0" fontId="2" fillId="7" borderId="1" xfId="0" applyFont="1" applyFill="1" applyBorder="1" applyAlignment="1">
      <alignment horizontal="center" vertical="center" wrapText="1" readingOrder="1"/>
    </xf>
    <xf numFmtId="0" fontId="25" fillId="0" borderId="0" xfId="0" applyFont="1" applyAlignment="1">
      <alignment vertical="center" readingOrder="1"/>
    </xf>
    <xf numFmtId="0" fontId="31" fillId="0" borderId="0" xfId="3" applyFont="1"/>
    <xf numFmtId="0" fontId="2" fillId="0" borderId="0" xfId="0" applyFont="1" applyAlignment="1">
      <alignment vertical="center"/>
    </xf>
    <xf numFmtId="0" fontId="2" fillId="0" borderId="0" xfId="0" applyFont="1" applyAlignment="1">
      <alignment vertical="center" readingOrder="1"/>
    </xf>
    <xf numFmtId="0" fontId="2" fillId="0" borderId="0" xfId="3" applyFont="1" applyAlignment="1">
      <alignment vertical="center"/>
    </xf>
    <xf numFmtId="0" fontId="13" fillId="0" borderId="1" xfId="0" applyFont="1" applyBorder="1" applyAlignment="1">
      <alignment horizontal="center" vertical="center" wrapText="1"/>
    </xf>
    <xf numFmtId="0" fontId="2" fillId="2" borderId="0" xfId="2" applyFill="1" applyAlignment="1">
      <alignment horizontal="left"/>
    </xf>
    <xf numFmtId="0" fontId="13" fillId="0" borderId="0" xfId="2" applyFont="1" applyAlignment="1">
      <alignment horizontal="left" vertical="center"/>
    </xf>
    <xf numFmtId="0" fontId="13" fillId="0" borderId="0" xfId="2" applyFont="1" applyAlignment="1">
      <alignment vertical="center" wrapText="1"/>
    </xf>
    <xf numFmtId="9" fontId="2" fillId="0" borderId="4" xfId="2" applyNumberFormat="1" applyBorder="1" applyAlignment="1">
      <alignment horizontal="center" vertical="center" wrapText="1"/>
    </xf>
    <xf numFmtId="9" fontId="22" fillId="0" borderId="4" xfId="0" applyNumberFormat="1" applyFont="1" applyBorder="1" applyAlignment="1">
      <alignment horizontal="left" vertical="center" wrapText="1"/>
    </xf>
    <xf numFmtId="0" fontId="2" fillId="0" borderId="0" xfId="2" applyAlignment="1">
      <alignment horizontal="left" vertical="center" wrapText="1"/>
    </xf>
    <xf numFmtId="14" fontId="2" fillId="2" borderId="0" xfId="2" applyNumberFormat="1" applyFill="1"/>
    <xf numFmtId="14" fontId="13" fillId="0" borderId="0" xfId="2" applyNumberFormat="1" applyFont="1" applyAlignment="1">
      <alignment horizontal="center" vertical="center"/>
    </xf>
    <xf numFmtId="14" fontId="13" fillId="0" borderId="1" xfId="2" applyNumberFormat="1" applyFont="1" applyBorder="1" applyAlignment="1">
      <alignment horizontal="center" vertical="center" wrapText="1"/>
    </xf>
    <xf numFmtId="9" fontId="2" fillId="0" borderId="4" xfId="2" applyNumberFormat="1" applyBorder="1" applyAlignment="1">
      <alignment horizontal="justify" vertical="center" wrapText="1"/>
    </xf>
    <xf numFmtId="14" fontId="2" fillId="0" borderId="0" xfId="2" applyNumberFormat="1" applyAlignment="1">
      <alignment vertical="center" wrapText="1"/>
    </xf>
    <xf numFmtId="14" fontId="2" fillId="0" borderId="0" xfId="2" applyNumberFormat="1" applyAlignment="1">
      <alignment horizontal="center" vertical="center" wrapText="1"/>
    </xf>
    <xf numFmtId="0" fontId="4" fillId="4" borderId="0" xfId="2" applyFont="1" applyFill="1" applyAlignment="1">
      <alignment vertical="center" wrapText="1"/>
    </xf>
    <xf numFmtId="0" fontId="5" fillId="4" borderId="0" xfId="2" applyFont="1" applyFill="1" applyAlignment="1">
      <alignment vertical="center" wrapText="1"/>
    </xf>
    <xf numFmtId="0" fontId="0" fillId="4" borderId="0" xfId="0" applyFill="1" applyAlignment="1">
      <alignment vertical="top" wrapText="1"/>
    </xf>
    <xf numFmtId="0" fontId="8" fillId="0" borderId="1" xfId="0" applyFont="1" applyBorder="1"/>
    <xf numFmtId="0" fontId="8" fillId="0" borderId="0" xfId="0" applyFont="1"/>
    <xf numFmtId="0" fontId="0" fillId="0" borderId="1" xfId="0" applyBorder="1"/>
    <xf numFmtId="0" fontId="0" fillId="0" borderId="1" xfId="0" applyBorder="1" applyAlignment="1">
      <alignment horizontal="center"/>
    </xf>
    <xf numFmtId="9" fontId="0" fillId="0" borderId="1" xfId="0" applyNumberFormat="1" applyBorder="1" applyAlignment="1">
      <alignment horizontal="center"/>
    </xf>
    <xf numFmtId="0" fontId="0" fillId="0" borderId="0" xfId="0" applyAlignment="1">
      <alignment horizontal="center" vertical="center"/>
    </xf>
    <xf numFmtId="0" fontId="8" fillId="0" borderId="1" xfId="0" applyFont="1" applyBorder="1" applyAlignment="1">
      <alignment horizontal="center" vertical="center"/>
    </xf>
    <xf numFmtId="0" fontId="19" fillId="0" borderId="1" xfId="0" applyFont="1" applyBorder="1" applyAlignment="1">
      <alignment horizontal="center" vertical="center"/>
    </xf>
    <xf numFmtId="0" fontId="22" fillId="0" borderId="0" xfId="0" applyFont="1" applyAlignment="1">
      <alignment wrapText="1"/>
    </xf>
    <xf numFmtId="0" fontId="24" fillId="0" borderId="1" xfId="0" applyFont="1" applyBorder="1" applyAlignment="1">
      <alignment wrapText="1"/>
    </xf>
    <xf numFmtId="0" fontId="22" fillId="0" borderId="1" xfId="0" applyFont="1" applyBorder="1" applyAlignment="1">
      <alignment wrapText="1"/>
    </xf>
    <xf numFmtId="0" fontId="24" fillId="0" borderId="4" xfId="0" applyFont="1" applyBorder="1" applyAlignment="1">
      <alignment wrapText="1"/>
    </xf>
    <xf numFmtId="9" fontId="22" fillId="0" borderId="1" xfId="0" applyNumberFormat="1" applyFont="1" applyBorder="1" applyAlignment="1">
      <alignment wrapText="1"/>
    </xf>
    <xf numFmtId="0" fontId="22" fillId="0" borderId="4" xfId="0" applyFont="1" applyBorder="1" applyAlignment="1">
      <alignment wrapText="1"/>
    </xf>
    <xf numFmtId="0" fontId="12" fillId="0" borderId="1" xfId="2" applyFont="1" applyBorder="1" applyAlignment="1">
      <alignment horizontal="center" vertical="center" wrapText="1"/>
    </xf>
    <xf numFmtId="0" fontId="24" fillId="0" borderId="1" xfId="0" applyFont="1" applyBorder="1" applyAlignment="1">
      <alignment horizontal="center" wrapText="1"/>
    </xf>
    <xf numFmtId="0" fontId="5" fillId="0" borderId="5" xfId="2" applyFont="1" applyBorder="1" applyAlignment="1">
      <alignment horizontal="center" vertical="center" wrapText="1"/>
    </xf>
    <xf numFmtId="0" fontId="5" fillId="0" borderId="0" xfId="2" applyFont="1" applyAlignment="1">
      <alignment horizontal="center" vertical="center" wrapText="1"/>
    </xf>
    <xf numFmtId="0" fontId="6" fillId="0" borderId="1" xfId="0" applyFont="1" applyBorder="1" applyAlignment="1">
      <alignment horizontal="left" vertical="center" wrapText="1"/>
    </xf>
    <xf numFmtId="0" fontId="22" fillId="0" borderId="8" xfId="0" applyFont="1" applyBorder="1" applyAlignment="1">
      <alignment wrapText="1"/>
    </xf>
    <xf numFmtId="0" fontId="24" fillId="0" borderId="0" xfId="0" applyFont="1" applyAlignment="1">
      <alignment wrapText="1"/>
    </xf>
    <xf numFmtId="0" fontId="22" fillId="0" borderId="11" xfId="0" applyFont="1" applyBorder="1" applyAlignment="1">
      <alignment wrapText="1"/>
    </xf>
    <xf numFmtId="0" fontId="22" fillId="0" borderId="34" xfId="0" applyFont="1" applyBorder="1" applyAlignment="1">
      <alignment wrapText="1"/>
    </xf>
    <xf numFmtId="0" fontId="22" fillId="0" borderId="3" xfId="0" applyFont="1" applyBorder="1" applyAlignment="1">
      <alignment wrapText="1"/>
    </xf>
    <xf numFmtId="0" fontId="22" fillId="0" borderId="26" xfId="0" applyFont="1" applyBorder="1" applyAlignment="1">
      <alignment wrapText="1"/>
    </xf>
    <xf numFmtId="0" fontId="2" fillId="2" borderId="3" xfId="2" applyFill="1" applyBorder="1" applyAlignment="1">
      <alignment wrapText="1"/>
    </xf>
    <xf numFmtId="0" fontId="22" fillId="0" borderId="27" xfId="0" applyFont="1" applyBorder="1" applyAlignment="1">
      <alignment wrapText="1"/>
    </xf>
    <xf numFmtId="0" fontId="22" fillId="0" borderId="29" xfId="0" applyFont="1" applyBorder="1" applyAlignment="1">
      <alignment wrapText="1"/>
    </xf>
    <xf numFmtId="0" fontId="22" fillId="0" borderId="24" xfId="0" applyFont="1" applyBorder="1" applyAlignment="1">
      <alignment wrapText="1"/>
    </xf>
    <xf numFmtId="0" fontId="22" fillId="0" borderId="33" xfId="0" applyFont="1" applyBorder="1" applyAlignment="1">
      <alignment wrapText="1"/>
    </xf>
    <xf numFmtId="0" fontId="2" fillId="2" borderId="27" xfId="2" applyFill="1" applyBorder="1" applyAlignment="1">
      <alignment wrapText="1"/>
    </xf>
    <xf numFmtId="0" fontId="23" fillId="0" borderId="29" xfId="0" applyFont="1" applyBorder="1" applyAlignment="1">
      <alignment horizontal="left" vertical="center" wrapText="1"/>
    </xf>
    <xf numFmtId="0" fontId="4" fillId="0" borderId="1" xfId="2" applyFont="1" applyBorder="1" applyAlignment="1">
      <alignment horizontal="justify" vertical="center" wrapText="1"/>
    </xf>
    <xf numFmtId="0" fontId="2" fillId="0" borderId="25" xfId="0" applyFont="1" applyBorder="1" applyAlignment="1">
      <alignment wrapText="1"/>
    </xf>
    <xf numFmtId="0" fontId="2" fillId="0" borderId="29" xfId="0" applyFont="1" applyBorder="1" applyAlignment="1">
      <alignment horizontal="left" vertical="center" wrapText="1"/>
    </xf>
    <xf numFmtId="0" fontId="2" fillId="0" borderId="33" xfId="0" applyFont="1" applyBorder="1" applyAlignment="1">
      <alignment wrapText="1"/>
    </xf>
    <xf numFmtId="0" fontId="20" fillId="0" borderId="8" xfId="0" applyFont="1" applyBorder="1" applyAlignment="1">
      <alignment horizontal="center" vertical="center" wrapText="1"/>
    </xf>
    <xf numFmtId="0" fontId="21" fillId="0" borderId="8" xfId="0" applyFont="1" applyBorder="1" applyAlignment="1">
      <alignment horizontal="center" vertical="center" wrapText="1"/>
    </xf>
    <xf numFmtId="0" fontId="4" fillId="0" borderId="37" xfId="2" applyFont="1" applyBorder="1" applyAlignment="1">
      <alignment horizontal="center" vertical="center" wrapText="1"/>
    </xf>
    <xf numFmtId="0" fontId="3" fillId="2" borderId="0" xfId="2" applyFont="1" applyFill="1" applyAlignment="1">
      <alignment horizontal="center" vertical="center"/>
    </xf>
    <xf numFmtId="0" fontId="33" fillId="0" borderId="19" xfId="2" applyFont="1" applyBorder="1" applyAlignment="1">
      <alignment horizontal="center" vertical="center" wrapText="1"/>
    </xf>
    <xf numFmtId="9" fontId="0" fillId="0" borderId="11" xfId="0" applyNumberFormat="1" applyBorder="1" applyAlignment="1">
      <alignment horizontal="center" vertical="center" wrapText="1"/>
    </xf>
    <xf numFmtId="9" fontId="0" fillId="0" borderId="41" xfId="0" applyNumberFormat="1" applyBorder="1" applyAlignment="1">
      <alignment horizontal="center" vertical="center" wrapText="1"/>
    </xf>
    <xf numFmtId="9" fontId="0" fillId="0" borderId="1" xfId="0" applyNumberFormat="1" applyBorder="1" applyAlignment="1">
      <alignment horizontal="center" vertical="center" wrapText="1"/>
    </xf>
    <xf numFmtId="9" fontId="0" fillId="0" borderId="28" xfId="0" applyNumberFormat="1" applyBorder="1" applyAlignment="1">
      <alignment horizontal="center" vertical="center" wrapText="1"/>
    </xf>
    <xf numFmtId="9" fontId="0" fillId="0" borderId="8" xfId="0" applyNumberFormat="1" applyBorder="1" applyAlignment="1">
      <alignment horizontal="center" vertical="center" wrapText="1"/>
    </xf>
    <xf numFmtId="9" fontId="0" fillId="0" borderId="37" xfId="0" applyNumberFormat="1" applyBorder="1" applyAlignment="1">
      <alignment horizontal="center" vertical="center" wrapText="1"/>
    </xf>
    <xf numFmtId="9" fontId="0" fillId="3" borderId="3" xfId="0" applyNumberFormat="1" applyFill="1" applyBorder="1" applyAlignment="1" applyProtection="1">
      <alignment horizontal="center" vertical="center" wrapText="1"/>
      <protection locked="0"/>
    </xf>
    <xf numFmtId="0" fontId="33" fillId="0" borderId="38" xfId="2" applyFont="1" applyBorder="1" applyAlignment="1">
      <alignment horizontal="center" vertical="center" wrapText="1"/>
    </xf>
    <xf numFmtId="0" fontId="5" fillId="0" borderId="8" xfId="2" applyFont="1" applyBorder="1" applyAlignment="1">
      <alignment horizontal="center" vertical="center" wrapText="1"/>
    </xf>
    <xf numFmtId="0" fontId="5" fillId="0" borderId="3" xfId="2" applyFont="1" applyBorder="1" applyAlignment="1">
      <alignment horizontal="center" vertical="center" wrapText="1"/>
    </xf>
    <xf numFmtId="0" fontId="5" fillId="0" borderId="10" xfId="2" applyFont="1" applyBorder="1" applyAlignment="1">
      <alignment horizontal="center" vertical="center" wrapText="1"/>
    </xf>
    <xf numFmtId="0" fontId="2" fillId="0" borderId="1" xfId="0" applyFont="1" applyBorder="1" applyAlignment="1">
      <alignment wrapText="1"/>
    </xf>
    <xf numFmtId="0" fontId="28" fillId="0" borderId="0" xfId="0" applyFont="1" applyAlignment="1">
      <alignment horizontal="center" vertical="center" wrapText="1" readingOrder="1"/>
    </xf>
    <xf numFmtId="9" fontId="2" fillId="0" borderId="0" xfId="2" applyNumberFormat="1" applyAlignment="1">
      <alignment horizontal="center" vertical="center" wrapText="1"/>
    </xf>
    <xf numFmtId="9" fontId="22" fillId="0" borderId="0" xfId="0" applyNumberFormat="1" applyFont="1" applyAlignment="1">
      <alignment horizontal="center" vertical="center" wrapText="1"/>
    </xf>
    <xf numFmtId="9" fontId="22" fillId="0" borderId="0" xfId="0" applyNumberFormat="1" applyFont="1" applyAlignment="1">
      <alignment horizontal="left" vertical="center" wrapText="1"/>
    </xf>
    <xf numFmtId="0" fontId="0" fillId="4" borderId="0" xfId="0" applyFill="1"/>
    <xf numFmtId="0" fontId="37" fillId="4" borderId="15" xfId="4" quotePrefix="1" applyFont="1" applyFill="1" applyBorder="1" applyAlignment="1">
      <alignment horizontal="left" vertical="top" wrapText="1"/>
    </xf>
    <xf numFmtId="0" fontId="38" fillId="4" borderId="2" xfId="4" quotePrefix="1" applyFont="1" applyFill="1" applyBorder="1" applyAlignment="1">
      <alignment horizontal="left" vertical="top" wrapText="1"/>
    </xf>
    <xf numFmtId="0" fontId="35" fillId="4" borderId="2" xfId="4" applyFont="1" applyFill="1" applyBorder="1"/>
    <xf numFmtId="0" fontId="6" fillId="0" borderId="8" xfId="2" applyFont="1" applyBorder="1" applyAlignment="1">
      <alignment horizontal="justify" vertical="center" wrapText="1"/>
    </xf>
    <xf numFmtId="3" fontId="6" fillId="3" borderId="3" xfId="2" applyNumberFormat="1" applyFont="1" applyFill="1" applyBorder="1" applyAlignment="1" applyProtection="1">
      <alignment horizontal="center" vertical="center" wrapText="1"/>
      <protection locked="0"/>
    </xf>
    <xf numFmtId="0" fontId="6" fillId="3" borderId="3" xfId="2" applyFont="1" applyFill="1" applyBorder="1" applyAlignment="1" applyProtection="1">
      <alignment horizontal="center" vertical="center" wrapText="1"/>
      <protection locked="0"/>
    </xf>
    <xf numFmtId="0" fontId="6" fillId="3" borderId="27" xfId="2" applyFont="1" applyFill="1" applyBorder="1" applyAlignment="1" applyProtection="1">
      <alignment horizontal="center" vertical="center" wrapText="1"/>
      <protection locked="0"/>
    </xf>
    <xf numFmtId="9" fontId="13" fillId="0" borderId="0" xfId="0" applyNumberFormat="1" applyFont="1" applyAlignment="1">
      <alignment horizontal="left" vertical="center" wrapText="1"/>
    </xf>
    <xf numFmtId="9" fontId="8" fillId="0" borderId="3" xfId="0" applyNumberFormat="1" applyFont="1" applyBorder="1" applyAlignment="1">
      <alignment horizontal="center" vertical="center" wrapText="1"/>
    </xf>
    <xf numFmtId="9" fontId="8" fillId="0" borderId="26" xfId="0" applyNumberFormat="1" applyFont="1" applyBorder="1" applyAlignment="1">
      <alignment horizontal="center" vertical="center" wrapText="1"/>
    </xf>
    <xf numFmtId="9" fontId="8" fillId="0" borderId="27" xfId="0" applyNumberFormat="1" applyFont="1" applyBorder="1" applyAlignment="1">
      <alignment horizontal="center" vertical="center" wrapText="1"/>
    </xf>
    <xf numFmtId="9" fontId="8" fillId="0" borderId="29" xfId="0" applyNumberFormat="1" applyFont="1" applyBorder="1" applyAlignment="1">
      <alignment horizontal="center" vertical="center" wrapText="1"/>
    </xf>
    <xf numFmtId="9" fontId="5" fillId="0" borderId="0" xfId="2" applyNumberFormat="1" applyFont="1" applyAlignment="1">
      <alignment vertical="center" wrapText="1"/>
    </xf>
    <xf numFmtId="0" fontId="4" fillId="3" borderId="1" xfId="2" applyFont="1" applyFill="1" applyBorder="1" applyAlignment="1" applyProtection="1">
      <alignment horizontal="left" vertical="center" wrapText="1"/>
      <protection locked="0"/>
    </xf>
    <xf numFmtId="0" fontId="4" fillId="3" borderId="28" xfId="2" applyFont="1" applyFill="1" applyBorder="1" applyAlignment="1" applyProtection="1">
      <alignment horizontal="left" vertical="center" wrapText="1"/>
      <protection locked="0"/>
    </xf>
    <xf numFmtId="0" fontId="2" fillId="3" borderId="1" xfId="2" applyFill="1" applyBorder="1" applyAlignment="1" applyProtection="1">
      <alignment horizontal="justify" vertical="center" wrapText="1"/>
      <protection locked="0"/>
    </xf>
    <xf numFmtId="14" fontId="2" fillId="3" borderId="1" xfId="2" applyNumberFormat="1" applyFill="1" applyBorder="1" applyAlignment="1" applyProtection="1">
      <alignment horizontal="justify" vertical="center" wrapText="1"/>
      <protection locked="0"/>
    </xf>
    <xf numFmtId="0" fontId="0" fillId="0" borderId="0" xfId="0" applyAlignment="1">
      <alignment horizontal="center"/>
    </xf>
    <xf numFmtId="0" fontId="18" fillId="0" borderId="0" xfId="0" applyFont="1"/>
    <xf numFmtId="0" fontId="14" fillId="0" borderId="0" xfId="0" applyFont="1" applyProtection="1">
      <protection locked="0"/>
    </xf>
    <xf numFmtId="14" fontId="2" fillId="0" borderId="0" xfId="0" applyNumberFormat="1" applyFont="1" applyAlignment="1">
      <alignment horizontal="left" vertical="center" wrapText="1"/>
    </xf>
    <xf numFmtId="0" fontId="32" fillId="2" borderId="1" xfId="2" applyFont="1" applyFill="1" applyBorder="1" applyAlignment="1">
      <alignment vertical="center" wrapText="1"/>
    </xf>
    <xf numFmtId="14" fontId="2" fillId="0" borderId="1" xfId="0" applyNumberFormat="1" applyFont="1" applyBorder="1" applyAlignment="1">
      <alignment horizontal="left" vertical="center" wrapText="1"/>
    </xf>
    <xf numFmtId="0" fontId="32" fillId="2" borderId="5" xfId="2" applyFont="1" applyFill="1" applyBorder="1" applyAlignment="1">
      <alignment vertical="center" wrapText="1"/>
    </xf>
    <xf numFmtId="14" fontId="2" fillId="0" borderId="1" xfId="0" applyNumberFormat="1" applyFont="1" applyBorder="1" applyAlignment="1">
      <alignment vertical="center" wrapText="1"/>
    </xf>
    <xf numFmtId="14" fontId="13" fillId="0" borderId="1" xfId="0" applyNumberFormat="1" applyFont="1" applyBorder="1" applyAlignment="1">
      <alignment horizontal="center" vertical="center" wrapText="1"/>
    </xf>
    <xf numFmtId="0" fontId="13" fillId="0" borderId="1" xfId="0" applyFont="1" applyBorder="1" applyAlignment="1">
      <alignment vertical="center" wrapText="1"/>
    </xf>
    <xf numFmtId="0" fontId="13" fillId="0" borderId="0" xfId="0" applyFont="1" applyAlignment="1">
      <alignment horizontal="center" vertical="center" wrapText="1"/>
    </xf>
    <xf numFmtId="0" fontId="12" fillId="0" borderId="0" xfId="2" applyFont="1" applyAlignment="1">
      <alignment horizontal="left" vertical="center" wrapText="1"/>
    </xf>
    <xf numFmtId="0" fontId="6" fillId="4" borderId="0" xfId="2" applyFont="1" applyFill="1" applyAlignment="1">
      <alignment horizontal="left" vertical="center" wrapText="1"/>
    </xf>
    <xf numFmtId="0" fontId="12" fillId="0" borderId="0" xfId="2" applyFont="1" applyAlignment="1">
      <alignment vertical="center" wrapText="1"/>
    </xf>
    <xf numFmtId="0" fontId="3" fillId="2" borderId="0" xfId="2" applyFont="1" applyFill="1" applyAlignment="1">
      <alignment horizontal="center"/>
    </xf>
    <xf numFmtId="0" fontId="32" fillId="2" borderId="0" xfId="2" applyFont="1" applyFill="1" applyAlignment="1">
      <alignment vertical="center" wrapText="1"/>
    </xf>
    <xf numFmtId="14" fontId="2" fillId="0" borderId="0" xfId="0" applyNumberFormat="1" applyFont="1" applyAlignment="1">
      <alignment horizontal="right" vertical="center" wrapText="1"/>
    </xf>
    <xf numFmtId="14" fontId="2" fillId="0" borderId="1" xfId="0" applyNumberFormat="1" applyFont="1" applyBorder="1" applyAlignment="1">
      <alignment horizontal="right" vertical="center" wrapText="1"/>
    </xf>
    <xf numFmtId="0" fontId="12" fillId="0" borderId="65" xfId="2" applyFont="1" applyBorder="1" applyAlignment="1">
      <alignment vertical="center" wrapText="1"/>
    </xf>
    <xf numFmtId="0" fontId="6" fillId="4" borderId="11" xfId="2" applyFont="1" applyFill="1" applyBorder="1" applyAlignment="1">
      <alignment horizontal="left" vertical="center" wrapText="1"/>
    </xf>
    <xf numFmtId="0" fontId="13" fillId="0" borderId="0" xfId="0" applyFont="1" applyAlignment="1">
      <alignment horizontal="right" vertical="center" wrapText="1"/>
    </xf>
    <xf numFmtId="14" fontId="2" fillId="0" borderId="0" xfId="0" applyNumberFormat="1" applyFont="1" applyAlignment="1">
      <alignment vertical="center" wrapText="1"/>
    </xf>
    <xf numFmtId="14" fontId="13" fillId="0" borderId="0" xfId="0" applyNumberFormat="1" applyFont="1" applyAlignment="1">
      <alignment horizontal="center" vertical="center" wrapText="1"/>
    </xf>
    <xf numFmtId="0" fontId="2" fillId="2" borderId="15" xfId="2" applyFill="1" applyBorder="1"/>
    <xf numFmtId="0" fontId="13" fillId="0" borderId="11" xfId="2" applyFont="1" applyBorder="1" applyAlignment="1">
      <alignment horizontal="center" vertical="center" wrapText="1"/>
    </xf>
    <xf numFmtId="0" fontId="13" fillId="0" borderId="9" xfId="2" applyFont="1" applyBorder="1" applyAlignment="1">
      <alignment horizontal="center" vertical="center" wrapText="1"/>
    </xf>
    <xf numFmtId="0" fontId="13" fillId="0" borderId="46" xfId="2" applyFont="1" applyBorder="1" applyAlignment="1">
      <alignment horizontal="center" vertical="center" wrapText="1"/>
    </xf>
    <xf numFmtId="0" fontId="39" fillId="4" borderId="15" xfId="4" quotePrefix="1" applyFont="1" applyFill="1" applyBorder="1" applyAlignment="1">
      <alignment horizontal="justify" vertical="center" wrapText="1"/>
    </xf>
    <xf numFmtId="0" fontId="39" fillId="4" borderId="0" xfId="4" quotePrefix="1" applyFont="1" applyFill="1" applyAlignment="1">
      <alignment horizontal="justify" vertical="center" wrapText="1"/>
    </xf>
    <xf numFmtId="0" fontId="39" fillId="4" borderId="2" xfId="4" quotePrefix="1" applyFont="1" applyFill="1" applyBorder="1" applyAlignment="1">
      <alignment horizontal="justify" vertical="center" wrapText="1"/>
    </xf>
    <xf numFmtId="0" fontId="37" fillId="4" borderId="42" xfId="4" quotePrefix="1" applyFont="1" applyFill="1" applyBorder="1" applyAlignment="1">
      <alignment horizontal="left" vertical="top" wrapText="1"/>
    </xf>
    <xf numFmtId="0" fontId="37" fillId="4" borderId="43" xfId="4" quotePrefix="1" applyFont="1" applyFill="1" applyBorder="1" applyAlignment="1">
      <alignment horizontal="left" vertical="top" wrapText="1"/>
    </xf>
    <xf numFmtId="0" fontId="37" fillId="4" borderId="44" xfId="4" quotePrefix="1" applyFont="1" applyFill="1" applyBorder="1" applyAlignment="1">
      <alignment horizontal="left" vertical="top" wrapText="1"/>
    </xf>
    <xf numFmtId="0" fontId="39" fillId="4" borderId="42" xfId="4" quotePrefix="1" applyFont="1" applyFill="1" applyBorder="1" applyAlignment="1">
      <alignment horizontal="left" vertical="top" wrapText="1"/>
    </xf>
    <xf numFmtId="0" fontId="39" fillId="4" borderId="43" xfId="4" quotePrefix="1" applyFont="1" applyFill="1" applyBorder="1" applyAlignment="1">
      <alignment horizontal="left" vertical="top" wrapText="1"/>
    </xf>
    <xf numFmtId="0" fontId="39" fillId="4" borderId="44" xfId="4" quotePrefix="1" applyFont="1" applyFill="1" applyBorder="1" applyAlignment="1">
      <alignment horizontal="left" vertical="top" wrapText="1"/>
    </xf>
    <xf numFmtId="0" fontId="37" fillId="4" borderId="0" xfId="4" quotePrefix="1" applyFont="1" applyFill="1" applyAlignment="1">
      <alignment horizontal="left" vertical="top" wrapText="1"/>
    </xf>
    <xf numFmtId="0" fontId="37" fillId="4" borderId="2" xfId="4" quotePrefix="1" applyFont="1" applyFill="1" applyBorder="1" applyAlignment="1">
      <alignment horizontal="left" vertical="top" wrapText="1"/>
    </xf>
    <xf numFmtId="0" fontId="37" fillId="4" borderId="66" xfId="4" quotePrefix="1" applyFont="1" applyFill="1" applyBorder="1" applyAlignment="1">
      <alignment horizontal="left" vertical="top" wrapText="1"/>
    </xf>
    <xf numFmtId="0" fontId="37" fillId="4" borderId="10" xfId="4" quotePrefix="1" applyFont="1" applyFill="1" applyBorder="1" applyAlignment="1">
      <alignment horizontal="left" vertical="top" wrapText="1"/>
    </xf>
    <xf numFmtId="0" fontId="37" fillId="4" borderId="68" xfId="4" quotePrefix="1" applyFont="1" applyFill="1" applyBorder="1" applyAlignment="1">
      <alignment horizontal="left" vertical="top" wrapText="1"/>
    </xf>
    <xf numFmtId="0" fontId="43" fillId="4" borderId="43" xfId="5" applyFont="1" applyFill="1" applyBorder="1" applyAlignment="1">
      <alignment horizontal="left" vertical="top" wrapText="1" readingOrder="1"/>
    </xf>
    <xf numFmtId="0" fontId="44" fillId="4" borderId="43" xfId="4" applyFont="1" applyFill="1" applyBorder="1" applyAlignment="1">
      <alignment horizontal="justify" vertical="center" wrapText="1"/>
    </xf>
    <xf numFmtId="0" fontId="37" fillId="4" borderId="42" xfId="4" quotePrefix="1" applyFont="1" applyFill="1" applyBorder="1" applyAlignment="1">
      <alignment vertical="top" wrapText="1"/>
    </xf>
    <xf numFmtId="0" fontId="37" fillId="4" borderId="43" xfId="4" quotePrefix="1" applyFont="1" applyFill="1" applyBorder="1" applyAlignment="1">
      <alignment vertical="top" wrapText="1"/>
    </xf>
    <xf numFmtId="0" fontId="37" fillId="4" borderId="44" xfId="4" quotePrefix="1" applyFont="1" applyFill="1" applyBorder="1" applyAlignment="1">
      <alignment vertical="top" wrapText="1"/>
    </xf>
    <xf numFmtId="0" fontId="37" fillId="4" borderId="0" xfId="4" quotePrefix="1" applyFont="1" applyFill="1" applyAlignment="1">
      <alignment vertical="top" wrapText="1"/>
    </xf>
    <xf numFmtId="0" fontId="0" fillId="4" borderId="0" xfId="0" applyFill="1" applyAlignment="1">
      <alignment wrapText="1"/>
    </xf>
    <xf numFmtId="0" fontId="35" fillId="4" borderId="42" xfId="4" applyFont="1" applyFill="1" applyBorder="1" applyAlignment="1">
      <alignment wrapText="1"/>
    </xf>
    <xf numFmtId="0" fontId="35" fillId="4" borderId="43" xfId="4" applyFont="1" applyFill="1" applyBorder="1" applyAlignment="1">
      <alignment wrapText="1"/>
    </xf>
    <xf numFmtId="0" fontId="35" fillId="4" borderId="44" xfId="4" applyFont="1" applyFill="1" applyBorder="1" applyAlignment="1">
      <alignment wrapText="1"/>
    </xf>
    <xf numFmtId="0" fontId="35" fillId="4" borderId="15" xfId="4" applyFont="1" applyFill="1" applyBorder="1" applyAlignment="1">
      <alignment wrapText="1"/>
    </xf>
    <xf numFmtId="0" fontId="35" fillId="4" borderId="2" xfId="4" applyFont="1" applyFill="1" applyBorder="1" applyAlignment="1">
      <alignment wrapText="1"/>
    </xf>
    <xf numFmtId="0" fontId="35" fillId="4" borderId="14" xfId="4" applyFont="1" applyFill="1" applyBorder="1" applyAlignment="1">
      <alignment wrapText="1"/>
    </xf>
    <xf numFmtId="0" fontId="35" fillId="4" borderId="13" xfId="4" applyFont="1" applyFill="1" applyBorder="1" applyAlignment="1">
      <alignment wrapText="1"/>
    </xf>
    <xf numFmtId="0" fontId="35" fillId="4" borderId="12" xfId="4" applyFont="1" applyFill="1" applyBorder="1" applyAlignment="1">
      <alignment wrapText="1"/>
    </xf>
    <xf numFmtId="0" fontId="35" fillId="4" borderId="0" xfId="4" applyFont="1" applyFill="1" applyAlignment="1">
      <alignment wrapText="1"/>
    </xf>
    <xf numFmtId="0" fontId="37" fillId="4" borderId="15" xfId="4" quotePrefix="1" applyFont="1" applyFill="1" applyBorder="1" applyAlignment="1">
      <alignment vertical="top" wrapText="1"/>
    </xf>
    <xf numFmtId="0" fontId="37" fillId="4" borderId="2" xfId="4" quotePrefix="1" applyFont="1" applyFill="1" applyBorder="1" applyAlignment="1">
      <alignment vertical="top" wrapText="1"/>
    </xf>
    <xf numFmtId="0" fontId="38" fillId="4" borderId="0" xfId="4" quotePrefix="1" applyFont="1" applyFill="1" applyAlignment="1">
      <alignment horizontal="left" vertical="top" wrapText="1"/>
    </xf>
    <xf numFmtId="0" fontId="41" fillId="4" borderId="0" xfId="4" applyFont="1" applyFill="1" applyAlignment="1">
      <alignment horizontal="left" vertical="center" wrapText="1"/>
    </xf>
    <xf numFmtId="0" fontId="35" fillId="4" borderId="0" xfId="4" applyFont="1" applyFill="1" applyAlignment="1">
      <alignment horizontal="left" vertical="center" wrapText="1"/>
    </xf>
    <xf numFmtId="0" fontId="35" fillId="4" borderId="0" xfId="4" quotePrefix="1" applyFont="1" applyFill="1" applyAlignment="1">
      <alignment horizontal="left" vertical="center" wrapText="1"/>
    </xf>
    <xf numFmtId="0" fontId="41" fillId="11" borderId="3" xfId="4" applyFont="1" applyFill="1" applyBorder="1" applyAlignment="1">
      <alignment horizontal="center" wrapText="1"/>
    </xf>
    <xf numFmtId="0" fontId="35" fillId="4" borderId="0" xfId="4" applyFont="1" applyFill="1"/>
    <xf numFmtId="0" fontId="43" fillId="4" borderId="0" xfId="0" applyFont="1" applyFill="1" applyAlignment="1">
      <alignment horizontal="left" vertical="center" wrapText="1"/>
    </xf>
    <xf numFmtId="0" fontId="44" fillId="4" borderId="0" xfId="0" applyFont="1" applyFill="1" applyAlignment="1">
      <alignment horizontal="left" vertical="top" wrapText="1"/>
    </xf>
    <xf numFmtId="0" fontId="41" fillId="4" borderId="3" xfId="4" applyFont="1" applyFill="1" applyBorder="1" applyAlignment="1">
      <alignment horizontal="center" vertical="center"/>
    </xf>
    <xf numFmtId="0" fontId="41" fillId="4" borderId="3" xfId="4" applyFont="1" applyFill="1" applyBorder="1" applyAlignment="1">
      <alignment horizontal="center" vertical="center" wrapText="1"/>
    </xf>
    <xf numFmtId="0" fontId="0" fillId="0" borderId="0" xfId="0" applyAlignment="1">
      <alignment wrapText="1"/>
    </xf>
    <xf numFmtId="9" fontId="5" fillId="0" borderId="72" xfId="2" applyNumberFormat="1" applyFont="1" applyBorder="1" applyAlignment="1">
      <alignment horizontal="center" vertical="center" wrapText="1"/>
    </xf>
    <xf numFmtId="14" fontId="14" fillId="0" borderId="1" xfId="0" applyNumberFormat="1" applyFont="1" applyBorder="1" applyAlignment="1" applyProtection="1">
      <alignment horizontal="right" vertical="center" wrapText="1"/>
      <protection locked="0"/>
    </xf>
    <xf numFmtId="14" fontId="14" fillId="0" borderId="1" xfId="0" applyNumberFormat="1" applyFont="1" applyBorder="1" applyAlignment="1" applyProtection="1">
      <alignment horizontal="right"/>
      <protection locked="0"/>
    </xf>
    <xf numFmtId="14" fontId="14" fillId="0" borderId="0" xfId="0" applyNumberFormat="1" applyFont="1" applyAlignment="1" applyProtection="1">
      <alignment horizontal="right"/>
      <protection locked="0"/>
    </xf>
    <xf numFmtId="14" fontId="0" fillId="0" borderId="0" xfId="0" applyNumberFormat="1" applyAlignment="1">
      <alignment horizontal="right"/>
    </xf>
    <xf numFmtId="9" fontId="47" fillId="0" borderId="0" xfId="2" applyNumberFormat="1" applyFont="1" applyAlignment="1">
      <alignment vertical="center"/>
    </xf>
    <xf numFmtId="49" fontId="9" fillId="0" borderId="0" xfId="2" applyNumberFormat="1" applyFont="1" applyAlignment="1">
      <alignment vertical="center"/>
    </xf>
    <xf numFmtId="0" fontId="21" fillId="0" borderId="0" xfId="0" applyFont="1" applyAlignment="1">
      <alignment horizontal="center" vertical="center" wrapText="1"/>
    </xf>
    <xf numFmtId="9" fontId="21" fillId="0" borderId="0" xfId="0" applyNumberFormat="1" applyFont="1" applyAlignment="1">
      <alignment horizontal="center" vertical="center" wrapText="1"/>
    </xf>
    <xf numFmtId="0" fontId="3" fillId="2" borderId="0" xfId="2" applyFont="1" applyFill="1" applyAlignment="1">
      <alignment horizontal="center" vertical="center" wrapText="1"/>
    </xf>
    <xf numFmtId="9" fontId="3" fillId="0" borderId="0" xfId="2" applyNumberFormat="1" applyFont="1" applyAlignment="1">
      <alignment vertical="center" wrapText="1"/>
    </xf>
    <xf numFmtId="9" fontId="4" fillId="0" borderId="1" xfId="0" applyNumberFormat="1" applyFont="1" applyBorder="1" applyAlignment="1">
      <alignment horizontal="center" vertical="center" wrapText="1"/>
    </xf>
    <xf numFmtId="9" fontId="4" fillId="0" borderId="0" xfId="2" applyNumberFormat="1" applyFont="1" applyAlignment="1">
      <alignment horizontal="center" vertical="center" wrapText="1"/>
    </xf>
    <xf numFmtId="0" fontId="8" fillId="4" borderId="5" xfId="0" applyFont="1" applyFill="1" applyBorder="1" applyAlignment="1">
      <alignment wrapText="1"/>
    </xf>
    <xf numFmtId="0" fontId="25" fillId="0" borderId="1" xfId="2" applyFont="1" applyBorder="1" applyAlignment="1">
      <alignment horizontal="left" vertical="center"/>
    </xf>
    <xf numFmtId="0" fontId="24" fillId="0" borderId="0" xfId="0" applyFont="1" applyAlignment="1">
      <alignment horizontal="center" vertical="center" wrapText="1"/>
    </xf>
    <xf numFmtId="0" fontId="22" fillId="0" borderId="0" xfId="0" applyFont="1" applyAlignment="1">
      <alignment vertical="center" wrapText="1"/>
    </xf>
    <xf numFmtId="0" fontId="22" fillId="0" borderId="1" xfId="0" applyFont="1" applyBorder="1" applyAlignment="1">
      <alignment vertical="center" wrapText="1"/>
    </xf>
    <xf numFmtId="0" fontId="21" fillId="12" borderId="3" xfId="0" applyFont="1" applyFill="1" applyBorder="1" applyAlignment="1">
      <alignment horizontal="center" vertical="center" wrapText="1"/>
    </xf>
    <xf numFmtId="0" fontId="21" fillId="13" borderId="3" xfId="0" applyFont="1" applyFill="1" applyBorder="1" applyAlignment="1">
      <alignment horizontal="center" vertical="center" wrapText="1"/>
    </xf>
    <xf numFmtId="0" fontId="21" fillId="14" borderId="3" xfId="0" applyFont="1" applyFill="1" applyBorder="1" applyAlignment="1">
      <alignment horizontal="center" vertical="center" wrapText="1"/>
    </xf>
    <xf numFmtId="0" fontId="21" fillId="15" borderId="3" xfId="0" applyFont="1" applyFill="1" applyBorder="1" applyAlignment="1">
      <alignment horizontal="center" vertical="center" wrapText="1"/>
    </xf>
    <xf numFmtId="0" fontId="12" fillId="0" borderId="4" xfId="2" applyFont="1" applyBorder="1" applyAlignment="1">
      <alignment vertical="center" wrapText="1"/>
    </xf>
    <xf numFmtId="0" fontId="4" fillId="0" borderId="8" xfId="2" applyFont="1" applyBorder="1" applyAlignment="1">
      <alignment horizontal="justify" vertical="center" wrapText="1"/>
    </xf>
    <xf numFmtId="0" fontId="22" fillId="0" borderId="0" xfId="0" applyFont="1" applyAlignment="1">
      <alignment vertical="top" wrapText="1"/>
    </xf>
    <xf numFmtId="0" fontId="48" fillId="0" borderId="0" xfId="0" applyFont="1" applyAlignment="1">
      <alignment wrapText="1"/>
    </xf>
    <xf numFmtId="0" fontId="49" fillId="0" borderId="1" xfId="0" applyFont="1" applyBorder="1" applyAlignment="1">
      <alignment horizontal="justify" vertical="center" wrapText="1"/>
    </xf>
    <xf numFmtId="0" fontId="49" fillId="4" borderId="1" xfId="0" applyFont="1" applyFill="1" applyBorder="1" applyAlignment="1">
      <alignment horizontal="left" vertical="center" wrapText="1"/>
    </xf>
    <xf numFmtId="0" fontId="49" fillId="4" borderId="1" xfId="0" applyFont="1" applyFill="1" applyBorder="1" applyAlignment="1">
      <alignment horizontal="justify" vertical="center" wrapText="1"/>
    </xf>
    <xf numFmtId="0" fontId="49" fillId="0" borderId="1" xfId="0" applyFont="1" applyBorder="1" applyAlignment="1">
      <alignment horizontal="left" vertical="center"/>
    </xf>
    <xf numFmtId="0" fontId="49" fillId="16" borderId="1" xfId="0" applyFont="1" applyFill="1" applyBorder="1" applyAlignment="1">
      <alignment horizontal="justify" vertical="center" wrapText="1"/>
    </xf>
    <xf numFmtId="0" fontId="51" fillId="17" borderId="76" xfId="0" applyFont="1" applyFill="1" applyBorder="1" applyAlignment="1">
      <alignment horizontal="justify" vertical="center" wrapText="1"/>
    </xf>
    <xf numFmtId="9" fontId="49" fillId="16" borderId="1" xfId="6" applyFont="1" applyFill="1" applyBorder="1" applyAlignment="1">
      <alignment horizontal="justify" vertical="center" wrapText="1"/>
    </xf>
    <xf numFmtId="0" fontId="4" fillId="3" borderId="4" xfId="2" applyFont="1" applyFill="1" applyBorder="1" applyAlignment="1" applyProtection="1">
      <alignment horizontal="left" vertical="center" wrapText="1"/>
      <protection locked="0"/>
    </xf>
    <xf numFmtId="0" fontId="51" fillId="17" borderId="76" xfId="0" applyFont="1" applyFill="1" applyBorder="1" applyAlignment="1">
      <alignment horizontal="center" vertical="center" wrapText="1"/>
    </xf>
    <xf numFmtId="0" fontId="4" fillId="3" borderId="65" xfId="2" applyFont="1" applyFill="1" applyBorder="1" applyAlignment="1" applyProtection="1">
      <alignment horizontal="left" vertical="center" wrapText="1"/>
      <protection locked="0"/>
    </xf>
    <xf numFmtId="0" fontId="4" fillId="3" borderId="19" xfId="2" applyFont="1" applyFill="1" applyBorder="1" applyAlignment="1" applyProtection="1">
      <alignment horizontal="left" vertical="center" wrapText="1"/>
      <protection locked="0"/>
    </xf>
    <xf numFmtId="0" fontId="4" fillId="3" borderId="78" xfId="2" applyFont="1" applyFill="1" applyBorder="1" applyAlignment="1" applyProtection="1">
      <alignment horizontal="left" vertical="center" wrapText="1"/>
      <protection locked="0"/>
    </xf>
    <xf numFmtId="0" fontId="4" fillId="3" borderId="20" xfId="2" applyFont="1" applyFill="1" applyBorder="1" applyAlignment="1" applyProtection="1">
      <alignment horizontal="left" vertical="center" wrapText="1"/>
      <protection locked="0"/>
    </xf>
    <xf numFmtId="0" fontId="4" fillId="3" borderId="38" xfId="2" applyFont="1" applyFill="1" applyBorder="1" applyAlignment="1" applyProtection="1">
      <alignment horizontal="left" vertical="center" wrapText="1"/>
      <protection locked="0"/>
    </xf>
    <xf numFmtId="9" fontId="4" fillId="18" borderId="1" xfId="0" applyNumberFormat="1" applyFont="1" applyFill="1" applyBorder="1" applyAlignment="1">
      <alignment horizontal="center" vertical="center" wrapText="1"/>
    </xf>
    <xf numFmtId="0" fontId="12" fillId="0" borderId="7" xfId="2" applyFont="1" applyBorder="1" applyAlignment="1">
      <alignment horizontal="center" vertical="center" wrapText="1"/>
    </xf>
    <xf numFmtId="0" fontId="6" fillId="0" borderId="1" xfId="2" applyFont="1" applyBorder="1" applyAlignment="1" applyProtection="1">
      <alignment horizontal="center" vertical="center" wrapText="1"/>
      <protection locked="0"/>
    </xf>
    <xf numFmtId="0" fontId="6" fillId="0" borderId="5" xfId="2" applyFont="1" applyBorder="1" applyAlignment="1" applyProtection="1">
      <alignment horizontal="center" vertical="center" wrapText="1"/>
      <protection locked="0"/>
    </xf>
    <xf numFmtId="0" fontId="4" fillId="0" borderId="1" xfId="2" applyFont="1" applyBorder="1" applyAlignment="1">
      <alignment horizontal="justify" vertical="top" wrapText="1"/>
    </xf>
    <xf numFmtId="0" fontId="4" fillId="0" borderId="1" xfId="2" applyFont="1" applyBorder="1" applyAlignment="1">
      <alignment vertical="center" wrapText="1"/>
    </xf>
    <xf numFmtId="0" fontId="9" fillId="0" borderId="1" xfId="2" applyFont="1" applyBorder="1" applyAlignment="1">
      <alignment vertical="center" wrapText="1"/>
    </xf>
    <xf numFmtId="0" fontId="12" fillId="0" borderId="1" xfId="0" applyFont="1" applyBorder="1" applyAlignment="1" applyProtection="1">
      <alignment vertical="center" wrapText="1"/>
      <protection locked="0"/>
    </xf>
    <xf numFmtId="0" fontId="12" fillId="0" borderId="4" xfId="2" applyFont="1" applyBorder="1" applyAlignment="1">
      <alignment horizontal="center" vertical="center" wrapText="1"/>
    </xf>
    <xf numFmtId="14" fontId="12" fillId="0" borderId="4" xfId="2" applyNumberFormat="1" applyFont="1" applyBorder="1" applyAlignment="1" applyProtection="1">
      <alignment horizontal="center" vertical="center" wrapText="1"/>
      <protection locked="0"/>
    </xf>
    <xf numFmtId="0" fontId="3" fillId="2" borderId="0" xfId="2" applyFont="1" applyFill="1" applyAlignment="1">
      <alignment vertical="center" wrapText="1"/>
    </xf>
    <xf numFmtId="0" fontId="3" fillId="0" borderId="0" xfId="2" applyFont="1" applyAlignment="1">
      <alignment horizontal="center" vertical="center" wrapText="1"/>
    </xf>
    <xf numFmtId="0" fontId="4" fillId="0" borderId="1" xfId="2" applyFont="1" applyBorder="1" applyAlignment="1">
      <alignment horizontal="center" vertical="center" wrapText="1"/>
    </xf>
    <xf numFmtId="0" fontId="4" fillId="3" borderId="1" xfId="0" applyFont="1" applyFill="1" applyBorder="1" applyAlignment="1" applyProtection="1">
      <alignment horizontal="center" vertical="center" wrapText="1"/>
      <protection locked="0"/>
    </xf>
    <xf numFmtId="9" fontId="4" fillId="0" borderId="6" xfId="0" applyNumberFormat="1" applyFont="1" applyBorder="1" applyAlignment="1">
      <alignment horizontal="center" vertical="center" wrapText="1"/>
    </xf>
    <xf numFmtId="9" fontId="4" fillId="3" borderId="1" xfId="0" applyNumberFormat="1" applyFont="1" applyFill="1" applyBorder="1" applyAlignment="1" applyProtection="1">
      <alignment horizontal="center" vertical="center" wrapText="1"/>
      <protection locked="0"/>
    </xf>
    <xf numFmtId="0" fontId="4" fillId="0" borderId="28" xfId="2" applyFont="1" applyBorder="1" applyAlignment="1">
      <alignment horizontal="center" vertical="center" wrapText="1"/>
    </xf>
    <xf numFmtId="0" fontId="4" fillId="0" borderId="4" xfId="2" applyFont="1" applyBorder="1" applyAlignment="1">
      <alignment horizontal="center" vertical="center" wrapText="1"/>
    </xf>
    <xf numFmtId="0" fontId="13" fillId="0" borderId="1" xfId="2" applyFont="1" applyBorder="1" applyAlignment="1">
      <alignment horizontal="center" vertical="center"/>
    </xf>
    <xf numFmtId="0" fontId="9" fillId="0" borderId="0" xfId="2" applyFont="1" applyAlignment="1">
      <alignment horizontal="center" vertical="center" wrapText="1"/>
    </xf>
    <xf numFmtId="0" fontId="4" fillId="0" borderId="0" xfId="2" applyFont="1" applyAlignment="1">
      <alignment horizontal="justify" vertical="center" wrapText="1"/>
    </xf>
    <xf numFmtId="0" fontId="9" fillId="0" borderId="0" xfId="2" applyFont="1" applyAlignment="1">
      <alignment horizontal="justify" vertical="center" wrapText="1"/>
    </xf>
    <xf numFmtId="0" fontId="2" fillId="0" borderId="0" xfId="0" applyFont="1" applyAlignment="1">
      <alignment horizontal="center" vertical="center" wrapText="1"/>
    </xf>
    <xf numFmtId="0" fontId="6" fillId="0" borderId="0" xfId="2" applyFont="1" applyAlignment="1" applyProtection="1">
      <alignment horizontal="center" vertical="center" wrapText="1"/>
      <protection locked="0"/>
    </xf>
    <xf numFmtId="0" fontId="12" fillId="0" borderId="0" xfId="2" applyFont="1" applyAlignment="1">
      <alignment horizontal="center" vertical="center" wrapText="1"/>
    </xf>
    <xf numFmtId="14" fontId="6" fillId="0" borderId="0" xfId="2" applyNumberFormat="1" applyFont="1" applyAlignment="1" applyProtection="1">
      <alignment horizontal="justify" vertical="center" wrapText="1"/>
      <protection locked="0"/>
    </xf>
    <xf numFmtId="0" fontId="6" fillId="3" borderId="1" xfId="0" applyFont="1" applyFill="1" applyBorder="1" applyAlignment="1">
      <alignment horizontal="justify" vertical="center" wrapText="1"/>
    </xf>
    <xf numFmtId="0" fontId="15" fillId="0" borderId="0" xfId="0" applyFont="1" applyAlignment="1">
      <alignment horizontal="justify" vertical="center" wrapText="1"/>
    </xf>
    <xf numFmtId="164" fontId="6" fillId="4" borderId="1" xfId="2" applyNumberFormat="1" applyFont="1" applyFill="1" applyBorder="1" applyAlignment="1">
      <alignment horizontal="left" vertical="center" wrapText="1"/>
    </xf>
    <xf numFmtId="0" fontId="2" fillId="0" borderId="1" xfId="2" applyBorder="1" applyAlignment="1">
      <alignment horizontal="center" vertical="center" wrapText="1"/>
    </xf>
    <xf numFmtId="0" fontId="4" fillId="3" borderId="78" xfId="2" applyFont="1" applyFill="1" applyBorder="1" applyAlignment="1" applyProtection="1">
      <alignment horizontal="center" vertical="center" wrapText="1"/>
      <protection locked="0"/>
    </xf>
    <xf numFmtId="0" fontId="4" fillId="3" borderId="6" xfId="2" applyFont="1" applyFill="1" applyBorder="1" applyAlignment="1" applyProtection="1">
      <alignment horizontal="center" vertical="center" wrapText="1"/>
      <protection locked="0"/>
    </xf>
    <xf numFmtId="0" fontId="4" fillId="3" borderId="19" xfId="2" applyFont="1" applyFill="1" applyBorder="1" applyAlignment="1" applyProtection="1">
      <alignment horizontal="center" vertical="center" wrapText="1"/>
      <protection locked="0"/>
    </xf>
    <xf numFmtId="0" fontId="4" fillId="3" borderId="1" xfId="2" applyFont="1" applyFill="1" applyBorder="1" applyAlignment="1" applyProtection="1">
      <alignment horizontal="center" vertical="center" wrapText="1"/>
      <protection locked="0"/>
    </xf>
    <xf numFmtId="0" fontId="4" fillId="3" borderId="38" xfId="2" applyFont="1" applyFill="1" applyBorder="1" applyAlignment="1" applyProtection="1">
      <alignment horizontal="center" vertical="center" wrapText="1"/>
      <protection locked="0"/>
    </xf>
    <xf numFmtId="0" fontId="4" fillId="3" borderId="28" xfId="2" applyFont="1" applyFill="1" applyBorder="1" applyAlignment="1" applyProtection="1">
      <alignment horizontal="center" vertical="center" wrapText="1"/>
      <protection locked="0"/>
    </xf>
    <xf numFmtId="9" fontId="2" fillId="0" borderId="0" xfId="0" applyNumberFormat="1" applyFont="1" applyAlignment="1">
      <alignment horizontal="center" vertical="center" wrapText="1"/>
    </xf>
    <xf numFmtId="9" fontId="9" fillId="0" borderId="0" xfId="2" applyNumberFormat="1" applyFont="1" applyAlignment="1">
      <alignment horizontal="center" vertical="center"/>
    </xf>
    <xf numFmtId="0" fontId="9" fillId="0" borderId="0" xfId="2" applyFont="1" applyAlignment="1">
      <alignment horizontal="center" vertical="center"/>
    </xf>
    <xf numFmtId="14" fontId="2" fillId="0" borderId="1" xfId="0" applyNumberFormat="1" applyFont="1" applyBorder="1" applyAlignment="1">
      <alignment horizontal="center" vertical="center" wrapText="1"/>
    </xf>
    <xf numFmtId="9" fontId="7" fillId="0" borderId="0" xfId="2" applyNumberFormat="1" applyFont="1" applyAlignment="1">
      <alignment horizontal="center" vertical="center"/>
    </xf>
    <xf numFmtId="9" fontId="3" fillId="2" borderId="0" xfId="2" applyNumberFormat="1" applyFont="1" applyFill="1" applyAlignment="1">
      <alignment horizontal="center" vertical="center" wrapText="1"/>
    </xf>
    <xf numFmtId="0" fontId="4" fillId="0" borderId="1" xfId="2" applyFont="1" applyBorder="1" applyAlignment="1" applyProtection="1">
      <alignment vertical="center" wrapText="1"/>
      <protection locked="0"/>
    </xf>
    <xf numFmtId="0" fontId="12" fillId="0" borderId="1" xfId="2" applyFont="1" applyBorder="1" applyAlignment="1" applyProtection="1">
      <alignment horizontal="justify" vertical="center" wrapText="1"/>
      <protection locked="0"/>
    </xf>
    <xf numFmtId="0" fontId="32" fillId="2" borderId="1" xfId="2" applyFont="1" applyFill="1" applyBorder="1" applyAlignment="1" applyProtection="1">
      <alignment horizontal="center" vertical="center" wrapText="1"/>
      <protection locked="0"/>
    </xf>
    <xf numFmtId="0" fontId="12" fillId="0" borderId="4" xfId="2" applyFont="1" applyBorder="1" applyAlignment="1" applyProtection="1">
      <alignment horizontal="justify" vertical="center" wrapText="1"/>
      <protection locked="0"/>
    </xf>
    <xf numFmtId="0" fontId="12" fillId="0" borderId="4" xfId="2" applyFont="1" applyBorder="1" applyAlignment="1" applyProtection="1">
      <alignment horizontal="center" vertical="center" wrapText="1"/>
      <protection locked="0"/>
    </xf>
    <xf numFmtId="165" fontId="12" fillId="0" borderId="1" xfId="0" applyNumberFormat="1" applyFont="1" applyBorder="1" applyAlignment="1" applyProtection="1">
      <alignment horizontal="center" vertical="center" wrapText="1"/>
      <protection locked="0"/>
    </xf>
    <xf numFmtId="0" fontId="4" fillId="3" borderId="4" xfId="2" applyFont="1" applyFill="1" applyBorder="1" applyAlignment="1" applyProtection="1">
      <alignment horizontal="center" vertical="center" wrapText="1"/>
      <protection locked="0"/>
    </xf>
    <xf numFmtId="9" fontId="4" fillId="0" borderId="4" xfId="0" applyNumberFormat="1" applyFont="1" applyBorder="1" applyAlignment="1">
      <alignment horizontal="center" vertical="center" wrapText="1"/>
    </xf>
    <xf numFmtId="0" fontId="4" fillId="3" borderId="4" xfId="0" applyFont="1" applyFill="1" applyBorder="1" applyAlignment="1" applyProtection="1">
      <alignment horizontal="center" vertical="center" wrapText="1"/>
      <protection locked="0"/>
    </xf>
    <xf numFmtId="9" fontId="4" fillId="3" borderId="4" xfId="0" applyNumberFormat="1" applyFont="1" applyFill="1" applyBorder="1" applyAlignment="1" applyProtection="1">
      <alignment horizontal="center" vertical="center" wrapText="1"/>
      <protection locked="0"/>
    </xf>
    <xf numFmtId="0" fontId="4" fillId="0" borderId="6" xfId="2" applyFont="1" applyBorder="1" applyAlignment="1">
      <alignment horizontal="center" vertical="center" wrapText="1"/>
    </xf>
    <xf numFmtId="0" fontId="4" fillId="3" borderId="6" xfId="0" applyFont="1" applyFill="1" applyBorder="1" applyAlignment="1" applyProtection="1">
      <alignment horizontal="center" vertical="center" wrapText="1"/>
      <protection locked="0"/>
    </xf>
    <xf numFmtId="9" fontId="4" fillId="3" borderId="6" xfId="0" applyNumberFormat="1" applyFont="1" applyFill="1" applyBorder="1" applyAlignment="1" applyProtection="1">
      <alignment horizontal="center" vertical="center" wrapText="1"/>
      <protection locked="0"/>
    </xf>
    <xf numFmtId="9" fontId="4" fillId="0" borderId="28" xfId="0" applyNumberFormat="1" applyFont="1" applyBorder="1" applyAlignment="1">
      <alignment horizontal="center" vertical="center" wrapText="1"/>
    </xf>
    <xf numFmtId="0" fontId="4" fillId="3" borderId="28" xfId="0" applyFont="1" applyFill="1" applyBorder="1" applyAlignment="1" applyProtection="1">
      <alignment horizontal="center" vertical="center" wrapText="1"/>
      <protection locked="0"/>
    </xf>
    <xf numFmtId="9" fontId="4" fillId="0" borderId="80" xfId="0" applyNumberFormat="1" applyFont="1" applyBorder="1" applyAlignment="1">
      <alignment horizontal="center" vertical="center" wrapText="1"/>
    </xf>
    <xf numFmtId="9" fontId="4" fillId="3" borderId="28" xfId="0" applyNumberFormat="1" applyFont="1" applyFill="1" applyBorder="1" applyAlignment="1" applyProtection="1">
      <alignment horizontal="center" vertical="center" wrapText="1"/>
      <protection locked="0"/>
    </xf>
    <xf numFmtId="0" fontId="4" fillId="3" borderId="34" xfId="2" applyFont="1" applyFill="1" applyBorder="1" applyAlignment="1" applyProtection="1">
      <alignment horizontal="center" vertical="center" wrapText="1"/>
      <protection locked="0"/>
    </xf>
    <xf numFmtId="0" fontId="4" fillId="3" borderId="3" xfId="2" applyFont="1" applyFill="1" applyBorder="1" applyAlignment="1" applyProtection="1">
      <alignment horizontal="center" vertical="center" wrapText="1"/>
      <protection locked="0"/>
    </xf>
    <xf numFmtId="0" fontId="4" fillId="3" borderId="27" xfId="2" applyFont="1" applyFill="1" applyBorder="1" applyAlignment="1" applyProtection="1">
      <alignment horizontal="center" vertical="center" wrapText="1"/>
      <protection locked="0"/>
    </xf>
    <xf numFmtId="0" fontId="4" fillId="0" borderId="81" xfId="2" applyFont="1" applyBorder="1" applyAlignment="1">
      <alignment horizontal="center" vertical="center" wrapText="1"/>
    </xf>
    <xf numFmtId="14" fontId="8" fillId="5" borderId="1" xfId="0" applyNumberFormat="1" applyFont="1" applyFill="1" applyBorder="1" applyAlignment="1">
      <alignment horizontal="center" vertical="center"/>
    </xf>
    <xf numFmtId="0" fontId="32" fillId="0" borderId="24" xfId="2" applyFont="1" applyBorder="1" applyAlignment="1">
      <alignment horizontal="center" vertical="center" wrapText="1"/>
    </xf>
    <xf numFmtId="0" fontId="32" fillId="0" borderId="65" xfId="2" applyFont="1" applyBorder="1" applyAlignment="1">
      <alignment horizontal="center" vertical="center" wrapText="1"/>
    </xf>
    <xf numFmtId="9" fontId="32" fillId="0" borderId="11" xfId="2" applyNumberFormat="1" applyFont="1" applyBorder="1" applyAlignment="1">
      <alignment horizontal="center" vertical="center" wrapText="1"/>
    </xf>
    <xf numFmtId="0" fontId="32" fillId="0" borderId="33" xfId="2" applyFont="1" applyBorder="1" applyAlignment="1">
      <alignment horizontal="center" vertical="center" wrapText="1"/>
    </xf>
    <xf numFmtId="9" fontId="32" fillId="0" borderId="34" xfId="2" applyNumberFormat="1" applyFont="1" applyBorder="1" applyAlignment="1">
      <alignment horizontal="center" vertical="center" wrapText="1"/>
    </xf>
    <xf numFmtId="9" fontId="32" fillId="0" borderId="6" xfId="2" applyNumberFormat="1" applyFont="1" applyBorder="1" applyAlignment="1">
      <alignment horizontal="center" vertical="center" wrapText="1"/>
    </xf>
    <xf numFmtId="9" fontId="32" fillId="0" borderId="36" xfId="2" applyNumberFormat="1" applyFont="1" applyBorder="1" applyAlignment="1">
      <alignment horizontal="center" vertical="center" wrapText="1"/>
    </xf>
    <xf numFmtId="9" fontId="32" fillId="0" borderId="25" xfId="2" applyNumberFormat="1" applyFont="1" applyBorder="1" applyAlignment="1">
      <alignment horizontal="center" vertical="center" wrapText="1"/>
    </xf>
    <xf numFmtId="0" fontId="2" fillId="3" borderId="1" xfId="2" applyFill="1" applyBorder="1" applyAlignment="1" applyProtection="1">
      <alignment horizontal="center" vertical="center" wrapText="1"/>
      <protection locked="0"/>
    </xf>
    <xf numFmtId="14" fontId="2" fillId="3" borderId="1" xfId="2" applyNumberFormat="1" applyFill="1" applyBorder="1" applyAlignment="1" applyProtection="1">
      <alignment horizontal="center" vertical="center" wrapText="1"/>
      <protection locked="0"/>
    </xf>
    <xf numFmtId="0" fontId="32" fillId="2" borderId="5" xfId="2" applyFont="1" applyFill="1" applyBorder="1" applyAlignment="1">
      <alignment horizontal="center" vertical="center" wrapText="1"/>
    </xf>
    <xf numFmtId="0" fontId="6" fillId="4" borderId="0" xfId="2" applyFont="1" applyFill="1" applyAlignment="1">
      <alignment horizontal="center" vertical="center" wrapText="1"/>
    </xf>
    <xf numFmtId="0" fontId="8" fillId="5" borderId="1" xfId="0" applyFont="1" applyFill="1" applyBorder="1" applyAlignment="1">
      <alignment horizontal="center" vertical="center"/>
    </xf>
    <xf numFmtId="0" fontId="0" fillId="20" borderId="1" xfId="0" applyFill="1" applyBorder="1" applyAlignment="1">
      <alignment horizontal="justify" vertical="center" wrapText="1"/>
    </xf>
    <xf numFmtId="0" fontId="0" fillId="21" borderId="1" xfId="0" applyFill="1" applyBorder="1" applyAlignment="1">
      <alignment horizontal="justify" vertical="center" wrapText="1"/>
    </xf>
    <xf numFmtId="0" fontId="0" fillId="22" borderId="1" xfId="0" applyFill="1" applyBorder="1" applyAlignment="1">
      <alignment horizontal="justify" vertical="center" wrapText="1"/>
    </xf>
    <xf numFmtId="0" fontId="8" fillId="5" borderId="65" xfId="0" applyFont="1" applyFill="1" applyBorder="1" applyAlignment="1">
      <alignment horizontal="center" vertical="center"/>
    </xf>
    <xf numFmtId="0" fontId="48" fillId="3" borderId="0" xfId="0" applyFont="1" applyFill="1" applyAlignment="1">
      <alignment horizontal="left" vertical="top" wrapText="1"/>
    </xf>
    <xf numFmtId="0" fontId="49" fillId="21" borderId="1" xfId="0" applyFont="1" applyFill="1" applyBorder="1" applyAlignment="1">
      <alignment horizontal="left" vertical="center" wrapText="1"/>
    </xf>
    <xf numFmtId="0" fontId="48" fillId="21" borderId="0" xfId="0" applyFont="1" applyFill="1" applyAlignment="1">
      <alignment vertical="center" wrapText="1"/>
    </xf>
    <xf numFmtId="0" fontId="57" fillId="21" borderId="1" xfId="2" applyFont="1" applyFill="1" applyBorder="1" applyAlignment="1">
      <alignment horizontal="center" vertical="center" wrapText="1"/>
    </xf>
    <xf numFmtId="0" fontId="58" fillId="23" borderId="1" xfId="0" applyFont="1" applyFill="1" applyBorder="1" applyAlignment="1">
      <alignment vertical="center"/>
    </xf>
    <xf numFmtId="0" fontId="58" fillId="23" borderId="1" xfId="0" applyFont="1" applyFill="1" applyBorder="1" applyAlignment="1">
      <alignment vertical="center" wrapText="1"/>
    </xf>
    <xf numFmtId="0" fontId="58" fillId="23" borderId="5" xfId="0" applyFont="1" applyFill="1" applyBorder="1" applyAlignment="1">
      <alignment vertical="center" wrapText="1"/>
    </xf>
    <xf numFmtId="0" fontId="0" fillId="23" borderId="1" xfId="0" applyFill="1" applyBorder="1" applyAlignment="1">
      <alignment horizontal="center" vertical="center"/>
    </xf>
    <xf numFmtId="0" fontId="59" fillId="0" borderId="0" xfId="0" applyFont="1"/>
    <xf numFmtId="0" fontId="59" fillId="20" borderId="1" xfId="0" applyFont="1" applyFill="1" applyBorder="1" applyAlignment="1">
      <alignment horizontal="justify" vertical="center" wrapText="1"/>
    </xf>
    <xf numFmtId="0" fontId="59" fillId="21" borderId="1" xfId="0" applyFont="1" applyFill="1" applyBorder="1" applyAlignment="1">
      <alignment horizontal="justify" vertical="center" wrapText="1"/>
    </xf>
    <xf numFmtId="0" fontId="59" fillId="22" borderId="1" xfId="0" applyFont="1" applyFill="1" applyBorder="1" applyAlignment="1">
      <alignment horizontal="justify" vertical="center" wrapText="1"/>
    </xf>
    <xf numFmtId="0" fontId="58" fillId="25" borderId="1" xfId="0" applyFont="1" applyFill="1" applyBorder="1" applyAlignment="1">
      <alignment vertical="center"/>
    </xf>
    <xf numFmtId="0" fontId="58" fillId="25" borderId="1" xfId="0" applyFont="1" applyFill="1" applyBorder="1" applyAlignment="1">
      <alignment vertical="center" wrapText="1"/>
    </xf>
    <xf numFmtId="0" fontId="58" fillId="25" borderId="5" xfId="0" applyFont="1" applyFill="1" applyBorder="1" applyAlignment="1">
      <alignment vertical="center" wrapText="1"/>
    </xf>
    <xf numFmtId="0" fontId="0" fillId="25" borderId="1" xfId="0" applyFill="1" applyBorder="1" applyAlignment="1">
      <alignment horizontal="center" vertical="center"/>
    </xf>
    <xf numFmtId="0" fontId="61" fillId="21" borderId="1" xfId="0" applyFont="1" applyFill="1" applyBorder="1" applyAlignment="1">
      <alignment wrapText="1"/>
    </xf>
    <xf numFmtId="0" fontId="62" fillId="21" borderId="1" xfId="0" applyFont="1" applyFill="1" applyBorder="1" applyAlignment="1">
      <alignment horizontal="left" vertical="center" wrapText="1"/>
    </xf>
    <xf numFmtId="0" fontId="62" fillId="21" borderId="0" xfId="0" applyFont="1" applyFill="1" applyAlignment="1">
      <alignment wrapText="1"/>
    </xf>
    <xf numFmtId="0" fontId="8" fillId="5" borderId="0" xfId="0" applyFont="1" applyFill="1" applyAlignment="1">
      <alignment horizontal="center" vertical="center" wrapText="1"/>
    </xf>
    <xf numFmtId="0" fontId="57" fillId="26" borderId="1" xfId="2" applyFont="1" applyFill="1" applyBorder="1" applyAlignment="1">
      <alignment horizontal="center" vertical="center" wrapText="1"/>
    </xf>
    <xf numFmtId="0" fontId="0" fillId="18" borderId="1" xfId="0" applyFill="1" applyBorder="1" applyAlignment="1">
      <alignment vertical="center" wrapText="1"/>
    </xf>
    <xf numFmtId="0" fontId="0" fillId="3" borderId="1" xfId="0" applyFill="1" applyBorder="1" applyAlignment="1">
      <alignment vertical="center" wrapText="1"/>
    </xf>
    <xf numFmtId="0" fontId="0" fillId="28" borderId="1" xfId="0" applyFill="1" applyBorder="1" applyAlignment="1">
      <alignment vertical="center" wrapText="1"/>
    </xf>
    <xf numFmtId="0" fontId="0" fillId="3" borderId="5" xfId="0" applyFill="1" applyBorder="1" applyAlignment="1">
      <alignment vertical="center" wrapText="1"/>
    </xf>
    <xf numFmtId="0" fontId="0" fillId="28" borderId="5" xfId="0" applyFill="1" applyBorder="1" applyAlignment="1">
      <alignment vertical="center" wrapText="1"/>
    </xf>
    <xf numFmtId="0" fontId="57" fillId="21" borderId="19" xfId="2" applyFont="1" applyFill="1" applyBorder="1" applyAlignment="1">
      <alignment horizontal="center" vertical="center" wrapText="1"/>
    </xf>
    <xf numFmtId="0" fontId="0" fillId="18" borderId="1" xfId="0" applyFill="1" applyBorder="1" applyAlignment="1">
      <alignment horizontal="center"/>
    </xf>
    <xf numFmtId="0" fontId="0" fillId="0" borderId="5" xfId="0" applyBorder="1" applyAlignment="1">
      <alignment horizontal="center" vertical="center" wrapText="1"/>
    </xf>
    <xf numFmtId="0" fontId="0" fillId="0" borderId="1" xfId="0" applyBorder="1" applyAlignment="1">
      <alignment horizontal="center" vertical="center" wrapText="1"/>
    </xf>
    <xf numFmtId="0" fontId="18" fillId="0" borderId="0" xfId="0" applyFont="1" applyAlignment="1">
      <alignment horizontal="justify" wrapText="1"/>
    </xf>
    <xf numFmtId="0" fontId="0" fillId="0" borderId="1" xfId="0" applyBorder="1" applyAlignment="1">
      <alignment horizontal="justify" vertical="center"/>
    </xf>
    <xf numFmtId="0" fontId="0" fillId="0" borderId="1" xfId="0" applyBorder="1" applyAlignment="1">
      <alignment horizontal="center" vertical="center"/>
    </xf>
    <xf numFmtId="0" fontId="0" fillId="0" borderId="19" xfId="0" applyBorder="1" applyAlignment="1">
      <alignment horizontal="center" vertical="center"/>
    </xf>
    <xf numFmtId="0" fontId="0" fillId="0" borderId="1" xfId="0" applyBorder="1" applyAlignment="1">
      <alignment vertical="center"/>
    </xf>
    <xf numFmtId="0" fontId="0" fillId="0" borderId="1" xfId="0" applyBorder="1" applyAlignment="1">
      <alignment horizontal="justify"/>
    </xf>
    <xf numFmtId="0" fontId="0" fillId="0" borderId="20" xfId="0" applyBorder="1" applyAlignment="1">
      <alignment horizontal="center" vertical="center"/>
    </xf>
    <xf numFmtId="0" fontId="0" fillId="0" borderId="5" xfId="0" applyBorder="1" applyAlignment="1">
      <alignment vertical="center"/>
    </xf>
    <xf numFmtId="0" fontId="0" fillId="0" borderId="5" xfId="0" applyBorder="1" applyAlignment="1">
      <alignment horizontal="justify" vertical="center"/>
    </xf>
    <xf numFmtId="0" fontId="60" fillId="5" borderId="65" xfId="0" applyFont="1" applyFill="1" applyBorder="1" applyAlignment="1">
      <alignment horizontal="center" vertical="center" wrapText="1"/>
    </xf>
    <xf numFmtId="0" fontId="0" fillId="18" borderId="1" xfId="0" applyFill="1" applyBorder="1" applyAlignment="1">
      <alignment horizontal="justify" vertical="center"/>
    </xf>
    <xf numFmtId="0" fontId="8" fillId="4" borderId="0" xfId="0" applyFont="1" applyFill="1" applyAlignment="1">
      <alignment horizontal="center" vertical="center"/>
    </xf>
    <xf numFmtId="0" fontId="0" fillId="4" borderId="1" xfId="0" applyFill="1" applyBorder="1" applyAlignment="1">
      <alignment horizontal="center" vertical="center" wrapText="1"/>
    </xf>
    <xf numFmtId="0" fontId="0" fillId="4" borderId="0" xfId="0" applyFill="1" applyAlignment="1">
      <alignment horizontal="center" vertical="center" wrapText="1"/>
    </xf>
    <xf numFmtId="0" fontId="2" fillId="24" borderId="19" xfId="2" applyFill="1" applyBorder="1" applyAlignment="1">
      <alignment horizontal="center" vertical="center" wrapText="1"/>
    </xf>
    <xf numFmtId="0" fontId="2" fillId="24" borderId="1" xfId="2" applyFill="1" applyBorder="1" applyAlignment="1">
      <alignment horizontal="center" vertical="center" wrapText="1"/>
    </xf>
    <xf numFmtId="0" fontId="58" fillId="29" borderId="1" xfId="0" applyFont="1" applyFill="1" applyBorder="1" applyAlignment="1">
      <alignment horizontal="center" vertical="center" wrapText="1"/>
    </xf>
    <xf numFmtId="0" fontId="58" fillId="25" borderId="1" xfId="0" applyFont="1" applyFill="1" applyBorder="1" applyAlignment="1">
      <alignment horizontal="center" vertical="center" wrapText="1"/>
    </xf>
    <xf numFmtId="0" fontId="58" fillId="27" borderId="1" xfId="0" applyFont="1" applyFill="1" applyBorder="1" applyAlignment="1">
      <alignment horizontal="center" vertical="center" wrapText="1"/>
    </xf>
    <xf numFmtId="0" fontId="6" fillId="18" borderId="1" xfId="2" applyFont="1" applyFill="1" applyBorder="1" applyAlignment="1" applyProtection="1">
      <alignment horizontal="center" vertical="center" wrapText="1"/>
      <protection locked="0"/>
    </xf>
    <xf numFmtId="0" fontId="0" fillId="28" borderId="19" xfId="0" applyFill="1" applyBorder="1" applyAlignment="1">
      <alignment horizontal="center" vertical="center"/>
    </xf>
    <xf numFmtId="0" fontId="0" fillId="28" borderId="1" xfId="0" applyFill="1" applyBorder="1" applyAlignment="1">
      <alignment horizontal="center" vertical="center"/>
    </xf>
    <xf numFmtId="0" fontId="0" fillId="28" borderId="1" xfId="0" applyFill="1" applyBorder="1" applyAlignment="1">
      <alignment horizontal="center" vertical="center" wrapText="1"/>
    </xf>
    <xf numFmtId="0" fontId="6" fillId="21" borderId="1" xfId="2" applyFont="1" applyFill="1" applyBorder="1" applyAlignment="1" applyProtection="1">
      <alignment horizontal="center" vertical="center" wrapText="1"/>
      <protection locked="0"/>
    </xf>
    <xf numFmtId="0" fontId="63" fillId="0" borderId="0" xfId="0" applyFont="1"/>
    <xf numFmtId="166" fontId="63" fillId="0" borderId="0" xfId="0" applyNumberFormat="1" applyFont="1"/>
    <xf numFmtId="0" fontId="67" fillId="0" borderId="98" xfId="0" applyFont="1" applyBorder="1" applyAlignment="1">
      <alignment horizontal="center" vertical="center" wrapText="1"/>
    </xf>
    <xf numFmtId="0" fontId="67" fillId="32" borderId="92" xfId="0" applyFont="1" applyFill="1" applyBorder="1" applyAlignment="1">
      <alignment horizontal="center" vertical="center" wrapText="1"/>
    </xf>
    <xf numFmtId="0" fontId="67" fillId="30" borderId="92" xfId="0" applyFont="1" applyFill="1" applyBorder="1" applyAlignment="1">
      <alignment horizontal="center" vertical="center" wrapText="1"/>
    </xf>
    <xf numFmtId="0" fontId="69" fillId="32" borderId="92" xfId="0" applyFont="1" applyFill="1" applyBorder="1" applyAlignment="1">
      <alignment horizontal="center" vertical="center" wrapText="1"/>
    </xf>
    <xf numFmtId="0" fontId="69" fillId="32" borderId="106" xfId="0" applyFont="1" applyFill="1" applyBorder="1" applyAlignment="1">
      <alignment horizontal="center" vertical="center" wrapText="1"/>
    </xf>
    <xf numFmtId="0" fontId="67" fillId="32" borderId="106" xfId="0" applyFont="1" applyFill="1" applyBorder="1" applyAlignment="1">
      <alignment horizontal="center" vertical="center" wrapText="1"/>
    </xf>
    <xf numFmtId="0" fontId="67" fillId="31" borderId="106" xfId="0" applyFont="1" applyFill="1" applyBorder="1" applyAlignment="1">
      <alignment horizontal="center" vertical="center" wrapText="1"/>
    </xf>
    <xf numFmtId="0" fontId="67" fillId="32" borderId="101" xfId="0" applyFont="1" applyFill="1" applyBorder="1" applyAlignment="1">
      <alignment horizontal="center" vertical="center" wrapText="1"/>
    </xf>
    <xf numFmtId="0" fontId="69" fillId="32" borderId="101" xfId="0" applyFont="1" applyFill="1" applyBorder="1" applyAlignment="1">
      <alignment horizontal="center" vertical="center" wrapText="1"/>
    </xf>
    <xf numFmtId="0" fontId="69" fillId="31" borderId="106" xfId="0" applyFont="1" applyFill="1" applyBorder="1" applyAlignment="1">
      <alignment horizontal="center" vertical="center" wrapText="1"/>
    </xf>
    <xf numFmtId="0" fontId="71" fillId="0" borderId="0" xfId="0" applyFont="1"/>
    <xf numFmtId="0" fontId="64" fillId="0" borderId="0" xfId="0" applyFont="1"/>
    <xf numFmtId="0" fontId="72" fillId="33" borderId="106" xfId="0" applyFont="1" applyFill="1" applyBorder="1" applyAlignment="1">
      <alignment horizontal="center" vertical="center" wrapText="1"/>
    </xf>
    <xf numFmtId="0" fontId="73" fillId="33" borderId="106" xfId="0" applyFont="1" applyFill="1" applyBorder="1" applyAlignment="1">
      <alignment horizontal="center" vertical="center" wrapText="1"/>
    </xf>
    <xf numFmtId="0" fontId="64" fillId="0" borderId="106" xfId="0" applyFont="1" applyBorder="1" applyAlignment="1">
      <alignment horizontal="center" vertical="center" wrapText="1"/>
    </xf>
    <xf numFmtId="0" fontId="64" fillId="0" borderId="0" xfId="0" applyFont="1" applyAlignment="1">
      <alignment horizontal="center" vertical="center"/>
    </xf>
    <xf numFmtId="0" fontId="74" fillId="0" borderId="0" xfId="0" applyFont="1" applyAlignment="1">
      <alignment horizontal="center" vertical="center" wrapText="1"/>
    </xf>
    <xf numFmtId="0" fontId="75" fillId="0" borderId="0" xfId="0" applyFont="1" applyAlignment="1">
      <alignment horizontal="center" vertical="center" wrapText="1"/>
    </xf>
    <xf numFmtId="0" fontId="64" fillId="0" borderId="0" xfId="0" applyFont="1" applyAlignment="1">
      <alignment horizontal="center" vertical="center" wrapText="1"/>
    </xf>
    <xf numFmtId="0" fontId="76" fillId="34" borderId="103" xfId="0" applyFont="1" applyFill="1" applyBorder="1" applyAlignment="1">
      <alignment horizontal="center" wrapText="1"/>
    </xf>
    <xf numFmtId="0" fontId="64" fillId="0" borderId="106" xfId="0" applyFont="1" applyBorder="1"/>
    <xf numFmtId="0" fontId="64" fillId="0" borderId="106" xfId="0" applyFont="1" applyBorder="1" applyAlignment="1">
      <alignment horizontal="center" wrapText="1"/>
    </xf>
    <xf numFmtId="0" fontId="67" fillId="0" borderId="0" xfId="0" applyFont="1" applyAlignment="1">
      <alignment horizontal="center" vertical="center" wrapText="1"/>
    </xf>
    <xf numFmtId="0" fontId="73" fillId="33" borderId="0" xfId="0" applyFont="1" applyFill="1" applyAlignment="1">
      <alignment horizontal="center" vertical="center" wrapText="1"/>
    </xf>
    <xf numFmtId="0" fontId="70" fillId="0" borderId="106" xfId="0" applyFont="1" applyBorder="1" applyAlignment="1">
      <alignment horizontal="center" vertical="center" wrapText="1"/>
    </xf>
    <xf numFmtId="0" fontId="64" fillId="0" borderId="101" xfId="0" applyFont="1" applyBorder="1" applyAlignment="1">
      <alignment horizontal="center" vertical="center" wrapText="1"/>
    </xf>
    <xf numFmtId="0" fontId="80" fillId="34" borderId="109" xfId="0" applyFont="1" applyFill="1" applyBorder="1" applyAlignment="1">
      <alignment horizontal="center"/>
    </xf>
    <xf numFmtId="0" fontId="80" fillId="34" borderId="110" xfId="0" applyFont="1" applyFill="1" applyBorder="1" applyAlignment="1">
      <alignment horizontal="center"/>
    </xf>
    <xf numFmtId="0" fontId="82" fillId="0" borderId="110" xfId="0" applyFont="1" applyBorder="1" applyAlignment="1">
      <alignment horizontal="left"/>
    </xf>
    <xf numFmtId="0" fontId="82" fillId="0" borderId="112" xfId="0" applyFont="1" applyBorder="1" applyAlignment="1">
      <alignment horizontal="left"/>
    </xf>
    <xf numFmtId="0" fontId="82" fillId="0" borderId="111" xfId="0" applyFont="1" applyBorder="1"/>
    <xf numFmtId="0" fontId="82" fillId="0" borderId="0" xfId="0" applyFont="1"/>
    <xf numFmtId="0" fontId="82" fillId="0" borderId="113" xfId="0" applyFont="1" applyBorder="1"/>
    <xf numFmtId="0" fontId="82" fillId="0" borderId="114" xfId="0" applyFont="1" applyBorder="1" applyAlignment="1">
      <alignment horizontal="left"/>
    </xf>
    <xf numFmtId="0" fontId="71" fillId="0" borderId="100" xfId="0" applyFont="1" applyBorder="1" applyAlignment="1">
      <alignment horizontal="center"/>
    </xf>
    <xf numFmtId="0" fontId="71" fillId="0" borderId="0" xfId="0" applyFont="1" applyAlignment="1">
      <alignment horizontal="center"/>
    </xf>
    <xf numFmtId="0" fontId="64" fillId="36" borderId="0" xfId="0" applyFont="1" applyFill="1" applyAlignment="1">
      <alignment wrapText="1"/>
    </xf>
    <xf numFmtId="9" fontId="0" fillId="0" borderId="1" xfId="6" applyFont="1" applyBorder="1" applyAlignment="1">
      <alignment horizontal="center" vertical="center"/>
    </xf>
    <xf numFmtId="0" fontId="83" fillId="4" borderId="1" xfId="0" applyFont="1" applyFill="1" applyBorder="1" applyAlignment="1">
      <alignment horizontal="left" vertical="center" wrapText="1"/>
    </xf>
    <xf numFmtId="0" fontId="84" fillId="0" borderId="0" xfId="0" applyFont="1" applyAlignment="1">
      <alignment wrapText="1"/>
    </xf>
    <xf numFmtId="0" fontId="70" fillId="0" borderId="106" xfId="0" applyFont="1" applyBorder="1" applyAlignment="1" applyProtection="1">
      <alignment horizontal="center" vertical="center" wrapText="1"/>
      <protection locked="0"/>
    </xf>
    <xf numFmtId="167" fontId="70" fillId="0" borderId="106" xfId="0" applyNumberFormat="1" applyFont="1" applyBorder="1" applyAlignment="1" applyProtection="1">
      <alignment horizontal="center" vertical="center" wrapText="1"/>
      <protection locked="0"/>
    </xf>
    <xf numFmtId="0" fontId="77" fillId="0" borderId="106" xfId="0" applyFont="1" applyBorder="1" applyAlignment="1" applyProtection="1">
      <alignment horizontal="center"/>
      <protection locked="0"/>
    </xf>
    <xf numFmtId="0" fontId="78" fillId="0" borderId="106" xfId="0" applyFont="1" applyBorder="1" applyAlignment="1" applyProtection="1">
      <alignment horizontal="center"/>
      <protection locked="0"/>
    </xf>
    <xf numFmtId="166" fontId="70" fillId="0" borderId="106" xfId="0" applyNumberFormat="1" applyFont="1" applyBorder="1" applyAlignment="1" applyProtection="1">
      <alignment horizontal="center" vertical="center" wrapText="1"/>
      <protection locked="0"/>
    </xf>
    <xf numFmtId="0" fontId="70" fillId="0" borderId="106" xfId="0" applyFont="1" applyBorder="1" applyAlignment="1" applyProtection="1">
      <alignment horizontal="center" vertical="center" wrapText="1"/>
    </xf>
    <xf numFmtId="0" fontId="70" fillId="0" borderId="106" xfId="0" applyFont="1" applyBorder="1" applyAlignment="1" applyProtection="1">
      <alignment horizontal="left" vertical="center" wrapText="1"/>
      <protection locked="0"/>
    </xf>
    <xf numFmtId="0" fontId="77" fillId="0" borderId="106" xfId="0" applyFont="1" applyBorder="1" applyAlignment="1" applyProtection="1">
      <alignment horizontal="center" vertical="center"/>
      <protection locked="0"/>
    </xf>
    <xf numFmtId="0" fontId="78" fillId="0" borderId="106" xfId="0" applyFont="1" applyBorder="1" applyAlignment="1" applyProtection="1">
      <alignment horizontal="center" vertical="center"/>
      <protection locked="0"/>
    </xf>
    <xf numFmtId="0" fontId="81" fillId="0" borderId="107" xfId="0" applyFont="1" applyBorder="1"/>
    <xf numFmtId="0" fontId="66" fillId="0" borderId="108" xfId="0" applyFont="1" applyBorder="1"/>
    <xf numFmtId="0" fontId="82" fillId="0" borderId="107" xfId="0" applyFont="1" applyBorder="1" applyAlignment="1">
      <alignment horizontal="left"/>
    </xf>
    <xf numFmtId="0" fontId="79" fillId="34" borderId="107" xfId="0" applyFont="1" applyFill="1" applyBorder="1" applyAlignment="1">
      <alignment horizontal="center"/>
    </xf>
    <xf numFmtId="0" fontId="71" fillId="0" borderId="107" xfId="0" applyFont="1" applyBorder="1"/>
    <xf numFmtId="0" fontId="81" fillId="35" borderId="111" xfId="0" applyFont="1" applyFill="1" applyBorder="1" applyAlignment="1">
      <alignment horizontal="center"/>
    </xf>
    <xf numFmtId="0" fontId="66" fillId="0" borderId="111" xfId="0" applyFont="1" applyBorder="1"/>
    <xf numFmtId="0" fontId="81" fillId="35" borderId="107" xfId="0" applyFont="1" applyFill="1" applyBorder="1" applyAlignment="1">
      <alignment horizontal="center"/>
    </xf>
    <xf numFmtId="0" fontId="64" fillId="0" borderId="92" xfId="0" applyFont="1" applyBorder="1"/>
    <xf numFmtId="0" fontId="66" fillId="0" borderId="99" xfId="0" applyFont="1" applyBorder="1"/>
    <xf numFmtId="0" fontId="66" fillId="0" borderId="101" xfId="0" applyFont="1" applyBorder="1"/>
    <xf numFmtId="0" fontId="65" fillId="0" borderId="93" xfId="0" applyFont="1" applyBorder="1" applyAlignment="1">
      <alignment horizontal="center" vertical="center" wrapText="1"/>
    </xf>
    <xf numFmtId="0" fontId="66" fillId="0" borderId="94" xfId="0" applyFont="1" applyBorder="1"/>
    <xf numFmtId="0" fontId="66" fillId="0" borderId="95" xfId="0" applyFont="1" applyBorder="1"/>
    <xf numFmtId="0" fontId="66" fillId="0" borderId="100" xfId="0" applyFont="1" applyBorder="1"/>
    <xf numFmtId="0" fontId="0" fillId="0" borderId="0" xfId="0"/>
    <xf numFmtId="0" fontId="66" fillId="0" borderId="98" xfId="0" applyFont="1" applyBorder="1"/>
    <xf numFmtId="0" fontId="66" fillId="0" borderId="102" xfId="0" applyFont="1" applyBorder="1"/>
    <xf numFmtId="0" fontId="66" fillId="0" borderId="103" xfId="0" applyFont="1" applyBorder="1"/>
    <xf numFmtId="0" fontId="66" fillId="0" borderId="104" xfId="0" applyFont="1" applyBorder="1"/>
    <xf numFmtId="0" fontId="64" fillId="0" borderId="96" xfId="0" applyFont="1" applyBorder="1"/>
    <xf numFmtId="0" fontId="66" fillId="0" borderId="97" xfId="0" applyFont="1" applyBorder="1"/>
    <xf numFmtId="0" fontId="64" fillId="0" borderId="0" xfId="0" applyFont="1"/>
    <xf numFmtId="0" fontId="72" fillId="33" borderId="96" xfId="0" applyFont="1" applyFill="1" applyBorder="1" applyAlignment="1">
      <alignment horizontal="center" vertical="center" wrapText="1"/>
    </xf>
    <xf numFmtId="0" fontId="66" fillId="0" borderId="105" xfId="0" applyFont="1" applyBorder="1"/>
    <xf numFmtId="0" fontId="73" fillId="33" borderId="0" xfId="0" applyFont="1" applyFill="1" applyAlignment="1">
      <alignment horizontal="center"/>
    </xf>
    <xf numFmtId="0" fontId="66" fillId="0" borderId="0" xfId="0" applyFont="1"/>
    <xf numFmtId="0" fontId="68" fillId="30" borderId="96" xfId="0" applyFont="1" applyFill="1" applyBorder="1" applyAlignment="1">
      <alignment horizontal="center" wrapText="1"/>
    </xf>
    <xf numFmtId="0" fontId="68" fillId="31" borderId="96" xfId="0" applyFont="1" applyFill="1" applyBorder="1" applyAlignment="1">
      <alignment horizontal="center" wrapText="1"/>
    </xf>
    <xf numFmtId="0" fontId="67" fillId="0" borderId="0" xfId="0" applyFont="1" applyAlignment="1">
      <alignment horizontal="center" vertical="center" wrapText="1"/>
    </xf>
    <xf numFmtId="0" fontId="73" fillId="33" borderId="96" xfId="0" applyFont="1" applyFill="1" applyBorder="1" applyAlignment="1">
      <alignment horizontal="center" vertical="center" wrapText="1"/>
    </xf>
    <xf numFmtId="0" fontId="8" fillId="4" borderId="8" xfId="0" applyFont="1" applyFill="1" applyBorder="1" applyAlignment="1">
      <alignment horizontal="left" vertical="top" wrapText="1"/>
    </xf>
    <xf numFmtId="0" fontId="8" fillId="4" borderId="19" xfId="0" applyFont="1" applyFill="1" applyBorder="1" applyAlignment="1">
      <alignment horizontal="left" vertical="top" wrapText="1"/>
    </xf>
    <xf numFmtId="14" fontId="8" fillId="4" borderId="8" xfId="0" applyNumberFormat="1" applyFont="1" applyFill="1" applyBorder="1" applyAlignment="1">
      <alignment horizontal="left" wrapText="1"/>
    </xf>
    <xf numFmtId="14" fontId="8" fillId="4" borderId="19" xfId="0" applyNumberFormat="1" applyFont="1" applyFill="1" applyBorder="1" applyAlignment="1">
      <alignment horizontal="left" wrapText="1"/>
    </xf>
    <xf numFmtId="0" fontId="43" fillId="4" borderId="71" xfId="0" applyFont="1" applyFill="1" applyBorder="1" applyAlignment="1">
      <alignment horizontal="left" vertical="center" wrapText="1"/>
    </xf>
    <xf numFmtId="0" fontId="43" fillId="4" borderId="60" xfId="0" applyFont="1" applyFill="1" applyBorder="1" applyAlignment="1">
      <alignment horizontal="left" vertical="center" wrapText="1"/>
    </xf>
    <xf numFmtId="0" fontId="44" fillId="4" borderId="57" xfId="4" applyFont="1" applyFill="1" applyBorder="1" applyAlignment="1">
      <alignment horizontal="justify" vertical="center" wrapText="1"/>
    </xf>
    <xf numFmtId="0" fontId="44" fillId="4" borderId="58" xfId="4" applyFont="1" applyFill="1" applyBorder="1" applyAlignment="1">
      <alignment horizontal="justify" vertical="center" wrapText="1"/>
    </xf>
    <xf numFmtId="0" fontId="43" fillId="11" borderId="47" xfId="5" applyFont="1" applyFill="1" applyBorder="1" applyAlignment="1">
      <alignment horizontal="center" vertical="center" wrapText="1"/>
    </xf>
    <xf numFmtId="0" fontId="43" fillId="11" borderId="48" xfId="5" applyFont="1" applyFill="1" applyBorder="1" applyAlignment="1">
      <alignment horizontal="center" vertical="center" wrapText="1"/>
    </xf>
    <xf numFmtId="0" fontId="43" fillId="11" borderId="49" xfId="4" applyFont="1" applyFill="1" applyBorder="1" applyAlignment="1">
      <alignment horizontal="center" vertical="center" wrapText="1"/>
    </xf>
    <xf numFmtId="0" fontId="43" fillId="11" borderId="50" xfId="4" applyFont="1" applyFill="1" applyBorder="1" applyAlignment="1">
      <alignment horizontal="center" vertical="center" wrapText="1"/>
    </xf>
    <xf numFmtId="0" fontId="43" fillId="4" borderId="59" xfId="0" applyFont="1" applyFill="1" applyBorder="1" applyAlignment="1">
      <alignment horizontal="left" vertical="center" wrapText="1"/>
    </xf>
    <xf numFmtId="0" fontId="43" fillId="4" borderId="56" xfId="0" applyFont="1" applyFill="1" applyBorder="1" applyAlignment="1">
      <alignment horizontal="left" vertical="center" wrapText="1"/>
    </xf>
    <xf numFmtId="0" fontId="43" fillId="4" borderId="70" xfId="5" applyFont="1" applyFill="1" applyBorder="1" applyAlignment="1">
      <alignment horizontal="left" vertical="top" wrapText="1" readingOrder="1"/>
    </xf>
    <xf numFmtId="0" fontId="43" fillId="4" borderId="52" xfId="5" applyFont="1" applyFill="1" applyBorder="1" applyAlignment="1">
      <alignment horizontal="left" vertical="top" wrapText="1" readingOrder="1"/>
    </xf>
    <xf numFmtId="0" fontId="44" fillId="4" borderId="53" xfId="4" applyFont="1" applyFill="1" applyBorder="1" applyAlignment="1">
      <alignment horizontal="justify" vertical="center" wrapText="1"/>
    </xf>
    <xf numFmtId="0" fontId="44" fillId="4" borderId="54" xfId="4" applyFont="1" applyFill="1" applyBorder="1" applyAlignment="1">
      <alignment horizontal="justify" vertical="center" wrapText="1"/>
    </xf>
    <xf numFmtId="0" fontId="37" fillId="4" borderId="66" xfId="4" quotePrefix="1" applyFont="1" applyFill="1" applyBorder="1" applyAlignment="1">
      <alignment horizontal="left" vertical="top" wrapText="1"/>
    </xf>
    <xf numFmtId="0" fontId="37" fillId="4" borderId="10" xfId="4" quotePrefix="1" applyFont="1" applyFill="1" applyBorder="1" applyAlignment="1">
      <alignment horizontal="left" vertical="top" wrapText="1"/>
    </xf>
    <xf numFmtId="0" fontId="37" fillId="4" borderId="68" xfId="4" quotePrefix="1" applyFont="1" applyFill="1" applyBorder="1" applyAlignment="1">
      <alignment horizontal="left" vertical="top" wrapText="1"/>
    </xf>
    <xf numFmtId="0" fontId="43" fillId="4" borderId="55" xfId="0" applyFont="1" applyFill="1" applyBorder="1" applyAlignment="1">
      <alignment horizontal="left" vertical="center" wrapText="1"/>
    </xf>
    <xf numFmtId="0" fontId="37" fillId="4" borderId="3" xfId="4" quotePrefix="1" applyFont="1" applyFill="1" applyBorder="1" applyAlignment="1">
      <alignment horizontal="left" vertical="top" wrapText="1"/>
    </xf>
    <xf numFmtId="0" fontId="37" fillId="4" borderId="1" xfId="4" quotePrefix="1" applyFont="1" applyFill="1" applyBorder="1" applyAlignment="1">
      <alignment horizontal="left" vertical="top" wrapText="1"/>
    </xf>
    <xf numFmtId="0" fontId="37" fillId="4" borderId="26" xfId="4" quotePrefix="1" applyFont="1" applyFill="1" applyBorder="1" applyAlignment="1">
      <alignment horizontal="left" vertical="top" wrapText="1"/>
    </xf>
    <xf numFmtId="0" fontId="37" fillId="4" borderId="42" xfId="4" quotePrefix="1" applyFont="1" applyFill="1" applyBorder="1" applyAlignment="1">
      <alignment horizontal="left" vertical="top" wrapText="1"/>
    </xf>
    <xf numFmtId="0" fontId="37" fillId="4" borderId="43" xfId="4" quotePrefix="1" applyFont="1" applyFill="1" applyBorder="1" applyAlignment="1">
      <alignment horizontal="left" vertical="top" wrapText="1"/>
    </xf>
    <xf numFmtId="0" fontId="37" fillId="4" borderId="44" xfId="4" quotePrefix="1" applyFont="1" applyFill="1" applyBorder="1" applyAlignment="1">
      <alignment horizontal="left" vertical="top" wrapText="1"/>
    </xf>
    <xf numFmtId="0" fontId="37" fillId="4" borderId="15" xfId="4" quotePrefix="1" applyFont="1" applyFill="1" applyBorder="1" applyAlignment="1">
      <alignment horizontal="left" vertical="top" wrapText="1"/>
    </xf>
    <xf numFmtId="0" fontId="37" fillId="4" borderId="0" xfId="4" quotePrefix="1" applyFont="1" applyFill="1" applyAlignment="1">
      <alignment horizontal="left" vertical="top" wrapText="1"/>
    </xf>
    <xf numFmtId="0" fontId="37" fillId="4" borderId="2" xfId="4" quotePrefix="1" applyFont="1" applyFill="1" applyBorder="1" applyAlignment="1">
      <alignment horizontal="left" vertical="top" wrapText="1"/>
    </xf>
    <xf numFmtId="0" fontId="43" fillId="11" borderId="69" xfId="5" applyFont="1" applyFill="1" applyBorder="1" applyAlignment="1">
      <alignment horizontal="center" vertical="center" wrapText="1"/>
    </xf>
    <xf numFmtId="0" fontId="43" fillId="4" borderId="61" xfId="0" applyFont="1" applyFill="1" applyBorder="1" applyAlignment="1">
      <alignment horizontal="left" vertical="center" wrapText="1"/>
    </xf>
    <xf numFmtId="0" fontId="43" fillId="4" borderId="62" xfId="0" applyFont="1" applyFill="1" applyBorder="1" applyAlignment="1">
      <alignment horizontal="left" vertical="center" wrapText="1"/>
    </xf>
    <xf numFmtId="0" fontId="44" fillId="4" borderId="63" xfId="0" applyFont="1" applyFill="1" applyBorder="1" applyAlignment="1">
      <alignment horizontal="justify" vertical="center" wrapText="1"/>
    </xf>
    <xf numFmtId="0" fontId="44" fillId="4" borderId="64" xfId="0" applyFont="1" applyFill="1" applyBorder="1" applyAlignment="1">
      <alignment horizontal="justify" vertical="center" wrapText="1"/>
    </xf>
    <xf numFmtId="0" fontId="43" fillId="4" borderId="51" xfId="5" applyFont="1" applyFill="1" applyBorder="1" applyAlignment="1">
      <alignment horizontal="left" vertical="top" wrapText="1" readingOrder="1"/>
    </xf>
    <xf numFmtId="0" fontId="43" fillId="4" borderId="84" xfId="0" applyFont="1" applyFill="1" applyBorder="1" applyAlignment="1">
      <alignment horizontal="left" vertical="center" wrapText="1"/>
    </xf>
    <xf numFmtId="0" fontId="43" fillId="4" borderId="90" xfId="0" applyFont="1" applyFill="1" applyBorder="1" applyAlignment="1">
      <alignment horizontal="left" vertical="center" wrapText="1"/>
    </xf>
    <xf numFmtId="0" fontId="43" fillId="4" borderId="85" xfId="0" applyFont="1" applyFill="1" applyBorder="1" applyAlignment="1">
      <alignment horizontal="left" vertical="center" wrapText="1"/>
    </xf>
    <xf numFmtId="0" fontId="43" fillId="4" borderId="91" xfId="0" applyFont="1" applyFill="1" applyBorder="1" applyAlignment="1">
      <alignment horizontal="left" vertical="center" wrapText="1"/>
    </xf>
    <xf numFmtId="0" fontId="34" fillId="19" borderId="30" xfId="4" applyFont="1" applyFill="1" applyBorder="1" applyAlignment="1">
      <alignment horizontal="center" vertical="center" wrapText="1"/>
    </xf>
    <xf numFmtId="0" fontId="34" fillId="19" borderId="31" xfId="4" applyFont="1" applyFill="1" applyBorder="1" applyAlignment="1">
      <alignment horizontal="center" vertical="center" wrapText="1"/>
    </xf>
    <xf numFmtId="0" fontId="34" fillId="19" borderId="32" xfId="4" applyFont="1" applyFill="1" applyBorder="1" applyAlignment="1">
      <alignment horizontal="center" vertical="center" wrapText="1"/>
    </xf>
    <xf numFmtId="0" fontId="35" fillId="0" borderId="15" xfId="4" quotePrefix="1" applyFont="1" applyBorder="1" applyAlignment="1">
      <alignment horizontal="left" vertical="center" wrapText="1"/>
    </xf>
    <xf numFmtId="0" fontId="35" fillId="0" borderId="0" xfId="4" quotePrefix="1" applyFont="1" applyAlignment="1">
      <alignment horizontal="left" vertical="center" wrapText="1"/>
    </xf>
    <xf numFmtId="0" fontId="35" fillId="0" borderId="2" xfId="4" quotePrefix="1" applyFont="1" applyBorder="1" applyAlignment="1">
      <alignment horizontal="left" vertical="center" wrapText="1"/>
    </xf>
    <xf numFmtId="0" fontId="35" fillId="0" borderId="45" xfId="4" quotePrefix="1" applyFont="1" applyBorder="1" applyAlignment="1">
      <alignment horizontal="left" vertical="center" wrapText="1"/>
    </xf>
    <xf numFmtId="0" fontId="35" fillId="0" borderId="9" xfId="4" quotePrefix="1" applyFont="1" applyBorder="1" applyAlignment="1">
      <alignment horizontal="left" vertical="center" wrapText="1"/>
    </xf>
    <xf numFmtId="0" fontId="35" fillId="0" borderId="46" xfId="4" quotePrefix="1" applyFont="1" applyBorder="1" applyAlignment="1">
      <alignment horizontal="left" vertical="center" wrapText="1"/>
    </xf>
    <xf numFmtId="0" fontId="38" fillId="4" borderId="43" xfId="4" quotePrefix="1" applyFont="1" applyFill="1" applyBorder="1" applyAlignment="1">
      <alignment horizontal="left" vertical="top" wrapText="1"/>
    </xf>
    <xf numFmtId="0" fontId="38" fillId="4" borderId="44" xfId="4" quotePrefix="1" applyFont="1" applyFill="1" applyBorder="1" applyAlignment="1">
      <alignment horizontal="left" vertical="top" wrapText="1"/>
    </xf>
    <xf numFmtId="0" fontId="39" fillId="4" borderId="45" xfId="4" quotePrefix="1" applyFont="1" applyFill="1" applyBorder="1" applyAlignment="1">
      <alignment horizontal="justify" vertical="center" wrapText="1"/>
    </xf>
    <xf numFmtId="0" fontId="39" fillId="4" borderId="9" xfId="4" quotePrefix="1" applyFont="1" applyFill="1" applyBorder="1" applyAlignment="1">
      <alignment horizontal="justify" vertical="center" wrapText="1"/>
    </xf>
    <xf numFmtId="0" fontId="39" fillId="4" borderId="46" xfId="4" quotePrefix="1" applyFont="1" applyFill="1" applyBorder="1" applyAlignment="1">
      <alignment horizontal="justify" vertical="center" wrapText="1"/>
    </xf>
    <xf numFmtId="0" fontId="39" fillId="0" borderId="66" xfId="4" quotePrefix="1" applyFont="1" applyBorder="1" applyAlignment="1">
      <alignment horizontal="center" vertical="top" wrapText="1"/>
    </xf>
    <xf numFmtId="0" fontId="39" fillId="0" borderId="10" xfId="4" quotePrefix="1" applyFont="1" applyBorder="1" applyAlignment="1">
      <alignment horizontal="center" vertical="top" wrapText="1"/>
    </xf>
    <xf numFmtId="0" fontId="39" fillId="0" borderId="68" xfId="4" quotePrefix="1" applyFont="1" applyBorder="1" applyAlignment="1">
      <alignment horizontal="center" vertical="top" wrapText="1"/>
    </xf>
    <xf numFmtId="0" fontId="39" fillId="4" borderId="42" xfId="4" quotePrefix="1" applyFont="1" applyFill="1" applyBorder="1" applyAlignment="1">
      <alignment horizontal="left" vertical="top" wrapText="1"/>
    </xf>
    <xf numFmtId="0" fontId="39" fillId="4" borderId="43" xfId="4" quotePrefix="1" applyFont="1" applyFill="1" applyBorder="1" applyAlignment="1">
      <alignment horizontal="left" vertical="top" wrapText="1"/>
    </xf>
    <xf numFmtId="0" fontId="39" fillId="4" borderId="44" xfId="4" quotePrefix="1" applyFont="1" applyFill="1" applyBorder="1" applyAlignment="1">
      <alignment horizontal="left" vertical="top" wrapText="1"/>
    </xf>
    <xf numFmtId="0" fontId="39" fillId="3" borderId="42" xfId="4" quotePrefix="1" applyFont="1" applyFill="1" applyBorder="1" applyAlignment="1">
      <alignment horizontal="left" vertical="top" wrapText="1"/>
    </xf>
    <xf numFmtId="0" fontId="39" fillId="3" borderId="43" xfId="4" quotePrefix="1" applyFont="1" applyFill="1" applyBorder="1" applyAlignment="1">
      <alignment horizontal="left" vertical="top" wrapText="1"/>
    </xf>
    <xf numFmtId="0" fontId="39" fillId="3" borderId="44" xfId="4" quotePrefix="1" applyFont="1" applyFill="1" applyBorder="1" applyAlignment="1">
      <alignment horizontal="left" vertical="top" wrapText="1"/>
    </xf>
    <xf numFmtId="0" fontId="43" fillId="19" borderId="47" xfId="5" applyFont="1" applyFill="1" applyBorder="1" applyAlignment="1">
      <alignment horizontal="center" vertical="center" wrapText="1"/>
    </xf>
    <xf numFmtId="0" fontId="43" fillId="19" borderId="48" xfId="5" applyFont="1" applyFill="1" applyBorder="1" applyAlignment="1">
      <alignment horizontal="center" vertical="center" wrapText="1"/>
    </xf>
    <xf numFmtId="0" fontId="43" fillId="19" borderId="49" xfId="4" applyFont="1" applyFill="1" applyBorder="1" applyAlignment="1">
      <alignment horizontal="center" vertical="center" wrapText="1"/>
    </xf>
    <xf numFmtId="0" fontId="43" fillId="19" borderId="50" xfId="4" applyFont="1" applyFill="1" applyBorder="1" applyAlignment="1">
      <alignment horizontal="center" vertical="center" wrapText="1"/>
    </xf>
    <xf numFmtId="0" fontId="44" fillId="4" borderId="57" xfId="4" applyFont="1" applyFill="1" applyBorder="1" applyAlignment="1">
      <alignment horizontal="justify" wrapText="1"/>
    </xf>
    <xf numFmtId="0" fontId="44" fillId="4" borderId="58" xfId="4" applyFont="1" applyFill="1" applyBorder="1" applyAlignment="1">
      <alignment horizontal="justify" wrapText="1"/>
    </xf>
    <xf numFmtId="0" fontId="43" fillId="4" borderId="86" xfId="0" applyFont="1" applyFill="1" applyBorder="1" applyAlignment="1">
      <alignment horizontal="left" vertical="center" wrapText="1"/>
    </xf>
    <xf numFmtId="0" fontId="43" fillId="4" borderId="87" xfId="0" applyFont="1" applyFill="1" applyBorder="1" applyAlignment="1">
      <alignment horizontal="left" vertical="center" wrapText="1"/>
    </xf>
    <xf numFmtId="0" fontId="43" fillId="4" borderId="88" xfId="0" applyFont="1" applyFill="1" applyBorder="1" applyAlignment="1">
      <alignment horizontal="left" vertical="center" wrapText="1"/>
    </xf>
    <xf numFmtId="0" fontId="43" fillId="4" borderId="89" xfId="0" applyFont="1" applyFill="1" applyBorder="1" applyAlignment="1">
      <alignment horizontal="left" vertical="center" wrapText="1"/>
    </xf>
    <xf numFmtId="0" fontId="44" fillId="4" borderId="82" xfId="4" applyFont="1" applyFill="1" applyBorder="1" applyAlignment="1">
      <alignment horizontal="justify" vertical="center" wrapText="1"/>
    </xf>
    <xf numFmtId="0" fontId="44" fillId="4" borderId="83" xfId="4" applyFont="1" applyFill="1" applyBorder="1" applyAlignment="1">
      <alignment horizontal="justify" vertical="center" wrapText="1"/>
    </xf>
    <xf numFmtId="0" fontId="12" fillId="0" borderId="8" xfId="0" applyFont="1" applyBorder="1" applyAlignment="1" applyProtection="1">
      <alignment horizontal="center" vertical="center" wrapText="1"/>
      <protection locked="0"/>
    </xf>
    <xf numFmtId="0" fontId="12" fillId="0" borderId="10" xfId="0" applyFont="1" applyBorder="1" applyAlignment="1" applyProtection="1">
      <alignment horizontal="center" vertical="center" wrapText="1"/>
      <protection locked="0"/>
    </xf>
    <xf numFmtId="0" fontId="12" fillId="0" borderId="19" xfId="0" applyFont="1" applyBorder="1" applyAlignment="1" applyProtection="1">
      <alignment horizontal="center" vertical="center" wrapText="1"/>
      <protection locked="0"/>
    </xf>
    <xf numFmtId="0" fontId="12" fillId="0" borderId="1" xfId="2" applyFont="1" applyBorder="1" applyAlignment="1">
      <alignment horizontal="center" vertical="center" wrapText="1"/>
    </xf>
    <xf numFmtId="0" fontId="55" fillId="0" borderId="1" xfId="2" applyFont="1" applyBorder="1" applyAlignment="1" applyProtection="1">
      <alignment horizontal="center" vertical="center"/>
      <protection locked="0"/>
    </xf>
    <xf numFmtId="0" fontId="12" fillId="0" borderId="8" xfId="2" applyFont="1" applyBorder="1" applyAlignment="1">
      <alignment horizontal="center" vertical="center"/>
    </xf>
    <xf numFmtId="0" fontId="12" fillId="0" borderId="10" xfId="2" applyFont="1" applyBorder="1" applyAlignment="1">
      <alignment horizontal="center" vertical="center"/>
    </xf>
    <xf numFmtId="0" fontId="12" fillId="0" borderId="19" xfId="2" applyFont="1" applyBorder="1" applyAlignment="1">
      <alignment horizontal="center" vertical="center"/>
    </xf>
    <xf numFmtId="0" fontId="12" fillId="0" borderId="8" xfId="2" applyFont="1" applyBorder="1" applyAlignment="1" applyProtection="1">
      <alignment horizontal="justify" vertical="center" wrapText="1"/>
      <protection locked="0"/>
    </xf>
    <xf numFmtId="0" fontId="12" fillId="0" borderId="10" xfId="2" applyFont="1" applyBorder="1" applyAlignment="1" applyProtection="1">
      <alignment horizontal="justify" vertical="center" wrapText="1"/>
      <protection locked="0"/>
    </xf>
    <xf numFmtId="0" fontId="12" fillId="0" borderId="19" xfId="2" applyFont="1" applyBorder="1" applyAlignment="1" applyProtection="1">
      <alignment horizontal="justify" vertical="center" wrapText="1"/>
      <protection locked="0"/>
    </xf>
    <xf numFmtId="0" fontId="4" fillId="0" borderId="8" xfId="2" applyFont="1" applyBorder="1" applyAlignment="1" applyProtection="1">
      <alignment horizontal="left" vertical="center" wrapText="1"/>
      <protection locked="0"/>
    </xf>
    <xf numFmtId="0" fontId="4" fillId="0" borderId="10" xfId="2" applyFont="1" applyBorder="1" applyAlignment="1" applyProtection="1">
      <alignment horizontal="left" vertical="center" wrapText="1"/>
      <protection locked="0"/>
    </xf>
    <xf numFmtId="0" fontId="4" fillId="0" borderId="19" xfId="2" applyFont="1" applyBorder="1" applyAlignment="1" applyProtection="1">
      <alignment horizontal="left" vertical="center" wrapText="1"/>
      <protection locked="0"/>
    </xf>
    <xf numFmtId="14" fontId="6" fillId="0" borderId="8" xfId="2" applyNumberFormat="1" applyFont="1" applyBorder="1" applyAlignment="1" applyProtection="1">
      <alignment horizontal="center" vertical="center" wrapText="1"/>
      <protection locked="0"/>
    </xf>
    <xf numFmtId="14" fontId="6" fillId="0" borderId="19" xfId="2" applyNumberFormat="1" applyFont="1" applyBorder="1" applyAlignment="1" applyProtection="1">
      <alignment horizontal="center" vertical="center" wrapText="1"/>
      <protection locked="0"/>
    </xf>
    <xf numFmtId="0" fontId="6" fillId="0" borderId="8" xfId="2" applyFont="1" applyBorder="1" applyAlignment="1" applyProtection="1">
      <alignment horizontal="center" vertical="center" wrapText="1"/>
      <protection locked="0"/>
    </xf>
    <xf numFmtId="0" fontId="6" fillId="0" borderId="19" xfId="2" applyFont="1" applyBorder="1" applyAlignment="1" applyProtection="1">
      <alignment horizontal="center" vertical="center" wrapText="1"/>
      <protection locked="0"/>
    </xf>
    <xf numFmtId="0" fontId="51" fillId="17" borderId="75" xfId="0" applyFont="1" applyFill="1" applyBorder="1" applyAlignment="1">
      <alignment horizontal="center" vertical="center" wrapText="1"/>
    </xf>
    <xf numFmtId="0" fontId="51" fillId="17" borderId="76" xfId="0" applyFont="1" applyFill="1" applyBorder="1" applyAlignment="1">
      <alignment horizontal="center" vertical="center" wrapText="1"/>
    </xf>
    <xf numFmtId="0" fontId="49" fillId="0" borderId="5" xfId="0" applyFont="1" applyBorder="1" applyAlignment="1">
      <alignment horizontal="center" vertical="center" wrapText="1"/>
    </xf>
    <xf numFmtId="0" fontId="49" fillId="0" borderId="7" xfId="0" applyFont="1" applyBorder="1" applyAlignment="1">
      <alignment horizontal="center" vertical="center" wrapText="1"/>
    </xf>
    <xf numFmtId="0" fontId="49" fillId="0" borderId="4" xfId="0" applyFont="1" applyBorder="1" applyAlignment="1">
      <alignment horizontal="center" vertical="center" wrapText="1"/>
    </xf>
    <xf numFmtId="0" fontId="24" fillId="0" borderId="1" xfId="0" applyFont="1" applyBorder="1" applyAlignment="1">
      <alignment horizontal="center" wrapText="1"/>
    </xf>
    <xf numFmtId="0" fontId="24" fillId="0" borderId="9" xfId="0" applyFont="1" applyBorder="1" applyAlignment="1">
      <alignment horizontal="center" wrapText="1"/>
    </xf>
    <xf numFmtId="0" fontId="22" fillId="0" borderId="0" xfId="0" applyFont="1" applyAlignment="1">
      <alignment horizontal="center" wrapText="1"/>
    </xf>
    <xf numFmtId="0" fontId="49" fillId="16" borderId="5" xfId="0" applyFont="1" applyFill="1" applyBorder="1" applyAlignment="1">
      <alignment horizontal="center" vertical="center" wrapText="1"/>
    </xf>
    <xf numFmtId="0" fontId="49" fillId="16" borderId="7" xfId="0" applyFont="1" applyFill="1" applyBorder="1" applyAlignment="1">
      <alignment horizontal="center" vertical="center" wrapText="1"/>
    </xf>
    <xf numFmtId="0" fontId="49" fillId="16" borderId="4" xfId="0" applyFont="1" applyFill="1" applyBorder="1" applyAlignment="1">
      <alignment horizontal="center" vertical="center" wrapText="1"/>
    </xf>
    <xf numFmtId="0" fontId="20" fillId="0" borderId="30" xfId="0" applyFont="1" applyBorder="1" applyAlignment="1">
      <alignment horizontal="center" vertical="center" wrapText="1"/>
    </xf>
    <xf numFmtId="0" fontId="20" fillId="0" borderId="31" xfId="0" applyFont="1" applyBorder="1" applyAlignment="1">
      <alignment horizontal="center" vertical="center" wrapText="1"/>
    </xf>
    <xf numFmtId="0" fontId="20" fillId="0" borderId="32" xfId="0" applyFont="1" applyBorder="1" applyAlignment="1">
      <alignment horizontal="center" vertical="center" wrapText="1"/>
    </xf>
    <xf numFmtId="0" fontId="20" fillId="0" borderId="34" xfId="0" applyFont="1" applyBorder="1" applyAlignment="1">
      <alignment horizontal="center" vertical="center" wrapText="1"/>
    </xf>
    <xf numFmtId="0" fontId="20" fillId="0" borderId="6" xfId="0" applyFont="1" applyBorder="1" applyAlignment="1">
      <alignment horizontal="center" vertical="center" wrapText="1"/>
    </xf>
    <xf numFmtId="0" fontId="20" fillId="0" borderId="36" xfId="0" applyFont="1" applyBorder="1" applyAlignment="1">
      <alignment horizontal="center" vertical="center" wrapText="1"/>
    </xf>
    <xf numFmtId="0" fontId="20" fillId="0" borderId="25" xfId="0" applyFont="1" applyBorder="1" applyAlignment="1">
      <alignment horizontal="center" vertical="center" wrapText="1"/>
    </xf>
    <xf numFmtId="0" fontId="3" fillId="2" borderId="1" xfId="2" applyFont="1" applyFill="1" applyBorder="1" applyAlignment="1">
      <alignment horizontal="center"/>
    </xf>
    <xf numFmtId="0" fontId="7" fillId="0" borderId="1" xfId="2" applyFont="1" applyBorder="1" applyAlignment="1">
      <alignment horizontal="center" vertical="center"/>
    </xf>
    <xf numFmtId="164" fontId="6" fillId="4" borderId="1" xfId="2" applyNumberFormat="1" applyFont="1" applyFill="1" applyBorder="1" applyAlignment="1">
      <alignment horizontal="left" vertical="center" wrapText="1"/>
    </xf>
    <xf numFmtId="164" fontId="6" fillId="4" borderId="4" xfId="2" applyNumberFormat="1" applyFont="1" applyFill="1" applyBorder="1" applyAlignment="1">
      <alignment horizontal="left" vertical="center" wrapText="1"/>
    </xf>
    <xf numFmtId="0" fontId="13" fillId="0" borderId="21" xfId="0" applyFont="1" applyBorder="1" applyAlignment="1">
      <alignment horizontal="center" vertical="center" wrapText="1"/>
    </xf>
    <xf numFmtId="0" fontId="13" fillId="0" borderId="22" xfId="0" applyFont="1" applyBorder="1" applyAlignment="1">
      <alignment horizontal="center" vertical="center" wrapText="1"/>
    </xf>
    <xf numFmtId="0" fontId="13" fillId="0" borderId="23" xfId="0" applyFont="1" applyBorder="1" applyAlignment="1">
      <alignment horizontal="center" vertical="center" wrapText="1"/>
    </xf>
    <xf numFmtId="0" fontId="5" fillId="0" borderId="21" xfId="2" applyFont="1" applyBorder="1" applyAlignment="1">
      <alignment horizontal="center" vertical="center" wrapText="1"/>
    </xf>
    <xf numFmtId="0" fontId="5" fillId="0" borderId="22" xfId="2" applyFont="1" applyBorder="1" applyAlignment="1">
      <alignment horizontal="center" vertical="center" wrapText="1"/>
    </xf>
    <xf numFmtId="0" fontId="5" fillId="0" borderId="23" xfId="2" applyFont="1" applyBorder="1" applyAlignment="1">
      <alignment horizontal="center" vertical="center" wrapText="1"/>
    </xf>
    <xf numFmtId="164" fontId="6" fillId="4" borderId="8" xfId="2" applyNumberFormat="1" applyFont="1" applyFill="1" applyBorder="1" applyAlignment="1">
      <alignment horizontal="center" vertical="center" wrapText="1"/>
    </xf>
    <xf numFmtId="164" fontId="6" fillId="4" borderId="19" xfId="2" applyNumberFormat="1" applyFont="1" applyFill="1" applyBorder="1" applyAlignment="1">
      <alignment horizontal="center" vertical="center" wrapText="1"/>
    </xf>
    <xf numFmtId="0" fontId="13" fillId="0" borderId="8" xfId="0" applyFont="1" applyBorder="1" applyAlignment="1">
      <alignment horizontal="center" vertical="center" wrapText="1"/>
    </xf>
    <xf numFmtId="0" fontId="13" fillId="0" borderId="19" xfId="0" applyFont="1" applyBorder="1" applyAlignment="1">
      <alignment horizontal="center" vertical="center" wrapText="1"/>
    </xf>
    <xf numFmtId="0" fontId="13" fillId="0" borderId="6" xfId="2" applyFont="1" applyBorder="1" applyAlignment="1">
      <alignment horizontal="center" vertical="center" wrapText="1"/>
    </xf>
    <xf numFmtId="0" fontId="13" fillId="0" borderId="25" xfId="2" applyFont="1" applyBorder="1" applyAlignment="1">
      <alignment horizontal="center" vertical="center" wrapText="1"/>
    </xf>
    <xf numFmtId="0" fontId="2" fillId="2" borderId="1" xfId="2" applyFill="1" applyBorder="1" applyAlignment="1">
      <alignment horizontal="center"/>
    </xf>
    <xf numFmtId="0" fontId="13" fillId="0" borderId="1" xfId="2" applyFont="1" applyBorder="1" applyAlignment="1">
      <alignment horizontal="center" vertical="center" wrapText="1"/>
    </xf>
    <xf numFmtId="0" fontId="13" fillId="0" borderId="66" xfId="2" applyFont="1" applyBorder="1" applyAlignment="1">
      <alignment horizontal="center" vertical="center" textRotation="90" wrapText="1"/>
    </xf>
    <xf numFmtId="0" fontId="13" fillId="0" borderId="67" xfId="2" applyFont="1" applyBorder="1" applyAlignment="1">
      <alignment horizontal="center" vertical="center" textRotation="90" wrapText="1"/>
    </xf>
    <xf numFmtId="0" fontId="13" fillId="0" borderId="3" xfId="2" applyFont="1" applyBorder="1" applyAlignment="1">
      <alignment horizontal="center" vertical="center" textRotation="90" wrapText="1"/>
    </xf>
    <xf numFmtId="0" fontId="13" fillId="0" borderId="27" xfId="2" applyFont="1" applyBorder="1" applyAlignment="1">
      <alignment horizontal="center" vertical="center" textRotation="90" wrapText="1"/>
    </xf>
    <xf numFmtId="0" fontId="13" fillId="0" borderId="1" xfId="2" applyFont="1" applyBorder="1" applyAlignment="1">
      <alignment horizontal="center" vertical="center"/>
    </xf>
    <xf numFmtId="0" fontId="13" fillId="2" borderId="21" xfId="2" applyFont="1" applyFill="1" applyBorder="1" applyAlignment="1">
      <alignment horizontal="center"/>
    </xf>
    <xf numFmtId="0" fontId="13" fillId="2" borderId="22" xfId="2" applyFont="1" applyFill="1" applyBorder="1" applyAlignment="1">
      <alignment horizontal="center"/>
    </xf>
    <xf numFmtId="0" fontId="13" fillId="2" borderId="23" xfId="2" applyFont="1" applyFill="1" applyBorder="1" applyAlignment="1">
      <alignment horizontal="center"/>
    </xf>
    <xf numFmtId="0" fontId="6" fillId="4" borderId="8" xfId="2" applyFont="1" applyFill="1" applyBorder="1" applyAlignment="1">
      <alignment horizontal="left" vertical="center" wrapText="1"/>
    </xf>
    <xf numFmtId="0" fontId="6" fillId="4" borderId="10" xfId="2" applyFont="1" applyFill="1" applyBorder="1" applyAlignment="1">
      <alignment horizontal="left" vertical="center" wrapText="1"/>
    </xf>
    <xf numFmtId="0" fontId="6" fillId="4" borderId="19" xfId="2" applyFont="1" applyFill="1" applyBorder="1" applyAlignment="1">
      <alignment horizontal="left" vertical="center" wrapText="1"/>
    </xf>
    <xf numFmtId="0" fontId="6" fillId="4" borderId="1" xfId="2" applyFont="1" applyFill="1" applyBorder="1" applyAlignment="1">
      <alignment horizontal="left" vertical="center" wrapText="1"/>
    </xf>
    <xf numFmtId="0" fontId="6" fillId="4" borderId="4" xfId="2" applyFont="1" applyFill="1" applyBorder="1" applyAlignment="1">
      <alignment horizontal="left" vertical="center" wrapText="1"/>
    </xf>
    <xf numFmtId="0" fontId="5" fillId="0" borderId="1" xfId="2" applyFont="1" applyBorder="1" applyAlignment="1">
      <alignment horizontal="center" vertical="center" wrapText="1"/>
    </xf>
    <xf numFmtId="0" fontId="5" fillId="0" borderId="5" xfId="2" applyFont="1" applyBorder="1" applyAlignment="1">
      <alignment horizontal="center" vertical="center" wrapText="1"/>
    </xf>
    <xf numFmtId="9" fontId="22" fillId="0" borderId="6" xfId="0" applyNumberFormat="1" applyFont="1" applyBorder="1" applyAlignment="1">
      <alignment horizontal="center" vertical="center" wrapText="1"/>
    </xf>
    <xf numFmtId="9" fontId="22" fillId="0" borderId="1" xfId="0" applyNumberFormat="1" applyFont="1" applyBorder="1" applyAlignment="1">
      <alignment horizontal="center" vertical="center" wrapText="1"/>
    </xf>
    <xf numFmtId="9" fontId="22" fillId="0" borderId="28" xfId="0" applyNumberFormat="1" applyFont="1" applyBorder="1" applyAlignment="1">
      <alignment horizontal="center" vertical="center" wrapText="1"/>
    </xf>
    <xf numFmtId="9" fontId="22" fillId="0" borderId="36" xfId="0" applyNumberFormat="1" applyFont="1" applyBorder="1" applyAlignment="1">
      <alignment horizontal="center" vertical="center" wrapText="1"/>
    </xf>
    <xf numFmtId="9" fontId="22" fillId="0" borderId="8" xfId="0" applyNumberFormat="1" applyFont="1" applyBorder="1" applyAlignment="1">
      <alignment horizontal="center" vertical="center" wrapText="1"/>
    </xf>
    <xf numFmtId="9" fontId="22" fillId="0" borderId="37" xfId="0" applyNumberFormat="1" applyFont="1" applyBorder="1" applyAlignment="1">
      <alignment horizontal="center" vertical="center" wrapText="1"/>
    </xf>
    <xf numFmtId="9" fontId="46" fillId="0" borderId="5" xfId="2" applyNumberFormat="1" applyFont="1" applyBorder="1" applyAlignment="1">
      <alignment horizontal="center" vertical="center" wrapText="1"/>
    </xf>
    <xf numFmtId="9" fontId="46" fillId="0" borderId="7" xfId="2" applyNumberFormat="1" applyFont="1" applyBorder="1" applyAlignment="1">
      <alignment horizontal="center" vertical="center" wrapText="1"/>
    </xf>
    <xf numFmtId="9" fontId="46" fillId="0" borderId="4" xfId="2" applyNumberFormat="1" applyFont="1" applyBorder="1" applyAlignment="1">
      <alignment horizontal="center" vertical="center" wrapText="1"/>
    </xf>
    <xf numFmtId="0" fontId="7" fillId="0" borderId="5" xfId="2" applyFont="1" applyBorder="1" applyAlignment="1">
      <alignment horizontal="center" vertical="center"/>
    </xf>
    <xf numFmtId="0" fontId="7" fillId="0" borderId="4" xfId="2" applyFont="1" applyBorder="1" applyAlignment="1">
      <alignment horizontal="center" vertical="center"/>
    </xf>
    <xf numFmtId="0" fontId="5" fillId="0" borderId="19" xfId="2" applyFont="1" applyBorder="1" applyAlignment="1">
      <alignment horizontal="center" vertical="center" wrapText="1"/>
    </xf>
    <xf numFmtId="0" fontId="5" fillId="0" borderId="20" xfId="2" applyFont="1" applyBorder="1" applyAlignment="1">
      <alignment horizontal="center" vertical="center" wrapText="1"/>
    </xf>
    <xf numFmtId="9" fontId="5" fillId="0" borderId="8" xfId="2" applyNumberFormat="1" applyFont="1" applyBorder="1" applyAlignment="1">
      <alignment horizontal="center" vertical="center" wrapText="1"/>
    </xf>
    <xf numFmtId="9" fontId="5" fillId="0" borderId="10" xfId="2" applyNumberFormat="1" applyFont="1" applyBorder="1" applyAlignment="1">
      <alignment horizontal="center" vertical="center" wrapText="1"/>
    </xf>
    <xf numFmtId="9" fontId="5" fillId="0" borderId="19" xfId="2" applyNumberFormat="1" applyFont="1" applyBorder="1" applyAlignment="1">
      <alignment horizontal="center" vertical="center" wrapText="1"/>
    </xf>
    <xf numFmtId="0" fontId="5" fillId="0" borderId="8" xfId="2" applyFont="1" applyBorder="1" applyAlignment="1">
      <alignment horizontal="center" vertical="center" wrapText="1"/>
    </xf>
    <xf numFmtId="0" fontId="5" fillId="0" borderId="10" xfId="2" applyFont="1" applyBorder="1" applyAlignment="1">
      <alignment horizontal="center" vertical="center" wrapText="1"/>
    </xf>
    <xf numFmtId="9" fontId="5" fillId="0" borderId="11" xfId="2" applyNumberFormat="1" applyFont="1" applyBorder="1" applyAlignment="1">
      <alignment horizontal="center" vertical="center" wrapText="1"/>
    </xf>
    <xf numFmtId="9" fontId="5" fillId="0" borderId="9" xfId="2" applyNumberFormat="1" applyFont="1" applyBorder="1" applyAlignment="1">
      <alignment horizontal="center" vertical="center" wrapText="1"/>
    </xf>
    <xf numFmtId="9" fontId="5" fillId="0" borderId="65" xfId="2" applyNumberFormat="1" applyFont="1" applyBorder="1" applyAlignment="1">
      <alignment horizontal="center" vertical="center" wrapText="1"/>
    </xf>
    <xf numFmtId="0" fontId="32" fillId="0" borderId="73" xfId="2" applyFont="1" applyBorder="1" applyAlignment="1">
      <alignment horizontal="center" vertical="center" wrapText="1"/>
    </xf>
    <xf numFmtId="0" fontId="32" fillId="0" borderId="0" xfId="2" applyFont="1" applyAlignment="1">
      <alignment horizontal="center" vertical="center" wrapText="1"/>
    </xf>
    <xf numFmtId="0" fontId="32" fillId="0" borderId="74" xfId="2" applyFont="1" applyBorder="1" applyAlignment="1">
      <alignment horizontal="center" vertical="center" wrapText="1"/>
    </xf>
    <xf numFmtId="0" fontId="6" fillId="0" borderId="34" xfId="2" applyFont="1" applyBorder="1" applyAlignment="1">
      <alignment horizontal="center" vertical="center" wrapText="1"/>
    </xf>
    <xf numFmtId="0" fontId="6" fillId="0" borderId="24" xfId="2" applyFont="1" applyBorder="1" applyAlignment="1">
      <alignment horizontal="center" vertical="center" wrapText="1"/>
    </xf>
    <xf numFmtId="0" fontId="6" fillId="0" borderId="3" xfId="2" applyFont="1" applyBorder="1" applyAlignment="1">
      <alignment horizontal="center" vertical="center" wrapText="1"/>
    </xf>
    <xf numFmtId="0" fontId="6" fillId="0" borderId="27" xfId="2" applyFont="1" applyBorder="1" applyAlignment="1">
      <alignment horizontal="center" vertical="center" wrapText="1"/>
    </xf>
    <xf numFmtId="0" fontId="6" fillId="0" borderId="6" xfId="2" applyFont="1" applyBorder="1" applyAlignment="1">
      <alignment horizontal="left" vertical="center" wrapText="1"/>
    </xf>
    <xf numFmtId="0" fontId="6" fillId="0" borderId="4" xfId="2" applyFont="1" applyBorder="1" applyAlignment="1">
      <alignment horizontal="left" vertical="center" wrapText="1"/>
    </xf>
    <xf numFmtId="0" fontId="6" fillId="0" borderId="1" xfId="2" applyFont="1" applyBorder="1" applyAlignment="1">
      <alignment horizontal="left" vertical="center" wrapText="1"/>
    </xf>
    <xf numFmtId="0" fontId="6" fillId="0" borderId="28" xfId="2" applyFont="1" applyBorder="1" applyAlignment="1">
      <alignment horizontal="left" vertical="center" wrapText="1"/>
    </xf>
    <xf numFmtId="9" fontId="22" fillId="0" borderId="4" xfId="0" applyNumberFormat="1" applyFont="1" applyBorder="1" applyAlignment="1">
      <alignment horizontal="center" vertical="center" wrapText="1"/>
    </xf>
    <xf numFmtId="9" fontId="22" fillId="0" borderId="11" xfId="0" applyNumberFormat="1" applyFont="1" applyBorder="1" applyAlignment="1">
      <alignment horizontal="center" vertical="center" wrapText="1"/>
    </xf>
    <xf numFmtId="0" fontId="6" fillId="0" borderId="6" xfId="2" applyFont="1" applyBorder="1" applyAlignment="1">
      <alignment horizontal="justify" vertical="center" wrapText="1"/>
    </xf>
    <xf numFmtId="0" fontId="6" fillId="0" borderId="1" xfId="2" applyFont="1" applyBorder="1" applyAlignment="1">
      <alignment horizontal="justify" vertical="center" wrapText="1"/>
    </xf>
    <xf numFmtId="0" fontId="6" fillId="0" borderId="28" xfId="2" applyFont="1" applyBorder="1" applyAlignment="1">
      <alignment horizontal="justify" vertical="center" wrapText="1"/>
    </xf>
    <xf numFmtId="0" fontId="6" fillId="0" borderId="77" xfId="2" applyFont="1" applyBorder="1" applyAlignment="1">
      <alignment horizontal="center" vertical="center" wrapText="1"/>
    </xf>
    <xf numFmtId="0" fontId="6" fillId="0" borderId="5" xfId="2" applyFont="1" applyBorder="1" applyAlignment="1">
      <alignment horizontal="left" vertical="center" wrapText="1"/>
    </xf>
    <xf numFmtId="9" fontId="22" fillId="0" borderId="7" xfId="0" applyNumberFormat="1" applyFont="1" applyBorder="1" applyAlignment="1">
      <alignment horizontal="center" vertical="center" wrapText="1"/>
    </xf>
    <xf numFmtId="9" fontId="22" fillId="0" borderId="79" xfId="0" applyNumberFormat="1" applyFont="1" applyBorder="1" applyAlignment="1">
      <alignment horizontal="center" vertical="center" wrapText="1"/>
    </xf>
    <xf numFmtId="9" fontId="22" fillId="0" borderId="72" xfId="0" applyNumberFormat="1" applyFont="1" applyBorder="1" applyAlignment="1">
      <alignment horizontal="center" vertical="center" wrapText="1"/>
    </xf>
    <xf numFmtId="9" fontId="24" fillId="0" borderId="6" xfId="0" applyNumberFormat="1" applyFont="1" applyBorder="1" applyAlignment="1">
      <alignment horizontal="center" vertical="center" wrapText="1"/>
    </xf>
    <xf numFmtId="9" fontId="24" fillId="0" borderId="1" xfId="0" applyNumberFormat="1" applyFont="1" applyBorder="1" applyAlignment="1">
      <alignment horizontal="center" vertical="center" wrapText="1"/>
    </xf>
    <xf numFmtId="9" fontId="24" fillId="0" borderId="28" xfId="0" applyNumberFormat="1" applyFont="1" applyBorder="1" applyAlignment="1">
      <alignment horizontal="center" vertical="center" wrapText="1"/>
    </xf>
    <xf numFmtId="9" fontId="24" fillId="0" borderId="25" xfId="0" applyNumberFormat="1" applyFont="1" applyBorder="1" applyAlignment="1">
      <alignment horizontal="center" vertical="center" wrapText="1"/>
    </xf>
    <xf numFmtId="9" fontId="24" fillId="0" borderId="26" xfId="0" applyNumberFormat="1" applyFont="1" applyBorder="1" applyAlignment="1">
      <alignment horizontal="center" vertical="center" wrapText="1"/>
    </xf>
    <xf numFmtId="9" fontId="24" fillId="0" borderId="29" xfId="0" applyNumberFormat="1" applyFont="1" applyBorder="1" applyAlignment="1">
      <alignment horizontal="center" vertical="center" wrapText="1"/>
    </xf>
    <xf numFmtId="9" fontId="24" fillId="0" borderId="4" xfId="0" applyNumberFormat="1" applyFont="1" applyBorder="1" applyAlignment="1">
      <alignment horizontal="center" vertical="center" wrapText="1"/>
    </xf>
    <xf numFmtId="9" fontId="24" fillId="0" borderId="33" xfId="0" applyNumberFormat="1" applyFont="1" applyBorder="1" applyAlignment="1">
      <alignment horizontal="center" vertical="center" wrapText="1"/>
    </xf>
    <xf numFmtId="0" fontId="13" fillId="0" borderId="8" xfId="2" applyFont="1" applyBorder="1" applyAlignment="1">
      <alignment horizontal="center" vertical="center" textRotation="90" wrapText="1"/>
    </xf>
    <xf numFmtId="0" fontId="13" fillId="2" borderId="18" xfId="2" applyFont="1" applyFill="1" applyBorder="1" applyAlignment="1">
      <alignment horizontal="center"/>
    </xf>
    <xf numFmtId="0" fontId="13" fillId="2" borderId="17" xfId="2" applyFont="1" applyFill="1" applyBorder="1" applyAlignment="1">
      <alignment horizontal="center"/>
    </xf>
    <xf numFmtId="0" fontId="13" fillId="2" borderId="16" xfId="2" applyFont="1" applyFill="1" applyBorder="1" applyAlignment="1">
      <alignment horizontal="center"/>
    </xf>
    <xf numFmtId="0" fontId="13" fillId="0" borderId="39" xfId="2" applyFont="1" applyBorder="1" applyAlignment="1">
      <alignment horizontal="center" vertical="center" textRotation="90" wrapText="1"/>
    </xf>
    <xf numFmtId="0" fontId="13" fillId="0" borderId="40" xfId="2" applyFont="1" applyBorder="1" applyAlignment="1">
      <alignment horizontal="center" vertical="center" textRotation="90" wrapText="1"/>
    </xf>
    <xf numFmtId="0" fontId="13" fillId="0" borderId="33" xfId="2" applyFont="1" applyBorder="1" applyAlignment="1">
      <alignment horizontal="center" vertical="center" textRotation="90" wrapText="1"/>
    </xf>
    <xf numFmtId="0" fontId="13" fillId="0" borderId="36" xfId="2" applyFont="1" applyBorder="1" applyAlignment="1">
      <alignment horizontal="center" vertical="center" wrapText="1"/>
    </xf>
    <xf numFmtId="0" fontId="13" fillId="0" borderId="31" xfId="2" applyFont="1" applyBorder="1" applyAlignment="1">
      <alignment horizontal="center" vertical="center" wrapText="1"/>
    </xf>
    <xf numFmtId="0" fontId="13" fillId="0" borderId="32" xfId="2" applyFont="1" applyBorder="1" applyAlignment="1">
      <alignment horizontal="center" vertical="center" wrapText="1"/>
    </xf>
    <xf numFmtId="0" fontId="17" fillId="4" borderId="21" xfId="0" applyFont="1" applyFill="1" applyBorder="1" applyAlignment="1">
      <alignment horizontal="center" vertical="center"/>
    </xf>
    <xf numFmtId="0" fontId="17" fillId="4" borderId="22" xfId="0" applyFont="1" applyFill="1" applyBorder="1" applyAlignment="1">
      <alignment horizontal="center" vertical="center"/>
    </xf>
    <xf numFmtId="0" fontId="17" fillId="4" borderId="23" xfId="0" applyFont="1" applyFill="1" applyBorder="1" applyAlignment="1">
      <alignment horizontal="center" vertical="center"/>
    </xf>
    <xf numFmtId="0" fontId="0" fillId="4" borderId="18" xfId="0" applyFill="1" applyBorder="1" applyAlignment="1">
      <alignment vertical="top" wrapText="1"/>
    </xf>
    <xf numFmtId="0" fontId="0" fillId="4" borderId="17" xfId="0" applyFill="1" applyBorder="1" applyAlignment="1">
      <alignment vertical="top" wrapText="1"/>
    </xf>
    <xf numFmtId="0" fontId="0" fillId="4" borderId="16" xfId="0" applyFill="1" applyBorder="1" applyAlignment="1">
      <alignment vertical="top" wrapText="1"/>
    </xf>
    <xf numFmtId="0" fontId="0" fillId="4" borderId="15" xfId="0" applyFill="1" applyBorder="1" applyAlignment="1">
      <alignment horizontal="left" vertical="top" wrapText="1"/>
    </xf>
    <xf numFmtId="0" fontId="0" fillId="4" borderId="0" xfId="0" applyFill="1" applyAlignment="1">
      <alignment horizontal="left" vertical="top" wrapText="1"/>
    </xf>
    <xf numFmtId="0" fontId="0" fillId="4" borderId="2" xfId="0" applyFill="1" applyBorder="1" applyAlignment="1">
      <alignment horizontal="left" vertical="top" wrapText="1"/>
    </xf>
    <xf numFmtId="0" fontId="0" fillId="4" borderId="15" xfId="0" applyFill="1" applyBorder="1" applyAlignment="1">
      <alignment horizontal="left" vertical="top"/>
    </xf>
    <xf numFmtId="0" fontId="0" fillId="4" borderId="0" xfId="0" applyFill="1" applyAlignment="1">
      <alignment horizontal="left" vertical="top"/>
    </xf>
    <xf numFmtId="0" fontId="0" fillId="4" borderId="2" xfId="0" applyFill="1" applyBorder="1" applyAlignment="1">
      <alignment horizontal="left" vertical="top"/>
    </xf>
    <xf numFmtId="0" fontId="8" fillId="0" borderId="8" xfId="0" applyFont="1" applyBorder="1" applyAlignment="1">
      <alignment horizontal="center"/>
    </xf>
    <xf numFmtId="0" fontId="8" fillId="0" borderId="19" xfId="0" applyFont="1" applyBorder="1" applyAlignment="1">
      <alignment horizontal="center"/>
    </xf>
    <xf numFmtId="0" fontId="8" fillId="0" borderId="1" xfId="0" applyFont="1" applyBorder="1" applyAlignment="1">
      <alignment horizontal="center"/>
    </xf>
    <xf numFmtId="0" fontId="0" fillId="4" borderId="14" xfId="0" applyFill="1" applyBorder="1" applyAlignment="1">
      <alignment horizontal="left" vertical="top" wrapText="1"/>
    </xf>
    <xf numFmtId="0" fontId="0" fillId="4" borderId="13" xfId="0" applyFill="1" applyBorder="1" applyAlignment="1">
      <alignment horizontal="left" vertical="top" wrapText="1"/>
    </xf>
    <xf numFmtId="0" fontId="0" fillId="4" borderId="12" xfId="0" applyFill="1" applyBorder="1" applyAlignment="1">
      <alignment horizontal="left" vertical="top" wrapText="1"/>
    </xf>
    <xf numFmtId="14" fontId="3" fillId="2" borderId="1" xfId="2" applyNumberFormat="1" applyFont="1" applyFill="1" applyBorder="1" applyAlignment="1" applyProtection="1">
      <alignment horizontal="right"/>
      <protection locked="0"/>
    </xf>
    <xf numFmtId="0" fontId="14" fillId="0" borderId="1" xfId="0" applyFont="1" applyBorder="1" applyAlignment="1" applyProtection="1">
      <alignment horizontal="left" wrapText="1"/>
      <protection locked="0"/>
    </xf>
    <xf numFmtId="0" fontId="8" fillId="5" borderId="1" xfId="0" applyFont="1" applyFill="1" applyBorder="1" applyAlignment="1">
      <alignment horizontal="center" vertical="center"/>
    </xf>
    <xf numFmtId="0" fontId="14" fillId="0" borderId="1" xfId="0" applyFont="1" applyBorder="1" applyAlignment="1" applyProtection="1">
      <alignment horizontal="left" vertical="center" wrapText="1"/>
      <protection locked="0"/>
    </xf>
    <xf numFmtId="0" fontId="14" fillId="0" borderId="1" xfId="0" applyFont="1" applyBorder="1" applyAlignment="1" applyProtection="1">
      <alignment horizontal="center" wrapText="1"/>
      <protection locked="0"/>
    </xf>
    <xf numFmtId="9" fontId="22" fillId="18" borderId="4" xfId="0" applyNumberFormat="1" applyFont="1" applyFill="1" applyBorder="1" applyAlignment="1">
      <alignment horizontal="center" vertical="center" wrapText="1"/>
    </xf>
  </cellXfs>
  <cellStyles count="7">
    <cellStyle name="Nor}al" xfId="1"/>
    <cellStyle name="Normal" xfId="0" builtinId="0"/>
    <cellStyle name="Normal - Style1 2" xfId="4"/>
    <cellStyle name="Normal 2" xfId="2"/>
    <cellStyle name="Normal 2 2" xfId="5"/>
    <cellStyle name="Normal 3" xfId="3"/>
    <cellStyle name="Porcentaje" xfId="6" builtinId="5"/>
  </cellStyles>
  <dxfs count="281">
    <dxf>
      <fill>
        <patternFill>
          <bgColor rgb="FFFF0000"/>
        </patternFill>
      </fill>
    </dxf>
    <dxf>
      <fill>
        <patternFill>
          <bgColor rgb="FFFFC000"/>
        </patternFill>
      </fill>
    </dxf>
    <dxf>
      <fill>
        <patternFill>
          <bgColor rgb="FFFFFF00"/>
        </patternFill>
      </fill>
    </dxf>
    <dxf>
      <fill>
        <patternFill>
          <bgColor rgb="FF92D050"/>
        </patternFill>
      </fill>
    </dxf>
    <dxf>
      <fill>
        <patternFill>
          <bgColor rgb="FF92D050"/>
        </patternFill>
      </fill>
    </dxf>
    <dxf>
      <fill>
        <patternFill>
          <bgColor rgb="FFFFFF00"/>
        </patternFill>
      </fill>
    </dxf>
    <dxf>
      <fill>
        <patternFill>
          <bgColor rgb="FFFFC000"/>
        </patternFill>
      </fill>
    </dxf>
    <dxf>
      <fill>
        <patternFill>
          <bgColor rgb="FFFF0000"/>
        </patternFill>
      </fill>
    </dxf>
    <dxf>
      <fill>
        <patternFill>
          <bgColor rgb="FFFF0000"/>
        </patternFill>
      </fill>
    </dxf>
    <dxf>
      <fill>
        <patternFill>
          <bgColor rgb="FFFFC000"/>
        </patternFill>
      </fill>
    </dxf>
    <dxf>
      <fill>
        <patternFill>
          <bgColor rgb="FFFFFF00"/>
        </patternFill>
      </fill>
    </dxf>
    <dxf>
      <fill>
        <patternFill>
          <bgColor rgb="FF00B050"/>
        </patternFill>
      </fill>
    </dxf>
    <dxf>
      <fill>
        <patternFill>
          <bgColor rgb="FF92D050"/>
        </patternFill>
      </fill>
    </dxf>
    <dxf>
      <fill>
        <patternFill>
          <bgColor rgb="FFFF0000"/>
        </patternFill>
      </fill>
    </dxf>
    <dxf>
      <fill>
        <patternFill>
          <bgColor rgb="FFFFC000"/>
        </patternFill>
      </fill>
    </dxf>
    <dxf>
      <fill>
        <patternFill>
          <bgColor rgb="FFFFFF00"/>
        </patternFill>
      </fill>
    </dxf>
    <dxf>
      <fill>
        <patternFill>
          <bgColor rgb="FF00B050"/>
        </patternFill>
      </fill>
    </dxf>
    <dxf>
      <fill>
        <patternFill>
          <bgColor rgb="FF92D050"/>
        </patternFill>
      </fill>
    </dxf>
    <dxf>
      <fill>
        <patternFill>
          <bgColor rgb="FF92D050"/>
        </patternFill>
      </fill>
    </dxf>
    <dxf>
      <fill>
        <patternFill>
          <bgColor rgb="FFFFFF00"/>
        </patternFill>
      </fill>
    </dxf>
    <dxf>
      <fill>
        <patternFill>
          <bgColor rgb="FFFFC000"/>
        </patternFill>
      </fill>
    </dxf>
    <dxf>
      <fill>
        <patternFill>
          <bgColor rgb="FFFF0000"/>
        </patternFill>
      </fill>
    </dxf>
    <dxf>
      <fill>
        <patternFill>
          <bgColor rgb="FFFF0000"/>
        </patternFill>
      </fill>
    </dxf>
    <dxf>
      <fill>
        <patternFill>
          <bgColor rgb="FFFFC000"/>
        </patternFill>
      </fill>
    </dxf>
    <dxf>
      <fill>
        <patternFill>
          <bgColor rgb="FFFFFF00"/>
        </patternFill>
      </fill>
    </dxf>
    <dxf>
      <fill>
        <patternFill>
          <bgColor rgb="FF00B050"/>
        </patternFill>
      </fill>
    </dxf>
    <dxf>
      <fill>
        <patternFill>
          <bgColor rgb="FF92D050"/>
        </patternFill>
      </fill>
    </dxf>
    <dxf>
      <fill>
        <patternFill>
          <bgColor rgb="FFFF0000"/>
        </patternFill>
      </fill>
    </dxf>
    <dxf>
      <fill>
        <patternFill>
          <bgColor rgb="FFFFC000"/>
        </patternFill>
      </fill>
    </dxf>
    <dxf>
      <fill>
        <patternFill>
          <bgColor rgb="FFFFFF00"/>
        </patternFill>
      </fill>
    </dxf>
    <dxf>
      <fill>
        <patternFill>
          <bgColor rgb="FF00B050"/>
        </patternFill>
      </fill>
    </dxf>
    <dxf>
      <fill>
        <patternFill>
          <bgColor rgb="FF92D050"/>
        </patternFill>
      </fill>
    </dxf>
    <dxf>
      <fill>
        <patternFill>
          <bgColor rgb="FF92D050"/>
        </patternFill>
      </fill>
    </dxf>
    <dxf>
      <fill>
        <patternFill>
          <bgColor rgb="FFFFFF00"/>
        </patternFill>
      </fill>
    </dxf>
    <dxf>
      <fill>
        <patternFill>
          <bgColor rgb="FFFFC000"/>
        </patternFill>
      </fill>
    </dxf>
    <dxf>
      <fill>
        <patternFill>
          <bgColor rgb="FFFF0000"/>
        </patternFill>
      </fill>
    </dxf>
    <dxf>
      <fill>
        <patternFill>
          <bgColor rgb="FFFF0000"/>
        </patternFill>
      </fill>
    </dxf>
    <dxf>
      <fill>
        <patternFill>
          <bgColor rgb="FFFFC000"/>
        </patternFill>
      </fill>
    </dxf>
    <dxf>
      <fill>
        <patternFill>
          <bgColor rgb="FFFFFF00"/>
        </patternFill>
      </fill>
    </dxf>
    <dxf>
      <fill>
        <patternFill>
          <bgColor rgb="FF00B050"/>
        </patternFill>
      </fill>
    </dxf>
    <dxf>
      <fill>
        <patternFill>
          <bgColor rgb="FF92D050"/>
        </patternFill>
      </fill>
    </dxf>
    <dxf>
      <fill>
        <patternFill>
          <bgColor rgb="FFFF0000"/>
        </patternFill>
      </fill>
    </dxf>
    <dxf>
      <fill>
        <patternFill>
          <bgColor rgb="FFFFC000"/>
        </patternFill>
      </fill>
    </dxf>
    <dxf>
      <fill>
        <patternFill>
          <bgColor rgb="FFFFFF00"/>
        </patternFill>
      </fill>
    </dxf>
    <dxf>
      <fill>
        <patternFill>
          <bgColor rgb="FF00B050"/>
        </patternFill>
      </fill>
    </dxf>
    <dxf>
      <fill>
        <patternFill>
          <bgColor rgb="FF92D050"/>
        </patternFill>
      </fill>
    </dxf>
    <dxf>
      <fill>
        <patternFill>
          <bgColor rgb="FF92D050"/>
        </patternFill>
      </fill>
    </dxf>
    <dxf>
      <fill>
        <patternFill>
          <bgColor rgb="FFFFFF00"/>
        </patternFill>
      </fill>
    </dxf>
    <dxf>
      <fill>
        <patternFill>
          <bgColor rgb="FFFFC000"/>
        </patternFill>
      </fill>
    </dxf>
    <dxf>
      <fill>
        <patternFill>
          <bgColor rgb="FFFF0000"/>
        </patternFill>
      </fill>
    </dxf>
    <dxf>
      <fill>
        <patternFill>
          <bgColor rgb="FFFF0000"/>
        </patternFill>
      </fill>
    </dxf>
    <dxf>
      <fill>
        <patternFill>
          <bgColor rgb="FFFFC000"/>
        </patternFill>
      </fill>
    </dxf>
    <dxf>
      <fill>
        <patternFill>
          <bgColor rgb="FFFFFF00"/>
        </patternFill>
      </fill>
    </dxf>
    <dxf>
      <fill>
        <patternFill>
          <bgColor rgb="FF00B050"/>
        </patternFill>
      </fill>
    </dxf>
    <dxf>
      <fill>
        <patternFill>
          <bgColor rgb="FF92D050"/>
        </patternFill>
      </fill>
    </dxf>
    <dxf>
      <fill>
        <patternFill>
          <bgColor rgb="FFFF0000"/>
        </patternFill>
      </fill>
    </dxf>
    <dxf>
      <fill>
        <patternFill>
          <bgColor rgb="FFFFC000"/>
        </patternFill>
      </fill>
    </dxf>
    <dxf>
      <fill>
        <patternFill>
          <bgColor rgb="FFFFFF00"/>
        </patternFill>
      </fill>
    </dxf>
    <dxf>
      <fill>
        <patternFill>
          <bgColor rgb="FF00B050"/>
        </patternFill>
      </fill>
    </dxf>
    <dxf>
      <fill>
        <patternFill>
          <bgColor rgb="FF92D050"/>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bgColor rgb="FFFF0000"/>
        </patternFill>
      </fill>
    </dxf>
    <dxf>
      <fill>
        <patternFill>
          <bgColor rgb="FFFFC000"/>
        </patternFill>
      </fill>
    </dxf>
    <dxf>
      <fill>
        <patternFill>
          <bgColor rgb="FFFFFF00"/>
        </patternFill>
      </fill>
    </dxf>
    <dxf>
      <fill>
        <patternFill>
          <bgColor rgb="FF00B050"/>
        </patternFill>
      </fill>
    </dxf>
    <dxf>
      <fill>
        <patternFill>
          <bgColor rgb="FF92D050"/>
        </patternFill>
      </fill>
    </dxf>
    <dxf>
      <fill>
        <patternFill>
          <bgColor rgb="FF92D050"/>
        </patternFill>
      </fill>
    </dxf>
    <dxf>
      <fill>
        <patternFill>
          <bgColor rgb="FFFFFF00"/>
        </patternFill>
      </fill>
    </dxf>
    <dxf>
      <fill>
        <patternFill>
          <bgColor rgb="FFFFC000"/>
        </patternFill>
      </fill>
    </dxf>
    <dxf>
      <fill>
        <patternFill>
          <bgColor rgb="FFFF0000"/>
        </patternFill>
      </fill>
    </dxf>
    <dxf>
      <fill>
        <patternFill>
          <bgColor rgb="FFFF0000"/>
        </patternFill>
      </fill>
    </dxf>
    <dxf>
      <fill>
        <patternFill>
          <bgColor rgb="FFFFC000"/>
        </patternFill>
      </fill>
    </dxf>
    <dxf>
      <fill>
        <patternFill>
          <bgColor rgb="FFFFFF00"/>
        </patternFill>
      </fill>
    </dxf>
    <dxf>
      <fill>
        <patternFill>
          <bgColor rgb="FF00B050"/>
        </patternFill>
      </fill>
    </dxf>
    <dxf>
      <fill>
        <patternFill>
          <bgColor rgb="FF92D050"/>
        </patternFill>
      </fill>
    </dxf>
    <dxf>
      <fill>
        <patternFill>
          <bgColor rgb="FFFF0000"/>
        </patternFill>
      </fill>
    </dxf>
    <dxf>
      <fill>
        <patternFill>
          <bgColor rgb="FFFFC000"/>
        </patternFill>
      </fill>
    </dxf>
    <dxf>
      <fill>
        <patternFill>
          <bgColor rgb="FFFFFF00"/>
        </patternFill>
      </fill>
    </dxf>
    <dxf>
      <fill>
        <patternFill>
          <bgColor rgb="FF00B050"/>
        </patternFill>
      </fill>
    </dxf>
    <dxf>
      <fill>
        <patternFill>
          <bgColor rgb="FF92D050"/>
        </patternFill>
      </fill>
    </dxf>
    <dxf>
      <fill>
        <patternFill>
          <bgColor rgb="FFFF0000"/>
        </patternFill>
      </fill>
    </dxf>
    <dxf>
      <fill>
        <patternFill>
          <bgColor rgb="FFFFC000"/>
        </patternFill>
      </fill>
    </dxf>
    <dxf>
      <fill>
        <patternFill>
          <bgColor rgb="FFFFFF00"/>
        </patternFill>
      </fill>
    </dxf>
    <dxf>
      <fill>
        <patternFill>
          <bgColor rgb="FF00B050"/>
        </patternFill>
      </fill>
    </dxf>
    <dxf>
      <fill>
        <patternFill>
          <bgColor rgb="FF92D050"/>
        </patternFill>
      </fill>
    </dxf>
    <dxf>
      <fill>
        <patternFill>
          <bgColor rgb="FFFF0000"/>
        </patternFill>
      </fill>
    </dxf>
    <dxf>
      <fill>
        <patternFill>
          <bgColor rgb="FFFFC000"/>
        </patternFill>
      </fill>
    </dxf>
    <dxf>
      <fill>
        <patternFill>
          <bgColor rgb="FFFFFF00"/>
        </patternFill>
      </fill>
    </dxf>
    <dxf>
      <fill>
        <patternFill>
          <bgColor rgb="FF00B050"/>
        </patternFill>
      </fill>
    </dxf>
    <dxf>
      <fill>
        <patternFill>
          <bgColor rgb="FF92D050"/>
        </patternFill>
      </fill>
    </dxf>
    <dxf>
      <fill>
        <patternFill>
          <bgColor rgb="FFFF0000"/>
        </patternFill>
      </fill>
    </dxf>
    <dxf>
      <fill>
        <patternFill>
          <bgColor rgb="FFFFC000"/>
        </patternFill>
      </fill>
    </dxf>
    <dxf>
      <fill>
        <patternFill>
          <bgColor rgb="FFFFFF00"/>
        </patternFill>
      </fill>
    </dxf>
    <dxf>
      <fill>
        <patternFill>
          <bgColor rgb="FF00B050"/>
        </patternFill>
      </fill>
    </dxf>
    <dxf>
      <fill>
        <patternFill>
          <bgColor rgb="FF92D050"/>
        </patternFill>
      </fill>
    </dxf>
    <dxf>
      <fill>
        <patternFill>
          <bgColor rgb="FFFF0000"/>
        </patternFill>
      </fill>
    </dxf>
    <dxf>
      <fill>
        <patternFill>
          <bgColor rgb="FFFFC000"/>
        </patternFill>
      </fill>
    </dxf>
    <dxf>
      <fill>
        <patternFill>
          <bgColor rgb="FFFFFF00"/>
        </patternFill>
      </fill>
    </dxf>
    <dxf>
      <fill>
        <patternFill>
          <bgColor rgb="FF00B050"/>
        </patternFill>
      </fill>
    </dxf>
    <dxf>
      <fill>
        <patternFill>
          <bgColor rgb="FF92D050"/>
        </patternFill>
      </fill>
    </dxf>
    <dxf>
      <fill>
        <patternFill>
          <bgColor rgb="FFFF0000"/>
        </patternFill>
      </fill>
    </dxf>
    <dxf>
      <fill>
        <patternFill>
          <bgColor rgb="FFFFC000"/>
        </patternFill>
      </fill>
    </dxf>
    <dxf>
      <fill>
        <patternFill>
          <bgColor rgb="FFFFFF00"/>
        </patternFill>
      </fill>
    </dxf>
    <dxf>
      <fill>
        <patternFill>
          <bgColor rgb="FF00B050"/>
        </patternFill>
      </fill>
    </dxf>
    <dxf>
      <fill>
        <patternFill>
          <bgColor rgb="FF92D050"/>
        </patternFill>
      </fill>
    </dxf>
    <dxf>
      <fill>
        <patternFill>
          <bgColor rgb="FFFF0000"/>
        </patternFill>
      </fill>
    </dxf>
    <dxf>
      <fill>
        <patternFill>
          <bgColor rgb="FFFFC000"/>
        </patternFill>
      </fill>
    </dxf>
    <dxf>
      <fill>
        <patternFill>
          <bgColor rgb="FFFFFF00"/>
        </patternFill>
      </fill>
    </dxf>
    <dxf>
      <fill>
        <patternFill>
          <bgColor rgb="FF00B050"/>
        </patternFill>
      </fill>
    </dxf>
    <dxf>
      <fill>
        <patternFill>
          <bgColor rgb="FF92D050"/>
        </patternFill>
      </fill>
    </dxf>
    <dxf>
      <fill>
        <patternFill>
          <bgColor rgb="FFFF0000"/>
        </patternFill>
      </fill>
    </dxf>
    <dxf>
      <fill>
        <patternFill>
          <bgColor rgb="FFFFC000"/>
        </patternFill>
      </fill>
    </dxf>
    <dxf>
      <fill>
        <patternFill>
          <bgColor rgb="FFFFFF00"/>
        </patternFill>
      </fill>
    </dxf>
    <dxf>
      <fill>
        <patternFill>
          <bgColor rgb="FF00B050"/>
        </patternFill>
      </fill>
    </dxf>
    <dxf>
      <fill>
        <patternFill>
          <bgColor rgb="FF92D050"/>
        </patternFill>
      </fill>
    </dxf>
    <dxf>
      <fill>
        <patternFill>
          <bgColor rgb="FFFF0000"/>
        </patternFill>
      </fill>
    </dxf>
    <dxf>
      <fill>
        <patternFill>
          <bgColor rgb="FFFFC000"/>
        </patternFill>
      </fill>
    </dxf>
    <dxf>
      <fill>
        <patternFill>
          <bgColor rgb="FFFFFF00"/>
        </patternFill>
      </fill>
    </dxf>
    <dxf>
      <fill>
        <patternFill>
          <bgColor rgb="FF00B050"/>
        </patternFill>
      </fill>
    </dxf>
    <dxf>
      <fill>
        <patternFill>
          <bgColor rgb="FF92D050"/>
        </patternFill>
      </fill>
    </dxf>
    <dxf>
      <font>
        <b val="0"/>
        <i val="0"/>
        <strike val="0"/>
        <condense val="0"/>
        <extend val="0"/>
        <outline val="0"/>
        <shadow val="0"/>
        <u val="none"/>
        <vertAlign val="baseline"/>
        <sz val="10"/>
        <color theme="1"/>
        <name val="Arial"/>
        <scheme val="none"/>
      </font>
      <alignment horizontal="general" vertical="bottom" textRotation="0" wrapText="1" indent="0" justifyLastLine="0" shrinkToFit="0" readingOrder="0"/>
    </dxf>
    <dxf>
      <font>
        <b val="0"/>
        <i val="0"/>
        <strike val="0"/>
        <condense val="0"/>
        <extend val="0"/>
        <outline val="0"/>
        <shadow val="0"/>
        <u val="none"/>
        <vertAlign val="baseline"/>
        <sz val="10"/>
        <color theme="1"/>
        <name val="Arial"/>
        <scheme val="none"/>
      </font>
      <alignment horizontal="general" vertical="bottom" textRotation="0" wrapText="1" indent="0" justifyLastLine="0" shrinkToFit="0" readingOrder="0"/>
    </dxf>
    <dxf>
      <font>
        <b val="0"/>
        <i val="0"/>
        <strike val="0"/>
        <condense val="0"/>
        <extend val="0"/>
        <outline val="0"/>
        <shadow val="0"/>
        <u val="none"/>
        <vertAlign val="baseline"/>
        <sz val="10"/>
        <color theme="1"/>
        <name val="Arial"/>
        <scheme val="none"/>
      </font>
      <alignment horizontal="general" vertical="bottom" textRotation="0" wrapText="1" indent="0" justifyLastLine="0" shrinkToFit="0" readingOrder="0"/>
    </dxf>
    <dxf>
      <font>
        <b val="0"/>
        <i val="0"/>
        <strike val="0"/>
        <condense val="0"/>
        <extend val="0"/>
        <outline val="0"/>
        <shadow val="0"/>
        <u val="none"/>
        <vertAlign val="baseline"/>
        <sz val="10"/>
        <color theme="1"/>
        <name val="Arial"/>
        <scheme val="none"/>
      </font>
      <alignment horizontal="general" vertical="bottom" textRotation="0" wrapText="1" indent="0" justifyLastLine="0" shrinkToFit="0" readingOrder="0"/>
    </dxf>
    <dxf>
      <font>
        <b val="0"/>
        <i val="0"/>
        <strike val="0"/>
        <condense val="0"/>
        <extend val="0"/>
        <outline val="0"/>
        <shadow val="0"/>
        <u val="none"/>
        <vertAlign val="baseline"/>
        <sz val="11"/>
        <color theme="1"/>
        <name val="Helvetica"/>
        <scheme val="none"/>
      </font>
      <alignment horizontal="general" vertical="bottom" textRotation="0" wrapText="1" indent="0" justifyLastLine="0" shrinkToFit="0" readingOrder="0"/>
    </dxf>
    <dxf>
      <font>
        <b val="0"/>
        <i val="0"/>
        <strike val="0"/>
        <condense val="0"/>
        <extend val="0"/>
        <outline val="0"/>
        <shadow val="0"/>
        <u val="none"/>
        <vertAlign val="baseline"/>
        <sz val="11"/>
        <color theme="1"/>
        <name val="Helvetica"/>
        <scheme val="none"/>
      </font>
      <alignment horizontal="general" vertical="bottom" textRotation="0" wrapText="1" indent="0" justifyLastLine="0" shrinkToFit="0" readingOrder="0"/>
    </dxf>
    <dxf>
      <font>
        <b val="0"/>
        <i val="0"/>
        <strike val="0"/>
        <condense val="0"/>
        <extend val="0"/>
        <outline val="0"/>
        <shadow val="0"/>
        <u val="none"/>
        <vertAlign val="baseline"/>
        <sz val="11"/>
        <color theme="1"/>
        <name val="Helvetica"/>
        <scheme val="none"/>
      </font>
      <alignment horizontal="general" vertical="bottom" textRotation="0" wrapText="1" indent="0" justifyLastLine="0" shrinkToFit="0" readingOrder="0"/>
    </dxf>
    <dxf>
      <font>
        <b val="0"/>
        <i val="0"/>
        <strike val="0"/>
        <condense val="0"/>
        <extend val="0"/>
        <outline val="0"/>
        <shadow val="0"/>
        <u val="none"/>
        <vertAlign val="baseline"/>
        <sz val="11"/>
        <color theme="1"/>
        <name val="Helvetica"/>
        <scheme val="none"/>
      </font>
      <alignment horizontal="general" vertical="bottom" textRotation="0" wrapText="1" indent="0" justifyLastLine="0" shrinkToFit="0" readingOrder="0"/>
    </dxf>
    <dxf>
      <font>
        <b val="0"/>
        <i val="0"/>
        <strike val="0"/>
        <condense val="0"/>
        <extend val="0"/>
        <outline val="0"/>
        <shadow val="0"/>
        <u val="none"/>
        <vertAlign val="baseline"/>
        <sz val="11"/>
        <color theme="1"/>
        <name val="Helvetica"/>
        <scheme val="none"/>
      </font>
      <alignment horizontal="general" vertical="bottom" textRotation="0" wrapText="1" indent="0" justifyLastLine="0" shrinkToFit="0" readingOrder="0"/>
    </dxf>
    <dxf>
      <font>
        <b val="0"/>
        <i val="0"/>
        <strike val="0"/>
        <condense val="0"/>
        <extend val="0"/>
        <outline val="0"/>
        <shadow val="0"/>
        <u val="none"/>
        <vertAlign val="baseline"/>
        <sz val="11"/>
        <color rgb="FF000000"/>
        <name val="Helvetica"/>
        <scheme val="none"/>
      </font>
      <alignment horizontal="justify"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Helvetica"/>
        <scheme val="none"/>
      </font>
      <alignment horizontal="general" vertical="bottom" textRotation="0" wrapText="1" indent="0" justifyLastLine="0" shrinkToFit="0" readingOrder="0"/>
    </dxf>
    <dxf>
      <font>
        <b val="0"/>
        <i val="0"/>
        <strike val="0"/>
        <condense val="0"/>
        <extend val="0"/>
        <outline val="0"/>
        <shadow val="0"/>
        <u val="none"/>
        <vertAlign val="baseline"/>
        <sz val="11"/>
        <color theme="1"/>
        <name val="Helvetica"/>
        <scheme val="none"/>
      </font>
      <fill>
        <patternFill patternType="solid">
          <fgColor indexed="64"/>
          <bgColor theme="9" tint="0.79998168889431442"/>
        </patternFill>
      </fill>
      <alignment horizontal="left" vertical="top" textRotation="0" wrapText="1" indent="0" justifyLastLine="0" shrinkToFit="0" readingOrder="0"/>
    </dxf>
    <dxf>
      <font>
        <b val="0"/>
        <i val="0"/>
        <strike val="0"/>
        <condense val="0"/>
        <extend val="0"/>
        <outline val="0"/>
        <shadow val="0"/>
        <u val="none"/>
        <vertAlign val="baseline"/>
        <sz val="10"/>
        <color theme="1"/>
        <name val="Arial"/>
        <scheme val="none"/>
      </font>
      <alignment horizontal="general" vertical="bottom" textRotation="0" wrapText="1" indent="0" justifyLastLine="0" shrinkToFit="0" readingOrder="0"/>
    </dxf>
    <dxf>
      <font>
        <b val="0"/>
        <i val="0"/>
        <strike val="0"/>
        <condense val="0"/>
        <extend val="0"/>
        <outline val="0"/>
        <shadow val="0"/>
        <u val="none"/>
        <vertAlign val="baseline"/>
        <sz val="10"/>
        <color theme="1"/>
        <name val="Arial"/>
        <scheme val="none"/>
      </font>
      <alignment horizontal="general" vertical="bottom" textRotation="0" wrapText="1" indent="0" justifyLastLine="0" shrinkToFit="0" readingOrder="0"/>
    </dxf>
    <dxf>
      <font>
        <b val="0"/>
        <i val="0"/>
        <strike val="0"/>
        <condense val="0"/>
        <extend val="0"/>
        <outline val="0"/>
        <shadow val="0"/>
        <u val="none"/>
        <vertAlign val="baseline"/>
        <sz val="10"/>
        <color rgb="FF000000"/>
        <name val="Helvetica"/>
        <scheme val="none"/>
      </font>
      <fill>
        <patternFill patternType="solid">
          <fgColor indexed="64"/>
          <bgColor theme="0"/>
        </patternFill>
      </fill>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rial"/>
        <scheme val="none"/>
      </font>
      <alignment horizontal="general" vertical="bottom" textRotation="0" wrapText="1" indent="0" justifyLastLine="0" shrinkToFit="0" readingOrder="0"/>
    </dxf>
    <dxf>
      <font>
        <b val="0"/>
        <i val="0"/>
        <strike val="0"/>
        <condense val="0"/>
        <extend val="0"/>
        <outline val="0"/>
        <shadow val="0"/>
        <u val="none"/>
        <vertAlign val="baseline"/>
        <sz val="10"/>
        <color theme="1"/>
        <name val="Arial"/>
        <scheme val="none"/>
      </font>
      <alignment horizontal="general" vertical="bottom" textRotation="0" wrapText="1" indent="0" justifyLastLine="0" shrinkToFit="0" readingOrder="0"/>
    </dxf>
    <dxf>
      <font>
        <b val="0"/>
        <i val="0"/>
        <strike val="0"/>
        <condense val="0"/>
        <extend val="0"/>
        <outline val="0"/>
        <shadow val="0"/>
        <u val="none"/>
        <vertAlign val="baseline"/>
        <sz val="10"/>
        <color theme="1"/>
        <name val="Arial"/>
        <scheme val="none"/>
      </font>
      <alignment horizontal="general" vertical="bottom" textRotation="0" wrapText="1" indent="0" justifyLastLine="0" shrinkToFit="0" readingOrder="0"/>
    </dxf>
    <dxf>
      <font>
        <b val="0"/>
        <i val="0"/>
        <strike val="0"/>
        <condense val="0"/>
        <extend val="0"/>
        <outline val="0"/>
        <shadow val="0"/>
        <u val="none"/>
        <vertAlign val="baseline"/>
        <sz val="10"/>
        <color theme="1"/>
        <name val="Arial"/>
        <scheme val="none"/>
      </font>
      <alignment horizontal="general" vertical="bottom" textRotation="0" wrapText="1" indent="0" justifyLastLine="0" shrinkToFit="0" readingOrder="0"/>
    </dxf>
    <dxf>
      <font>
        <b val="0"/>
        <i val="0"/>
        <strike val="0"/>
        <condense val="0"/>
        <extend val="0"/>
        <outline val="0"/>
        <shadow val="0"/>
        <u val="none"/>
        <vertAlign val="baseline"/>
        <sz val="10"/>
        <color theme="1"/>
        <name val="Arial"/>
        <scheme val="none"/>
      </font>
      <alignment horizontal="general" vertical="bottom" textRotation="0" wrapText="1" indent="0" justifyLastLine="0" shrinkToFit="0" readingOrder="0"/>
    </dxf>
    <dxf>
      <font>
        <b val="0"/>
        <i val="0"/>
        <strike val="0"/>
        <condense val="0"/>
        <extend val="0"/>
        <outline val="0"/>
        <shadow val="0"/>
        <u val="none"/>
        <vertAlign val="baseline"/>
        <sz val="10"/>
        <color theme="1"/>
        <name val="Arial"/>
        <scheme val="none"/>
      </font>
      <alignment horizontal="general" vertical="bottom" textRotation="0" wrapText="1" indent="0" justifyLastLine="0" shrinkToFit="0" readingOrder="0"/>
    </dxf>
    <dxf>
      <font>
        <b val="0"/>
        <i val="0"/>
        <strike val="0"/>
        <condense val="0"/>
        <extend val="0"/>
        <outline val="0"/>
        <shadow val="0"/>
        <u val="none"/>
        <vertAlign val="baseline"/>
        <sz val="12"/>
        <color auto="1"/>
        <name val="Tahoma"/>
        <scheme val="none"/>
      </font>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Arial"/>
        <scheme val="none"/>
      </font>
      <numFmt numFmtId="0" formatCode="General"/>
      <fill>
        <patternFill patternType="solid">
          <fgColor indexed="64"/>
          <bgColor theme="9" tint="0.79998168889431442"/>
        </patternFill>
      </fill>
      <alignment horizontal="justify"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Arial"/>
        <scheme val="none"/>
      </font>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1"/>
        <color auto="1"/>
        <name val="Arial"/>
        <scheme val="none"/>
      </font>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1"/>
        <color auto="1"/>
        <name val="Arial"/>
        <scheme val="none"/>
      </font>
      <fill>
        <patternFill patternType="solid">
          <fgColor indexed="64"/>
          <bgColor theme="9" tint="0.79998168889431442"/>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1"/>
        <color auto="1"/>
        <name val="Arial"/>
        <scheme val="none"/>
      </font>
      <fill>
        <patternFill patternType="solid">
          <fgColor indexed="64"/>
          <bgColor theme="9" tint="0.79998168889431442"/>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font>
        <b val="0"/>
        <i val="0"/>
        <strike val="0"/>
        <condense val="0"/>
        <extend val="0"/>
        <outline val="0"/>
        <shadow val="0"/>
        <u val="none"/>
        <vertAlign val="baseline"/>
        <sz val="11"/>
        <color auto="1"/>
        <name val="Arial"/>
        <scheme val="none"/>
      </font>
      <fill>
        <patternFill patternType="solid">
          <fgColor indexed="64"/>
          <bgColor theme="9" tint="0.79998168889431442"/>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border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auto="1"/>
        <name val="Arial"/>
        <scheme val="none"/>
      </font>
      <alignment horizontal="center" vertical="center" textRotation="0" wrapText="1" indent="0" justifyLastLine="0" shrinkToFit="0" readingOrder="0"/>
      <border diagonalUp="0" diagonalDown="0" outline="0">
        <left style="thin">
          <color indexed="64"/>
        </left>
        <right style="thin">
          <color indexed="64"/>
        </right>
        <top/>
        <bottom/>
      </border>
    </dxf>
    <dxf>
      <fill>
        <patternFill>
          <bgColor theme="1" tint="0.499984740745262"/>
        </patternFill>
      </fill>
    </dxf>
    <dxf>
      <fill>
        <patternFill patternType="solid">
          <fgColor rgb="FFFF0000"/>
          <bgColor rgb="FFFF0000"/>
        </patternFill>
      </fill>
    </dxf>
    <dxf>
      <fill>
        <patternFill patternType="solid">
          <fgColor rgb="FFFFC000"/>
          <bgColor rgb="FFFFC000"/>
        </patternFill>
      </fill>
    </dxf>
    <dxf>
      <fill>
        <patternFill patternType="solid">
          <fgColor rgb="FFFFFF00"/>
          <bgColor rgb="FFFFFF00"/>
        </patternFill>
      </fill>
    </dxf>
    <dxf>
      <fill>
        <patternFill patternType="solid">
          <fgColor rgb="FF00B050"/>
          <bgColor rgb="FF00B050"/>
        </patternFill>
      </fill>
    </dxf>
    <dxf>
      <fill>
        <patternFill patternType="solid">
          <fgColor rgb="FF92D050"/>
          <bgColor rgb="FF92D050"/>
        </patternFill>
      </fill>
    </dxf>
    <dxf>
      <fill>
        <patternFill patternType="solid">
          <fgColor rgb="FFFF0000"/>
          <bgColor rgb="FFFF0000"/>
        </patternFill>
      </fill>
    </dxf>
    <dxf>
      <fill>
        <patternFill patternType="solid">
          <fgColor rgb="FFFFC000"/>
          <bgColor rgb="FFFFC000"/>
        </patternFill>
      </fill>
    </dxf>
    <dxf>
      <fill>
        <patternFill patternType="solid">
          <fgColor rgb="FFFFFF00"/>
          <bgColor rgb="FFFFFF00"/>
        </patternFill>
      </fill>
    </dxf>
    <dxf>
      <fill>
        <patternFill patternType="solid">
          <fgColor rgb="FF00B050"/>
          <bgColor rgb="FF00B050"/>
        </patternFill>
      </fill>
    </dxf>
    <dxf>
      <fill>
        <patternFill patternType="solid">
          <fgColor rgb="FFFF0000"/>
          <bgColor rgb="FFFF0000"/>
        </patternFill>
      </fill>
    </dxf>
    <dxf>
      <fill>
        <patternFill patternType="solid">
          <fgColor rgb="FFFFC000"/>
          <bgColor rgb="FFFFC000"/>
        </patternFill>
      </fill>
    </dxf>
    <dxf>
      <fill>
        <patternFill patternType="solid">
          <fgColor rgb="FFFFFF00"/>
          <bgColor rgb="FFFFFF00"/>
        </patternFill>
      </fill>
    </dxf>
    <dxf>
      <fill>
        <patternFill patternType="solid">
          <fgColor rgb="FF00B050"/>
          <bgColor rgb="FF00B050"/>
        </patternFill>
      </fill>
    </dxf>
    <dxf>
      <fill>
        <patternFill patternType="solid">
          <fgColor rgb="FF92D050"/>
          <bgColor rgb="FF92D050"/>
        </patternFill>
      </fill>
    </dxf>
    <dxf>
      <fill>
        <patternFill patternType="solid">
          <fgColor rgb="FFB7E1CD"/>
          <bgColor rgb="FFB7E1CD"/>
        </patternFill>
      </fill>
    </dxf>
    <dxf>
      <fill>
        <patternFill patternType="solid">
          <fgColor rgb="FFFFE599"/>
          <bgColor rgb="FFFFE599"/>
        </patternFill>
      </fill>
    </dxf>
    <dxf>
      <fill>
        <patternFill patternType="solid">
          <fgColor rgb="FFF4CCCC"/>
          <bgColor rgb="FFF4CCCC"/>
        </patternFill>
      </fill>
    </dxf>
    <dxf>
      <fill>
        <patternFill patternType="solid">
          <fgColor rgb="FFB8CCE4"/>
          <bgColor rgb="FFB8CCE4"/>
        </patternFill>
      </fill>
    </dxf>
    <dxf>
      <fill>
        <patternFill patternType="solid">
          <fgColor rgb="FFDBE5F1"/>
          <bgColor rgb="FFDBE5F1"/>
        </patternFill>
      </fill>
    </dxf>
    <dxf>
      <fill>
        <patternFill patternType="solid">
          <fgColor theme="4"/>
          <bgColor theme="4"/>
        </patternFill>
      </fill>
    </dxf>
    <dxf>
      <fill>
        <patternFill patternType="solid">
          <fgColor rgb="FFB8CCE4"/>
          <bgColor rgb="FFB8CCE4"/>
        </patternFill>
      </fill>
    </dxf>
    <dxf>
      <fill>
        <patternFill patternType="solid">
          <fgColor rgb="FFDBE5F1"/>
          <bgColor rgb="FFDBE5F1"/>
        </patternFill>
      </fill>
    </dxf>
    <dxf>
      <fill>
        <patternFill patternType="solid">
          <fgColor theme="4"/>
          <bgColor theme="4"/>
        </patternFill>
      </fill>
    </dxf>
    <dxf>
      <fill>
        <patternFill patternType="solid">
          <fgColor rgb="FFB8CCE4"/>
          <bgColor rgb="FFB8CCE4"/>
        </patternFill>
      </fill>
    </dxf>
    <dxf>
      <fill>
        <patternFill patternType="solid">
          <fgColor rgb="FFDBE5F1"/>
          <bgColor rgb="FFDBE5F1"/>
        </patternFill>
      </fill>
    </dxf>
    <dxf>
      <fill>
        <patternFill patternType="solid">
          <fgColor theme="4"/>
          <bgColor theme="4"/>
        </patternFill>
      </fill>
    </dxf>
    <dxf>
      <fill>
        <patternFill patternType="solid">
          <fgColor rgb="FFB8CCE4"/>
          <bgColor rgb="FFB8CCE4"/>
        </patternFill>
      </fill>
    </dxf>
    <dxf>
      <fill>
        <patternFill patternType="solid">
          <fgColor rgb="FFDBE5F1"/>
          <bgColor rgb="FFDBE5F1"/>
        </patternFill>
      </fill>
    </dxf>
    <dxf>
      <fill>
        <patternFill patternType="solid">
          <fgColor theme="4"/>
          <bgColor theme="4"/>
        </patternFill>
      </fill>
    </dxf>
    <dxf>
      <fill>
        <patternFill patternType="solid">
          <fgColor rgb="FFB8CCE4"/>
          <bgColor rgb="FFB8CCE4"/>
        </patternFill>
      </fill>
    </dxf>
    <dxf>
      <fill>
        <patternFill patternType="solid">
          <fgColor rgb="FFDBE5F1"/>
          <bgColor rgb="FFDBE5F1"/>
        </patternFill>
      </fill>
    </dxf>
    <dxf>
      <fill>
        <patternFill patternType="solid">
          <fgColor theme="4"/>
          <bgColor theme="4"/>
        </patternFill>
      </fill>
    </dxf>
    <dxf>
      <fill>
        <patternFill patternType="solid">
          <fgColor rgb="FFB8CCE4"/>
          <bgColor rgb="FFB8CCE4"/>
        </patternFill>
      </fill>
    </dxf>
    <dxf>
      <fill>
        <patternFill patternType="solid">
          <fgColor rgb="FFDBE5F1"/>
          <bgColor rgb="FFDBE5F1"/>
        </patternFill>
      </fill>
    </dxf>
    <dxf>
      <fill>
        <patternFill patternType="solid">
          <fgColor theme="4"/>
          <bgColor theme="4"/>
        </patternFill>
      </fill>
    </dxf>
    <dxf>
      <fill>
        <patternFill patternType="solid">
          <fgColor rgb="FFB8CCE4"/>
          <bgColor rgb="FFB8CCE4"/>
        </patternFill>
      </fill>
    </dxf>
    <dxf>
      <fill>
        <patternFill patternType="solid">
          <fgColor rgb="FFDBE5F1"/>
          <bgColor rgb="FFDBE5F1"/>
        </patternFill>
      </fill>
    </dxf>
    <dxf>
      <fill>
        <patternFill patternType="solid">
          <fgColor theme="4"/>
          <bgColor theme="4"/>
        </patternFill>
      </fill>
    </dxf>
    <dxf>
      <fill>
        <patternFill patternType="solid">
          <fgColor rgb="FFB8CCE4"/>
          <bgColor rgb="FFB8CCE4"/>
        </patternFill>
      </fill>
    </dxf>
    <dxf>
      <fill>
        <patternFill patternType="solid">
          <fgColor rgb="FFDBE5F1"/>
          <bgColor rgb="FFDBE5F1"/>
        </patternFill>
      </fill>
    </dxf>
    <dxf>
      <fill>
        <patternFill patternType="solid">
          <fgColor theme="4"/>
          <bgColor theme="4"/>
        </patternFill>
      </fill>
    </dxf>
    <dxf>
      <fill>
        <patternFill patternType="solid">
          <fgColor rgb="FFB8CCE4"/>
          <bgColor rgb="FFB8CCE4"/>
        </patternFill>
      </fill>
    </dxf>
    <dxf>
      <fill>
        <patternFill patternType="solid">
          <fgColor rgb="FFDBE5F1"/>
          <bgColor rgb="FFDBE5F1"/>
        </patternFill>
      </fill>
    </dxf>
    <dxf>
      <fill>
        <patternFill patternType="solid">
          <fgColor rgb="FFB8CCE4"/>
          <bgColor rgb="FFB8CCE4"/>
        </patternFill>
      </fill>
    </dxf>
    <dxf>
      <fill>
        <patternFill patternType="solid">
          <fgColor rgb="FFDBE5F1"/>
          <bgColor rgb="FFDBE5F1"/>
        </patternFill>
      </fill>
    </dxf>
    <dxf>
      <fill>
        <patternFill patternType="solid">
          <fgColor rgb="FFB8CCE4"/>
          <bgColor rgb="FFB8CCE4"/>
        </patternFill>
      </fill>
    </dxf>
    <dxf>
      <fill>
        <patternFill patternType="solid">
          <fgColor rgb="FFDBE5F1"/>
          <bgColor rgb="FFDBE5F1"/>
        </patternFill>
      </fill>
    </dxf>
    <dxf>
      <fill>
        <patternFill patternType="solid">
          <fgColor rgb="FFB8CCE4"/>
          <bgColor rgb="FFB8CCE4"/>
        </patternFill>
      </fill>
    </dxf>
    <dxf>
      <fill>
        <patternFill patternType="solid">
          <fgColor rgb="FFDBE5F1"/>
          <bgColor rgb="FFDBE5F1"/>
        </patternFill>
      </fill>
    </dxf>
    <dxf>
      <fill>
        <patternFill patternType="solid">
          <fgColor rgb="FFB8CCE4"/>
          <bgColor rgb="FFB8CCE4"/>
        </patternFill>
      </fill>
    </dxf>
    <dxf>
      <fill>
        <patternFill patternType="solid">
          <fgColor rgb="FFDBE5F1"/>
          <bgColor rgb="FFDBE5F1"/>
        </patternFill>
      </fill>
    </dxf>
    <dxf>
      <fill>
        <patternFill patternType="solid">
          <fgColor theme="4"/>
          <bgColor theme="4"/>
        </patternFill>
      </fill>
    </dxf>
    <dxf>
      <fill>
        <patternFill patternType="solid">
          <fgColor rgb="FFB8CCE4"/>
          <bgColor rgb="FFB8CCE4"/>
        </patternFill>
      </fill>
    </dxf>
    <dxf>
      <fill>
        <patternFill patternType="solid">
          <fgColor rgb="FFDBE5F1"/>
          <bgColor rgb="FFDBE5F1"/>
        </patternFill>
      </fill>
    </dxf>
    <dxf>
      <fill>
        <patternFill patternType="solid">
          <fgColor theme="4"/>
          <bgColor theme="4"/>
        </patternFill>
      </fill>
    </dxf>
    <dxf>
      <fill>
        <patternFill patternType="solid">
          <fgColor rgb="FFB8CCE4"/>
          <bgColor rgb="FFB8CCE4"/>
        </patternFill>
      </fill>
    </dxf>
    <dxf>
      <fill>
        <patternFill patternType="solid">
          <fgColor rgb="FFDBE5F1"/>
          <bgColor rgb="FFDBE5F1"/>
        </patternFill>
      </fill>
    </dxf>
    <dxf>
      <fill>
        <patternFill patternType="solid">
          <fgColor theme="4"/>
          <bgColor theme="4"/>
        </patternFill>
      </fill>
    </dxf>
    <dxf>
      <fill>
        <patternFill patternType="solid">
          <fgColor rgb="FFB8CCE4"/>
          <bgColor rgb="FFB8CCE4"/>
        </patternFill>
      </fill>
    </dxf>
    <dxf>
      <fill>
        <patternFill patternType="solid">
          <fgColor rgb="FFDBE5F1"/>
          <bgColor rgb="FFDBE5F1"/>
        </patternFill>
      </fill>
    </dxf>
    <dxf>
      <fill>
        <patternFill patternType="solid">
          <fgColor theme="4"/>
          <bgColor theme="4"/>
        </patternFill>
      </fill>
    </dxf>
    <dxf>
      <fill>
        <patternFill patternType="solid">
          <fgColor rgb="FFB8CCE4"/>
          <bgColor rgb="FFB8CCE4"/>
        </patternFill>
      </fill>
    </dxf>
    <dxf>
      <fill>
        <patternFill patternType="solid">
          <fgColor rgb="FFDBE5F1"/>
          <bgColor rgb="FFDBE5F1"/>
        </patternFill>
      </fill>
    </dxf>
    <dxf>
      <fill>
        <patternFill patternType="solid">
          <fgColor theme="4"/>
          <bgColor theme="4"/>
        </patternFill>
      </fill>
    </dxf>
    <dxf>
      <fill>
        <patternFill patternType="solid">
          <fgColor rgb="FFB8CCE4"/>
          <bgColor rgb="FFB8CCE4"/>
        </patternFill>
      </fill>
    </dxf>
    <dxf>
      <fill>
        <patternFill patternType="solid">
          <fgColor rgb="FFDBE5F1"/>
          <bgColor rgb="FFDBE5F1"/>
        </patternFill>
      </fill>
    </dxf>
    <dxf>
      <fill>
        <patternFill patternType="solid">
          <fgColor theme="4"/>
          <bgColor theme="4"/>
        </patternFill>
      </fill>
    </dxf>
    <dxf>
      <fill>
        <patternFill patternType="solid">
          <fgColor rgb="FFB8CCE4"/>
          <bgColor rgb="FFB8CCE4"/>
        </patternFill>
      </fill>
    </dxf>
    <dxf>
      <fill>
        <patternFill patternType="solid">
          <fgColor rgb="FFDBE5F1"/>
          <bgColor rgb="FFDBE5F1"/>
        </patternFill>
      </fill>
    </dxf>
    <dxf>
      <fill>
        <patternFill patternType="solid">
          <fgColor theme="4"/>
          <bgColor theme="4"/>
        </patternFill>
      </fill>
    </dxf>
    <dxf>
      <fill>
        <patternFill patternType="solid">
          <fgColor rgb="FFB8CCE4"/>
          <bgColor rgb="FFB8CCE4"/>
        </patternFill>
      </fill>
    </dxf>
    <dxf>
      <fill>
        <patternFill patternType="solid">
          <fgColor rgb="FFDBE5F1"/>
          <bgColor rgb="FFDBE5F1"/>
        </patternFill>
      </fill>
    </dxf>
    <dxf>
      <fill>
        <patternFill patternType="solid">
          <fgColor theme="4"/>
          <bgColor theme="4"/>
        </patternFill>
      </fill>
    </dxf>
    <dxf>
      <fill>
        <patternFill patternType="solid">
          <fgColor rgb="FFB8CCE4"/>
          <bgColor rgb="FFB8CCE4"/>
        </patternFill>
      </fill>
    </dxf>
    <dxf>
      <fill>
        <patternFill patternType="solid">
          <fgColor rgb="FFDBE5F1"/>
          <bgColor rgb="FFDBE5F1"/>
        </patternFill>
      </fill>
    </dxf>
    <dxf>
      <fill>
        <patternFill patternType="solid">
          <fgColor theme="4"/>
          <bgColor theme="4"/>
        </patternFill>
      </fill>
    </dxf>
    <dxf>
      <fill>
        <patternFill patternType="solid">
          <fgColor rgb="FFB8CCE4"/>
          <bgColor rgb="FFB8CCE4"/>
        </patternFill>
      </fill>
    </dxf>
    <dxf>
      <fill>
        <patternFill patternType="solid">
          <fgColor rgb="FFDBE5F1"/>
          <bgColor rgb="FFDBE5F1"/>
        </patternFill>
      </fill>
    </dxf>
    <dxf>
      <fill>
        <patternFill patternType="solid">
          <fgColor theme="4"/>
          <bgColor theme="4"/>
        </patternFill>
      </fill>
    </dxf>
    <dxf>
      <fill>
        <patternFill patternType="solid">
          <fgColor rgb="FFB8CCE4"/>
          <bgColor rgb="FFB8CCE4"/>
        </patternFill>
      </fill>
    </dxf>
    <dxf>
      <fill>
        <patternFill patternType="solid">
          <fgColor rgb="FFDBE5F1"/>
          <bgColor rgb="FFDBE5F1"/>
        </patternFill>
      </fill>
    </dxf>
    <dxf>
      <fill>
        <patternFill patternType="solid">
          <fgColor theme="4"/>
          <bgColor theme="4"/>
        </patternFill>
      </fill>
    </dxf>
    <dxf>
      <fill>
        <patternFill patternType="solid">
          <fgColor rgb="FFB8CCE4"/>
          <bgColor rgb="FFB8CCE4"/>
        </patternFill>
      </fill>
    </dxf>
    <dxf>
      <fill>
        <patternFill patternType="solid">
          <fgColor rgb="FFDBE5F1"/>
          <bgColor rgb="FFDBE5F1"/>
        </patternFill>
      </fill>
    </dxf>
    <dxf>
      <fill>
        <patternFill patternType="solid">
          <fgColor theme="4"/>
          <bgColor theme="4"/>
        </patternFill>
      </fill>
    </dxf>
    <dxf>
      <fill>
        <patternFill patternType="solid">
          <fgColor rgb="FFB8CCE4"/>
          <bgColor rgb="FFB8CCE4"/>
        </patternFill>
      </fill>
    </dxf>
    <dxf>
      <fill>
        <patternFill patternType="solid">
          <fgColor rgb="FFDBE5F1"/>
          <bgColor rgb="FFDBE5F1"/>
        </patternFill>
      </fill>
    </dxf>
    <dxf>
      <fill>
        <patternFill patternType="solid">
          <fgColor theme="4"/>
          <bgColor theme="4"/>
        </patternFill>
      </fill>
    </dxf>
    <dxf>
      <fill>
        <patternFill patternType="solid">
          <fgColor rgb="FFB8CCE4"/>
          <bgColor rgb="FFB8CCE4"/>
        </patternFill>
      </fill>
    </dxf>
    <dxf>
      <fill>
        <patternFill patternType="solid">
          <fgColor rgb="FFDBE5F1"/>
          <bgColor rgb="FFDBE5F1"/>
        </patternFill>
      </fill>
    </dxf>
    <dxf>
      <fill>
        <patternFill patternType="solid">
          <fgColor rgb="FFB8CCE4"/>
          <bgColor rgb="FFB8CCE4"/>
        </patternFill>
      </fill>
    </dxf>
    <dxf>
      <fill>
        <patternFill patternType="solid">
          <fgColor rgb="FFDBE5F1"/>
          <bgColor rgb="FFDBE5F1"/>
        </patternFill>
      </fill>
    </dxf>
    <dxf>
      <fill>
        <patternFill patternType="solid">
          <fgColor rgb="FFB8CCE4"/>
          <bgColor rgb="FFB8CCE4"/>
        </patternFill>
      </fill>
    </dxf>
    <dxf>
      <fill>
        <patternFill patternType="solid">
          <fgColor rgb="FFDBE5F1"/>
          <bgColor rgb="FFDBE5F1"/>
        </patternFill>
      </fill>
    </dxf>
    <dxf>
      <fill>
        <patternFill patternType="solid">
          <fgColor rgb="FFB8CCE4"/>
          <bgColor rgb="FFB8CCE4"/>
        </patternFill>
      </fill>
    </dxf>
    <dxf>
      <fill>
        <patternFill patternType="solid">
          <fgColor rgb="FFDBE5F1"/>
          <bgColor rgb="FFDBE5F1"/>
        </patternFill>
      </fill>
    </dxf>
    <dxf>
      <fill>
        <patternFill patternType="solid">
          <fgColor rgb="FFB8CCE4"/>
          <bgColor rgb="FFB8CCE4"/>
        </patternFill>
      </fill>
    </dxf>
    <dxf>
      <fill>
        <patternFill patternType="solid">
          <fgColor rgb="FFDBE5F1"/>
          <bgColor rgb="FFDBE5F1"/>
        </patternFill>
      </fill>
    </dxf>
    <dxf>
      <fill>
        <patternFill patternType="solid">
          <fgColor theme="4"/>
          <bgColor theme="4"/>
        </patternFill>
      </fill>
    </dxf>
    <dxf>
      <fill>
        <patternFill patternType="solid">
          <fgColor rgb="FFB8CCE4"/>
          <bgColor rgb="FFB8CCE4"/>
        </patternFill>
      </fill>
    </dxf>
    <dxf>
      <fill>
        <patternFill patternType="solid">
          <fgColor rgb="FFDBE5F1"/>
          <bgColor rgb="FFDBE5F1"/>
        </patternFill>
      </fill>
    </dxf>
    <dxf>
      <fill>
        <patternFill patternType="solid">
          <fgColor theme="4"/>
          <bgColor theme="4"/>
        </patternFill>
      </fill>
    </dxf>
    <dxf>
      <fill>
        <patternFill patternType="solid">
          <fgColor rgb="FFB8CCE4"/>
          <bgColor rgb="FFB8CCE4"/>
        </patternFill>
      </fill>
    </dxf>
    <dxf>
      <fill>
        <patternFill patternType="solid">
          <fgColor rgb="FFDBE5F1"/>
          <bgColor rgb="FFDBE5F1"/>
        </patternFill>
      </fill>
    </dxf>
    <dxf>
      <fill>
        <patternFill patternType="solid">
          <fgColor theme="4"/>
          <bgColor theme="4"/>
        </patternFill>
      </fill>
    </dxf>
    <dxf>
      <fill>
        <patternFill patternType="solid">
          <fgColor rgb="FFB8CCE4"/>
          <bgColor rgb="FFB8CCE4"/>
        </patternFill>
      </fill>
    </dxf>
    <dxf>
      <fill>
        <patternFill patternType="solid">
          <fgColor rgb="FFDBE5F1"/>
          <bgColor rgb="FFDBE5F1"/>
        </patternFill>
      </fill>
    </dxf>
    <dxf>
      <fill>
        <patternFill patternType="solid">
          <fgColor theme="4"/>
          <bgColor theme="4"/>
        </patternFill>
      </fill>
    </dxf>
    <dxf>
      <fill>
        <patternFill patternType="solid">
          <fgColor rgb="FFB8CCE4"/>
          <bgColor rgb="FFB8CCE4"/>
        </patternFill>
      </fill>
    </dxf>
    <dxf>
      <fill>
        <patternFill patternType="solid">
          <fgColor rgb="FFDBE5F1"/>
          <bgColor rgb="FFDBE5F1"/>
        </patternFill>
      </fill>
    </dxf>
    <dxf>
      <fill>
        <patternFill patternType="solid">
          <fgColor theme="4"/>
          <bgColor theme="4"/>
        </patternFill>
      </fill>
    </dxf>
  </dxfs>
  <tableStyles count="35" defaultTableStyle="TableStyleMedium2" defaultPivotStyle="PivotStyleMedium9">
    <tableStyle name=" ACTIVOS DE INFORMACION DIGITAL-style" pivot="0" count="3">
      <tableStyleElement type="headerRow" dxfId="280"/>
      <tableStyleElement type="firstRowStripe" dxfId="279"/>
      <tableStyleElement type="secondRowStripe" dxfId="278"/>
    </tableStyle>
    <tableStyle name=" ACTIVOS DE INFORMACION DIGITAL-style 10" pivot="0" count="3">
      <tableStyleElement type="headerRow" dxfId="277"/>
      <tableStyleElement type="firstRowStripe" dxfId="276"/>
      <tableStyleElement type="secondRowStripe" dxfId="275"/>
    </tableStyle>
    <tableStyle name=" ACTIVOS DE INFORMACION DIGITAL-style 11" pivot="0" count="3">
      <tableStyleElement type="headerRow" dxfId="274"/>
      <tableStyleElement type="firstRowStripe" dxfId="273"/>
      <tableStyleElement type="secondRowStripe" dxfId="272"/>
    </tableStyle>
    <tableStyle name=" ACTIVOS DE INFORMACION DIGITAL-style 12" pivot="0" count="3">
      <tableStyleElement type="headerRow" dxfId="271"/>
      <tableStyleElement type="firstRowStripe" dxfId="270"/>
      <tableStyleElement type="secondRowStripe" dxfId="269"/>
    </tableStyle>
    <tableStyle name=" ACTIVOS DE INFORMACION DIGITAL-style 13" pivot="0" count="3">
      <tableStyleElement type="headerRow" dxfId="268"/>
      <tableStyleElement type="firstRowStripe" dxfId="267"/>
      <tableStyleElement type="secondRowStripe" dxfId="266"/>
    </tableStyle>
    <tableStyle name=" ACTIVOS DE INFORMACION DIGITAL-style 14" pivot="0" count="2">
      <tableStyleElement type="firstRowStripe" dxfId="265"/>
      <tableStyleElement type="secondRowStripe" dxfId="264"/>
    </tableStyle>
    <tableStyle name=" ACTIVOS DE INFORMACION DIGITAL-style 15" pivot="0" count="2">
      <tableStyleElement type="firstRowStripe" dxfId="263"/>
      <tableStyleElement type="secondRowStripe" dxfId="262"/>
    </tableStyle>
    <tableStyle name=" ACTIVOS DE INFORMACION DIGITAL-style 16" pivot="0" count="2">
      <tableStyleElement type="firstRowStripe" dxfId="261"/>
      <tableStyleElement type="secondRowStripe" dxfId="260"/>
    </tableStyle>
    <tableStyle name=" ACTIVOS DE INFORMACION DIGITAL-style 17" pivot="0" count="2">
      <tableStyleElement type="firstRowStripe" dxfId="259"/>
      <tableStyleElement type="secondRowStripe" dxfId="258"/>
    </tableStyle>
    <tableStyle name=" ACTIVOS DE INFORMACION DIGITAL-style 2" pivot="0" count="3">
      <tableStyleElement type="headerRow" dxfId="257"/>
      <tableStyleElement type="firstRowStripe" dxfId="256"/>
      <tableStyleElement type="secondRowStripe" dxfId="255"/>
    </tableStyle>
    <tableStyle name=" ACTIVOS DE INFORMACION DIGITAL-style 3" pivot="0" count="3">
      <tableStyleElement type="headerRow" dxfId="254"/>
      <tableStyleElement type="firstRowStripe" dxfId="253"/>
      <tableStyleElement type="secondRowStripe" dxfId="252"/>
    </tableStyle>
    <tableStyle name=" ACTIVOS DE INFORMACION DIGITAL-style 4" pivot="0" count="3">
      <tableStyleElement type="headerRow" dxfId="251"/>
      <tableStyleElement type="firstRowStripe" dxfId="250"/>
      <tableStyleElement type="secondRowStripe" dxfId="249"/>
    </tableStyle>
    <tableStyle name=" ACTIVOS DE INFORMACION DIGITAL-style 5" pivot="0" count="3">
      <tableStyleElement type="headerRow" dxfId="248"/>
      <tableStyleElement type="firstRowStripe" dxfId="247"/>
      <tableStyleElement type="secondRowStripe" dxfId="246"/>
    </tableStyle>
    <tableStyle name=" ACTIVOS DE INFORMACION DIGITAL-style 6" pivot="0" count="3">
      <tableStyleElement type="headerRow" dxfId="245"/>
      <tableStyleElement type="firstRowStripe" dxfId="244"/>
      <tableStyleElement type="secondRowStripe" dxfId="243"/>
    </tableStyle>
    <tableStyle name=" ACTIVOS DE INFORMACION DIGITAL-style 7" pivot="0" count="3">
      <tableStyleElement type="headerRow" dxfId="242"/>
      <tableStyleElement type="firstRowStripe" dxfId="241"/>
      <tableStyleElement type="secondRowStripe" dxfId="240"/>
    </tableStyle>
    <tableStyle name=" ACTIVOS DE INFORMACION DIGITAL-style 8" pivot="0" count="3">
      <tableStyleElement type="headerRow" dxfId="239"/>
      <tableStyleElement type="firstRowStripe" dxfId="238"/>
      <tableStyleElement type="secondRowStripe" dxfId="237"/>
    </tableStyle>
    <tableStyle name=" ACTIVOS DE INFORMACION DIGITAL-style 9" pivot="0" count="3">
      <tableStyleElement type="headerRow" dxfId="236"/>
      <tableStyleElement type="firstRowStripe" dxfId="235"/>
      <tableStyleElement type="secondRowStripe" dxfId="234"/>
    </tableStyle>
    <tableStyle name="Estilo de tabla 1" pivot="0" count="0"/>
    <tableStyle name="Macroprocesos-Procesos-style" pivot="0" count="3">
      <tableStyleElement type="headerRow" dxfId="233"/>
      <tableStyleElement type="firstRowStripe" dxfId="232"/>
      <tableStyleElement type="secondRowStripe" dxfId="231"/>
    </tableStyle>
    <tableStyle name="Macroprocesos-Procesos-style 10" pivot="0" count="3">
      <tableStyleElement type="headerRow" dxfId="230"/>
      <tableStyleElement type="firstRowStripe" dxfId="229"/>
      <tableStyleElement type="secondRowStripe" dxfId="228"/>
    </tableStyle>
    <tableStyle name="Macroprocesos-Procesos-style 11" pivot="0" count="3">
      <tableStyleElement type="headerRow" dxfId="227"/>
      <tableStyleElement type="firstRowStripe" dxfId="226"/>
      <tableStyleElement type="secondRowStripe" dxfId="225"/>
    </tableStyle>
    <tableStyle name="Macroprocesos-Procesos-style 12" pivot="0" count="3">
      <tableStyleElement type="headerRow" dxfId="224"/>
      <tableStyleElement type="firstRowStripe" dxfId="223"/>
      <tableStyleElement type="secondRowStripe" dxfId="222"/>
    </tableStyle>
    <tableStyle name="Macroprocesos-Procesos-style 13" pivot="0" count="3">
      <tableStyleElement type="headerRow" dxfId="221"/>
      <tableStyleElement type="firstRowStripe" dxfId="220"/>
      <tableStyleElement type="secondRowStripe" dxfId="219"/>
    </tableStyle>
    <tableStyle name="Macroprocesos-Procesos-style 14" pivot="0" count="2">
      <tableStyleElement type="firstRowStripe" dxfId="218"/>
      <tableStyleElement type="secondRowStripe" dxfId="217"/>
    </tableStyle>
    <tableStyle name="Macroprocesos-Procesos-style 15" pivot="0" count="2">
      <tableStyleElement type="firstRowStripe" dxfId="216"/>
      <tableStyleElement type="secondRowStripe" dxfId="215"/>
    </tableStyle>
    <tableStyle name="Macroprocesos-Procesos-style 16" pivot="0" count="2">
      <tableStyleElement type="firstRowStripe" dxfId="214"/>
      <tableStyleElement type="secondRowStripe" dxfId="213"/>
    </tableStyle>
    <tableStyle name="Macroprocesos-Procesos-style 17" pivot="0" count="2">
      <tableStyleElement type="firstRowStripe" dxfId="212"/>
      <tableStyleElement type="secondRowStripe" dxfId="211"/>
    </tableStyle>
    <tableStyle name="Macroprocesos-Procesos-style 2" pivot="0" count="3">
      <tableStyleElement type="headerRow" dxfId="210"/>
      <tableStyleElement type="firstRowStripe" dxfId="209"/>
      <tableStyleElement type="secondRowStripe" dxfId="208"/>
    </tableStyle>
    <tableStyle name="Macroprocesos-Procesos-style 3" pivot="0" count="3">
      <tableStyleElement type="headerRow" dxfId="207"/>
      <tableStyleElement type="firstRowStripe" dxfId="206"/>
      <tableStyleElement type="secondRowStripe" dxfId="205"/>
    </tableStyle>
    <tableStyle name="Macroprocesos-Procesos-style 4" pivot="0" count="3">
      <tableStyleElement type="headerRow" dxfId="204"/>
      <tableStyleElement type="firstRowStripe" dxfId="203"/>
      <tableStyleElement type="secondRowStripe" dxfId="202"/>
    </tableStyle>
    <tableStyle name="Macroprocesos-Procesos-style 5" pivot="0" count="3">
      <tableStyleElement type="headerRow" dxfId="201"/>
      <tableStyleElement type="firstRowStripe" dxfId="200"/>
      <tableStyleElement type="secondRowStripe" dxfId="199"/>
    </tableStyle>
    <tableStyle name="Macroprocesos-Procesos-style 6" pivot="0" count="3">
      <tableStyleElement type="headerRow" dxfId="198"/>
      <tableStyleElement type="firstRowStripe" dxfId="197"/>
      <tableStyleElement type="secondRowStripe" dxfId="196"/>
    </tableStyle>
    <tableStyle name="Macroprocesos-Procesos-style 7" pivot="0" count="3">
      <tableStyleElement type="headerRow" dxfId="195"/>
      <tableStyleElement type="firstRowStripe" dxfId="194"/>
      <tableStyleElement type="secondRowStripe" dxfId="193"/>
    </tableStyle>
    <tableStyle name="Macroprocesos-Procesos-style 8" pivot="0" count="3">
      <tableStyleElement type="headerRow" dxfId="192"/>
      <tableStyleElement type="firstRowStripe" dxfId="191"/>
      <tableStyleElement type="secondRowStripe" dxfId="190"/>
    </tableStyle>
    <tableStyle name="Macroprocesos-Procesos-style 9" pivot="0" count="3">
      <tableStyleElement type="headerRow" dxfId="189"/>
      <tableStyleElement type="firstRowStripe" dxfId="188"/>
      <tableStyleElement type="secondRowStripe" dxfId="187"/>
    </tableStyle>
  </tableStyles>
  <colors>
    <mruColors>
      <color rgb="FFFF2500"/>
      <color rgb="FFFFC000"/>
      <color rgb="FFFFFC66"/>
      <color rgb="FF01B150"/>
      <color rgb="FFADDB7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externalLink" Target="externalLinks/externalLink2.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17/10/relationships/person" Target="persons/person.xml"/><Relationship Id="rId5" Type="http://schemas.openxmlformats.org/officeDocument/2006/relationships/worksheet" Target="worksheets/sheet5.xml"/><Relationship Id="rId15" Type="http://schemas.openxmlformats.org/officeDocument/2006/relationships/externalLink" Target="externalLinks/externalLink1.xml"/><Relationship Id="rId23"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542925</xdr:colOff>
      <xdr:row>7</xdr:row>
      <xdr:rowOff>76200</xdr:rowOff>
    </xdr:from>
    <xdr:ext cx="1457325" cy="1266825"/>
    <xdr:pic>
      <xdr:nvPicPr>
        <xdr:cNvPr id="2" name="image1.png" title="Imagen">
          <a:extLst>
            <a:ext uri="{FF2B5EF4-FFF2-40B4-BE49-F238E27FC236}">
              <a16:creationId xmlns:a16="http://schemas.microsoft.com/office/drawing/2014/main" id="{2173A8E6-E4B4-9445-A5FE-45C1BFB16599}"/>
            </a:ext>
          </a:extLst>
        </xdr:cNvPr>
        <xdr:cNvPicPr preferRelativeResize="0"/>
      </xdr:nvPicPr>
      <xdr:blipFill>
        <a:blip xmlns:r="http://schemas.openxmlformats.org/officeDocument/2006/relationships" r:embed="rId1" cstate="print"/>
        <a:stretch>
          <a:fillRect/>
        </a:stretch>
      </xdr:blipFill>
      <xdr:spPr>
        <a:xfrm>
          <a:off x="542925" y="76200"/>
          <a:ext cx="1457325" cy="1266825"/>
        </a:xfrm>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twoCellAnchor editAs="oneCell">
    <xdr:from>
      <xdr:col>4</xdr:col>
      <xdr:colOff>0</xdr:colOff>
      <xdr:row>127</xdr:row>
      <xdr:rowOff>0</xdr:rowOff>
    </xdr:from>
    <xdr:to>
      <xdr:col>4</xdr:col>
      <xdr:colOff>90438</xdr:colOff>
      <xdr:row>132</xdr:row>
      <xdr:rowOff>41459</xdr:rowOff>
    </xdr:to>
    <xdr:sp macro="" textlink="">
      <xdr:nvSpPr>
        <xdr:cNvPr id="6238" name="Text Box 15">
          <a:extLst>
            <a:ext uri="{FF2B5EF4-FFF2-40B4-BE49-F238E27FC236}">
              <a16:creationId xmlns:a16="http://schemas.microsoft.com/office/drawing/2014/main" id="{00000000-0008-0000-0500-00005E180000}"/>
            </a:ext>
          </a:extLst>
        </xdr:cNvPr>
        <xdr:cNvSpPr txBox="1">
          <a:spLocks noChangeArrowheads="1"/>
        </xdr:cNvSpPr>
      </xdr:nvSpPr>
      <xdr:spPr bwMode="auto">
        <a:xfrm>
          <a:off x="7200900" y="5667375"/>
          <a:ext cx="95250" cy="21907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4</xdr:col>
      <xdr:colOff>0</xdr:colOff>
      <xdr:row>8</xdr:row>
      <xdr:rowOff>0</xdr:rowOff>
    </xdr:from>
    <xdr:to>
      <xdr:col>4</xdr:col>
      <xdr:colOff>95250</xdr:colOff>
      <xdr:row>8</xdr:row>
      <xdr:rowOff>25947</xdr:rowOff>
    </xdr:to>
    <xdr:sp macro="" textlink="">
      <xdr:nvSpPr>
        <xdr:cNvPr id="6239" name="Text Box 16">
          <a:extLst>
            <a:ext uri="{FF2B5EF4-FFF2-40B4-BE49-F238E27FC236}">
              <a16:creationId xmlns:a16="http://schemas.microsoft.com/office/drawing/2014/main" id="{00000000-0008-0000-0500-00005F180000}"/>
            </a:ext>
          </a:extLst>
        </xdr:cNvPr>
        <xdr:cNvSpPr txBox="1">
          <a:spLocks noChangeArrowheads="1"/>
        </xdr:cNvSpPr>
      </xdr:nvSpPr>
      <xdr:spPr bwMode="auto">
        <a:xfrm>
          <a:off x="8543925" y="6134100"/>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4</xdr:col>
      <xdr:colOff>0</xdr:colOff>
      <xdr:row>8</xdr:row>
      <xdr:rowOff>0</xdr:rowOff>
    </xdr:from>
    <xdr:to>
      <xdr:col>4</xdr:col>
      <xdr:colOff>95250</xdr:colOff>
      <xdr:row>8</xdr:row>
      <xdr:rowOff>25947</xdr:rowOff>
    </xdr:to>
    <xdr:sp macro="" textlink="">
      <xdr:nvSpPr>
        <xdr:cNvPr id="6240" name="Text Box 17">
          <a:extLst>
            <a:ext uri="{FF2B5EF4-FFF2-40B4-BE49-F238E27FC236}">
              <a16:creationId xmlns:a16="http://schemas.microsoft.com/office/drawing/2014/main" id="{00000000-0008-0000-0500-000060180000}"/>
            </a:ext>
          </a:extLst>
        </xdr:cNvPr>
        <xdr:cNvSpPr txBox="1">
          <a:spLocks noChangeArrowheads="1"/>
        </xdr:cNvSpPr>
      </xdr:nvSpPr>
      <xdr:spPr bwMode="auto">
        <a:xfrm>
          <a:off x="8543925" y="6134100"/>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4</xdr:col>
      <xdr:colOff>0</xdr:colOff>
      <xdr:row>8</xdr:row>
      <xdr:rowOff>0</xdr:rowOff>
    </xdr:from>
    <xdr:to>
      <xdr:col>4</xdr:col>
      <xdr:colOff>95250</xdr:colOff>
      <xdr:row>8</xdr:row>
      <xdr:rowOff>25947</xdr:rowOff>
    </xdr:to>
    <xdr:sp macro="" textlink="">
      <xdr:nvSpPr>
        <xdr:cNvPr id="6241" name="Text Box 18">
          <a:extLst>
            <a:ext uri="{FF2B5EF4-FFF2-40B4-BE49-F238E27FC236}">
              <a16:creationId xmlns:a16="http://schemas.microsoft.com/office/drawing/2014/main" id="{00000000-0008-0000-0500-000061180000}"/>
            </a:ext>
          </a:extLst>
        </xdr:cNvPr>
        <xdr:cNvSpPr txBox="1">
          <a:spLocks noChangeArrowheads="1"/>
        </xdr:cNvSpPr>
      </xdr:nvSpPr>
      <xdr:spPr bwMode="auto">
        <a:xfrm>
          <a:off x="8543925" y="6134100"/>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4</xdr:col>
      <xdr:colOff>0</xdr:colOff>
      <xdr:row>8</xdr:row>
      <xdr:rowOff>0</xdr:rowOff>
    </xdr:from>
    <xdr:to>
      <xdr:col>4</xdr:col>
      <xdr:colOff>95250</xdr:colOff>
      <xdr:row>8</xdr:row>
      <xdr:rowOff>25947</xdr:rowOff>
    </xdr:to>
    <xdr:sp macro="" textlink="">
      <xdr:nvSpPr>
        <xdr:cNvPr id="6242" name="Text Box 19">
          <a:extLst>
            <a:ext uri="{FF2B5EF4-FFF2-40B4-BE49-F238E27FC236}">
              <a16:creationId xmlns:a16="http://schemas.microsoft.com/office/drawing/2014/main" id="{00000000-0008-0000-0500-000062180000}"/>
            </a:ext>
          </a:extLst>
        </xdr:cNvPr>
        <xdr:cNvSpPr txBox="1">
          <a:spLocks noChangeArrowheads="1"/>
        </xdr:cNvSpPr>
      </xdr:nvSpPr>
      <xdr:spPr bwMode="auto">
        <a:xfrm>
          <a:off x="8543925" y="6134100"/>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4</xdr:col>
      <xdr:colOff>0</xdr:colOff>
      <xdr:row>8</xdr:row>
      <xdr:rowOff>0</xdr:rowOff>
    </xdr:from>
    <xdr:to>
      <xdr:col>4</xdr:col>
      <xdr:colOff>95250</xdr:colOff>
      <xdr:row>8</xdr:row>
      <xdr:rowOff>25947</xdr:rowOff>
    </xdr:to>
    <xdr:sp macro="" textlink="">
      <xdr:nvSpPr>
        <xdr:cNvPr id="9" name="Text Box 15">
          <a:extLst>
            <a:ext uri="{FF2B5EF4-FFF2-40B4-BE49-F238E27FC236}">
              <a16:creationId xmlns:a16="http://schemas.microsoft.com/office/drawing/2014/main" id="{00000000-0008-0000-0500-000009000000}"/>
            </a:ext>
          </a:extLst>
        </xdr:cNvPr>
        <xdr:cNvSpPr txBox="1">
          <a:spLocks noChangeArrowheads="1"/>
        </xdr:cNvSpPr>
      </xdr:nvSpPr>
      <xdr:spPr bwMode="auto">
        <a:xfrm>
          <a:off x="8568418" y="4423682"/>
          <a:ext cx="95250" cy="21907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oneCellAnchor>
    <xdr:from>
      <xdr:col>4</xdr:col>
      <xdr:colOff>0</xdr:colOff>
      <xdr:row>127</xdr:row>
      <xdr:rowOff>0</xdr:rowOff>
    </xdr:from>
    <xdr:ext cx="95250" cy="213632"/>
    <xdr:sp macro="" textlink="">
      <xdr:nvSpPr>
        <xdr:cNvPr id="11" name="Text Box 15">
          <a:extLst>
            <a:ext uri="{FF2B5EF4-FFF2-40B4-BE49-F238E27FC236}">
              <a16:creationId xmlns:a16="http://schemas.microsoft.com/office/drawing/2014/main" id="{00000000-0008-0000-0500-00000B000000}"/>
            </a:ext>
          </a:extLst>
        </xdr:cNvPr>
        <xdr:cNvSpPr txBox="1">
          <a:spLocks noChangeArrowheads="1"/>
        </xdr:cNvSpPr>
      </xdr:nvSpPr>
      <xdr:spPr bwMode="auto">
        <a:xfrm>
          <a:off x="7391400" y="5886450"/>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213632"/>
    <xdr:sp macro="" textlink="">
      <xdr:nvSpPr>
        <xdr:cNvPr id="12" name="Text Box 15">
          <a:extLst>
            <a:ext uri="{FF2B5EF4-FFF2-40B4-BE49-F238E27FC236}">
              <a16:creationId xmlns:a16="http://schemas.microsoft.com/office/drawing/2014/main" id="{00000000-0008-0000-0500-00000C000000}"/>
            </a:ext>
          </a:extLst>
        </xdr:cNvPr>
        <xdr:cNvSpPr txBox="1">
          <a:spLocks noChangeArrowheads="1"/>
        </xdr:cNvSpPr>
      </xdr:nvSpPr>
      <xdr:spPr bwMode="auto">
        <a:xfrm>
          <a:off x="7391400" y="639127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213632"/>
    <xdr:sp macro="" textlink="">
      <xdr:nvSpPr>
        <xdr:cNvPr id="13" name="Text Box 15">
          <a:extLst>
            <a:ext uri="{FF2B5EF4-FFF2-40B4-BE49-F238E27FC236}">
              <a16:creationId xmlns:a16="http://schemas.microsoft.com/office/drawing/2014/main" id="{00000000-0008-0000-0500-00000D000000}"/>
            </a:ext>
          </a:extLst>
        </xdr:cNvPr>
        <xdr:cNvSpPr txBox="1">
          <a:spLocks noChangeArrowheads="1"/>
        </xdr:cNvSpPr>
      </xdr:nvSpPr>
      <xdr:spPr bwMode="auto">
        <a:xfrm>
          <a:off x="7391400" y="5886450"/>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213632"/>
    <xdr:sp macro="" textlink="">
      <xdr:nvSpPr>
        <xdr:cNvPr id="14" name="Text Box 15">
          <a:extLst>
            <a:ext uri="{FF2B5EF4-FFF2-40B4-BE49-F238E27FC236}">
              <a16:creationId xmlns:a16="http://schemas.microsoft.com/office/drawing/2014/main" id="{00000000-0008-0000-0500-00000E000000}"/>
            </a:ext>
          </a:extLst>
        </xdr:cNvPr>
        <xdr:cNvSpPr txBox="1">
          <a:spLocks noChangeArrowheads="1"/>
        </xdr:cNvSpPr>
      </xdr:nvSpPr>
      <xdr:spPr bwMode="auto">
        <a:xfrm>
          <a:off x="7391400" y="639127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213632"/>
    <xdr:sp macro="" textlink="">
      <xdr:nvSpPr>
        <xdr:cNvPr id="15" name="Text Box 15">
          <a:extLst>
            <a:ext uri="{FF2B5EF4-FFF2-40B4-BE49-F238E27FC236}">
              <a16:creationId xmlns:a16="http://schemas.microsoft.com/office/drawing/2014/main" id="{00000000-0008-0000-0500-00000F000000}"/>
            </a:ext>
          </a:extLst>
        </xdr:cNvPr>
        <xdr:cNvSpPr txBox="1">
          <a:spLocks noChangeArrowheads="1"/>
        </xdr:cNvSpPr>
      </xdr:nvSpPr>
      <xdr:spPr bwMode="auto">
        <a:xfrm>
          <a:off x="7391400" y="5886450"/>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213632"/>
    <xdr:sp macro="" textlink="">
      <xdr:nvSpPr>
        <xdr:cNvPr id="16" name="Text Box 15">
          <a:extLst>
            <a:ext uri="{FF2B5EF4-FFF2-40B4-BE49-F238E27FC236}">
              <a16:creationId xmlns:a16="http://schemas.microsoft.com/office/drawing/2014/main" id="{00000000-0008-0000-0500-000010000000}"/>
            </a:ext>
          </a:extLst>
        </xdr:cNvPr>
        <xdr:cNvSpPr txBox="1">
          <a:spLocks noChangeArrowheads="1"/>
        </xdr:cNvSpPr>
      </xdr:nvSpPr>
      <xdr:spPr bwMode="auto">
        <a:xfrm>
          <a:off x="7391400" y="639127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213632"/>
    <xdr:sp macro="" textlink="">
      <xdr:nvSpPr>
        <xdr:cNvPr id="17" name="Text Box 15">
          <a:extLst>
            <a:ext uri="{FF2B5EF4-FFF2-40B4-BE49-F238E27FC236}">
              <a16:creationId xmlns:a16="http://schemas.microsoft.com/office/drawing/2014/main" id="{00000000-0008-0000-0500-000011000000}"/>
            </a:ext>
          </a:extLst>
        </xdr:cNvPr>
        <xdr:cNvSpPr txBox="1">
          <a:spLocks noChangeArrowheads="1"/>
        </xdr:cNvSpPr>
      </xdr:nvSpPr>
      <xdr:spPr bwMode="auto">
        <a:xfrm>
          <a:off x="7391400" y="5886450"/>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213632"/>
    <xdr:sp macro="" textlink="">
      <xdr:nvSpPr>
        <xdr:cNvPr id="18" name="Text Box 15">
          <a:extLst>
            <a:ext uri="{FF2B5EF4-FFF2-40B4-BE49-F238E27FC236}">
              <a16:creationId xmlns:a16="http://schemas.microsoft.com/office/drawing/2014/main" id="{00000000-0008-0000-0500-000012000000}"/>
            </a:ext>
          </a:extLst>
        </xdr:cNvPr>
        <xdr:cNvSpPr txBox="1">
          <a:spLocks noChangeArrowheads="1"/>
        </xdr:cNvSpPr>
      </xdr:nvSpPr>
      <xdr:spPr bwMode="auto">
        <a:xfrm>
          <a:off x="7391400" y="639127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213632"/>
    <xdr:sp macro="" textlink="">
      <xdr:nvSpPr>
        <xdr:cNvPr id="19" name="Text Box 15">
          <a:extLst>
            <a:ext uri="{FF2B5EF4-FFF2-40B4-BE49-F238E27FC236}">
              <a16:creationId xmlns:a16="http://schemas.microsoft.com/office/drawing/2014/main" id="{00000000-0008-0000-0500-000013000000}"/>
            </a:ext>
          </a:extLst>
        </xdr:cNvPr>
        <xdr:cNvSpPr txBox="1">
          <a:spLocks noChangeArrowheads="1"/>
        </xdr:cNvSpPr>
      </xdr:nvSpPr>
      <xdr:spPr bwMode="auto">
        <a:xfrm>
          <a:off x="7391400" y="5886450"/>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213632"/>
    <xdr:sp macro="" textlink="">
      <xdr:nvSpPr>
        <xdr:cNvPr id="20" name="Text Box 15">
          <a:extLst>
            <a:ext uri="{FF2B5EF4-FFF2-40B4-BE49-F238E27FC236}">
              <a16:creationId xmlns:a16="http://schemas.microsoft.com/office/drawing/2014/main" id="{00000000-0008-0000-0500-000014000000}"/>
            </a:ext>
          </a:extLst>
        </xdr:cNvPr>
        <xdr:cNvSpPr txBox="1">
          <a:spLocks noChangeArrowheads="1"/>
        </xdr:cNvSpPr>
      </xdr:nvSpPr>
      <xdr:spPr bwMode="auto">
        <a:xfrm>
          <a:off x="7391400" y="639127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213632"/>
    <xdr:sp macro="" textlink="">
      <xdr:nvSpPr>
        <xdr:cNvPr id="21" name="Text Box 15">
          <a:extLst>
            <a:ext uri="{FF2B5EF4-FFF2-40B4-BE49-F238E27FC236}">
              <a16:creationId xmlns:a16="http://schemas.microsoft.com/office/drawing/2014/main" id="{00000000-0008-0000-0500-000015000000}"/>
            </a:ext>
          </a:extLst>
        </xdr:cNvPr>
        <xdr:cNvSpPr txBox="1">
          <a:spLocks noChangeArrowheads="1"/>
        </xdr:cNvSpPr>
      </xdr:nvSpPr>
      <xdr:spPr bwMode="auto">
        <a:xfrm>
          <a:off x="7391400" y="772477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213632"/>
    <xdr:sp macro="" textlink="">
      <xdr:nvSpPr>
        <xdr:cNvPr id="22" name="Text Box 15">
          <a:extLst>
            <a:ext uri="{FF2B5EF4-FFF2-40B4-BE49-F238E27FC236}">
              <a16:creationId xmlns:a16="http://schemas.microsoft.com/office/drawing/2014/main" id="{00000000-0008-0000-0500-000016000000}"/>
            </a:ext>
          </a:extLst>
        </xdr:cNvPr>
        <xdr:cNvSpPr txBox="1">
          <a:spLocks noChangeArrowheads="1"/>
        </xdr:cNvSpPr>
      </xdr:nvSpPr>
      <xdr:spPr bwMode="auto">
        <a:xfrm>
          <a:off x="7391400" y="772477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213632"/>
    <xdr:sp macro="" textlink="">
      <xdr:nvSpPr>
        <xdr:cNvPr id="23" name="Text Box 15">
          <a:extLst>
            <a:ext uri="{FF2B5EF4-FFF2-40B4-BE49-F238E27FC236}">
              <a16:creationId xmlns:a16="http://schemas.microsoft.com/office/drawing/2014/main" id="{00000000-0008-0000-0500-000017000000}"/>
            </a:ext>
          </a:extLst>
        </xdr:cNvPr>
        <xdr:cNvSpPr txBox="1">
          <a:spLocks noChangeArrowheads="1"/>
        </xdr:cNvSpPr>
      </xdr:nvSpPr>
      <xdr:spPr bwMode="auto">
        <a:xfrm>
          <a:off x="7391400" y="772477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213632"/>
    <xdr:sp macro="" textlink="">
      <xdr:nvSpPr>
        <xdr:cNvPr id="24" name="Text Box 15">
          <a:extLst>
            <a:ext uri="{FF2B5EF4-FFF2-40B4-BE49-F238E27FC236}">
              <a16:creationId xmlns:a16="http://schemas.microsoft.com/office/drawing/2014/main" id="{00000000-0008-0000-0500-000018000000}"/>
            </a:ext>
          </a:extLst>
        </xdr:cNvPr>
        <xdr:cNvSpPr txBox="1">
          <a:spLocks noChangeArrowheads="1"/>
        </xdr:cNvSpPr>
      </xdr:nvSpPr>
      <xdr:spPr bwMode="auto">
        <a:xfrm>
          <a:off x="7391400" y="772477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171450"/>
    <xdr:sp macro="" textlink="">
      <xdr:nvSpPr>
        <xdr:cNvPr id="26" name="Text Box 16">
          <a:extLst>
            <a:ext uri="{FF2B5EF4-FFF2-40B4-BE49-F238E27FC236}">
              <a16:creationId xmlns:a16="http://schemas.microsoft.com/office/drawing/2014/main" id="{00000000-0008-0000-0500-00001A000000}"/>
            </a:ext>
          </a:extLst>
        </xdr:cNvPr>
        <xdr:cNvSpPr txBox="1">
          <a:spLocks noChangeArrowheads="1"/>
        </xdr:cNvSpPr>
      </xdr:nvSpPr>
      <xdr:spPr bwMode="auto">
        <a:xfrm>
          <a:off x="7391400" y="442912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171450"/>
    <xdr:sp macro="" textlink="">
      <xdr:nvSpPr>
        <xdr:cNvPr id="27" name="Text Box 17">
          <a:extLst>
            <a:ext uri="{FF2B5EF4-FFF2-40B4-BE49-F238E27FC236}">
              <a16:creationId xmlns:a16="http://schemas.microsoft.com/office/drawing/2014/main" id="{00000000-0008-0000-0500-00001B000000}"/>
            </a:ext>
          </a:extLst>
        </xdr:cNvPr>
        <xdr:cNvSpPr txBox="1">
          <a:spLocks noChangeArrowheads="1"/>
        </xdr:cNvSpPr>
      </xdr:nvSpPr>
      <xdr:spPr bwMode="auto">
        <a:xfrm>
          <a:off x="7391400" y="442912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171450"/>
    <xdr:sp macro="" textlink="">
      <xdr:nvSpPr>
        <xdr:cNvPr id="28" name="Text Box 18">
          <a:extLst>
            <a:ext uri="{FF2B5EF4-FFF2-40B4-BE49-F238E27FC236}">
              <a16:creationId xmlns:a16="http://schemas.microsoft.com/office/drawing/2014/main" id="{00000000-0008-0000-0500-00001C000000}"/>
            </a:ext>
          </a:extLst>
        </xdr:cNvPr>
        <xdr:cNvSpPr txBox="1">
          <a:spLocks noChangeArrowheads="1"/>
        </xdr:cNvSpPr>
      </xdr:nvSpPr>
      <xdr:spPr bwMode="auto">
        <a:xfrm>
          <a:off x="7391400" y="442912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171450"/>
    <xdr:sp macro="" textlink="">
      <xdr:nvSpPr>
        <xdr:cNvPr id="29" name="Text Box 19">
          <a:extLst>
            <a:ext uri="{FF2B5EF4-FFF2-40B4-BE49-F238E27FC236}">
              <a16:creationId xmlns:a16="http://schemas.microsoft.com/office/drawing/2014/main" id="{00000000-0008-0000-0500-00001D000000}"/>
            </a:ext>
          </a:extLst>
        </xdr:cNvPr>
        <xdr:cNvSpPr txBox="1">
          <a:spLocks noChangeArrowheads="1"/>
        </xdr:cNvSpPr>
      </xdr:nvSpPr>
      <xdr:spPr bwMode="auto">
        <a:xfrm>
          <a:off x="7391400" y="442912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1034143</xdr:colOff>
      <xdr:row>127</xdr:row>
      <xdr:rowOff>0</xdr:rowOff>
    </xdr:from>
    <xdr:ext cx="95250" cy="213632"/>
    <xdr:sp macro="" textlink="">
      <xdr:nvSpPr>
        <xdr:cNvPr id="30" name="Text Box 15">
          <a:extLst>
            <a:ext uri="{FF2B5EF4-FFF2-40B4-BE49-F238E27FC236}">
              <a16:creationId xmlns:a16="http://schemas.microsoft.com/office/drawing/2014/main" id="{00000000-0008-0000-0500-00001E000000}"/>
            </a:ext>
          </a:extLst>
        </xdr:cNvPr>
        <xdr:cNvSpPr txBox="1">
          <a:spLocks noChangeArrowheads="1"/>
        </xdr:cNvSpPr>
      </xdr:nvSpPr>
      <xdr:spPr bwMode="auto">
        <a:xfrm>
          <a:off x="10014857" y="9825718"/>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171450"/>
    <xdr:sp macro="" textlink="">
      <xdr:nvSpPr>
        <xdr:cNvPr id="31" name="Text Box 16">
          <a:extLst>
            <a:ext uri="{FF2B5EF4-FFF2-40B4-BE49-F238E27FC236}">
              <a16:creationId xmlns:a16="http://schemas.microsoft.com/office/drawing/2014/main" id="{00000000-0008-0000-0500-00001F000000}"/>
            </a:ext>
          </a:extLst>
        </xdr:cNvPr>
        <xdr:cNvSpPr txBox="1">
          <a:spLocks noChangeArrowheads="1"/>
        </xdr:cNvSpPr>
      </xdr:nvSpPr>
      <xdr:spPr bwMode="auto">
        <a:xfrm>
          <a:off x="7391400" y="442912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171450"/>
    <xdr:sp macro="" textlink="">
      <xdr:nvSpPr>
        <xdr:cNvPr id="32" name="Text Box 17">
          <a:extLst>
            <a:ext uri="{FF2B5EF4-FFF2-40B4-BE49-F238E27FC236}">
              <a16:creationId xmlns:a16="http://schemas.microsoft.com/office/drawing/2014/main" id="{00000000-0008-0000-0500-000020000000}"/>
            </a:ext>
          </a:extLst>
        </xdr:cNvPr>
        <xdr:cNvSpPr txBox="1">
          <a:spLocks noChangeArrowheads="1"/>
        </xdr:cNvSpPr>
      </xdr:nvSpPr>
      <xdr:spPr bwMode="auto">
        <a:xfrm>
          <a:off x="7391400" y="442912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171450"/>
    <xdr:sp macro="" textlink="">
      <xdr:nvSpPr>
        <xdr:cNvPr id="33" name="Text Box 18">
          <a:extLst>
            <a:ext uri="{FF2B5EF4-FFF2-40B4-BE49-F238E27FC236}">
              <a16:creationId xmlns:a16="http://schemas.microsoft.com/office/drawing/2014/main" id="{00000000-0008-0000-0500-000021000000}"/>
            </a:ext>
          </a:extLst>
        </xdr:cNvPr>
        <xdr:cNvSpPr txBox="1">
          <a:spLocks noChangeArrowheads="1"/>
        </xdr:cNvSpPr>
      </xdr:nvSpPr>
      <xdr:spPr bwMode="auto">
        <a:xfrm>
          <a:off x="7391400" y="442912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171450"/>
    <xdr:sp macro="" textlink="">
      <xdr:nvSpPr>
        <xdr:cNvPr id="34" name="Text Box 19">
          <a:extLst>
            <a:ext uri="{FF2B5EF4-FFF2-40B4-BE49-F238E27FC236}">
              <a16:creationId xmlns:a16="http://schemas.microsoft.com/office/drawing/2014/main" id="{00000000-0008-0000-0500-000022000000}"/>
            </a:ext>
          </a:extLst>
        </xdr:cNvPr>
        <xdr:cNvSpPr txBox="1">
          <a:spLocks noChangeArrowheads="1"/>
        </xdr:cNvSpPr>
      </xdr:nvSpPr>
      <xdr:spPr bwMode="auto">
        <a:xfrm>
          <a:off x="7391400" y="442912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213632"/>
    <xdr:sp macro="" textlink="">
      <xdr:nvSpPr>
        <xdr:cNvPr id="35" name="Text Box 15">
          <a:extLst>
            <a:ext uri="{FF2B5EF4-FFF2-40B4-BE49-F238E27FC236}">
              <a16:creationId xmlns:a16="http://schemas.microsoft.com/office/drawing/2014/main" id="{00000000-0008-0000-0500-000023000000}"/>
            </a:ext>
          </a:extLst>
        </xdr:cNvPr>
        <xdr:cNvSpPr txBox="1">
          <a:spLocks noChangeArrowheads="1"/>
        </xdr:cNvSpPr>
      </xdr:nvSpPr>
      <xdr:spPr bwMode="auto">
        <a:xfrm>
          <a:off x="7391400" y="4933950"/>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xdr:row>
      <xdr:rowOff>0</xdr:rowOff>
    </xdr:from>
    <xdr:ext cx="95250" cy="171450"/>
    <xdr:sp macro="" textlink="">
      <xdr:nvSpPr>
        <xdr:cNvPr id="41" name="Text Box 16">
          <a:extLst>
            <a:ext uri="{FF2B5EF4-FFF2-40B4-BE49-F238E27FC236}">
              <a16:creationId xmlns:a16="http://schemas.microsoft.com/office/drawing/2014/main" id="{00000000-0008-0000-0500-000029000000}"/>
            </a:ext>
          </a:extLst>
        </xdr:cNvPr>
        <xdr:cNvSpPr txBox="1">
          <a:spLocks noChangeArrowheads="1"/>
        </xdr:cNvSpPr>
      </xdr:nvSpPr>
      <xdr:spPr bwMode="auto">
        <a:xfrm>
          <a:off x="10527434" y="5449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xdr:row>
      <xdr:rowOff>0</xdr:rowOff>
    </xdr:from>
    <xdr:ext cx="95250" cy="171450"/>
    <xdr:sp macro="" textlink="">
      <xdr:nvSpPr>
        <xdr:cNvPr id="42" name="Text Box 17">
          <a:extLst>
            <a:ext uri="{FF2B5EF4-FFF2-40B4-BE49-F238E27FC236}">
              <a16:creationId xmlns:a16="http://schemas.microsoft.com/office/drawing/2014/main" id="{00000000-0008-0000-0500-00002A000000}"/>
            </a:ext>
          </a:extLst>
        </xdr:cNvPr>
        <xdr:cNvSpPr txBox="1">
          <a:spLocks noChangeArrowheads="1"/>
        </xdr:cNvSpPr>
      </xdr:nvSpPr>
      <xdr:spPr bwMode="auto">
        <a:xfrm>
          <a:off x="10527434" y="5449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xdr:row>
      <xdr:rowOff>0</xdr:rowOff>
    </xdr:from>
    <xdr:ext cx="95250" cy="171450"/>
    <xdr:sp macro="" textlink="">
      <xdr:nvSpPr>
        <xdr:cNvPr id="43" name="Text Box 18">
          <a:extLst>
            <a:ext uri="{FF2B5EF4-FFF2-40B4-BE49-F238E27FC236}">
              <a16:creationId xmlns:a16="http://schemas.microsoft.com/office/drawing/2014/main" id="{00000000-0008-0000-0500-00002B000000}"/>
            </a:ext>
          </a:extLst>
        </xdr:cNvPr>
        <xdr:cNvSpPr txBox="1">
          <a:spLocks noChangeArrowheads="1"/>
        </xdr:cNvSpPr>
      </xdr:nvSpPr>
      <xdr:spPr bwMode="auto">
        <a:xfrm>
          <a:off x="10527434" y="5449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xdr:row>
      <xdr:rowOff>0</xdr:rowOff>
    </xdr:from>
    <xdr:ext cx="95250" cy="171450"/>
    <xdr:sp macro="" textlink="">
      <xdr:nvSpPr>
        <xdr:cNvPr id="44" name="Text Box 19">
          <a:extLst>
            <a:ext uri="{FF2B5EF4-FFF2-40B4-BE49-F238E27FC236}">
              <a16:creationId xmlns:a16="http://schemas.microsoft.com/office/drawing/2014/main" id="{00000000-0008-0000-0500-00002C000000}"/>
            </a:ext>
          </a:extLst>
        </xdr:cNvPr>
        <xdr:cNvSpPr txBox="1">
          <a:spLocks noChangeArrowheads="1"/>
        </xdr:cNvSpPr>
      </xdr:nvSpPr>
      <xdr:spPr bwMode="auto">
        <a:xfrm>
          <a:off x="10527434" y="5449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xdr:row>
      <xdr:rowOff>504825</xdr:rowOff>
    </xdr:from>
    <xdr:ext cx="95250" cy="442269"/>
    <xdr:sp macro="" textlink="">
      <xdr:nvSpPr>
        <xdr:cNvPr id="45" name="Text Box 15">
          <a:extLst>
            <a:ext uri="{FF2B5EF4-FFF2-40B4-BE49-F238E27FC236}">
              <a16:creationId xmlns:a16="http://schemas.microsoft.com/office/drawing/2014/main" id="{00000000-0008-0000-0500-00002D000000}"/>
            </a:ext>
          </a:extLst>
        </xdr:cNvPr>
        <xdr:cNvSpPr txBox="1">
          <a:spLocks noChangeArrowheads="1"/>
        </xdr:cNvSpPr>
      </xdr:nvSpPr>
      <xdr:spPr bwMode="auto">
        <a:xfrm>
          <a:off x="10527434" y="5954280"/>
          <a:ext cx="95250" cy="442269"/>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127</xdr:row>
      <xdr:rowOff>0</xdr:rowOff>
    </xdr:from>
    <xdr:ext cx="95250" cy="213632"/>
    <xdr:sp macro="" textlink="">
      <xdr:nvSpPr>
        <xdr:cNvPr id="46" name="Text Box 15">
          <a:extLst>
            <a:ext uri="{FF2B5EF4-FFF2-40B4-BE49-F238E27FC236}">
              <a16:creationId xmlns:a16="http://schemas.microsoft.com/office/drawing/2014/main" id="{00000000-0008-0000-0500-00002E000000}"/>
            </a:ext>
          </a:extLst>
        </xdr:cNvPr>
        <xdr:cNvSpPr txBox="1">
          <a:spLocks noChangeArrowheads="1"/>
        </xdr:cNvSpPr>
      </xdr:nvSpPr>
      <xdr:spPr bwMode="auto">
        <a:xfrm>
          <a:off x="10527434" y="780155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127</xdr:row>
      <xdr:rowOff>0</xdr:rowOff>
    </xdr:from>
    <xdr:ext cx="95250" cy="213632"/>
    <xdr:sp macro="" textlink="">
      <xdr:nvSpPr>
        <xdr:cNvPr id="47" name="Text Box 15">
          <a:extLst>
            <a:ext uri="{FF2B5EF4-FFF2-40B4-BE49-F238E27FC236}">
              <a16:creationId xmlns:a16="http://schemas.microsoft.com/office/drawing/2014/main" id="{00000000-0008-0000-0500-00002F000000}"/>
            </a:ext>
          </a:extLst>
        </xdr:cNvPr>
        <xdr:cNvSpPr txBox="1">
          <a:spLocks noChangeArrowheads="1"/>
        </xdr:cNvSpPr>
      </xdr:nvSpPr>
      <xdr:spPr bwMode="auto">
        <a:xfrm>
          <a:off x="10527434" y="8875280"/>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127</xdr:row>
      <xdr:rowOff>0</xdr:rowOff>
    </xdr:from>
    <xdr:ext cx="95250" cy="213632"/>
    <xdr:sp macro="" textlink="">
      <xdr:nvSpPr>
        <xdr:cNvPr id="48" name="Text Box 15">
          <a:extLst>
            <a:ext uri="{FF2B5EF4-FFF2-40B4-BE49-F238E27FC236}">
              <a16:creationId xmlns:a16="http://schemas.microsoft.com/office/drawing/2014/main" id="{00000000-0008-0000-0500-000030000000}"/>
            </a:ext>
          </a:extLst>
        </xdr:cNvPr>
        <xdr:cNvSpPr txBox="1">
          <a:spLocks noChangeArrowheads="1"/>
        </xdr:cNvSpPr>
      </xdr:nvSpPr>
      <xdr:spPr bwMode="auto">
        <a:xfrm>
          <a:off x="10527434" y="8875280"/>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127</xdr:row>
      <xdr:rowOff>0</xdr:rowOff>
    </xdr:from>
    <xdr:ext cx="95250" cy="213632"/>
    <xdr:sp macro="" textlink="">
      <xdr:nvSpPr>
        <xdr:cNvPr id="49" name="Text Box 15">
          <a:extLst>
            <a:ext uri="{FF2B5EF4-FFF2-40B4-BE49-F238E27FC236}">
              <a16:creationId xmlns:a16="http://schemas.microsoft.com/office/drawing/2014/main" id="{00000000-0008-0000-0500-000031000000}"/>
            </a:ext>
          </a:extLst>
        </xdr:cNvPr>
        <xdr:cNvSpPr txBox="1">
          <a:spLocks noChangeArrowheads="1"/>
        </xdr:cNvSpPr>
      </xdr:nvSpPr>
      <xdr:spPr bwMode="auto">
        <a:xfrm>
          <a:off x="10527434" y="10295370"/>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127</xdr:row>
      <xdr:rowOff>0</xdr:rowOff>
    </xdr:from>
    <xdr:ext cx="95250" cy="213632"/>
    <xdr:sp macro="" textlink="">
      <xdr:nvSpPr>
        <xdr:cNvPr id="50" name="Text Box 15">
          <a:extLst>
            <a:ext uri="{FF2B5EF4-FFF2-40B4-BE49-F238E27FC236}">
              <a16:creationId xmlns:a16="http://schemas.microsoft.com/office/drawing/2014/main" id="{00000000-0008-0000-0500-000032000000}"/>
            </a:ext>
          </a:extLst>
        </xdr:cNvPr>
        <xdr:cNvSpPr txBox="1">
          <a:spLocks noChangeArrowheads="1"/>
        </xdr:cNvSpPr>
      </xdr:nvSpPr>
      <xdr:spPr bwMode="auto">
        <a:xfrm>
          <a:off x="10527434" y="10295370"/>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127</xdr:row>
      <xdr:rowOff>0</xdr:rowOff>
    </xdr:from>
    <xdr:ext cx="95250" cy="213632"/>
    <xdr:sp macro="" textlink="">
      <xdr:nvSpPr>
        <xdr:cNvPr id="51" name="Text Box 15">
          <a:extLst>
            <a:ext uri="{FF2B5EF4-FFF2-40B4-BE49-F238E27FC236}">
              <a16:creationId xmlns:a16="http://schemas.microsoft.com/office/drawing/2014/main" id="{00000000-0008-0000-0500-000033000000}"/>
            </a:ext>
          </a:extLst>
        </xdr:cNvPr>
        <xdr:cNvSpPr txBox="1">
          <a:spLocks noChangeArrowheads="1"/>
        </xdr:cNvSpPr>
      </xdr:nvSpPr>
      <xdr:spPr bwMode="auto">
        <a:xfrm>
          <a:off x="10527434" y="11068916"/>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127</xdr:row>
      <xdr:rowOff>0</xdr:rowOff>
    </xdr:from>
    <xdr:ext cx="95250" cy="213632"/>
    <xdr:sp macro="" textlink="">
      <xdr:nvSpPr>
        <xdr:cNvPr id="52" name="Text Box 15">
          <a:extLst>
            <a:ext uri="{FF2B5EF4-FFF2-40B4-BE49-F238E27FC236}">
              <a16:creationId xmlns:a16="http://schemas.microsoft.com/office/drawing/2014/main" id="{00000000-0008-0000-0500-000034000000}"/>
            </a:ext>
          </a:extLst>
        </xdr:cNvPr>
        <xdr:cNvSpPr txBox="1">
          <a:spLocks noChangeArrowheads="1"/>
        </xdr:cNvSpPr>
      </xdr:nvSpPr>
      <xdr:spPr bwMode="auto">
        <a:xfrm>
          <a:off x="10527434" y="11068916"/>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127</xdr:row>
      <xdr:rowOff>0</xdr:rowOff>
    </xdr:from>
    <xdr:ext cx="95250" cy="213632"/>
    <xdr:sp macro="" textlink="">
      <xdr:nvSpPr>
        <xdr:cNvPr id="53" name="Text Box 15">
          <a:extLst>
            <a:ext uri="{FF2B5EF4-FFF2-40B4-BE49-F238E27FC236}">
              <a16:creationId xmlns:a16="http://schemas.microsoft.com/office/drawing/2014/main" id="{00000000-0008-0000-0500-000035000000}"/>
            </a:ext>
          </a:extLst>
        </xdr:cNvPr>
        <xdr:cNvSpPr txBox="1">
          <a:spLocks noChangeArrowheads="1"/>
        </xdr:cNvSpPr>
      </xdr:nvSpPr>
      <xdr:spPr bwMode="auto">
        <a:xfrm>
          <a:off x="10527434" y="11787909"/>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127</xdr:row>
      <xdr:rowOff>0</xdr:rowOff>
    </xdr:from>
    <xdr:ext cx="95250" cy="213632"/>
    <xdr:sp macro="" textlink="">
      <xdr:nvSpPr>
        <xdr:cNvPr id="54" name="Text Box 15">
          <a:extLst>
            <a:ext uri="{FF2B5EF4-FFF2-40B4-BE49-F238E27FC236}">
              <a16:creationId xmlns:a16="http://schemas.microsoft.com/office/drawing/2014/main" id="{00000000-0008-0000-0500-000036000000}"/>
            </a:ext>
          </a:extLst>
        </xdr:cNvPr>
        <xdr:cNvSpPr txBox="1">
          <a:spLocks noChangeArrowheads="1"/>
        </xdr:cNvSpPr>
      </xdr:nvSpPr>
      <xdr:spPr bwMode="auto">
        <a:xfrm>
          <a:off x="10527434" y="11787909"/>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127</xdr:row>
      <xdr:rowOff>0</xdr:rowOff>
    </xdr:from>
    <xdr:ext cx="95250" cy="213632"/>
    <xdr:sp macro="" textlink="">
      <xdr:nvSpPr>
        <xdr:cNvPr id="55" name="Text Box 15">
          <a:extLst>
            <a:ext uri="{FF2B5EF4-FFF2-40B4-BE49-F238E27FC236}">
              <a16:creationId xmlns:a16="http://schemas.microsoft.com/office/drawing/2014/main" id="{00000000-0008-0000-0500-000037000000}"/>
            </a:ext>
          </a:extLst>
        </xdr:cNvPr>
        <xdr:cNvSpPr txBox="1">
          <a:spLocks noChangeArrowheads="1"/>
        </xdr:cNvSpPr>
      </xdr:nvSpPr>
      <xdr:spPr bwMode="auto">
        <a:xfrm>
          <a:off x="10527434" y="11787909"/>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127</xdr:row>
      <xdr:rowOff>0</xdr:rowOff>
    </xdr:from>
    <xdr:ext cx="95250" cy="213632"/>
    <xdr:sp macro="" textlink="">
      <xdr:nvSpPr>
        <xdr:cNvPr id="56" name="Text Box 15">
          <a:extLst>
            <a:ext uri="{FF2B5EF4-FFF2-40B4-BE49-F238E27FC236}">
              <a16:creationId xmlns:a16="http://schemas.microsoft.com/office/drawing/2014/main" id="{00000000-0008-0000-0500-000038000000}"/>
            </a:ext>
          </a:extLst>
        </xdr:cNvPr>
        <xdr:cNvSpPr txBox="1">
          <a:spLocks noChangeArrowheads="1"/>
        </xdr:cNvSpPr>
      </xdr:nvSpPr>
      <xdr:spPr bwMode="auto">
        <a:xfrm>
          <a:off x="10527434" y="11787909"/>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127</xdr:row>
      <xdr:rowOff>0</xdr:rowOff>
    </xdr:from>
    <xdr:ext cx="95250" cy="213632"/>
    <xdr:sp macro="" textlink="">
      <xdr:nvSpPr>
        <xdr:cNvPr id="57" name="Text Box 15">
          <a:extLst>
            <a:ext uri="{FF2B5EF4-FFF2-40B4-BE49-F238E27FC236}">
              <a16:creationId xmlns:a16="http://schemas.microsoft.com/office/drawing/2014/main" id="{00000000-0008-0000-0500-000039000000}"/>
            </a:ext>
          </a:extLst>
        </xdr:cNvPr>
        <xdr:cNvSpPr txBox="1">
          <a:spLocks noChangeArrowheads="1"/>
        </xdr:cNvSpPr>
      </xdr:nvSpPr>
      <xdr:spPr bwMode="auto">
        <a:xfrm>
          <a:off x="10527434" y="11787909"/>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127</xdr:row>
      <xdr:rowOff>0</xdr:rowOff>
    </xdr:from>
    <xdr:ext cx="95250" cy="213632"/>
    <xdr:sp macro="" textlink="">
      <xdr:nvSpPr>
        <xdr:cNvPr id="58" name="Text Box 15">
          <a:extLst>
            <a:ext uri="{FF2B5EF4-FFF2-40B4-BE49-F238E27FC236}">
              <a16:creationId xmlns:a16="http://schemas.microsoft.com/office/drawing/2014/main" id="{00000000-0008-0000-0500-00003A000000}"/>
            </a:ext>
          </a:extLst>
        </xdr:cNvPr>
        <xdr:cNvSpPr txBox="1">
          <a:spLocks noChangeArrowheads="1"/>
        </xdr:cNvSpPr>
      </xdr:nvSpPr>
      <xdr:spPr bwMode="auto">
        <a:xfrm>
          <a:off x="10527434" y="11787909"/>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127</xdr:row>
      <xdr:rowOff>0</xdr:rowOff>
    </xdr:from>
    <xdr:ext cx="95250" cy="213632"/>
    <xdr:sp macro="" textlink="">
      <xdr:nvSpPr>
        <xdr:cNvPr id="59" name="Text Box 15">
          <a:extLst>
            <a:ext uri="{FF2B5EF4-FFF2-40B4-BE49-F238E27FC236}">
              <a16:creationId xmlns:a16="http://schemas.microsoft.com/office/drawing/2014/main" id="{00000000-0008-0000-0500-00003B000000}"/>
            </a:ext>
          </a:extLst>
        </xdr:cNvPr>
        <xdr:cNvSpPr txBox="1">
          <a:spLocks noChangeArrowheads="1"/>
        </xdr:cNvSpPr>
      </xdr:nvSpPr>
      <xdr:spPr bwMode="auto">
        <a:xfrm>
          <a:off x="10527434" y="11787909"/>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127</xdr:row>
      <xdr:rowOff>0</xdr:rowOff>
    </xdr:from>
    <xdr:ext cx="95250" cy="171450"/>
    <xdr:sp macro="" textlink="">
      <xdr:nvSpPr>
        <xdr:cNvPr id="60" name="Text Box 16">
          <a:extLst>
            <a:ext uri="{FF2B5EF4-FFF2-40B4-BE49-F238E27FC236}">
              <a16:creationId xmlns:a16="http://schemas.microsoft.com/office/drawing/2014/main" id="{00000000-0008-0000-0500-00003C000000}"/>
            </a:ext>
          </a:extLst>
        </xdr:cNvPr>
        <xdr:cNvSpPr txBox="1">
          <a:spLocks noChangeArrowheads="1"/>
        </xdr:cNvSpPr>
      </xdr:nvSpPr>
      <xdr:spPr bwMode="auto">
        <a:xfrm>
          <a:off x="10527434" y="6223000"/>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127</xdr:row>
      <xdr:rowOff>0</xdr:rowOff>
    </xdr:from>
    <xdr:ext cx="95250" cy="171450"/>
    <xdr:sp macro="" textlink="">
      <xdr:nvSpPr>
        <xdr:cNvPr id="61" name="Text Box 17">
          <a:extLst>
            <a:ext uri="{FF2B5EF4-FFF2-40B4-BE49-F238E27FC236}">
              <a16:creationId xmlns:a16="http://schemas.microsoft.com/office/drawing/2014/main" id="{00000000-0008-0000-0500-00003D000000}"/>
            </a:ext>
          </a:extLst>
        </xdr:cNvPr>
        <xdr:cNvSpPr txBox="1">
          <a:spLocks noChangeArrowheads="1"/>
        </xdr:cNvSpPr>
      </xdr:nvSpPr>
      <xdr:spPr bwMode="auto">
        <a:xfrm>
          <a:off x="10527434" y="6223000"/>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127</xdr:row>
      <xdr:rowOff>0</xdr:rowOff>
    </xdr:from>
    <xdr:ext cx="95250" cy="171450"/>
    <xdr:sp macro="" textlink="">
      <xdr:nvSpPr>
        <xdr:cNvPr id="62" name="Text Box 18">
          <a:extLst>
            <a:ext uri="{FF2B5EF4-FFF2-40B4-BE49-F238E27FC236}">
              <a16:creationId xmlns:a16="http://schemas.microsoft.com/office/drawing/2014/main" id="{00000000-0008-0000-0500-00003E000000}"/>
            </a:ext>
          </a:extLst>
        </xdr:cNvPr>
        <xdr:cNvSpPr txBox="1">
          <a:spLocks noChangeArrowheads="1"/>
        </xdr:cNvSpPr>
      </xdr:nvSpPr>
      <xdr:spPr bwMode="auto">
        <a:xfrm>
          <a:off x="10527434" y="6223000"/>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127</xdr:row>
      <xdr:rowOff>0</xdr:rowOff>
    </xdr:from>
    <xdr:ext cx="95250" cy="171450"/>
    <xdr:sp macro="" textlink="">
      <xdr:nvSpPr>
        <xdr:cNvPr id="63" name="Text Box 19">
          <a:extLst>
            <a:ext uri="{FF2B5EF4-FFF2-40B4-BE49-F238E27FC236}">
              <a16:creationId xmlns:a16="http://schemas.microsoft.com/office/drawing/2014/main" id="{00000000-0008-0000-0500-00003F000000}"/>
            </a:ext>
          </a:extLst>
        </xdr:cNvPr>
        <xdr:cNvSpPr txBox="1">
          <a:spLocks noChangeArrowheads="1"/>
        </xdr:cNvSpPr>
      </xdr:nvSpPr>
      <xdr:spPr bwMode="auto">
        <a:xfrm>
          <a:off x="10527434" y="6223000"/>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127</xdr:row>
      <xdr:rowOff>0</xdr:rowOff>
    </xdr:from>
    <xdr:ext cx="95250" cy="213632"/>
    <xdr:sp macro="" textlink="">
      <xdr:nvSpPr>
        <xdr:cNvPr id="64" name="Text Box 15">
          <a:extLst>
            <a:ext uri="{FF2B5EF4-FFF2-40B4-BE49-F238E27FC236}">
              <a16:creationId xmlns:a16="http://schemas.microsoft.com/office/drawing/2014/main" id="{00000000-0008-0000-0500-000040000000}"/>
            </a:ext>
          </a:extLst>
        </xdr:cNvPr>
        <xdr:cNvSpPr txBox="1">
          <a:spLocks noChangeArrowheads="1"/>
        </xdr:cNvSpPr>
      </xdr:nvSpPr>
      <xdr:spPr bwMode="auto">
        <a:xfrm>
          <a:off x="10527434" y="67278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127</xdr:row>
      <xdr:rowOff>0</xdr:rowOff>
    </xdr:from>
    <xdr:ext cx="95250" cy="171450"/>
    <xdr:sp macro="" textlink="">
      <xdr:nvSpPr>
        <xdr:cNvPr id="65" name="Text Box 16">
          <a:extLst>
            <a:ext uri="{FF2B5EF4-FFF2-40B4-BE49-F238E27FC236}">
              <a16:creationId xmlns:a16="http://schemas.microsoft.com/office/drawing/2014/main" id="{00000000-0008-0000-0500-000041000000}"/>
            </a:ext>
          </a:extLst>
        </xdr:cNvPr>
        <xdr:cNvSpPr txBox="1">
          <a:spLocks noChangeArrowheads="1"/>
        </xdr:cNvSpPr>
      </xdr:nvSpPr>
      <xdr:spPr bwMode="auto">
        <a:xfrm>
          <a:off x="10527434" y="7296727"/>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127</xdr:row>
      <xdr:rowOff>0</xdr:rowOff>
    </xdr:from>
    <xdr:ext cx="95250" cy="171450"/>
    <xdr:sp macro="" textlink="">
      <xdr:nvSpPr>
        <xdr:cNvPr id="66" name="Text Box 17">
          <a:extLst>
            <a:ext uri="{FF2B5EF4-FFF2-40B4-BE49-F238E27FC236}">
              <a16:creationId xmlns:a16="http://schemas.microsoft.com/office/drawing/2014/main" id="{00000000-0008-0000-0500-000042000000}"/>
            </a:ext>
          </a:extLst>
        </xdr:cNvPr>
        <xdr:cNvSpPr txBox="1">
          <a:spLocks noChangeArrowheads="1"/>
        </xdr:cNvSpPr>
      </xdr:nvSpPr>
      <xdr:spPr bwMode="auto">
        <a:xfrm>
          <a:off x="10527434" y="7296727"/>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127</xdr:row>
      <xdr:rowOff>0</xdr:rowOff>
    </xdr:from>
    <xdr:ext cx="95250" cy="171450"/>
    <xdr:sp macro="" textlink="">
      <xdr:nvSpPr>
        <xdr:cNvPr id="67" name="Text Box 18">
          <a:extLst>
            <a:ext uri="{FF2B5EF4-FFF2-40B4-BE49-F238E27FC236}">
              <a16:creationId xmlns:a16="http://schemas.microsoft.com/office/drawing/2014/main" id="{00000000-0008-0000-0500-000043000000}"/>
            </a:ext>
          </a:extLst>
        </xdr:cNvPr>
        <xdr:cNvSpPr txBox="1">
          <a:spLocks noChangeArrowheads="1"/>
        </xdr:cNvSpPr>
      </xdr:nvSpPr>
      <xdr:spPr bwMode="auto">
        <a:xfrm>
          <a:off x="10527434" y="7296727"/>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127</xdr:row>
      <xdr:rowOff>0</xdr:rowOff>
    </xdr:from>
    <xdr:ext cx="95250" cy="171450"/>
    <xdr:sp macro="" textlink="">
      <xdr:nvSpPr>
        <xdr:cNvPr id="68" name="Text Box 19">
          <a:extLst>
            <a:ext uri="{FF2B5EF4-FFF2-40B4-BE49-F238E27FC236}">
              <a16:creationId xmlns:a16="http://schemas.microsoft.com/office/drawing/2014/main" id="{00000000-0008-0000-0500-000044000000}"/>
            </a:ext>
          </a:extLst>
        </xdr:cNvPr>
        <xdr:cNvSpPr txBox="1">
          <a:spLocks noChangeArrowheads="1"/>
        </xdr:cNvSpPr>
      </xdr:nvSpPr>
      <xdr:spPr bwMode="auto">
        <a:xfrm>
          <a:off x="10527434" y="7296727"/>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127</xdr:row>
      <xdr:rowOff>0</xdr:rowOff>
    </xdr:from>
    <xdr:ext cx="95250" cy="213632"/>
    <xdr:sp macro="" textlink="">
      <xdr:nvSpPr>
        <xdr:cNvPr id="69" name="Text Box 15">
          <a:extLst>
            <a:ext uri="{FF2B5EF4-FFF2-40B4-BE49-F238E27FC236}">
              <a16:creationId xmlns:a16="http://schemas.microsoft.com/office/drawing/2014/main" id="{00000000-0008-0000-0500-000045000000}"/>
            </a:ext>
          </a:extLst>
        </xdr:cNvPr>
        <xdr:cNvSpPr txBox="1">
          <a:spLocks noChangeArrowheads="1"/>
        </xdr:cNvSpPr>
      </xdr:nvSpPr>
      <xdr:spPr bwMode="auto">
        <a:xfrm>
          <a:off x="10527434" y="780155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21</xdr:col>
      <xdr:colOff>0</xdr:colOff>
      <xdr:row>7</xdr:row>
      <xdr:rowOff>0</xdr:rowOff>
    </xdr:from>
    <xdr:ext cx="95250" cy="171450"/>
    <xdr:sp macro="" textlink="">
      <xdr:nvSpPr>
        <xdr:cNvPr id="70" name="Text Box 16">
          <a:extLst>
            <a:ext uri="{FF2B5EF4-FFF2-40B4-BE49-F238E27FC236}">
              <a16:creationId xmlns:a16="http://schemas.microsoft.com/office/drawing/2014/main" id="{00000000-0008-0000-0500-000046000000}"/>
            </a:ext>
          </a:extLst>
        </xdr:cNvPr>
        <xdr:cNvSpPr txBox="1">
          <a:spLocks noChangeArrowheads="1"/>
        </xdr:cNvSpPr>
      </xdr:nvSpPr>
      <xdr:spPr bwMode="auto">
        <a:xfrm>
          <a:off x="9374909" y="5449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21</xdr:col>
      <xdr:colOff>0</xdr:colOff>
      <xdr:row>7</xdr:row>
      <xdr:rowOff>0</xdr:rowOff>
    </xdr:from>
    <xdr:ext cx="95250" cy="171450"/>
    <xdr:sp macro="" textlink="">
      <xdr:nvSpPr>
        <xdr:cNvPr id="71" name="Text Box 17">
          <a:extLst>
            <a:ext uri="{FF2B5EF4-FFF2-40B4-BE49-F238E27FC236}">
              <a16:creationId xmlns:a16="http://schemas.microsoft.com/office/drawing/2014/main" id="{00000000-0008-0000-0500-000047000000}"/>
            </a:ext>
          </a:extLst>
        </xdr:cNvPr>
        <xdr:cNvSpPr txBox="1">
          <a:spLocks noChangeArrowheads="1"/>
        </xdr:cNvSpPr>
      </xdr:nvSpPr>
      <xdr:spPr bwMode="auto">
        <a:xfrm>
          <a:off x="9374909" y="5449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21</xdr:col>
      <xdr:colOff>0</xdr:colOff>
      <xdr:row>7</xdr:row>
      <xdr:rowOff>0</xdr:rowOff>
    </xdr:from>
    <xdr:ext cx="95250" cy="171450"/>
    <xdr:sp macro="" textlink="">
      <xdr:nvSpPr>
        <xdr:cNvPr id="72" name="Text Box 18">
          <a:extLst>
            <a:ext uri="{FF2B5EF4-FFF2-40B4-BE49-F238E27FC236}">
              <a16:creationId xmlns:a16="http://schemas.microsoft.com/office/drawing/2014/main" id="{00000000-0008-0000-0500-000048000000}"/>
            </a:ext>
          </a:extLst>
        </xdr:cNvPr>
        <xdr:cNvSpPr txBox="1">
          <a:spLocks noChangeArrowheads="1"/>
        </xdr:cNvSpPr>
      </xdr:nvSpPr>
      <xdr:spPr bwMode="auto">
        <a:xfrm>
          <a:off x="9374909" y="5449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21</xdr:col>
      <xdr:colOff>0</xdr:colOff>
      <xdr:row>7</xdr:row>
      <xdr:rowOff>0</xdr:rowOff>
    </xdr:from>
    <xdr:ext cx="95250" cy="171450"/>
    <xdr:sp macro="" textlink="">
      <xdr:nvSpPr>
        <xdr:cNvPr id="73" name="Text Box 19">
          <a:extLst>
            <a:ext uri="{FF2B5EF4-FFF2-40B4-BE49-F238E27FC236}">
              <a16:creationId xmlns:a16="http://schemas.microsoft.com/office/drawing/2014/main" id="{00000000-0008-0000-0500-000049000000}"/>
            </a:ext>
          </a:extLst>
        </xdr:cNvPr>
        <xdr:cNvSpPr txBox="1">
          <a:spLocks noChangeArrowheads="1"/>
        </xdr:cNvSpPr>
      </xdr:nvSpPr>
      <xdr:spPr bwMode="auto">
        <a:xfrm>
          <a:off x="9374909" y="5449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21</xdr:col>
      <xdr:colOff>0</xdr:colOff>
      <xdr:row>127</xdr:row>
      <xdr:rowOff>0</xdr:rowOff>
    </xdr:from>
    <xdr:ext cx="95250" cy="213632"/>
    <xdr:sp macro="" textlink="">
      <xdr:nvSpPr>
        <xdr:cNvPr id="75" name="Text Box 15">
          <a:extLst>
            <a:ext uri="{FF2B5EF4-FFF2-40B4-BE49-F238E27FC236}">
              <a16:creationId xmlns:a16="http://schemas.microsoft.com/office/drawing/2014/main" id="{00000000-0008-0000-0500-00004B000000}"/>
            </a:ext>
          </a:extLst>
        </xdr:cNvPr>
        <xdr:cNvSpPr txBox="1">
          <a:spLocks noChangeArrowheads="1"/>
        </xdr:cNvSpPr>
      </xdr:nvSpPr>
      <xdr:spPr bwMode="auto">
        <a:xfrm>
          <a:off x="9374909" y="780155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21</xdr:col>
      <xdr:colOff>0</xdr:colOff>
      <xdr:row>127</xdr:row>
      <xdr:rowOff>0</xdr:rowOff>
    </xdr:from>
    <xdr:ext cx="95250" cy="213632"/>
    <xdr:sp macro="" textlink="">
      <xdr:nvSpPr>
        <xdr:cNvPr id="76" name="Text Box 15">
          <a:extLst>
            <a:ext uri="{FF2B5EF4-FFF2-40B4-BE49-F238E27FC236}">
              <a16:creationId xmlns:a16="http://schemas.microsoft.com/office/drawing/2014/main" id="{00000000-0008-0000-0500-00004C000000}"/>
            </a:ext>
          </a:extLst>
        </xdr:cNvPr>
        <xdr:cNvSpPr txBox="1">
          <a:spLocks noChangeArrowheads="1"/>
        </xdr:cNvSpPr>
      </xdr:nvSpPr>
      <xdr:spPr bwMode="auto">
        <a:xfrm>
          <a:off x="9374909" y="8875280"/>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21</xdr:col>
      <xdr:colOff>0</xdr:colOff>
      <xdr:row>127</xdr:row>
      <xdr:rowOff>0</xdr:rowOff>
    </xdr:from>
    <xdr:ext cx="95250" cy="213632"/>
    <xdr:sp macro="" textlink="">
      <xdr:nvSpPr>
        <xdr:cNvPr id="77" name="Text Box 15">
          <a:extLst>
            <a:ext uri="{FF2B5EF4-FFF2-40B4-BE49-F238E27FC236}">
              <a16:creationId xmlns:a16="http://schemas.microsoft.com/office/drawing/2014/main" id="{00000000-0008-0000-0500-00004D000000}"/>
            </a:ext>
          </a:extLst>
        </xdr:cNvPr>
        <xdr:cNvSpPr txBox="1">
          <a:spLocks noChangeArrowheads="1"/>
        </xdr:cNvSpPr>
      </xdr:nvSpPr>
      <xdr:spPr bwMode="auto">
        <a:xfrm>
          <a:off x="9374909" y="8875280"/>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21</xdr:col>
      <xdr:colOff>0</xdr:colOff>
      <xdr:row>127</xdr:row>
      <xdr:rowOff>0</xdr:rowOff>
    </xdr:from>
    <xdr:ext cx="95250" cy="213632"/>
    <xdr:sp macro="" textlink="">
      <xdr:nvSpPr>
        <xdr:cNvPr id="78" name="Text Box 15">
          <a:extLst>
            <a:ext uri="{FF2B5EF4-FFF2-40B4-BE49-F238E27FC236}">
              <a16:creationId xmlns:a16="http://schemas.microsoft.com/office/drawing/2014/main" id="{00000000-0008-0000-0500-00004E000000}"/>
            </a:ext>
          </a:extLst>
        </xdr:cNvPr>
        <xdr:cNvSpPr txBox="1">
          <a:spLocks noChangeArrowheads="1"/>
        </xdr:cNvSpPr>
      </xdr:nvSpPr>
      <xdr:spPr bwMode="auto">
        <a:xfrm>
          <a:off x="9374909" y="10295370"/>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21</xdr:col>
      <xdr:colOff>0</xdr:colOff>
      <xdr:row>127</xdr:row>
      <xdr:rowOff>0</xdr:rowOff>
    </xdr:from>
    <xdr:ext cx="95250" cy="213632"/>
    <xdr:sp macro="" textlink="">
      <xdr:nvSpPr>
        <xdr:cNvPr id="79" name="Text Box 15">
          <a:extLst>
            <a:ext uri="{FF2B5EF4-FFF2-40B4-BE49-F238E27FC236}">
              <a16:creationId xmlns:a16="http://schemas.microsoft.com/office/drawing/2014/main" id="{00000000-0008-0000-0500-00004F000000}"/>
            </a:ext>
          </a:extLst>
        </xdr:cNvPr>
        <xdr:cNvSpPr txBox="1">
          <a:spLocks noChangeArrowheads="1"/>
        </xdr:cNvSpPr>
      </xdr:nvSpPr>
      <xdr:spPr bwMode="auto">
        <a:xfrm>
          <a:off x="9374909" y="10295370"/>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21</xdr:col>
      <xdr:colOff>0</xdr:colOff>
      <xdr:row>127</xdr:row>
      <xdr:rowOff>0</xdr:rowOff>
    </xdr:from>
    <xdr:ext cx="95250" cy="213632"/>
    <xdr:sp macro="" textlink="">
      <xdr:nvSpPr>
        <xdr:cNvPr id="80" name="Text Box 15">
          <a:extLst>
            <a:ext uri="{FF2B5EF4-FFF2-40B4-BE49-F238E27FC236}">
              <a16:creationId xmlns:a16="http://schemas.microsoft.com/office/drawing/2014/main" id="{00000000-0008-0000-0500-000050000000}"/>
            </a:ext>
          </a:extLst>
        </xdr:cNvPr>
        <xdr:cNvSpPr txBox="1">
          <a:spLocks noChangeArrowheads="1"/>
        </xdr:cNvSpPr>
      </xdr:nvSpPr>
      <xdr:spPr bwMode="auto">
        <a:xfrm>
          <a:off x="9374909" y="11068916"/>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21</xdr:col>
      <xdr:colOff>0</xdr:colOff>
      <xdr:row>127</xdr:row>
      <xdr:rowOff>0</xdr:rowOff>
    </xdr:from>
    <xdr:ext cx="95250" cy="213632"/>
    <xdr:sp macro="" textlink="">
      <xdr:nvSpPr>
        <xdr:cNvPr id="81" name="Text Box 15">
          <a:extLst>
            <a:ext uri="{FF2B5EF4-FFF2-40B4-BE49-F238E27FC236}">
              <a16:creationId xmlns:a16="http://schemas.microsoft.com/office/drawing/2014/main" id="{00000000-0008-0000-0500-000051000000}"/>
            </a:ext>
          </a:extLst>
        </xdr:cNvPr>
        <xdr:cNvSpPr txBox="1">
          <a:spLocks noChangeArrowheads="1"/>
        </xdr:cNvSpPr>
      </xdr:nvSpPr>
      <xdr:spPr bwMode="auto">
        <a:xfrm>
          <a:off x="9374909" y="11068916"/>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21</xdr:col>
      <xdr:colOff>0</xdr:colOff>
      <xdr:row>127</xdr:row>
      <xdr:rowOff>0</xdr:rowOff>
    </xdr:from>
    <xdr:ext cx="95250" cy="213632"/>
    <xdr:sp macro="" textlink="">
      <xdr:nvSpPr>
        <xdr:cNvPr id="82" name="Text Box 15">
          <a:extLst>
            <a:ext uri="{FF2B5EF4-FFF2-40B4-BE49-F238E27FC236}">
              <a16:creationId xmlns:a16="http://schemas.microsoft.com/office/drawing/2014/main" id="{00000000-0008-0000-0500-000052000000}"/>
            </a:ext>
          </a:extLst>
        </xdr:cNvPr>
        <xdr:cNvSpPr txBox="1">
          <a:spLocks noChangeArrowheads="1"/>
        </xdr:cNvSpPr>
      </xdr:nvSpPr>
      <xdr:spPr bwMode="auto">
        <a:xfrm>
          <a:off x="9374909" y="11787909"/>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21</xdr:col>
      <xdr:colOff>0</xdr:colOff>
      <xdr:row>127</xdr:row>
      <xdr:rowOff>0</xdr:rowOff>
    </xdr:from>
    <xdr:ext cx="95250" cy="213632"/>
    <xdr:sp macro="" textlink="">
      <xdr:nvSpPr>
        <xdr:cNvPr id="83" name="Text Box 15">
          <a:extLst>
            <a:ext uri="{FF2B5EF4-FFF2-40B4-BE49-F238E27FC236}">
              <a16:creationId xmlns:a16="http://schemas.microsoft.com/office/drawing/2014/main" id="{00000000-0008-0000-0500-000053000000}"/>
            </a:ext>
          </a:extLst>
        </xdr:cNvPr>
        <xdr:cNvSpPr txBox="1">
          <a:spLocks noChangeArrowheads="1"/>
        </xdr:cNvSpPr>
      </xdr:nvSpPr>
      <xdr:spPr bwMode="auto">
        <a:xfrm>
          <a:off x="9374909" y="11787909"/>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21</xdr:col>
      <xdr:colOff>0</xdr:colOff>
      <xdr:row>127</xdr:row>
      <xdr:rowOff>0</xdr:rowOff>
    </xdr:from>
    <xdr:ext cx="95250" cy="213632"/>
    <xdr:sp macro="" textlink="">
      <xdr:nvSpPr>
        <xdr:cNvPr id="84" name="Text Box 15">
          <a:extLst>
            <a:ext uri="{FF2B5EF4-FFF2-40B4-BE49-F238E27FC236}">
              <a16:creationId xmlns:a16="http://schemas.microsoft.com/office/drawing/2014/main" id="{00000000-0008-0000-0500-000054000000}"/>
            </a:ext>
          </a:extLst>
        </xdr:cNvPr>
        <xdr:cNvSpPr txBox="1">
          <a:spLocks noChangeArrowheads="1"/>
        </xdr:cNvSpPr>
      </xdr:nvSpPr>
      <xdr:spPr bwMode="auto">
        <a:xfrm>
          <a:off x="9374909" y="11787909"/>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21</xdr:col>
      <xdr:colOff>0</xdr:colOff>
      <xdr:row>127</xdr:row>
      <xdr:rowOff>0</xdr:rowOff>
    </xdr:from>
    <xdr:ext cx="95250" cy="213632"/>
    <xdr:sp macro="" textlink="">
      <xdr:nvSpPr>
        <xdr:cNvPr id="85" name="Text Box 15">
          <a:extLst>
            <a:ext uri="{FF2B5EF4-FFF2-40B4-BE49-F238E27FC236}">
              <a16:creationId xmlns:a16="http://schemas.microsoft.com/office/drawing/2014/main" id="{00000000-0008-0000-0500-000055000000}"/>
            </a:ext>
          </a:extLst>
        </xdr:cNvPr>
        <xdr:cNvSpPr txBox="1">
          <a:spLocks noChangeArrowheads="1"/>
        </xdr:cNvSpPr>
      </xdr:nvSpPr>
      <xdr:spPr bwMode="auto">
        <a:xfrm>
          <a:off x="9374909" y="11787909"/>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21</xdr:col>
      <xdr:colOff>0</xdr:colOff>
      <xdr:row>127</xdr:row>
      <xdr:rowOff>0</xdr:rowOff>
    </xdr:from>
    <xdr:ext cx="95250" cy="213632"/>
    <xdr:sp macro="" textlink="">
      <xdr:nvSpPr>
        <xdr:cNvPr id="86" name="Text Box 15">
          <a:extLst>
            <a:ext uri="{FF2B5EF4-FFF2-40B4-BE49-F238E27FC236}">
              <a16:creationId xmlns:a16="http://schemas.microsoft.com/office/drawing/2014/main" id="{00000000-0008-0000-0500-000056000000}"/>
            </a:ext>
          </a:extLst>
        </xdr:cNvPr>
        <xdr:cNvSpPr txBox="1">
          <a:spLocks noChangeArrowheads="1"/>
        </xdr:cNvSpPr>
      </xdr:nvSpPr>
      <xdr:spPr bwMode="auto">
        <a:xfrm>
          <a:off x="9374909" y="11787909"/>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21</xdr:col>
      <xdr:colOff>0</xdr:colOff>
      <xdr:row>127</xdr:row>
      <xdr:rowOff>0</xdr:rowOff>
    </xdr:from>
    <xdr:ext cx="95250" cy="213632"/>
    <xdr:sp macro="" textlink="">
      <xdr:nvSpPr>
        <xdr:cNvPr id="87" name="Text Box 15">
          <a:extLst>
            <a:ext uri="{FF2B5EF4-FFF2-40B4-BE49-F238E27FC236}">
              <a16:creationId xmlns:a16="http://schemas.microsoft.com/office/drawing/2014/main" id="{00000000-0008-0000-0500-000057000000}"/>
            </a:ext>
          </a:extLst>
        </xdr:cNvPr>
        <xdr:cNvSpPr txBox="1">
          <a:spLocks noChangeArrowheads="1"/>
        </xdr:cNvSpPr>
      </xdr:nvSpPr>
      <xdr:spPr bwMode="auto">
        <a:xfrm>
          <a:off x="50072637" y="12746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21</xdr:col>
      <xdr:colOff>0</xdr:colOff>
      <xdr:row>127</xdr:row>
      <xdr:rowOff>0</xdr:rowOff>
    </xdr:from>
    <xdr:ext cx="95250" cy="213632"/>
    <xdr:sp macro="" textlink="">
      <xdr:nvSpPr>
        <xdr:cNvPr id="88" name="Text Box 15">
          <a:extLst>
            <a:ext uri="{FF2B5EF4-FFF2-40B4-BE49-F238E27FC236}">
              <a16:creationId xmlns:a16="http://schemas.microsoft.com/office/drawing/2014/main" id="{00000000-0008-0000-0500-000058000000}"/>
            </a:ext>
          </a:extLst>
        </xdr:cNvPr>
        <xdr:cNvSpPr txBox="1">
          <a:spLocks noChangeArrowheads="1"/>
        </xdr:cNvSpPr>
      </xdr:nvSpPr>
      <xdr:spPr bwMode="auto">
        <a:xfrm>
          <a:off x="49942750" y="1322387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21</xdr:col>
      <xdr:colOff>0</xdr:colOff>
      <xdr:row>127</xdr:row>
      <xdr:rowOff>0</xdr:rowOff>
    </xdr:from>
    <xdr:ext cx="95250" cy="171450"/>
    <xdr:sp macro="" textlink="">
      <xdr:nvSpPr>
        <xdr:cNvPr id="89" name="Text Box 16">
          <a:extLst>
            <a:ext uri="{FF2B5EF4-FFF2-40B4-BE49-F238E27FC236}">
              <a16:creationId xmlns:a16="http://schemas.microsoft.com/office/drawing/2014/main" id="{00000000-0008-0000-0500-000059000000}"/>
            </a:ext>
          </a:extLst>
        </xdr:cNvPr>
        <xdr:cNvSpPr txBox="1">
          <a:spLocks noChangeArrowheads="1"/>
        </xdr:cNvSpPr>
      </xdr:nvSpPr>
      <xdr:spPr bwMode="auto">
        <a:xfrm>
          <a:off x="9374909" y="6223000"/>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21</xdr:col>
      <xdr:colOff>0</xdr:colOff>
      <xdr:row>127</xdr:row>
      <xdr:rowOff>0</xdr:rowOff>
    </xdr:from>
    <xdr:ext cx="95250" cy="171450"/>
    <xdr:sp macro="" textlink="">
      <xdr:nvSpPr>
        <xdr:cNvPr id="90" name="Text Box 17">
          <a:extLst>
            <a:ext uri="{FF2B5EF4-FFF2-40B4-BE49-F238E27FC236}">
              <a16:creationId xmlns:a16="http://schemas.microsoft.com/office/drawing/2014/main" id="{00000000-0008-0000-0500-00005A000000}"/>
            </a:ext>
          </a:extLst>
        </xdr:cNvPr>
        <xdr:cNvSpPr txBox="1">
          <a:spLocks noChangeArrowheads="1"/>
        </xdr:cNvSpPr>
      </xdr:nvSpPr>
      <xdr:spPr bwMode="auto">
        <a:xfrm>
          <a:off x="9374909" y="6223000"/>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21</xdr:col>
      <xdr:colOff>0</xdr:colOff>
      <xdr:row>127</xdr:row>
      <xdr:rowOff>0</xdr:rowOff>
    </xdr:from>
    <xdr:ext cx="95250" cy="171450"/>
    <xdr:sp macro="" textlink="">
      <xdr:nvSpPr>
        <xdr:cNvPr id="91" name="Text Box 18">
          <a:extLst>
            <a:ext uri="{FF2B5EF4-FFF2-40B4-BE49-F238E27FC236}">
              <a16:creationId xmlns:a16="http://schemas.microsoft.com/office/drawing/2014/main" id="{00000000-0008-0000-0500-00005B000000}"/>
            </a:ext>
          </a:extLst>
        </xdr:cNvPr>
        <xdr:cNvSpPr txBox="1">
          <a:spLocks noChangeArrowheads="1"/>
        </xdr:cNvSpPr>
      </xdr:nvSpPr>
      <xdr:spPr bwMode="auto">
        <a:xfrm>
          <a:off x="9374909" y="6223000"/>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21</xdr:col>
      <xdr:colOff>0</xdr:colOff>
      <xdr:row>127</xdr:row>
      <xdr:rowOff>0</xdr:rowOff>
    </xdr:from>
    <xdr:ext cx="95250" cy="171450"/>
    <xdr:sp macro="" textlink="">
      <xdr:nvSpPr>
        <xdr:cNvPr id="92" name="Text Box 19">
          <a:extLst>
            <a:ext uri="{FF2B5EF4-FFF2-40B4-BE49-F238E27FC236}">
              <a16:creationId xmlns:a16="http://schemas.microsoft.com/office/drawing/2014/main" id="{00000000-0008-0000-0500-00005C000000}"/>
            </a:ext>
          </a:extLst>
        </xdr:cNvPr>
        <xdr:cNvSpPr txBox="1">
          <a:spLocks noChangeArrowheads="1"/>
        </xdr:cNvSpPr>
      </xdr:nvSpPr>
      <xdr:spPr bwMode="auto">
        <a:xfrm>
          <a:off x="9374909" y="6223000"/>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21</xdr:col>
      <xdr:colOff>0</xdr:colOff>
      <xdr:row>127</xdr:row>
      <xdr:rowOff>0</xdr:rowOff>
    </xdr:from>
    <xdr:ext cx="95250" cy="213632"/>
    <xdr:sp macro="" textlink="">
      <xdr:nvSpPr>
        <xdr:cNvPr id="93" name="Text Box 15">
          <a:extLst>
            <a:ext uri="{FF2B5EF4-FFF2-40B4-BE49-F238E27FC236}">
              <a16:creationId xmlns:a16="http://schemas.microsoft.com/office/drawing/2014/main" id="{00000000-0008-0000-0500-00005D000000}"/>
            </a:ext>
          </a:extLst>
        </xdr:cNvPr>
        <xdr:cNvSpPr txBox="1">
          <a:spLocks noChangeArrowheads="1"/>
        </xdr:cNvSpPr>
      </xdr:nvSpPr>
      <xdr:spPr bwMode="auto">
        <a:xfrm>
          <a:off x="9374909" y="67278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21</xdr:col>
      <xdr:colOff>0</xdr:colOff>
      <xdr:row>127</xdr:row>
      <xdr:rowOff>0</xdr:rowOff>
    </xdr:from>
    <xdr:ext cx="95250" cy="171450"/>
    <xdr:sp macro="" textlink="">
      <xdr:nvSpPr>
        <xdr:cNvPr id="94" name="Text Box 16">
          <a:extLst>
            <a:ext uri="{FF2B5EF4-FFF2-40B4-BE49-F238E27FC236}">
              <a16:creationId xmlns:a16="http://schemas.microsoft.com/office/drawing/2014/main" id="{00000000-0008-0000-0500-00005E000000}"/>
            </a:ext>
          </a:extLst>
        </xdr:cNvPr>
        <xdr:cNvSpPr txBox="1">
          <a:spLocks noChangeArrowheads="1"/>
        </xdr:cNvSpPr>
      </xdr:nvSpPr>
      <xdr:spPr bwMode="auto">
        <a:xfrm>
          <a:off x="9374909" y="7296727"/>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21</xdr:col>
      <xdr:colOff>0</xdr:colOff>
      <xdr:row>127</xdr:row>
      <xdr:rowOff>0</xdr:rowOff>
    </xdr:from>
    <xdr:ext cx="95250" cy="171450"/>
    <xdr:sp macro="" textlink="">
      <xdr:nvSpPr>
        <xdr:cNvPr id="95" name="Text Box 17">
          <a:extLst>
            <a:ext uri="{FF2B5EF4-FFF2-40B4-BE49-F238E27FC236}">
              <a16:creationId xmlns:a16="http://schemas.microsoft.com/office/drawing/2014/main" id="{00000000-0008-0000-0500-00005F000000}"/>
            </a:ext>
          </a:extLst>
        </xdr:cNvPr>
        <xdr:cNvSpPr txBox="1">
          <a:spLocks noChangeArrowheads="1"/>
        </xdr:cNvSpPr>
      </xdr:nvSpPr>
      <xdr:spPr bwMode="auto">
        <a:xfrm>
          <a:off x="9374909" y="7296727"/>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21</xdr:col>
      <xdr:colOff>0</xdr:colOff>
      <xdr:row>127</xdr:row>
      <xdr:rowOff>0</xdr:rowOff>
    </xdr:from>
    <xdr:ext cx="95250" cy="171450"/>
    <xdr:sp macro="" textlink="">
      <xdr:nvSpPr>
        <xdr:cNvPr id="96" name="Text Box 18">
          <a:extLst>
            <a:ext uri="{FF2B5EF4-FFF2-40B4-BE49-F238E27FC236}">
              <a16:creationId xmlns:a16="http://schemas.microsoft.com/office/drawing/2014/main" id="{00000000-0008-0000-0500-000060000000}"/>
            </a:ext>
          </a:extLst>
        </xdr:cNvPr>
        <xdr:cNvSpPr txBox="1">
          <a:spLocks noChangeArrowheads="1"/>
        </xdr:cNvSpPr>
      </xdr:nvSpPr>
      <xdr:spPr bwMode="auto">
        <a:xfrm>
          <a:off x="9374909" y="7296727"/>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21</xdr:col>
      <xdr:colOff>0</xdr:colOff>
      <xdr:row>127</xdr:row>
      <xdr:rowOff>0</xdr:rowOff>
    </xdr:from>
    <xdr:ext cx="95250" cy="171450"/>
    <xdr:sp macro="" textlink="">
      <xdr:nvSpPr>
        <xdr:cNvPr id="97" name="Text Box 19">
          <a:extLst>
            <a:ext uri="{FF2B5EF4-FFF2-40B4-BE49-F238E27FC236}">
              <a16:creationId xmlns:a16="http://schemas.microsoft.com/office/drawing/2014/main" id="{00000000-0008-0000-0500-000061000000}"/>
            </a:ext>
          </a:extLst>
        </xdr:cNvPr>
        <xdr:cNvSpPr txBox="1">
          <a:spLocks noChangeArrowheads="1"/>
        </xdr:cNvSpPr>
      </xdr:nvSpPr>
      <xdr:spPr bwMode="auto">
        <a:xfrm>
          <a:off x="9374909" y="7296727"/>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21</xdr:col>
      <xdr:colOff>0</xdr:colOff>
      <xdr:row>127</xdr:row>
      <xdr:rowOff>0</xdr:rowOff>
    </xdr:from>
    <xdr:ext cx="95250" cy="213632"/>
    <xdr:sp macro="" textlink="">
      <xdr:nvSpPr>
        <xdr:cNvPr id="98" name="Text Box 15">
          <a:extLst>
            <a:ext uri="{FF2B5EF4-FFF2-40B4-BE49-F238E27FC236}">
              <a16:creationId xmlns:a16="http://schemas.microsoft.com/office/drawing/2014/main" id="{00000000-0008-0000-0500-000062000000}"/>
            </a:ext>
          </a:extLst>
        </xdr:cNvPr>
        <xdr:cNvSpPr txBox="1">
          <a:spLocks noChangeArrowheads="1"/>
        </xdr:cNvSpPr>
      </xdr:nvSpPr>
      <xdr:spPr bwMode="auto">
        <a:xfrm>
          <a:off x="9374909" y="780155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213632"/>
    <xdr:sp macro="" textlink="">
      <xdr:nvSpPr>
        <xdr:cNvPr id="99" name="Text Box 15">
          <a:extLst>
            <a:ext uri="{FF2B5EF4-FFF2-40B4-BE49-F238E27FC236}">
              <a16:creationId xmlns:a16="http://schemas.microsoft.com/office/drawing/2014/main" id="{00000000-0008-0000-0500-000063000000}"/>
            </a:ext>
          </a:extLst>
        </xdr:cNvPr>
        <xdr:cNvSpPr txBox="1">
          <a:spLocks noChangeArrowheads="1"/>
        </xdr:cNvSpPr>
      </xdr:nvSpPr>
      <xdr:spPr bwMode="auto">
        <a:xfrm>
          <a:off x="9374909" y="11646189"/>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213632"/>
    <xdr:sp macro="" textlink="">
      <xdr:nvSpPr>
        <xdr:cNvPr id="100" name="Text Box 15">
          <a:extLst>
            <a:ext uri="{FF2B5EF4-FFF2-40B4-BE49-F238E27FC236}">
              <a16:creationId xmlns:a16="http://schemas.microsoft.com/office/drawing/2014/main" id="{00000000-0008-0000-0500-000064000000}"/>
            </a:ext>
          </a:extLst>
        </xdr:cNvPr>
        <xdr:cNvSpPr txBox="1">
          <a:spLocks noChangeArrowheads="1"/>
        </xdr:cNvSpPr>
      </xdr:nvSpPr>
      <xdr:spPr bwMode="auto">
        <a:xfrm>
          <a:off x="9374909" y="11646189"/>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127</xdr:row>
      <xdr:rowOff>0</xdr:rowOff>
    </xdr:from>
    <xdr:ext cx="95250" cy="213632"/>
    <xdr:sp macro="" textlink="">
      <xdr:nvSpPr>
        <xdr:cNvPr id="101" name="Text Box 15">
          <a:extLst>
            <a:ext uri="{FF2B5EF4-FFF2-40B4-BE49-F238E27FC236}">
              <a16:creationId xmlns:a16="http://schemas.microsoft.com/office/drawing/2014/main" id="{00000000-0008-0000-0500-000065000000}"/>
            </a:ext>
          </a:extLst>
        </xdr:cNvPr>
        <xdr:cNvSpPr txBox="1">
          <a:spLocks noChangeArrowheads="1"/>
        </xdr:cNvSpPr>
      </xdr:nvSpPr>
      <xdr:spPr bwMode="auto">
        <a:xfrm>
          <a:off x="12790343" y="11646189"/>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127</xdr:row>
      <xdr:rowOff>0</xdr:rowOff>
    </xdr:from>
    <xdr:ext cx="95250" cy="213632"/>
    <xdr:sp macro="" textlink="">
      <xdr:nvSpPr>
        <xdr:cNvPr id="102" name="Text Box 15">
          <a:extLst>
            <a:ext uri="{FF2B5EF4-FFF2-40B4-BE49-F238E27FC236}">
              <a16:creationId xmlns:a16="http://schemas.microsoft.com/office/drawing/2014/main" id="{00000000-0008-0000-0500-000066000000}"/>
            </a:ext>
          </a:extLst>
        </xdr:cNvPr>
        <xdr:cNvSpPr txBox="1">
          <a:spLocks noChangeArrowheads="1"/>
        </xdr:cNvSpPr>
      </xdr:nvSpPr>
      <xdr:spPr bwMode="auto">
        <a:xfrm>
          <a:off x="12790343" y="11646189"/>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21</xdr:col>
      <xdr:colOff>0</xdr:colOff>
      <xdr:row>127</xdr:row>
      <xdr:rowOff>0</xdr:rowOff>
    </xdr:from>
    <xdr:ext cx="95250" cy="213632"/>
    <xdr:sp macro="" textlink="">
      <xdr:nvSpPr>
        <xdr:cNvPr id="103" name="Text Box 15">
          <a:extLst>
            <a:ext uri="{FF2B5EF4-FFF2-40B4-BE49-F238E27FC236}">
              <a16:creationId xmlns:a16="http://schemas.microsoft.com/office/drawing/2014/main" id="{00000000-0008-0000-0500-000067000000}"/>
            </a:ext>
          </a:extLst>
        </xdr:cNvPr>
        <xdr:cNvSpPr txBox="1">
          <a:spLocks noChangeArrowheads="1"/>
        </xdr:cNvSpPr>
      </xdr:nvSpPr>
      <xdr:spPr bwMode="auto">
        <a:xfrm>
          <a:off x="50084182" y="11646189"/>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21</xdr:col>
      <xdr:colOff>0</xdr:colOff>
      <xdr:row>127</xdr:row>
      <xdr:rowOff>0</xdr:rowOff>
    </xdr:from>
    <xdr:ext cx="95250" cy="213632"/>
    <xdr:sp macro="" textlink="">
      <xdr:nvSpPr>
        <xdr:cNvPr id="104" name="Text Box 15">
          <a:extLst>
            <a:ext uri="{FF2B5EF4-FFF2-40B4-BE49-F238E27FC236}">
              <a16:creationId xmlns:a16="http://schemas.microsoft.com/office/drawing/2014/main" id="{00000000-0008-0000-0500-000068000000}"/>
            </a:ext>
          </a:extLst>
        </xdr:cNvPr>
        <xdr:cNvSpPr txBox="1">
          <a:spLocks noChangeArrowheads="1"/>
        </xdr:cNvSpPr>
      </xdr:nvSpPr>
      <xdr:spPr bwMode="auto">
        <a:xfrm>
          <a:off x="50084182" y="11646189"/>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213632"/>
    <xdr:sp macro="" textlink="">
      <xdr:nvSpPr>
        <xdr:cNvPr id="105" name="Text Box 15">
          <a:extLst>
            <a:ext uri="{FF2B5EF4-FFF2-40B4-BE49-F238E27FC236}">
              <a16:creationId xmlns:a16="http://schemas.microsoft.com/office/drawing/2014/main" id="{00000000-0008-0000-0500-000069000000}"/>
            </a:ext>
          </a:extLst>
        </xdr:cNvPr>
        <xdr:cNvSpPr txBox="1">
          <a:spLocks noChangeArrowheads="1"/>
        </xdr:cNvSpPr>
      </xdr:nvSpPr>
      <xdr:spPr bwMode="auto">
        <a:xfrm>
          <a:off x="9374909"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213632"/>
    <xdr:sp macro="" textlink="">
      <xdr:nvSpPr>
        <xdr:cNvPr id="106" name="Text Box 15">
          <a:extLst>
            <a:ext uri="{FF2B5EF4-FFF2-40B4-BE49-F238E27FC236}">
              <a16:creationId xmlns:a16="http://schemas.microsoft.com/office/drawing/2014/main" id="{00000000-0008-0000-0500-00006A000000}"/>
            </a:ext>
          </a:extLst>
        </xdr:cNvPr>
        <xdr:cNvSpPr txBox="1">
          <a:spLocks noChangeArrowheads="1"/>
        </xdr:cNvSpPr>
      </xdr:nvSpPr>
      <xdr:spPr bwMode="auto">
        <a:xfrm>
          <a:off x="9374909"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213632"/>
    <xdr:sp macro="" textlink="">
      <xdr:nvSpPr>
        <xdr:cNvPr id="107" name="Text Box 15">
          <a:extLst>
            <a:ext uri="{FF2B5EF4-FFF2-40B4-BE49-F238E27FC236}">
              <a16:creationId xmlns:a16="http://schemas.microsoft.com/office/drawing/2014/main" id="{00000000-0008-0000-0500-00006B000000}"/>
            </a:ext>
          </a:extLst>
        </xdr:cNvPr>
        <xdr:cNvSpPr txBox="1">
          <a:spLocks noChangeArrowheads="1"/>
        </xdr:cNvSpPr>
      </xdr:nvSpPr>
      <xdr:spPr bwMode="auto">
        <a:xfrm>
          <a:off x="9374909"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213632"/>
    <xdr:sp macro="" textlink="">
      <xdr:nvSpPr>
        <xdr:cNvPr id="108" name="Text Box 15">
          <a:extLst>
            <a:ext uri="{FF2B5EF4-FFF2-40B4-BE49-F238E27FC236}">
              <a16:creationId xmlns:a16="http://schemas.microsoft.com/office/drawing/2014/main" id="{00000000-0008-0000-0500-00006C000000}"/>
            </a:ext>
          </a:extLst>
        </xdr:cNvPr>
        <xdr:cNvSpPr txBox="1">
          <a:spLocks noChangeArrowheads="1"/>
        </xdr:cNvSpPr>
      </xdr:nvSpPr>
      <xdr:spPr bwMode="auto">
        <a:xfrm>
          <a:off x="9374909"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213632"/>
    <xdr:sp macro="" textlink="">
      <xdr:nvSpPr>
        <xdr:cNvPr id="109" name="Text Box 15">
          <a:extLst>
            <a:ext uri="{FF2B5EF4-FFF2-40B4-BE49-F238E27FC236}">
              <a16:creationId xmlns:a16="http://schemas.microsoft.com/office/drawing/2014/main" id="{00000000-0008-0000-0500-00006D000000}"/>
            </a:ext>
          </a:extLst>
        </xdr:cNvPr>
        <xdr:cNvSpPr txBox="1">
          <a:spLocks noChangeArrowheads="1"/>
        </xdr:cNvSpPr>
      </xdr:nvSpPr>
      <xdr:spPr bwMode="auto">
        <a:xfrm>
          <a:off x="9374909"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213632"/>
    <xdr:sp macro="" textlink="">
      <xdr:nvSpPr>
        <xdr:cNvPr id="110" name="Text Box 15">
          <a:extLst>
            <a:ext uri="{FF2B5EF4-FFF2-40B4-BE49-F238E27FC236}">
              <a16:creationId xmlns:a16="http://schemas.microsoft.com/office/drawing/2014/main" id="{00000000-0008-0000-0500-00006E000000}"/>
            </a:ext>
          </a:extLst>
        </xdr:cNvPr>
        <xdr:cNvSpPr txBox="1">
          <a:spLocks noChangeArrowheads="1"/>
        </xdr:cNvSpPr>
      </xdr:nvSpPr>
      <xdr:spPr bwMode="auto">
        <a:xfrm>
          <a:off x="9374909"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213632"/>
    <xdr:sp macro="" textlink="">
      <xdr:nvSpPr>
        <xdr:cNvPr id="111" name="Text Box 15">
          <a:extLst>
            <a:ext uri="{FF2B5EF4-FFF2-40B4-BE49-F238E27FC236}">
              <a16:creationId xmlns:a16="http://schemas.microsoft.com/office/drawing/2014/main" id="{00000000-0008-0000-0500-00006F000000}"/>
            </a:ext>
          </a:extLst>
        </xdr:cNvPr>
        <xdr:cNvSpPr txBox="1">
          <a:spLocks noChangeArrowheads="1"/>
        </xdr:cNvSpPr>
      </xdr:nvSpPr>
      <xdr:spPr bwMode="auto">
        <a:xfrm>
          <a:off x="9374909"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127</xdr:row>
      <xdr:rowOff>0</xdr:rowOff>
    </xdr:from>
    <xdr:ext cx="95250" cy="213632"/>
    <xdr:sp macro="" textlink="">
      <xdr:nvSpPr>
        <xdr:cNvPr id="112" name="Text Box 15">
          <a:extLst>
            <a:ext uri="{FF2B5EF4-FFF2-40B4-BE49-F238E27FC236}">
              <a16:creationId xmlns:a16="http://schemas.microsoft.com/office/drawing/2014/main" id="{00000000-0008-0000-0500-000070000000}"/>
            </a:ext>
          </a:extLst>
        </xdr:cNvPr>
        <xdr:cNvSpPr txBox="1">
          <a:spLocks noChangeArrowheads="1"/>
        </xdr:cNvSpPr>
      </xdr:nvSpPr>
      <xdr:spPr bwMode="auto">
        <a:xfrm>
          <a:off x="12790343"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127</xdr:row>
      <xdr:rowOff>0</xdr:rowOff>
    </xdr:from>
    <xdr:ext cx="95250" cy="213632"/>
    <xdr:sp macro="" textlink="">
      <xdr:nvSpPr>
        <xdr:cNvPr id="113" name="Text Box 15">
          <a:extLst>
            <a:ext uri="{FF2B5EF4-FFF2-40B4-BE49-F238E27FC236}">
              <a16:creationId xmlns:a16="http://schemas.microsoft.com/office/drawing/2014/main" id="{00000000-0008-0000-0500-000071000000}"/>
            </a:ext>
          </a:extLst>
        </xdr:cNvPr>
        <xdr:cNvSpPr txBox="1">
          <a:spLocks noChangeArrowheads="1"/>
        </xdr:cNvSpPr>
      </xdr:nvSpPr>
      <xdr:spPr bwMode="auto">
        <a:xfrm>
          <a:off x="12790343"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127</xdr:row>
      <xdr:rowOff>0</xdr:rowOff>
    </xdr:from>
    <xdr:ext cx="95250" cy="213632"/>
    <xdr:sp macro="" textlink="">
      <xdr:nvSpPr>
        <xdr:cNvPr id="114" name="Text Box 15">
          <a:extLst>
            <a:ext uri="{FF2B5EF4-FFF2-40B4-BE49-F238E27FC236}">
              <a16:creationId xmlns:a16="http://schemas.microsoft.com/office/drawing/2014/main" id="{00000000-0008-0000-0500-000072000000}"/>
            </a:ext>
          </a:extLst>
        </xdr:cNvPr>
        <xdr:cNvSpPr txBox="1">
          <a:spLocks noChangeArrowheads="1"/>
        </xdr:cNvSpPr>
      </xdr:nvSpPr>
      <xdr:spPr bwMode="auto">
        <a:xfrm>
          <a:off x="12790343"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127</xdr:row>
      <xdr:rowOff>0</xdr:rowOff>
    </xdr:from>
    <xdr:ext cx="95250" cy="213632"/>
    <xdr:sp macro="" textlink="">
      <xdr:nvSpPr>
        <xdr:cNvPr id="115" name="Text Box 15">
          <a:extLst>
            <a:ext uri="{FF2B5EF4-FFF2-40B4-BE49-F238E27FC236}">
              <a16:creationId xmlns:a16="http://schemas.microsoft.com/office/drawing/2014/main" id="{00000000-0008-0000-0500-000073000000}"/>
            </a:ext>
          </a:extLst>
        </xdr:cNvPr>
        <xdr:cNvSpPr txBox="1">
          <a:spLocks noChangeArrowheads="1"/>
        </xdr:cNvSpPr>
      </xdr:nvSpPr>
      <xdr:spPr bwMode="auto">
        <a:xfrm>
          <a:off x="12790343"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127</xdr:row>
      <xdr:rowOff>0</xdr:rowOff>
    </xdr:from>
    <xdr:ext cx="95250" cy="213632"/>
    <xdr:sp macro="" textlink="">
      <xdr:nvSpPr>
        <xdr:cNvPr id="116" name="Text Box 15">
          <a:extLst>
            <a:ext uri="{FF2B5EF4-FFF2-40B4-BE49-F238E27FC236}">
              <a16:creationId xmlns:a16="http://schemas.microsoft.com/office/drawing/2014/main" id="{00000000-0008-0000-0500-000074000000}"/>
            </a:ext>
          </a:extLst>
        </xdr:cNvPr>
        <xdr:cNvSpPr txBox="1">
          <a:spLocks noChangeArrowheads="1"/>
        </xdr:cNvSpPr>
      </xdr:nvSpPr>
      <xdr:spPr bwMode="auto">
        <a:xfrm>
          <a:off x="12790343"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127</xdr:row>
      <xdr:rowOff>0</xdr:rowOff>
    </xdr:from>
    <xdr:ext cx="95250" cy="213632"/>
    <xdr:sp macro="" textlink="">
      <xdr:nvSpPr>
        <xdr:cNvPr id="117" name="Text Box 15">
          <a:extLst>
            <a:ext uri="{FF2B5EF4-FFF2-40B4-BE49-F238E27FC236}">
              <a16:creationId xmlns:a16="http://schemas.microsoft.com/office/drawing/2014/main" id="{00000000-0008-0000-0500-000075000000}"/>
            </a:ext>
          </a:extLst>
        </xdr:cNvPr>
        <xdr:cNvSpPr txBox="1">
          <a:spLocks noChangeArrowheads="1"/>
        </xdr:cNvSpPr>
      </xdr:nvSpPr>
      <xdr:spPr bwMode="auto">
        <a:xfrm>
          <a:off x="12790343"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127</xdr:row>
      <xdr:rowOff>0</xdr:rowOff>
    </xdr:from>
    <xdr:ext cx="95250" cy="213632"/>
    <xdr:sp macro="" textlink="">
      <xdr:nvSpPr>
        <xdr:cNvPr id="118" name="Text Box 15">
          <a:extLst>
            <a:ext uri="{FF2B5EF4-FFF2-40B4-BE49-F238E27FC236}">
              <a16:creationId xmlns:a16="http://schemas.microsoft.com/office/drawing/2014/main" id="{00000000-0008-0000-0500-000076000000}"/>
            </a:ext>
          </a:extLst>
        </xdr:cNvPr>
        <xdr:cNvSpPr txBox="1">
          <a:spLocks noChangeArrowheads="1"/>
        </xdr:cNvSpPr>
      </xdr:nvSpPr>
      <xdr:spPr bwMode="auto">
        <a:xfrm>
          <a:off x="12790343"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213632"/>
    <xdr:sp macro="" textlink="">
      <xdr:nvSpPr>
        <xdr:cNvPr id="119" name="Text Box 15">
          <a:extLst>
            <a:ext uri="{FF2B5EF4-FFF2-40B4-BE49-F238E27FC236}">
              <a16:creationId xmlns:a16="http://schemas.microsoft.com/office/drawing/2014/main" id="{00000000-0008-0000-0500-000077000000}"/>
            </a:ext>
          </a:extLst>
        </xdr:cNvPr>
        <xdr:cNvSpPr txBox="1">
          <a:spLocks noChangeArrowheads="1"/>
        </xdr:cNvSpPr>
      </xdr:nvSpPr>
      <xdr:spPr bwMode="auto">
        <a:xfrm>
          <a:off x="9374909" y="12870007"/>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213632"/>
    <xdr:sp macro="" textlink="">
      <xdr:nvSpPr>
        <xdr:cNvPr id="120" name="Text Box 15">
          <a:extLst>
            <a:ext uri="{FF2B5EF4-FFF2-40B4-BE49-F238E27FC236}">
              <a16:creationId xmlns:a16="http://schemas.microsoft.com/office/drawing/2014/main" id="{00000000-0008-0000-0500-000078000000}"/>
            </a:ext>
          </a:extLst>
        </xdr:cNvPr>
        <xdr:cNvSpPr txBox="1">
          <a:spLocks noChangeArrowheads="1"/>
        </xdr:cNvSpPr>
      </xdr:nvSpPr>
      <xdr:spPr bwMode="auto">
        <a:xfrm>
          <a:off x="9374909" y="12870007"/>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127</xdr:row>
      <xdr:rowOff>0</xdr:rowOff>
    </xdr:from>
    <xdr:ext cx="95250" cy="213632"/>
    <xdr:sp macro="" textlink="">
      <xdr:nvSpPr>
        <xdr:cNvPr id="121" name="Text Box 15">
          <a:extLst>
            <a:ext uri="{FF2B5EF4-FFF2-40B4-BE49-F238E27FC236}">
              <a16:creationId xmlns:a16="http://schemas.microsoft.com/office/drawing/2014/main" id="{00000000-0008-0000-0500-000079000000}"/>
            </a:ext>
          </a:extLst>
        </xdr:cNvPr>
        <xdr:cNvSpPr txBox="1">
          <a:spLocks noChangeArrowheads="1"/>
        </xdr:cNvSpPr>
      </xdr:nvSpPr>
      <xdr:spPr bwMode="auto">
        <a:xfrm>
          <a:off x="12790343" y="12870007"/>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127</xdr:row>
      <xdr:rowOff>0</xdr:rowOff>
    </xdr:from>
    <xdr:ext cx="95250" cy="213632"/>
    <xdr:sp macro="" textlink="">
      <xdr:nvSpPr>
        <xdr:cNvPr id="122" name="Text Box 15">
          <a:extLst>
            <a:ext uri="{FF2B5EF4-FFF2-40B4-BE49-F238E27FC236}">
              <a16:creationId xmlns:a16="http://schemas.microsoft.com/office/drawing/2014/main" id="{00000000-0008-0000-0500-00007A000000}"/>
            </a:ext>
          </a:extLst>
        </xdr:cNvPr>
        <xdr:cNvSpPr txBox="1">
          <a:spLocks noChangeArrowheads="1"/>
        </xdr:cNvSpPr>
      </xdr:nvSpPr>
      <xdr:spPr bwMode="auto">
        <a:xfrm>
          <a:off x="12790343" y="12870007"/>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213632"/>
    <xdr:sp macro="" textlink="">
      <xdr:nvSpPr>
        <xdr:cNvPr id="123" name="Text Box 15">
          <a:extLst>
            <a:ext uri="{FF2B5EF4-FFF2-40B4-BE49-F238E27FC236}">
              <a16:creationId xmlns:a16="http://schemas.microsoft.com/office/drawing/2014/main" id="{00000000-0008-0000-0500-00007B000000}"/>
            </a:ext>
          </a:extLst>
        </xdr:cNvPr>
        <xdr:cNvSpPr txBox="1">
          <a:spLocks noChangeArrowheads="1"/>
        </xdr:cNvSpPr>
      </xdr:nvSpPr>
      <xdr:spPr bwMode="auto">
        <a:xfrm>
          <a:off x="9374909"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213632"/>
    <xdr:sp macro="" textlink="">
      <xdr:nvSpPr>
        <xdr:cNvPr id="124" name="Text Box 15">
          <a:extLst>
            <a:ext uri="{FF2B5EF4-FFF2-40B4-BE49-F238E27FC236}">
              <a16:creationId xmlns:a16="http://schemas.microsoft.com/office/drawing/2014/main" id="{00000000-0008-0000-0500-00007C000000}"/>
            </a:ext>
          </a:extLst>
        </xdr:cNvPr>
        <xdr:cNvSpPr txBox="1">
          <a:spLocks noChangeArrowheads="1"/>
        </xdr:cNvSpPr>
      </xdr:nvSpPr>
      <xdr:spPr bwMode="auto">
        <a:xfrm>
          <a:off x="9374909"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213632"/>
    <xdr:sp macro="" textlink="">
      <xdr:nvSpPr>
        <xdr:cNvPr id="125" name="Text Box 15">
          <a:extLst>
            <a:ext uri="{FF2B5EF4-FFF2-40B4-BE49-F238E27FC236}">
              <a16:creationId xmlns:a16="http://schemas.microsoft.com/office/drawing/2014/main" id="{00000000-0008-0000-0500-00007D000000}"/>
            </a:ext>
          </a:extLst>
        </xdr:cNvPr>
        <xdr:cNvSpPr txBox="1">
          <a:spLocks noChangeArrowheads="1"/>
        </xdr:cNvSpPr>
      </xdr:nvSpPr>
      <xdr:spPr bwMode="auto">
        <a:xfrm>
          <a:off x="9374909"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213632"/>
    <xdr:sp macro="" textlink="">
      <xdr:nvSpPr>
        <xdr:cNvPr id="126" name="Text Box 15">
          <a:extLst>
            <a:ext uri="{FF2B5EF4-FFF2-40B4-BE49-F238E27FC236}">
              <a16:creationId xmlns:a16="http://schemas.microsoft.com/office/drawing/2014/main" id="{00000000-0008-0000-0500-00007E000000}"/>
            </a:ext>
          </a:extLst>
        </xdr:cNvPr>
        <xdr:cNvSpPr txBox="1">
          <a:spLocks noChangeArrowheads="1"/>
        </xdr:cNvSpPr>
      </xdr:nvSpPr>
      <xdr:spPr bwMode="auto">
        <a:xfrm>
          <a:off x="9374909"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213632"/>
    <xdr:sp macro="" textlink="">
      <xdr:nvSpPr>
        <xdr:cNvPr id="127" name="Text Box 15">
          <a:extLst>
            <a:ext uri="{FF2B5EF4-FFF2-40B4-BE49-F238E27FC236}">
              <a16:creationId xmlns:a16="http://schemas.microsoft.com/office/drawing/2014/main" id="{00000000-0008-0000-0500-00007F000000}"/>
            </a:ext>
          </a:extLst>
        </xdr:cNvPr>
        <xdr:cNvSpPr txBox="1">
          <a:spLocks noChangeArrowheads="1"/>
        </xdr:cNvSpPr>
      </xdr:nvSpPr>
      <xdr:spPr bwMode="auto">
        <a:xfrm>
          <a:off x="9374909"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213632"/>
    <xdr:sp macro="" textlink="">
      <xdr:nvSpPr>
        <xdr:cNvPr id="128" name="Text Box 15">
          <a:extLst>
            <a:ext uri="{FF2B5EF4-FFF2-40B4-BE49-F238E27FC236}">
              <a16:creationId xmlns:a16="http://schemas.microsoft.com/office/drawing/2014/main" id="{00000000-0008-0000-0500-000080000000}"/>
            </a:ext>
          </a:extLst>
        </xdr:cNvPr>
        <xdr:cNvSpPr txBox="1">
          <a:spLocks noChangeArrowheads="1"/>
        </xdr:cNvSpPr>
      </xdr:nvSpPr>
      <xdr:spPr bwMode="auto">
        <a:xfrm>
          <a:off x="9374909"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213632"/>
    <xdr:sp macro="" textlink="">
      <xdr:nvSpPr>
        <xdr:cNvPr id="129" name="Text Box 15">
          <a:extLst>
            <a:ext uri="{FF2B5EF4-FFF2-40B4-BE49-F238E27FC236}">
              <a16:creationId xmlns:a16="http://schemas.microsoft.com/office/drawing/2014/main" id="{00000000-0008-0000-0500-000081000000}"/>
            </a:ext>
          </a:extLst>
        </xdr:cNvPr>
        <xdr:cNvSpPr txBox="1">
          <a:spLocks noChangeArrowheads="1"/>
        </xdr:cNvSpPr>
      </xdr:nvSpPr>
      <xdr:spPr bwMode="auto">
        <a:xfrm>
          <a:off x="9374909"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127</xdr:row>
      <xdr:rowOff>0</xdr:rowOff>
    </xdr:from>
    <xdr:ext cx="95250" cy="213632"/>
    <xdr:sp macro="" textlink="">
      <xdr:nvSpPr>
        <xdr:cNvPr id="130" name="Text Box 15">
          <a:extLst>
            <a:ext uri="{FF2B5EF4-FFF2-40B4-BE49-F238E27FC236}">
              <a16:creationId xmlns:a16="http://schemas.microsoft.com/office/drawing/2014/main" id="{00000000-0008-0000-0500-000082000000}"/>
            </a:ext>
          </a:extLst>
        </xdr:cNvPr>
        <xdr:cNvSpPr txBox="1">
          <a:spLocks noChangeArrowheads="1"/>
        </xdr:cNvSpPr>
      </xdr:nvSpPr>
      <xdr:spPr bwMode="auto">
        <a:xfrm>
          <a:off x="12790343"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127</xdr:row>
      <xdr:rowOff>0</xdr:rowOff>
    </xdr:from>
    <xdr:ext cx="95250" cy="213632"/>
    <xdr:sp macro="" textlink="">
      <xdr:nvSpPr>
        <xdr:cNvPr id="131" name="Text Box 15">
          <a:extLst>
            <a:ext uri="{FF2B5EF4-FFF2-40B4-BE49-F238E27FC236}">
              <a16:creationId xmlns:a16="http://schemas.microsoft.com/office/drawing/2014/main" id="{00000000-0008-0000-0500-000083000000}"/>
            </a:ext>
          </a:extLst>
        </xdr:cNvPr>
        <xdr:cNvSpPr txBox="1">
          <a:spLocks noChangeArrowheads="1"/>
        </xdr:cNvSpPr>
      </xdr:nvSpPr>
      <xdr:spPr bwMode="auto">
        <a:xfrm>
          <a:off x="12790343"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127</xdr:row>
      <xdr:rowOff>0</xdr:rowOff>
    </xdr:from>
    <xdr:ext cx="95250" cy="213632"/>
    <xdr:sp macro="" textlink="">
      <xdr:nvSpPr>
        <xdr:cNvPr id="132" name="Text Box 15">
          <a:extLst>
            <a:ext uri="{FF2B5EF4-FFF2-40B4-BE49-F238E27FC236}">
              <a16:creationId xmlns:a16="http://schemas.microsoft.com/office/drawing/2014/main" id="{00000000-0008-0000-0500-000084000000}"/>
            </a:ext>
          </a:extLst>
        </xdr:cNvPr>
        <xdr:cNvSpPr txBox="1">
          <a:spLocks noChangeArrowheads="1"/>
        </xdr:cNvSpPr>
      </xdr:nvSpPr>
      <xdr:spPr bwMode="auto">
        <a:xfrm>
          <a:off x="12790343"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127</xdr:row>
      <xdr:rowOff>0</xdr:rowOff>
    </xdr:from>
    <xdr:ext cx="95250" cy="213632"/>
    <xdr:sp macro="" textlink="">
      <xdr:nvSpPr>
        <xdr:cNvPr id="133" name="Text Box 15">
          <a:extLst>
            <a:ext uri="{FF2B5EF4-FFF2-40B4-BE49-F238E27FC236}">
              <a16:creationId xmlns:a16="http://schemas.microsoft.com/office/drawing/2014/main" id="{00000000-0008-0000-0500-000085000000}"/>
            </a:ext>
          </a:extLst>
        </xdr:cNvPr>
        <xdr:cNvSpPr txBox="1">
          <a:spLocks noChangeArrowheads="1"/>
        </xdr:cNvSpPr>
      </xdr:nvSpPr>
      <xdr:spPr bwMode="auto">
        <a:xfrm>
          <a:off x="12790343"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127</xdr:row>
      <xdr:rowOff>0</xdr:rowOff>
    </xdr:from>
    <xdr:ext cx="95250" cy="213632"/>
    <xdr:sp macro="" textlink="">
      <xdr:nvSpPr>
        <xdr:cNvPr id="134" name="Text Box 15">
          <a:extLst>
            <a:ext uri="{FF2B5EF4-FFF2-40B4-BE49-F238E27FC236}">
              <a16:creationId xmlns:a16="http://schemas.microsoft.com/office/drawing/2014/main" id="{00000000-0008-0000-0500-000086000000}"/>
            </a:ext>
          </a:extLst>
        </xdr:cNvPr>
        <xdr:cNvSpPr txBox="1">
          <a:spLocks noChangeArrowheads="1"/>
        </xdr:cNvSpPr>
      </xdr:nvSpPr>
      <xdr:spPr bwMode="auto">
        <a:xfrm>
          <a:off x="12790343"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127</xdr:row>
      <xdr:rowOff>0</xdr:rowOff>
    </xdr:from>
    <xdr:ext cx="95250" cy="213632"/>
    <xdr:sp macro="" textlink="">
      <xdr:nvSpPr>
        <xdr:cNvPr id="135" name="Text Box 15">
          <a:extLst>
            <a:ext uri="{FF2B5EF4-FFF2-40B4-BE49-F238E27FC236}">
              <a16:creationId xmlns:a16="http://schemas.microsoft.com/office/drawing/2014/main" id="{00000000-0008-0000-0500-000087000000}"/>
            </a:ext>
          </a:extLst>
        </xdr:cNvPr>
        <xdr:cNvSpPr txBox="1">
          <a:spLocks noChangeArrowheads="1"/>
        </xdr:cNvSpPr>
      </xdr:nvSpPr>
      <xdr:spPr bwMode="auto">
        <a:xfrm>
          <a:off x="12790343"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127</xdr:row>
      <xdr:rowOff>0</xdr:rowOff>
    </xdr:from>
    <xdr:ext cx="95250" cy="213632"/>
    <xdr:sp macro="" textlink="">
      <xdr:nvSpPr>
        <xdr:cNvPr id="136" name="Text Box 15">
          <a:extLst>
            <a:ext uri="{FF2B5EF4-FFF2-40B4-BE49-F238E27FC236}">
              <a16:creationId xmlns:a16="http://schemas.microsoft.com/office/drawing/2014/main" id="{00000000-0008-0000-0500-000088000000}"/>
            </a:ext>
          </a:extLst>
        </xdr:cNvPr>
        <xdr:cNvSpPr txBox="1">
          <a:spLocks noChangeArrowheads="1"/>
        </xdr:cNvSpPr>
      </xdr:nvSpPr>
      <xdr:spPr bwMode="auto">
        <a:xfrm>
          <a:off x="12790343"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213632"/>
    <xdr:sp macro="" textlink="">
      <xdr:nvSpPr>
        <xdr:cNvPr id="137" name="Text Box 15">
          <a:extLst>
            <a:ext uri="{FF2B5EF4-FFF2-40B4-BE49-F238E27FC236}">
              <a16:creationId xmlns:a16="http://schemas.microsoft.com/office/drawing/2014/main" id="{00000000-0008-0000-0500-000089000000}"/>
            </a:ext>
          </a:extLst>
        </xdr:cNvPr>
        <xdr:cNvSpPr txBox="1">
          <a:spLocks noChangeArrowheads="1"/>
        </xdr:cNvSpPr>
      </xdr:nvSpPr>
      <xdr:spPr bwMode="auto">
        <a:xfrm>
          <a:off x="9374909" y="12870007"/>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213632"/>
    <xdr:sp macro="" textlink="">
      <xdr:nvSpPr>
        <xdr:cNvPr id="138" name="Text Box 15">
          <a:extLst>
            <a:ext uri="{FF2B5EF4-FFF2-40B4-BE49-F238E27FC236}">
              <a16:creationId xmlns:a16="http://schemas.microsoft.com/office/drawing/2014/main" id="{00000000-0008-0000-0500-00008A000000}"/>
            </a:ext>
          </a:extLst>
        </xdr:cNvPr>
        <xdr:cNvSpPr txBox="1">
          <a:spLocks noChangeArrowheads="1"/>
        </xdr:cNvSpPr>
      </xdr:nvSpPr>
      <xdr:spPr bwMode="auto">
        <a:xfrm>
          <a:off x="9374909" y="12870007"/>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127</xdr:row>
      <xdr:rowOff>0</xdr:rowOff>
    </xdr:from>
    <xdr:ext cx="95250" cy="213632"/>
    <xdr:sp macro="" textlink="">
      <xdr:nvSpPr>
        <xdr:cNvPr id="139" name="Text Box 15">
          <a:extLst>
            <a:ext uri="{FF2B5EF4-FFF2-40B4-BE49-F238E27FC236}">
              <a16:creationId xmlns:a16="http://schemas.microsoft.com/office/drawing/2014/main" id="{00000000-0008-0000-0500-00008B000000}"/>
            </a:ext>
          </a:extLst>
        </xdr:cNvPr>
        <xdr:cNvSpPr txBox="1">
          <a:spLocks noChangeArrowheads="1"/>
        </xdr:cNvSpPr>
      </xdr:nvSpPr>
      <xdr:spPr bwMode="auto">
        <a:xfrm>
          <a:off x="12790343" y="12870007"/>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127</xdr:row>
      <xdr:rowOff>0</xdr:rowOff>
    </xdr:from>
    <xdr:ext cx="95250" cy="213632"/>
    <xdr:sp macro="" textlink="">
      <xdr:nvSpPr>
        <xdr:cNvPr id="140" name="Text Box 15">
          <a:extLst>
            <a:ext uri="{FF2B5EF4-FFF2-40B4-BE49-F238E27FC236}">
              <a16:creationId xmlns:a16="http://schemas.microsoft.com/office/drawing/2014/main" id="{00000000-0008-0000-0500-00008C000000}"/>
            </a:ext>
          </a:extLst>
        </xdr:cNvPr>
        <xdr:cNvSpPr txBox="1">
          <a:spLocks noChangeArrowheads="1"/>
        </xdr:cNvSpPr>
      </xdr:nvSpPr>
      <xdr:spPr bwMode="auto">
        <a:xfrm>
          <a:off x="12790343" y="12870007"/>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213632"/>
    <xdr:sp macro="" textlink="">
      <xdr:nvSpPr>
        <xdr:cNvPr id="141" name="Text Box 15">
          <a:extLst>
            <a:ext uri="{FF2B5EF4-FFF2-40B4-BE49-F238E27FC236}">
              <a16:creationId xmlns:a16="http://schemas.microsoft.com/office/drawing/2014/main" id="{00000000-0008-0000-0500-00008D000000}"/>
            </a:ext>
          </a:extLst>
        </xdr:cNvPr>
        <xdr:cNvSpPr txBox="1">
          <a:spLocks noChangeArrowheads="1"/>
        </xdr:cNvSpPr>
      </xdr:nvSpPr>
      <xdr:spPr bwMode="auto">
        <a:xfrm>
          <a:off x="9374909"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213632"/>
    <xdr:sp macro="" textlink="">
      <xdr:nvSpPr>
        <xdr:cNvPr id="142" name="Text Box 15">
          <a:extLst>
            <a:ext uri="{FF2B5EF4-FFF2-40B4-BE49-F238E27FC236}">
              <a16:creationId xmlns:a16="http://schemas.microsoft.com/office/drawing/2014/main" id="{00000000-0008-0000-0500-00008E000000}"/>
            </a:ext>
          </a:extLst>
        </xdr:cNvPr>
        <xdr:cNvSpPr txBox="1">
          <a:spLocks noChangeArrowheads="1"/>
        </xdr:cNvSpPr>
      </xdr:nvSpPr>
      <xdr:spPr bwMode="auto">
        <a:xfrm>
          <a:off x="9374909"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213632"/>
    <xdr:sp macro="" textlink="">
      <xdr:nvSpPr>
        <xdr:cNvPr id="143" name="Text Box 15">
          <a:extLst>
            <a:ext uri="{FF2B5EF4-FFF2-40B4-BE49-F238E27FC236}">
              <a16:creationId xmlns:a16="http://schemas.microsoft.com/office/drawing/2014/main" id="{00000000-0008-0000-0500-00008F000000}"/>
            </a:ext>
          </a:extLst>
        </xdr:cNvPr>
        <xdr:cNvSpPr txBox="1">
          <a:spLocks noChangeArrowheads="1"/>
        </xdr:cNvSpPr>
      </xdr:nvSpPr>
      <xdr:spPr bwMode="auto">
        <a:xfrm>
          <a:off x="9374909"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213632"/>
    <xdr:sp macro="" textlink="">
      <xdr:nvSpPr>
        <xdr:cNvPr id="144" name="Text Box 15">
          <a:extLst>
            <a:ext uri="{FF2B5EF4-FFF2-40B4-BE49-F238E27FC236}">
              <a16:creationId xmlns:a16="http://schemas.microsoft.com/office/drawing/2014/main" id="{00000000-0008-0000-0500-000090000000}"/>
            </a:ext>
          </a:extLst>
        </xdr:cNvPr>
        <xdr:cNvSpPr txBox="1">
          <a:spLocks noChangeArrowheads="1"/>
        </xdr:cNvSpPr>
      </xdr:nvSpPr>
      <xdr:spPr bwMode="auto">
        <a:xfrm>
          <a:off x="9374909"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213632"/>
    <xdr:sp macro="" textlink="">
      <xdr:nvSpPr>
        <xdr:cNvPr id="145" name="Text Box 15">
          <a:extLst>
            <a:ext uri="{FF2B5EF4-FFF2-40B4-BE49-F238E27FC236}">
              <a16:creationId xmlns:a16="http://schemas.microsoft.com/office/drawing/2014/main" id="{00000000-0008-0000-0500-000091000000}"/>
            </a:ext>
          </a:extLst>
        </xdr:cNvPr>
        <xdr:cNvSpPr txBox="1">
          <a:spLocks noChangeArrowheads="1"/>
        </xdr:cNvSpPr>
      </xdr:nvSpPr>
      <xdr:spPr bwMode="auto">
        <a:xfrm>
          <a:off x="9374909"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213632"/>
    <xdr:sp macro="" textlink="">
      <xdr:nvSpPr>
        <xdr:cNvPr id="146" name="Text Box 15">
          <a:extLst>
            <a:ext uri="{FF2B5EF4-FFF2-40B4-BE49-F238E27FC236}">
              <a16:creationId xmlns:a16="http://schemas.microsoft.com/office/drawing/2014/main" id="{00000000-0008-0000-0500-000092000000}"/>
            </a:ext>
          </a:extLst>
        </xdr:cNvPr>
        <xdr:cNvSpPr txBox="1">
          <a:spLocks noChangeArrowheads="1"/>
        </xdr:cNvSpPr>
      </xdr:nvSpPr>
      <xdr:spPr bwMode="auto">
        <a:xfrm>
          <a:off x="9374909"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213632"/>
    <xdr:sp macro="" textlink="">
      <xdr:nvSpPr>
        <xdr:cNvPr id="147" name="Text Box 15">
          <a:extLst>
            <a:ext uri="{FF2B5EF4-FFF2-40B4-BE49-F238E27FC236}">
              <a16:creationId xmlns:a16="http://schemas.microsoft.com/office/drawing/2014/main" id="{00000000-0008-0000-0500-000093000000}"/>
            </a:ext>
          </a:extLst>
        </xdr:cNvPr>
        <xdr:cNvSpPr txBox="1">
          <a:spLocks noChangeArrowheads="1"/>
        </xdr:cNvSpPr>
      </xdr:nvSpPr>
      <xdr:spPr bwMode="auto">
        <a:xfrm>
          <a:off x="9374909"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127</xdr:row>
      <xdr:rowOff>0</xdr:rowOff>
    </xdr:from>
    <xdr:ext cx="95250" cy="213632"/>
    <xdr:sp macro="" textlink="">
      <xdr:nvSpPr>
        <xdr:cNvPr id="148" name="Text Box 15">
          <a:extLst>
            <a:ext uri="{FF2B5EF4-FFF2-40B4-BE49-F238E27FC236}">
              <a16:creationId xmlns:a16="http://schemas.microsoft.com/office/drawing/2014/main" id="{00000000-0008-0000-0500-000094000000}"/>
            </a:ext>
          </a:extLst>
        </xdr:cNvPr>
        <xdr:cNvSpPr txBox="1">
          <a:spLocks noChangeArrowheads="1"/>
        </xdr:cNvSpPr>
      </xdr:nvSpPr>
      <xdr:spPr bwMode="auto">
        <a:xfrm>
          <a:off x="12790343"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127</xdr:row>
      <xdr:rowOff>0</xdr:rowOff>
    </xdr:from>
    <xdr:ext cx="95250" cy="213632"/>
    <xdr:sp macro="" textlink="">
      <xdr:nvSpPr>
        <xdr:cNvPr id="149" name="Text Box 15">
          <a:extLst>
            <a:ext uri="{FF2B5EF4-FFF2-40B4-BE49-F238E27FC236}">
              <a16:creationId xmlns:a16="http://schemas.microsoft.com/office/drawing/2014/main" id="{00000000-0008-0000-0500-000095000000}"/>
            </a:ext>
          </a:extLst>
        </xdr:cNvPr>
        <xdr:cNvSpPr txBox="1">
          <a:spLocks noChangeArrowheads="1"/>
        </xdr:cNvSpPr>
      </xdr:nvSpPr>
      <xdr:spPr bwMode="auto">
        <a:xfrm>
          <a:off x="12790343"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127</xdr:row>
      <xdr:rowOff>0</xdr:rowOff>
    </xdr:from>
    <xdr:ext cx="95250" cy="213632"/>
    <xdr:sp macro="" textlink="">
      <xdr:nvSpPr>
        <xdr:cNvPr id="150" name="Text Box 15">
          <a:extLst>
            <a:ext uri="{FF2B5EF4-FFF2-40B4-BE49-F238E27FC236}">
              <a16:creationId xmlns:a16="http://schemas.microsoft.com/office/drawing/2014/main" id="{00000000-0008-0000-0500-000096000000}"/>
            </a:ext>
          </a:extLst>
        </xdr:cNvPr>
        <xdr:cNvSpPr txBox="1">
          <a:spLocks noChangeArrowheads="1"/>
        </xdr:cNvSpPr>
      </xdr:nvSpPr>
      <xdr:spPr bwMode="auto">
        <a:xfrm>
          <a:off x="12790343"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127</xdr:row>
      <xdr:rowOff>0</xdr:rowOff>
    </xdr:from>
    <xdr:ext cx="95250" cy="213632"/>
    <xdr:sp macro="" textlink="">
      <xdr:nvSpPr>
        <xdr:cNvPr id="151" name="Text Box 15">
          <a:extLst>
            <a:ext uri="{FF2B5EF4-FFF2-40B4-BE49-F238E27FC236}">
              <a16:creationId xmlns:a16="http://schemas.microsoft.com/office/drawing/2014/main" id="{00000000-0008-0000-0500-000097000000}"/>
            </a:ext>
          </a:extLst>
        </xdr:cNvPr>
        <xdr:cNvSpPr txBox="1">
          <a:spLocks noChangeArrowheads="1"/>
        </xdr:cNvSpPr>
      </xdr:nvSpPr>
      <xdr:spPr bwMode="auto">
        <a:xfrm>
          <a:off x="12790343"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127</xdr:row>
      <xdr:rowOff>0</xdr:rowOff>
    </xdr:from>
    <xdr:ext cx="95250" cy="213632"/>
    <xdr:sp macro="" textlink="">
      <xdr:nvSpPr>
        <xdr:cNvPr id="152" name="Text Box 15">
          <a:extLst>
            <a:ext uri="{FF2B5EF4-FFF2-40B4-BE49-F238E27FC236}">
              <a16:creationId xmlns:a16="http://schemas.microsoft.com/office/drawing/2014/main" id="{00000000-0008-0000-0500-000098000000}"/>
            </a:ext>
          </a:extLst>
        </xdr:cNvPr>
        <xdr:cNvSpPr txBox="1">
          <a:spLocks noChangeArrowheads="1"/>
        </xdr:cNvSpPr>
      </xdr:nvSpPr>
      <xdr:spPr bwMode="auto">
        <a:xfrm>
          <a:off x="12790343"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127</xdr:row>
      <xdr:rowOff>0</xdr:rowOff>
    </xdr:from>
    <xdr:ext cx="95250" cy="213632"/>
    <xdr:sp macro="" textlink="">
      <xdr:nvSpPr>
        <xdr:cNvPr id="153" name="Text Box 15">
          <a:extLst>
            <a:ext uri="{FF2B5EF4-FFF2-40B4-BE49-F238E27FC236}">
              <a16:creationId xmlns:a16="http://schemas.microsoft.com/office/drawing/2014/main" id="{00000000-0008-0000-0500-000099000000}"/>
            </a:ext>
          </a:extLst>
        </xdr:cNvPr>
        <xdr:cNvSpPr txBox="1">
          <a:spLocks noChangeArrowheads="1"/>
        </xdr:cNvSpPr>
      </xdr:nvSpPr>
      <xdr:spPr bwMode="auto">
        <a:xfrm>
          <a:off x="12790343"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127</xdr:row>
      <xdr:rowOff>0</xdr:rowOff>
    </xdr:from>
    <xdr:ext cx="95250" cy="213632"/>
    <xdr:sp macro="" textlink="">
      <xdr:nvSpPr>
        <xdr:cNvPr id="154" name="Text Box 15">
          <a:extLst>
            <a:ext uri="{FF2B5EF4-FFF2-40B4-BE49-F238E27FC236}">
              <a16:creationId xmlns:a16="http://schemas.microsoft.com/office/drawing/2014/main" id="{00000000-0008-0000-0500-00009A000000}"/>
            </a:ext>
          </a:extLst>
        </xdr:cNvPr>
        <xdr:cNvSpPr txBox="1">
          <a:spLocks noChangeArrowheads="1"/>
        </xdr:cNvSpPr>
      </xdr:nvSpPr>
      <xdr:spPr bwMode="auto">
        <a:xfrm>
          <a:off x="12790343"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213632"/>
    <xdr:sp macro="" textlink="">
      <xdr:nvSpPr>
        <xdr:cNvPr id="155" name="Text Box 15">
          <a:extLst>
            <a:ext uri="{FF2B5EF4-FFF2-40B4-BE49-F238E27FC236}">
              <a16:creationId xmlns:a16="http://schemas.microsoft.com/office/drawing/2014/main" id="{00000000-0008-0000-0500-00009B000000}"/>
            </a:ext>
          </a:extLst>
        </xdr:cNvPr>
        <xdr:cNvSpPr txBox="1">
          <a:spLocks noChangeArrowheads="1"/>
        </xdr:cNvSpPr>
      </xdr:nvSpPr>
      <xdr:spPr bwMode="auto">
        <a:xfrm>
          <a:off x="9374909" y="12870007"/>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213632"/>
    <xdr:sp macro="" textlink="">
      <xdr:nvSpPr>
        <xdr:cNvPr id="156" name="Text Box 15">
          <a:extLst>
            <a:ext uri="{FF2B5EF4-FFF2-40B4-BE49-F238E27FC236}">
              <a16:creationId xmlns:a16="http://schemas.microsoft.com/office/drawing/2014/main" id="{00000000-0008-0000-0500-00009C000000}"/>
            </a:ext>
          </a:extLst>
        </xdr:cNvPr>
        <xdr:cNvSpPr txBox="1">
          <a:spLocks noChangeArrowheads="1"/>
        </xdr:cNvSpPr>
      </xdr:nvSpPr>
      <xdr:spPr bwMode="auto">
        <a:xfrm>
          <a:off x="9374909" y="12870007"/>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127</xdr:row>
      <xdr:rowOff>0</xdr:rowOff>
    </xdr:from>
    <xdr:ext cx="95250" cy="213632"/>
    <xdr:sp macro="" textlink="">
      <xdr:nvSpPr>
        <xdr:cNvPr id="157" name="Text Box 15">
          <a:extLst>
            <a:ext uri="{FF2B5EF4-FFF2-40B4-BE49-F238E27FC236}">
              <a16:creationId xmlns:a16="http://schemas.microsoft.com/office/drawing/2014/main" id="{00000000-0008-0000-0500-00009D000000}"/>
            </a:ext>
          </a:extLst>
        </xdr:cNvPr>
        <xdr:cNvSpPr txBox="1">
          <a:spLocks noChangeArrowheads="1"/>
        </xdr:cNvSpPr>
      </xdr:nvSpPr>
      <xdr:spPr bwMode="auto">
        <a:xfrm>
          <a:off x="12790343" y="12870007"/>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127</xdr:row>
      <xdr:rowOff>0</xdr:rowOff>
    </xdr:from>
    <xdr:ext cx="95250" cy="213632"/>
    <xdr:sp macro="" textlink="">
      <xdr:nvSpPr>
        <xdr:cNvPr id="158" name="Text Box 15">
          <a:extLst>
            <a:ext uri="{FF2B5EF4-FFF2-40B4-BE49-F238E27FC236}">
              <a16:creationId xmlns:a16="http://schemas.microsoft.com/office/drawing/2014/main" id="{00000000-0008-0000-0500-00009E000000}"/>
            </a:ext>
          </a:extLst>
        </xdr:cNvPr>
        <xdr:cNvSpPr txBox="1">
          <a:spLocks noChangeArrowheads="1"/>
        </xdr:cNvSpPr>
      </xdr:nvSpPr>
      <xdr:spPr bwMode="auto">
        <a:xfrm>
          <a:off x="12790343" y="12870007"/>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213632"/>
    <xdr:sp macro="" textlink="">
      <xdr:nvSpPr>
        <xdr:cNvPr id="159" name="Text Box 15">
          <a:extLst>
            <a:ext uri="{FF2B5EF4-FFF2-40B4-BE49-F238E27FC236}">
              <a16:creationId xmlns:a16="http://schemas.microsoft.com/office/drawing/2014/main" id="{00000000-0008-0000-0500-00009F000000}"/>
            </a:ext>
          </a:extLst>
        </xdr:cNvPr>
        <xdr:cNvSpPr txBox="1">
          <a:spLocks noChangeArrowheads="1"/>
        </xdr:cNvSpPr>
      </xdr:nvSpPr>
      <xdr:spPr bwMode="auto">
        <a:xfrm>
          <a:off x="9374909"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213632"/>
    <xdr:sp macro="" textlink="">
      <xdr:nvSpPr>
        <xdr:cNvPr id="160" name="Text Box 15">
          <a:extLst>
            <a:ext uri="{FF2B5EF4-FFF2-40B4-BE49-F238E27FC236}">
              <a16:creationId xmlns:a16="http://schemas.microsoft.com/office/drawing/2014/main" id="{00000000-0008-0000-0500-0000A0000000}"/>
            </a:ext>
          </a:extLst>
        </xdr:cNvPr>
        <xdr:cNvSpPr txBox="1">
          <a:spLocks noChangeArrowheads="1"/>
        </xdr:cNvSpPr>
      </xdr:nvSpPr>
      <xdr:spPr bwMode="auto">
        <a:xfrm>
          <a:off x="9374909"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213632"/>
    <xdr:sp macro="" textlink="">
      <xdr:nvSpPr>
        <xdr:cNvPr id="161" name="Text Box 15">
          <a:extLst>
            <a:ext uri="{FF2B5EF4-FFF2-40B4-BE49-F238E27FC236}">
              <a16:creationId xmlns:a16="http://schemas.microsoft.com/office/drawing/2014/main" id="{00000000-0008-0000-0500-0000A1000000}"/>
            </a:ext>
          </a:extLst>
        </xdr:cNvPr>
        <xdr:cNvSpPr txBox="1">
          <a:spLocks noChangeArrowheads="1"/>
        </xdr:cNvSpPr>
      </xdr:nvSpPr>
      <xdr:spPr bwMode="auto">
        <a:xfrm>
          <a:off x="9374909"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213632"/>
    <xdr:sp macro="" textlink="">
      <xdr:nvSpPr>
        <xdr:cNvPr id="162" name="Text Box 15">
          <a:extLst>
            <a:ext uri="{FF2B5EF4-FFF2-40B4-BE49-F238E27FC236}">
              <a16:creationId xmlns:a16="http://schemas.microsoft.com/office/drawing/2014/main" id="{00000000-0008-0000-0500-0000A2000000}"/>
            </a:ext>
          </a:extLst>
        </xdr:cNvPr>
        <xdr:cNvSpPr txBox="1">
          <a:spLocks noChangeArrowheads="1"/>
        </xdr:cNvSpPr>
      </xdr:nvSpPr>
      <xdr:spPr bwMode="auto">
        <a:xfrm>
          <a:off x="9374909"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213632"/>
    <xdr:sp macro="" textlink="">
      <xdr:nvSpPr>
        <xdr:cNvPr id="163" name="Text Box 15">
          <a:extLst>
            <a:ext uri="{FF2B5EF4-FFF2-40B4-BE49-F238E27FC236}">
              <a16:creationId xmlns:a16="http://schemas.microsoft.com/office/drawing/2014/main" id="{00000000-0008-0000-0500-0000A3000000}"/>
            </a:ext>
          </a:extLst>
        </xdr:cNvPr>
        <xdr:cNvSpPr txBox="1">
          <a:spLocks noChangeArrowheads="1"/>
        </xdr:cNvSpPr>
      </xdr:nvSpPr>
      <xdr:spPr bwMode="auto">
        <a:xfrm>
          <a:off x="9374909"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213632"/>
    <xdr:sp macro="" textlink="">
      <xdr:nvSpPr>
        <xdr:cNvPr id="164" name="Text Box 15">
          <a:extLst>
            <a:ext uri="{FF2B5EF4-FFF2-40B4-BE49-F238E27FC236}">
              <a16:creationId xmlns:a16="http://schemas.microsoft.com/office/drawing/2014/main" id="{00000000-0008-0000-0500-0000A4000000}"/>
            </a:ext>
          </a:extLst>
        </xdr:cNvPr>
        <xdr:cNvSpPr txBox="1">
          <a:spLocks noChangeArrowheads="1"/>
        </xdr:cNvSpPr>
      </xdr:nvSpPr>
      <xdr:spPr bwMode="auto">
        <a:xfrm>
          <a:off x="9374909"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213632"/>
    <xdr:sp macro="" textlink="">
      <xdr:nvSpPr>
        <xdr:cNvPr id="165" name="Text Box 15">
          <a:extLst>
            <a:ext uri="{FF2B5EF4-FFF2-40B4-BE49-F238E27FC236}">
              <a16:creationId xmlns:a16="http://schemas.microsoft.com/office/drawing/2014/main" id="{00000000-0008-0000-0500-0000A5000000}"/>
            </a:ext>
          </a:extLst>
        </xdr:cNvPr>
        <xdr:cNvSpPr txBox="1">
          <a:spLocks noChangeArrowheads="1"/>
        </xdr:cNvSpPr>
      </xdr:nvSpPr>
      <xdr:spPr bwMode="auto">
        <a:xfrm>
          <a:off x="9374909"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127</xdr:row>
      <xdr:rowOff>0</xdr:rowOff>
    </xdr:from>
    <xdr:ext cx="95250" cy="213632"/>
    <xdr:sp macro="" textlink="">
      <xdr:nvSpPr>
        <xdr:cNvPr id="166" name="Text Box 15">
          <a:extLst>
            <a:ext uri="{FF2B5EF4-FFF2-40B4-BE49-F238E27FC236}">
              <a16:creationId xmlns:a16="http://schemas.microsoft.com/office/drawing/2014/main" id="{00000000-0008-0000-0500-0000A6000000}"/>
            </a:ext>
          </a:extLst>
        </xdr:cNvPr>
        <xdr:cNvSpPr txBox="1">
          <a:spLocks noChangeArrowheads="1"/>
        </xdr:cNvSpPr>
      </xdr:nvSpPr>
      <xdr:spPr bwMode="auto">
        <a:xfrm>
          <a:off x="12790343"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127</xdr:row>
      <xdr:rowOff>0</xdr:rowOff>
    </xdr:from>
    <xdr:ext cx="95250" cy="213632"/>
    <xdr:sp macro="" textlink="">
      <xdr:nvSpPr>
        <xdr:cNvPr id="167" name="Text Box 15">
          <a:extLst>
            <a:ext uri="{FF2B5EF4-FFF2-40B4-BE49-F238E27FC236}">
              <a16:creationId xmlns:a16="http://schemas.microsoft.com/office/drawing/2014/main" id="{00000000-0008-0000-0500-0000A7000000}"/>
            </a:ext>
          </a:extLst>
        </xdr:cNvPr>
        <xdr:cNvSpPr txBox="1">
          <a:spLocks noChangeArrowheads="1"/>
        </xdr:cNvSpPr>
      </xdr:nvSpPr>
      <xdr:spPr bwMode="auto">
        <a:xfrm>
          <a:off x="12790343"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127</xdr:row>
      <xdr:rowOff>0</xdr:rowOff>
    </xdr:from>
    <xdr:ext cx="95250" cy="213632"/>
    <xdr:sp macro="" textlink="">
      <xdr:nvSpPr>
        <xdr:cNvPr id="168" name="Text Box 15">
          <a:extLst>
            <a:ext uri="{FF2B5EF4-FFF2-40B4-BE49-F238E27FC236}">
              <a16:creationId xmlns:a16="http://schemas.microsoft.com/office/drawing/2014/main" id="{00000000-0008-0000-0500-0000A8000000}"/>
            </a:ext>
          </a:extLst>
        </xdr:cNvPr>
        <xdr:cNvSpPr txBox="1">
          <a:spLocks noChangeArrowheads="1"/>
        </xdr:cNvSpPr>
      </xdr:nvSpPr>
      <xdr:spPr bwMode="auto">
        <a:xfrm>
          <a:off x="12790343"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127</xdr:row>
      <xdr:rowOff>0</xdr:rowOff>
    </xdr:from>
    <xdr:ext cx="95250" cy="213632"/>
    <xdr:sp macro="" textlink="">
      <xdr:nvSpPr>
        <xdr:cNvPr id="169" name="Text Box 15">
          <a:extLst>
            <a:ext uri="{FF2B5EF4-FFF2-40B4-BE49-F238E27FC236}">
              <a16:creationId xmlns:a16="http://schemas.microsoft.com/office/drawing/2014/main" id="{00000000-0008-0000-0500-0000A9000000}"/>
            </a:ext>
          </a:extLst>
        </xdr:cNvPr>
        <xdr:cNvSpPr txBox="1">
          <a:spLocks noChangeArrowheads="1"/>
        </xdr:cNvSpPr>
      </xdr:nvSpPr>
      <xdr:spPr bwMode="auto">
        <a:xfrm>
          <a:off x="12790343"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127</xdr:row>
      <xdr:rowOff>0</xdr:rowOff>
    </xdr:from>
    <xdr:ext cx="95250" cy="213632"/>
    <xdr:sp macro="" textlink="">
      <xdr:nvSpPr>
        <xdr:cNvPr id="170" name="Text Box 15">
          <a:extLst>
            <a:ext uri="{FF2B5EF4-FFF2-40B4-BE49-F238E27FC236}">
              <a16:creationId xmlns:a16="http://schemas.microsoft.com/office/drawing/2014/main" id="{00000000-0008-0000-0500-0000AA000000}"/>
            </a:ext>
          </a:extLst>
        </xdr:cNvPr>
        <xdr:cNvSpPr txBox="1">
          <a:spLocks noChangeArrowheads="1"/>
        </xdr:cNvSpPr>
      </xdr:nvSpPr>
      <xdr:spPr bwMode="auto">
        <a:xfrm>
          <a:off x="12790343"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127</xdr:row>
      <xdr:rowOff>0</xdr:rowOff>
    </xdr:from>
    <xdr:ext cx="95250" cy="213632"/>
    <xdr:sp macro="" textlink="">
      <xdr:nvSpPr>
        <xdr:cNvPr id="171" name="Text Box 15">
          <a:extLst>
            <a:ext uri="{FF2B5EF4-FFF2-40B4-BE49-F238E27FC236}">
              <a16:creationId xmlns:a16="http://schemas.microsoft.com/office/drawing/2014/main" id="{00000000-0008-0000-0500-0000AB000000}"/>
            </a:ext>
          </a:extLst>
        </xdr:cNvPr>
        <xdr:cNvSpPr txBox="1">
          <a:spLocks noChangeArrowheads="1"/>
        </xdr:cNvSpPr>
      </xdr:nvSpPr>
      <xdr:spPr bwMode="auto">
        <a:xfrm>
          <a:off x="12790343"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127</xdr:row>
      <xdr:rowOff>0</xdr:rowOff>
    </xdr:from>
    <xdr:ext cx="95250" cy="213632"/>
    <xdr:sp macro="" textlink="">
      <xdr:nvSpPr>
        <xdr:cNvPr id="172" name="Text Box 15">
          <a:extLst>
            <a:ext uri="{FF2B5EF4-FFF2-40B4-BE49-F238E27FC236}">
              <a16:creationId xmlns:a16="http://schemas.microsoft.com/office/drawing/2014/main" id="{00000000-0008-0000-0500-0000AC000000}"/>
            </a:ext>
          </a:extLst>
        </xdr:cNvPr>
        <xdr:cNvSpPr txBox="1">
          <a:spLocks noChangeArrowheads="1"/>
        </xdr:cNvSpPr>
      </xdr:nvSpPr>
      <xdr:spPr bwMode="auto">
        <a:xfrm>
          <a:off x="12790343"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213632"/>
    <xdr:sp macro="" textlink="">
      <xdr:nvSpPr>
        <xdr:cNvPr id="173" name="Text Box 15">
          <a:extLst>
            <a:ext uri="{FF2B5EF4-FFF2-40B4-BE49-F238E27FC236}">
              <a16:creationId xmlns:a16="http://schemas.microsoft.com/office/drawing/2014/main" id="{00000000-0008-0000-0500-0000AD000000}"/>
            </a:ext>
          </a:extLst>
        </xdr:cNvPr>
        <xdr:cNvSpPr txBox="1">
          <a:spLocks noChangeArrowheads="1"/>
        </xdr:cNvSpPr>
      </xdr:nvSpPr>
      <xdr:spPr bwMode="auto">
        <a:xfrm>
          <a:off x="9374909" y="12870007"/>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213632"/>
    <xdr:sp macro="" textlink="">
      <xdr:nvSpPr>
        <xdr:cNvPr id="174" name="Text Box 15">
          <a:extLst>
            <a:ext uri="{FF2B5EF4-FFF2-40B4-BE49-F238E27FC236}">
              <a16:creationId xmlns:a16="http://schemas.microsoft.com/office/drawing/2014/main" id="{00000000-0008-0000-0500-0000AE000000}"/>
            </a:ext>
          </a:extLst>
        </xdr:cNvPr>
        <xdr:cNvSpPr txBox="1">
          <a:spLocks noChangeArrowheads="1"/>
        </xdr:cNvSpPr>
      </xdr:nvSpPr>
      <xdr:spPr bwMode="auto">
        <a:xfrm>
          <a:off x="9374909" y="12870007"/>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127</xdr:row>
      <xdr:rowOff>0</xdr:rowOff>
    </xdr:from>
    <xdr:ext cx="95250" cy="213632"/>
    <xdr:sp macro="" textlink="">
      <xdr:nvSpPr>
        <xdr:cNvPr id="175" name="Text Box 15">
          <a:extLst>
            <a:ext uri="{FF2B5EF4-FFF2-40B4-BE49-F238E27FC236}">
              <a16:creationId xmlns:a16="http://schemas.microsoft.com/office/drawing/2014/main" id="{00000000-0008-0000-0500-0000AF000000}"/>
            </a:ext>
          </a:extLst>
        </xdr:cNvPr>
        <xdr:cNvSpPr txBox="1">
          <a:spLocks noChangeArrowheads="1"/>
        </xdr:cNvSpPr>
      </xdr:nvSpPr>
      <xdr:spPr bwMode="auto">
        <a:xfrm>
          <a:off x="12790343" y="12870007"/>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127</xdr:row>
      <xdr:rowOff>0</xdr:rowOff>
    </xdr:from>
    <xdr:ext cx="95250" cy="213632"/>
    <xdr:sp macro="" textlink="">
      <xdr:nvSpPr>
        <xdr:cNvPr id="176" name="Text Box 15">
          <a:extLst>
            <a:ext uri="{FF2B5EF4-FFF2-40B4-BE49-F238E27FC236}">
              <a16:creationId xmlns:a16="http://schemas.microsoft.com/office/drawing/2014/main" id="{00000000-0008-0000-0500-0000B0000000}"/>
            </a:ext>
          </a:extLst>
        </xdr:cNvPr>
        <xdr:cNvSpPr txBox="1">
          <a:spLocks noChangeArrowheads="1"/>
        </xdr:cNvSpPr>
      </xdr:nvSpPr>
      <xdr:spPr bwMode="auto">
        <a:xfrm>
          <a:off x="12790343" y="12870007"/>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213632"/>
    <xdr:sp macro="" textlink="">
      <xdr:nvSpPr>
        <xdr:cNvPr id="177" name="Text Box 15">
          <a:extLst>
            <a:ext uri="{FF2B5EF4-FFF2-40B4-BE49-F238E27FC236}">
              <a16:creationId xmlns:a16="http://schemas.microsoft.com/office/drawing/2014/main" id="{00000000-0008-0000-0500-0000B1000000}"/>
            </a:ext>
          </a:extLst>
        </xdr:cNvPr>
        <xdr:cNvSpPr txBox="1">
          <a:spLocks noChangeArrowheads="1"/>
        </xdr:cNvSpPr>
      </xdr:nvSpPr>
      <xdr:spPr bwMode="auto">
        <a:xfrm>
          <a:off x="9374909"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213632"/>
    <xdr:sp macro="" textlink="">
      <xdr:nvSpPr>
        <xdr:cNvPr id="178" name="Text Box 15">
          <a:extLst>
            <a:ext uri="{FF2B5EF4-FFF2-40B4-BE49-F238E27FC236}">
              <a16:creationId xmlns:a16="http://schemas.microsoft.com/office/drawing/2014/main" id="{00000000-0008-0000-0500-0000B2000000}"/>
            </a:ext>
          </a:extLst>
        </xdr:cNvPr>
        <xdr:cNvSpPr txBox="1">
          <a:spLocks noChangeArrowheads="1"/>
        </xdr:cNvSpPr>
      </xdr:nvSpPr>
      <xdr:spPr bwMode="auto">
        <a:xfrm>
          <a:off x="9374909"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213632"/>
    <xdr:sp macro="" textlink="">
      <xdr:nvSpPr>
        <xdr:cNvPr id="179" name="Text Box 15">
          <a:extLst>
            <a:ext uri="{FF2B5EF4-FFF2-40B4-BE49-F238E27FC236}">
              <a16:creationId xmlns:a16="http://schemas.microsoft.com/office/drawing/2014/main" id="{00000000-0008-0000-0500-0000B3000000}"/>
            </a:ext>
          </a:extLst>
        </xdr:cNvPr>
        <xdr:cNvSpPr txBox="1">
          <a:spLocks noChangeArrowheads="1"/>
        </xdr:cNvSpPr>
      </xdr:nvSpPr>
      <xdr:spPr bwMode="auto">
        <a:xfrm>
          <a:off x="9374909"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213632"/>
    <xdr:sp macro="" textlink="">
      <xdr:nvSpPr>
        <xdr:cNvPr id="180" name="Text Box 15">
          <a:extLst>
            <a:ext uri="{FF2B5EF4-FFF2-40B4-BE49-F238E27FC236}">
              <a16:creationId xmlns:a16="http://schemas.microsoft.com/office/drawing/2014/main" id="{00000000-0008-0000-0500-0000B4000000}"/>
            </a:ext>
          </a:extLst>
        </xdr:cNvPr>
        <xdr:cNvSpPr txBox="1">
          <a:spLocks noChangeArrowheads="1"/>
        </xdr:cNvSpPr>
      </xdr:nvSpPr>
      <xdr:spPr bwMode="auto">
        <a:xfrm>
          <a:off x="9374909"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213632"/>
    <xdr:sp macro="" textlink="">
      <xdr:nvSpPr>
        <xdr:cNvPr id="181" name="Text Box 15">
          <a:extLst>
            <a:ext uri="{FF2B5EF4-FFF2-40B4-BE49-F238E27FC236}">
              <a16:creationId xmlns:a16="http://schemas.microsoft.com/office/drawing/2014/main" id="{00000000-0008-0000-0500-0000B5000000}"/>
            </a:ext>
          </a:extLst>
        </xdr:cNvPr>
        <xdr:cNvSpPr txBox="1">
          <a:spLocks noChangeArrowheads="1"/>
        </xdr:cNvSpPr>
      </xdr:nvSpPr>
      <xdr:spPr bwMode="auto">
        <a:xfrm>
          <a:off x="9374909"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213632"/>
    <xdr:sp macro="" textlink="">
      <xdr:nvSpPr>
        <xdr:cNvPr id="182" name="Text Box 15">
          <a:extLst>
            <a:ext uri="{FF2B5EF4-FFF2-40B4-BE49-F238E27FC236}">
              <a16:creationId xmlns:a16="http://schemas.microsoft.com/office/drawing/2014/main" id="{00000000-0008-0000-0500-0000B6000000}"/>
            </a:ext>
          </a:extLst>
        </xdr:cNvPr>
        <xdr:cNvSpPr txBox="1">
          <a:spLocks noChangeArrowheads="1"/>
        </xdr:cNvSpPr>
      </xdr:nvSpPr>
      <xdr:spPr bwMode="auto">
        <a:xfrm>
          <a:off x="9374909"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213632"/>
    <xdr:sp macro="" textlink="">
      <xdr:nvSpPr>
        <xdr:cNvPr id="183" name="Text Box 15">
          <a:extLst>
            <a:ext uri="{FF2B5EF4-FFF2-40B4-BE49-F238E27FC236}">
              <a16:creationId xmlns:a16="http://schemas.microsoft.com/office/drawing/2014/main" id="{00000000-0008-0000-0500-0000B7000000}"/>
            </a:ext>
          </a:extLst>
        </xdr:cNvPr>
        <xdr:cNvSpPr txBox="1">
          <a:spLocks noChangeArrowheads="1"/>
        </xdr:cNvSpPr>
      </xdr:nvSpPr>
      <xdr:spPr bwMode="auto">
        <a:xfrm>
          <a:off x="9374909"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127</xdr:row>
      <xdr:rowOff>0</xdr:rowOff>
    </xdr:from>
    <xdr:ext cx="95250" cy="213632"/>
    <xdr:sp macro="" textlink="">
      <xdr:nvSpPr>
        <xdr:cNvPr id="184" name="Text Box 15">
          <a:extLst>
            <a:ext uri="{FF2B5EF4-FFF2-40B4-BE49-F238E27FC236}">
              <a16:creationId xmlns:a16="http://schemas.microsoft.com/office/drawing/2014/main" id="{00000000-0008-0000-0500-0000B8000000}"/>
            </a:ext>
          </a:extLst>
        </xdr:cNvPr>
        <xdr:cNvSpPr txBox="1">
          <a:spLocks noChangeArrowheads="1"/>
        </xdr:cNvSpPr>
      </xdr:nvSpPr>
      <xdr:spPr bwMode="auto">
        <a:xfrm>
          <a:off x="12790343"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127</xdr:row>
      <xdr:rowOff>0</xdr:rowOff>
    </xdr:from>
    <xdr:ext cx="95250" cy="213632"/>
    <xdr:sp macro="" textlink="">
      <xdr:nvSpPr>
        <xdr:cNvPr id="185" name="Text Box 15">
          <a:extLst>
            <a:ext uri="{FF2B5EF4-FFF2-40B4-BE49-F238E27FC236}">
              <a16:creationId xmlns:a16="http://schemas.microsoft.com/office/drawing/2014/main" id="{00000000-0008-0000-0500-0000B9000000}"/>
            </a:ext>
          </a:extLst>
        </xdr:cNvPr>
        <xdr:cNvSpPr txBox="1">
          <a:spLocks noChangeArrowheads="1"/>
        </xdr:cNvSpPr>
      </xdr:nvSpPr>
      <xdr:spPr bwMode="auto">
        <a:xfrm>
          <a:off x="12790343"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127</xdr:row>
      <xdr:rowOff>0</xdr:rowOff>
    </xdr:from>
    <xdr:ext cx="95250" cy="213632"/>
    <xdr:sp macro="" textlink="">
      <xdr:nvSpPr>
        <xdr:cNvPr id="186" name="Text Box 15">
          <a:extLst>
            <a:ext uri="{FF2B5EF4-FFF2-40B4-BE49-F238E27FC236}">
              <a16:creationId xmlns:a16="http://schemas.microsoft.com/office/drawing/2014/main" id="{00000000-0008-0000-0500-0000BA000000}"/>
            </a:ext>
          </a:extLst>
        </xdr:cNvPr>
        <xdr:cNvSpPr txBox="1">
          <a:spLocks noChangeArrowheads="1"/>
        </xdr:cNvSpPr>
      </xdr:nvSpPr>
      <xdr:spPr bwMode="auto">
        <a:xfrm>
          <a:off x="12790343"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127</xdr:row>
      <xdr:rowOff>0</xdr:rowOff>
    </xdr:from>
    <xdr:ext cx="95250" cy="213632"/>
    <xdr:sp macro="" textlink="">
      <xdr:nvSpPr>
        <xdr:cNvPr id="187" name="Text Box 15">
          <a:extLst>
            <a:ext uri="{FF2B5EF4-FFF2-40B4-BE49-F238E27FC236}">
              <a16:creationId xmlns:a16="http://schemas.microsoft.com/office/drawing/2014/main" id="{00000000-0008-0000-0500-0000BB000000}"/>
            </a:ext>
          </a:extLst>
        </xdr:cNvPr>
        <xdr:cNvSpPr txBox="1">
          <a:spLocks noChangeArrowheads="1"/>
        </xdr:cNvSpPr>
      </xdr:nvSpPr>
      <xdr:spPr bwMode="auto">
        <a:xfrm>
          <a:off x="12790343"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127</xdr:row>
      <xdr:rowOff>0</xdr:rowOff>
    </xdr:from>
    <xdr:ext cx="95250" cy="213632"/>
    <xdr:sp macro="" textlink="">
      <xdr:nvSpPr>
        <xdr:cNvPr id="188" name="Text Box 15">
          <a:extLst>
            <a:ext uri="{FF2B5EF4-FFF2-40B4-BE49-F238E27FC236}">
              <a16:creationId xmlns:a16="http://schemas.microsoft.com/office/drawing/2014/main" id="{00000000-0008-0000-0500-0000BC000000}"/>
            </a:ext>
          </a:extLst>
        </xdr:cNvPr>
        <xdr:cNvSpPr txBox="1">
          <a:spLocks noChangeArrowheads="1"/>
        </xdr:cNvSpPr>
      </xdr:nvSpPr>
      <xdr:spPr bwMode="auto">
        <a:xfrm>
          <a:off x="12790343"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127</xdr:row>
      <xdr:rowOff>0</xdr:rowOff>
    </xdr:from>
    <xdr:ext cx="95250" cy="213632"/>
    <xdr:sp macro="" textlink="">
      <xdr:nvSpPr>
        <xdr:cNvPr id="189" name="Text Box 15">
          <a:extLst>
            <a:ext uri="{FF2B5EF4-FFF2-40B4-BE49-F238E27FC236}">
              <a16:creationId xmlns:a16="http://schemas.microsoft.com/office/drawing/2014/main" id="{00000000-0008-0000-0500-0000BD000000}"/>
            </a:ext>
          </a:extLst>
        </xdr:cNvPr>
        <xdr:cNvSpPr txBox="1">
          <a:spLocks noChangeArrowheads="1"/>
        </xdr:cNvSpPr>
      </xdr:nvSpPr>
      <xdr:spPr bwMode="auto">
        <a:xfrm>
          <a:off x="12790343"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127</xdr:row>
      <xdr:rowOff>0</xdr:rowOff>
    </xdr:from>
    <xdr:ext cx="95250" cy="213632"/>
    <xdr:sp macro="" textlink="">
      <xdr:nvSpPr>
        <xdr:cNvPr id="190" name="Text Box 15">
          <a:extLst>
            <a:ext uri="{FF2B5EF4-FFF2-40B4-BE49-F238E27FC236}">
              <a16:creationId xmlns:a16="http://schemas.microsoft.com/office/drawing/2014/main" id="{00000000-0008-0000-0500-0000BE000000}"/>
            </a:ext>
          </a:extLst>
        </xdr:cNvPr>
        <xdr:cNvSpPr txBox="1">
          <a:spLocks noChangeArrowheads="1"/>
        </xdr:cNvSpPr>
      </xdr:nvSpPr>
      <xdr:spPr bwMode="auto">
        <a:xfrm>
          <a:off x="12790343"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213632"/>
    <xdr:sp macro="" textlink="">
      <xdr:nvSpPr>
        <xdr:cNvPr id="191" name="Text Box 15">
          <a:extLst>
            <a:ext uri="{FF2B5EF4-FFF2-40B4-BE49-F238E27FC236}">
              <a16:creationId xmlns:a16="http://schemas.microsoft.com/office/drawing/2014/main" id="{00000000-0008-0000-0500-0000BF000000}"/>
            </a:ext>
          </a:extLst>
        </xdr:cNvPr>
        <xdr:cNvSpPr txBox="1">
          <a:spLocks noChangeArrowheads="1"/>
        </xdr:cNvSpPr>
      </xdr:nvSpPr>
      <xdr:spPr bwMode="auto">
        <a:xfrm>
          <a:off x="9374909" y="12870007"/>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213632"/>
    <xdr:sp macro="" textlink="">
      <xdr:nvSpPr>
        <xdr:cNvPr id="192" name="Text Box 15">
          <a:extLst>
            <a:ext uri="{FF2B5EF4-FFF2-40B4-BE49-F238E27FC236}">
              <a16:creationId xmlns:a16="http://schemas.microsoft.com/office/drawing/2014/main" id="{00000000-0008-0000-0500-0000C0000000}"/>
            </a:ext>
          </a:extLst>
        </xdr:cNvPr>
        <xdr:cNvSpPr txBox="1">
          <a:spLocks noChangeArrowheads="1"/>
        </xdr:cNvSpPr>
      </xdr:nvSpPr>
      <xdr:spPr bwMode="auto">
        <a:xfrm>
          <a:off x="9374909" y="12870007"/>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127</xdr:row>
      <xdr:rowOff>0</xdr:rowOff>
    </xdr:from>
    <xdr:ext cx="95250" cy="213632"/>
    <xdr:sp macro="" textlink="">
      <xdr:nvSpPr>
        <xdr:cNvPr id="193" name="Text Box 15">
          <a:extLst>
            <a:ext uri="{FF2B5EF4-FFF2-40B4-BE49-F238E27FC236}">
              <a16:creationId xmlns:a16="http://schemas.microsoft.com/office/drawing/2014/main" id="{00000000-0008-0000-0500-0000C1000000}"/>
            </a:ext>
          </a:extLst>
        </xdr:cNvPr>
        <xdr:cNvSpPr txBox="1">
          <a:spLocks noChangeArrowheads="1"/>
        </xdr:cNvSpPr>
      </xdr:nvSpPr>
      <xdr:spPr bwMode="auto">
        <a:xfrm>
          <a:off x="12790343" y="12870007"/>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127</xdr:row>
      <xdr:rowOff>0</xdr:rowOff>
    </xdr:from>
    <xdr:ext cx="95250" cy="213632"/>
    <xdr:sp macro="" textlink="">
      <xdr:nvSpPr>
        <xdr:cNvPr id="194" name="Text Box 15">
          <a:extLst>
            <a:ext uri="{FF2B5EF4-FFF2-40B4-BE49-F238E27FC236}">
              <a16:creationId xmlns:a16="http://schemas.microsoft.com/office/drawing/2014/main" id="{00000000-0008-0000-0500-0000C2000000}"/>
            </a:ext>
          </a:extLst>
        </xdr:cNvPr>
        <xdr:cNvSpPr txBox="1">
          <a:spLocks noChangeArrowheads="1"/>
        </xdr:cNvSpPr>
      </xdr:nvSpPr>
      <xdr:spPr bwMode="auto">
        <a:xfrm>
          <a:off x="12790343" y="12870007"/>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213632"/>
    <xdr:sp macro="" textlink="">
      <xdr:nvSpPr>
        <xdr:cNvPr id="195" name="Text Box 15">
          <a:extLst>
            <a:ext uri="{FF2B5EF4-FFF2-40B4-BE49-F238E27FC236}">
              <a16:creationId xmlns:a16="http://schemas.microsoft.com/office/drawing/2014/main" id="{00000000-0008-0000-0500-0000C3000000}"/>
            </a:ext>
          </a:extLst>
        </xdr:cNvPr>
        <xdr:cNvSpPr txBox="1">
          <a:spLocks noChangeArrowheads="1"/>
        </xdr:cNvSpPr>
      </xdr:nvSpPr>
      <xdr:spPr bwMode="auto">
        <a:xfrm>
          <a:off x="9374909"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213632"/>
    <xdr:sp macro="" textlink="">
      <xdr:nvSpPr>
        <xdr:cNvPr id="196" name="Text Box 15">
          <a:extLst>
            <a:ext uri="{FF2B5EF4-FFF2-40B4-BE49-F238E27FC236}">
              <a16:creationId xmlns:a16="http://schemas.microsoft.com/office/drawing/2014/main" id="{00000000-0008-0000-0500-0000C4000000}"/>
            </a:ext>
          </a:extLst>
        </xdr:cNvPr>
        <xdr:cNvSpPr txBox="1">
          <a:spLocks noChangeArrowheads="1"/>
        </xdr:cNvSpPr>
      </xdr:nvSpPr>
      <xdr:spPr bwMode="auto">
        <a:xfrm>
          <a:off x="9374909"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213632"/>
    <xdr:sp macro="" textlink="">
      <xdr:nvSpPr>
        <xdr:cNvPr id="197" name="Text Box 15">
          <a:extLst>
            <a:ext uri="{FF2B5EF4-FFF2-40B4-BE49-F238E27FC236}">
              <a16:creationId xmlns:a16="http://schemas.microsoft.com/office/drawing/2014/main" id="{00000000-0008-0000-0500-0000C5000000}"/>
            </a:ext>
          </a:extLst>
        </xdr:cNvPr>
        <xdr:cNvSpPr txBox="1">
          <a:spLocks noChangeArrowheads="1"/>
        </xdr:cNvSpPr>
      </xdr:nvSpPr>
      <xdr:spPr bwMode="auto">
        <a:xfrm>
          <a:off x="9374909"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213632"/>
    <xdr:sp macro="" textlink="">
      <xdr:nvSpPr>
        <xdr:cNvPr id="198" name="Text Box 15">
          <a:extLst>
            <a:ext uri="{FF2B5EF4-FFF2-40B4-BE49-F238E27FC236}">
              <a16:creationId xmlns:a16="http://schemas.microsoft.com/office/drawing/2014/main" id="{00000000-0008-0000-0500-0000C6000000}"/>
            </a:ext>
          </a:extLst>
        </xdr:cNvPr>
        <xdr:cNvSpPr txBox="1">
          <a:spLocks noChangeArrowheads="1"/>
        </xdr:cNvSpPr>
      </xdr:nvSpPr>
      <xdr:spPr bwMode="auto">
        <a:xfrm>
          <a:off x="9374909"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213632"/>
    <xdr:sp macro="" textlink="">
      <xdr:nvSpPr>
        <xdr:cNvPr id="199" name="Text Box 15">
          <a:extLst>
            <a:ext uri="{FF2B5EF4-FFF2-40B4-BE49-F238E27FC236}">
              <a16:creationId xmlns:a16="http://schemas.microsoft.com/office/drawing/2014/main" id="{00000000-0008-0000-0500-0000C7000000}"/>
            </a:ext>
          </a:extLst>
        </xdr:cNvPr>
        <xdr:cNvSpPr txBox="1">
          <a:spLocks noChangeArrowheads="1"/>
        </xdr:cNvSpPr>
      </xdr:nvSpPr>
      <xdr:spPr bwMode="auto">
        <a:xfrm>
          <a:off x="9374909"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213632"/>
    <xdr:sp macro="" textlink="">
      <xdr:nvSpPr>
        <xdr:cNvPr id="200" name="Text Box 15">
          <a:extLst>
            <a:ext uri="{FF2B5EF4-FFF2-40B4-BE49-F238E27FC236}">
              <a16:creationId xmlns:a16="http://schemas.microsoft.com/office/drawing/2014/main" id="{00000000-0008-0000-0500-0000C8000000}"/>
            </a:ext>
          </a:extLst>
        </xdr:cNvPr>
        <xdr:cNvSpPr txBox="1">
          <a:spLocks noChangeArrowheads="1"/>
        </xdr:cNvSpPr>
      </xdr:nvSpPr>
      <xdr:spPr bwMode="auto">
        <a:xfrm>
          <a:off x="9374909"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213632"/>
    <xdr:sp macro="" textlink="">
      <xdr:nvSpPr>
        <xdr:cNvPr id="201" name="Text Box 15">
          <a:extLst>
            <a:ext uri="{FF2B5EF4-FFF2-40B4-BE49-F238E27FC236}">
              <a16:creationId xmlns:a16="http://schemas.microsoft.com/office/drawing/2014/main" id="{00000000-0008-0000-0500-0000C9000000}"/>
            </a:ext>
          </a:extLst>
        </xdr:cNvPr>
        <xdr:cNvSpPr txBox="1">
          <a:spLocks noChangeArrowheads="1"/>
        </xdr:cNvSpPr>
      </xdr:nvSpPr>
      <xdr:spPr bwMode="auto">
        <a:xfrm>
          <a:off x="9374909"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127</xdr:row>
      <xdr:rowOff>0</xdr:rowOff>
    </xdr:from>
    <xdr:ext cx="95250" cy="213632"/>
    <xdr:sp macro="" textlink="">
      <xdr:nvSpPr>
        <xdr:cNvPr id="202" name="Text Box 15">
          <a:extLst>
            <a:ext uri="{FF2B5EF4-FFF2-40B4-BE49-F238E27FC236}">
              <a16:creationId xmlns:a16="http://schemas.microsoft.com/office/drawing/2014/main" id="{00000000-0008-0000-0500-0000CA000000}"/>
            </a:ext>
          </a:extLst>
        </xdr:cNvPr>
        <xdr:cNvSpPr txBox="1">
          <a:spLocks noChangeArrowheads="1"/>
        </xdr:cNvSpPr>
      </xdr:nvSpPr>
      <xdr:spPr bwMode="auto">
        <a:xfrm>
          <a:off x="12790343"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127</xdr:row>
      <xdr:rowOff>0</xdr:rowOff>
    </xdr:from>
    <xdr:ext cx="95250" cy="213632"/>
    <xdr:sp macro="" textlink="">
      <xdr:nvSpPr>
        <xdr:cNvPr id="203" name="Text Box 15">
          <a:extLst>
            <a:ext uri="{FF2B5EF4-FFF2-40B4-BE49-F238E27FC236}">
              <a16:creationId xmlns:a16="http://schemas.microsoft.com/office/drawing/2014/main" id="{00000000-0008-0000-0500-0000CB000000}"/>
            </a:ext>
          </a:extLst>
        </xdr:cNvPr>
        <xdr:cNvSpPr txBox="1">
          <a:spLocks noChangeArrowheads="1"/>
        </xdr:cNvSpPr>
      </xdr:nvSpPr>
      <xdr:spPr bwMode="auto">
        <a:xfrm>
          <a:off x="12790343"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127</xdr:row>
      <xdr:rowOff>0</xdr:rowOff>
    </xdr:from>
    <xdr:ext cx="95250" cy="213632"/>
    <xdr:sp macro="" textlink="">
      <xdr:nvSpPr>
        <xdr:cNvPr id="204" name="Text Box 15">
          <a:extLst>
            <a:ext uri="{FF2B5EF4-FFF2-40B4-BE49-F238E27FC236}">
              <a16:creationId xmlns:a16="http://schemas.microsoft.com/office/drawing/2014/main" id="{00000000-0008-0000-0500-0000CC000000}"/>
            </a:ext>
          </a:extLst>
        </xdr:cNvPr>
        <xdr:cNvSpPr txBox="1">
          <a:spLocks noChangeArrowheads="1"/>
        </xdr:cNvSpPr>
      </xdr:nvSpPr>
      <xdr:spPr bwMode="auto">
        <a:xfrm>
          <a:off x="12790343"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127</xdr:row>
      <xdr:rowOff>0</xdr:rowOff>
    </xdr:from>
    <xdr:ext cx="95250" cy="213632"/>
    <xdr:sp macro="" textlink="">
      <xdr:nvSpPr>
        <xdr:cNvPr id="205" name="Text Box 15">
          <a:extLst>
            <a:ext uri="{FF2B5EF4-FFF2-40B4-BE49-F238E27FC236}">
              <a16:creationId xmlns:a16="http://schemas.microsoft.com/office/drawing/2014/main" id="{00000000-0008-0000-0500-0000CD000000}"/>
            </a:ext>
          </a:extLst>
        </xdr:cNvPr>
        <xdr:cNvSpPr txBox="1">
          <a:spLocks noChangeArrowheads="1"/>
        </xdr:cNvSpPr>
      </xdr:nvSpPr>
      <xdr:spPr bwMode="auto">
        <a:xfrm>
          <a:off x="12790343"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127</xdr:row>
      <xdr:rowOff>0</xdr:rowOff>
    </xdr:from>
    <xdr:ext cx="95250" cy="213632"/>
    <xdr:sp macro="" textlink="">
      <xdr:nvSpPr>
        <xdr:cNvPr id="206" name="Text Box 15">
          <a:extLst>
            <a:ext uri="{FF2B5EF4-FFF2-40B4-BE49-F238E27FC236}">
              <a16:creationId xmlns:a16="http://schemas.microsoft.com/office/drawing/2014/main" id="{00000000-0008-0000-0500-0000CE000000}"/>
            </a:ext>
          </a:extLst>
        </xdr:cNvPr>
        <xdr:cNvSpPr txBox="1">
          <a:spLocks noChangeArrowheads="1"/>
        </xdr:cNvSpPr>
      </xdr:nvSpPr>
      <xdr:spPr bwMode="auto">
        <a:xfrm>
          <a:off x="12790343"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127</xdr:row>
      <xdr:rowOff>0</xdr:rowOff>
    </xdr:from>
    <xdr:ext cx="95250" cy="213632"/>
    <xdr:sp macro="" textlink="">
      <xdr:nvSpPr>
        <xdr:cNvPr id="207" name="Text Box 15">
          <a:extLst>
            <a:ext uri="{FF2B5EF4-FFF2-40B4-BE49-F238E27FC236}">
              <a16:creationId xmlns:a16="http://schemas.microsoft.com/office/drawing/2014/main" id="{00000000-0008-0000-0500-0000CF000000}"/>
            </a:ext>
          </a:extLst>
        </xdr:cNvPr>
        <xdr:cNvSpPr txBox="1">
          <a:spLocks noChangeArrowheads="1"/>
        </xdr:cNvSpPr>
      </xdr:nvSpPr>
      <xdr:spPr bwMode="auto">
        <a:xfrm>
          <a:off x="12790343"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127</xdr:row>
      <xdr:rowOff>0</xdr:rowOff>
    </xdr:from>
    <xdr:ext cx="95250" cy="213632"/>
    <xdr:sp macro="" textlink="">
      <xdr:nvSpPr>
        <xdr:cNvPr id="208" name="Text Box 15">
          <a:extLst>
            <a:ext uri="{FF2B5EF4-FFF2-40B4-BE49-F238E27FC236}">
              <a16:creationId xmlns:a16="http://schemas.microsoft.com/office/drawing/2014/main" id="{00000000-0008-0000-0500-0000D0000000}"/>
            </a:ext>
          </a:extLst>
        </xdr:cNvPr>
        <xdr:cNvSpPr txBox="1">
          <a:spLocks noChangeArrowheads="1"/>
        </xdr:cNvSpPr>
      </xdr:nvSpPr>
      <xdr:spPr bwMode="auto">
        <a:xfrm>
          <a:off x="12790343"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213632"/>
    <xdr:sp macro="" textlink="">
      <xdr:nvSpPr>
        <xdr:cNvPr id="209" name="Text Box 15">
          <a:extLst>
            <a:ext uri="{FF2B5EF4-FFF2-40B4-BE49-F238E27FC236}">
              <a16:creationId xmlns:a16="http://schemas.microsoft.com/office/drawing/2014/main" id="{00000000-0008-0000-0500-0000D1000000}"/>
            </a:ext>
          </a:extLst>
        </xdr:cNvPr>
        <xdr:cNvSpPr txBox="1">
          <a:spLocks noChangeArrowheads="1"/>
        </xdr:cNvSpPr>
      </xdr:nvSpPr>
      <xdr:spPr bwMode="auto">
        <a:xfrm>
          <a:off x="9374909" y="12870007"/>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213632"/>
    <xdr:sp macro="" textlink="">
      <xdr:nvSpPr>
        <xdr:cNvPr id="210" name="Text Box 15">
          <a:extLst>
            <a:ext uri="{FF2B5EF4-FFF2-40B4-BE49-F238E27FC236}">
              <a16:creationId xmlns:a16="http://schemas.microsoft.com/office/drawing/2014/main" id="{00000000-0008-0000-0500-0000D2000000}"/>
            </a:ext>
          </a:extLst>
        </xdr:cNvPr>
        <xdr:cNvSpPr txBox="1">
          <a:spLocks noChangeArrowheads="1"/>
        </xdr:cNvSpPr>
      </xdr:nvSpPr>
      <xdr:spPr bwMode="auto">
        <a:xfrm>
          <a:off x="9374909" y="12870007"/>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127</xdr:row>
      <xdr:rowOff>0</xdr:rowOff>
    </xdr:from>
    <xdr:ext cx="95250" cy="213632"/>
    <xdr:sp macro="" textlink="">
      <xdr:nvSpPr>
        <xdr:cNvPr id="211" name="Text Box 15">
          <a:extLst>
            <a:ext uri="{FF2B5EF4-FFF2-40B4-BE49-F238E27FC236}">
              <a16:creationId xmlns:a16="http://schemas.microsoft.com/office/drawing/2014/main" id="{00000000-0008-0000-0500-0000D3000000}"/>
            </a:ext>
          </a:extLst>
        </xdr:cNvPr>
        <xdr:cNvSpPr txBox="1">
          <a:spLocks noChangeArrowheads="1"/>
        </xdr:cNvSpPr>
      </xdr:nvSpPr>
      <xdr:spPr bwMode="auto">
        <a:xfrm>
          <a:off x="12790343" y="12870007"/>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127</xdr:row>
      <xdr:rowOff>0</xdr:rowOff>
    </xdr:from>
    <xdr:ext cx="95250" cy="213632"/>
    <xdr:sp macro="" textlink="">
      <xdr:nvSpPr>
        <xdr:cNvPr id="212" name="Text Box 15">
          <a:extLst>
            <a:ext uri="{FF2B5EF4-FFF2-40B4-BE49-F238E27FC236}">
              <a16:creationId xmlns:a16="http://schemas.microsoft.com/office/drawing/2014/main" id="{00000000-0008-0000-0500-0000D4000000}"/>
            </a:ext>
          </a:extLst>
        </xdr:cNvPr>
        <xdr:cNvSpPr txBox="1">
          <a:spLocks noChangeArrowheads="1"/>
        </xdr:cNvSpPr>
      </xdr:nvSpPr>
      <xdr:spPr bwMode="auto">
        <a:xfrm>
          <a:off x="12790343" y="12870007"/>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213632"/>
    <xdr:sp macro="" textlink="">
      <xdr:nvSpPr>
        <xdr:cNvPr id="213" name="Text Box 15">
          <a:extLst>
            <a:ext uri="{FF2B5EF4-FFF2-40B4-BE49-F238E27FC236}">
              <a16:creationId xmlns:a16="http://schemas.microsoft.com/office/drawing/2014/main" id="{00000000-0008-0000-0500-0000D5000000}"/>
            </a:ext>
          </a:extLst>
        </xdr:cNvPr>
        <xdr:cNvSpPr txBox="1">
          <a:spLocks noChangeArrowheads="1"/>
        </xdr:cNvSpPr>
      </xdr:nvSpPr>
      <xdr:spPr bwMode="auto">
        <a:xfrm>
          <a:off x="9374909"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213632"/>
    <xdr:sp macro="" textlink="">
      <xdr:nvSpPr>
        <xdr:cNvPr id="214" name="Text Box 15">
          <a:extLst>
            <a:ext uri="{FF2B5EF4-FFF2-40B4-BE49-F238E27FC236}">
              <a16:creationId xmlns:a16="http://schemas.microsoft.com/office/drawing/2014/main" id="{00000000-0008-0000-0500-0000D6000000}"/>
            </a:ext>
          </a:extLst>
        </xdr:cNvPr>
        <xdr:cNvSpPr txBox="1">
          <a:spLocks noChangeArrowheads="1"/>
        </xdr:cNvSpPr>
      </xdr:nvSpPr>
      <xdr:spPr bwMode="auto">
        <a:xfrm>
          <a:off x="9374909"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213632"/>
    <xdr:sp macro="" textlink="">
      <xdr:nvSpPr>
        <xdr:cNvPr id="215" name="Text Box 15">
          <a:extLst>
            <a:ext uri="{FF2B5EF4-FFF2-40B4-BE49-F238E27FC236}">
              <a16:creationId xmlns:a16="http://schemas.microsoft.com/office/drawing/2014/main" id="{00000000-0008-0000-0500-0000D7000000}"/>
            </a:ext>
          </a:extLst>
        </xdr:cNvPr>
        <xdr:cNvSpPr txBox="1">
          <a:spLocks noChangeArrowheads="1"/>
        </xdr:cNvSpPr>
      </xdr:nvSpPr>
      <xdr:spPr bwMode="auto">
        <a:xfrm>
          <a:off x="9374909"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213632"/>
    <xdr:sp macro="" textlink="">
      <xdr:nvSpPr>
        <xdr:cNvPr id="216" name="Text Box 15">
          <a:extLst>
            <a:ext uri="{FF2B5EF4-FFF2-40B4-BE49-F238E27FC236}">
              <a16:creationId xmlns:a16="http://schemas.microsoft.com/office/drawing/2014/main" id="{00000000-0008-0000-0500-0000D8000000}"/>
            </a:ext>
          </a:extLst>
        </xdr:cNvPr>
        <xdr:cNvSpPr txBox="1">
          <a:spLocks noChangeArrowheads="1"/>
        </xdr:cNvSpPr>
      </xdr:nvSpPr>
      <xdr:spPr bwMode="auto">
        <a:xfrm>
          <a:off x="9374909"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213632"/>
    <xdr:sp macro="" textlink="">
      <xdr:nvSpPr>
        <xdr:cNvPr id="217" name="Text Box 15">
          <a:extLst>
            <a:ext uri="{FF2B5EF4-FFF2-40B4-BE49-F238E27FC236}">
              <a16:creationId xmlns:a16="http://schemas.microsoft.com/office/drawing/2014/main" id="{00000000-0008-0000-0500-0000D9000000}"/>
            </a:ext>
          </a:extLst>
        </xdr:cNvPr>
        <xdr:cNvSpPr txBox="1">
          <a:spLocks noChangeArrowheads="1"/>
        </xdr:cNvSpPr>
      </xdr:nvSpPr>
      <xdr:spPr bwMode="auto">
        <a:xfrm>
          <a:off x="9374909"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213632"/>
    <xdr:sp macro="" textlink="">
      <xdr:nvSpPr>
        <xdr:cNvPr id="218" name="Text Box 15">
          <a:extLst>
            <a:ext uri="{FF2B5EF4-FFF2-40B4-BE49-F238E27FC236}">
              <a16:creationId xmlns:a16="http://schemas.microsoft.com/office/drawing/2014/main" id="{00000000-0008-0000-0500-0000DA000000}"/>
            </a:ext>
          </a:extLst>
        </xdr:cNvPr>
        <xdr:cNvSpPr txBox="1">
          <a:spLocks noChangeArrowheads="1"/>
        </xdr:cNvSpPr>
      </xdr:nvSpPr>
      <xdr:spPr bwMode="auto">
        <a:xfrm>
          <a:off x="9374909"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213632"/>
    <xdr:sp macro="" textlink="">
      <xdr:nvSpPr>
        <xdr:cNvPr id="219" name="Text Box 15">
          <a:extLst>
            <a:ext uri="{FF2B5EF4-FFF2-40B4-BE49-F238E27FC236}">
              <a16:creationId xmlns:a16="http://schemas.microsoft.com/office/drawing/2014/main" id="{00000000-0008-0000-0500-0000DB000000}"/>
            </a:ext>
          </a:extLst>
        </xdr:cNvPr>
        <xdr:cNvSpPr txBox="1">
          <a:spLocks noChangeArrowheads="1"/>
        </xdr:cNvSpPr>
      </xdr:nvSpPr>
      <xdr:spPr bwMode="auto">
        <a:xfrm>
          <a:off x="9374909"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127</xdr:row>
      <xdr:rowOff>0</xdr:rowOff>
    </xdr:from>
    <xdr:ext cx="95250" cy="213632"/>
    <xdr:sp macro="" textlink="">
      <xdr:nvSpPr>
        <xdr:cNvPr id="220" name="Text Box 15">
          <a:extLst>
            <a:ext uri="{FF2B5EF4-FFF2-40B4-BE49-F238E27FC236}">
              <a16:creationId xmlns:a16="http://schemas.microsoft.com/office/drawing/2014/main" id="{00000000-0008-0000-0500-0000DC000000}"/>
            </a:ext>
          </a:extLst>
        </xdr:cNvPr>
        <xdr:cNvSpPr txBox="1">
          <a:spLocks noChangeArrowheads="1"/>
        </xdr:cNvSpPr>
      </xdr:nvSpPr>
      <xdr:spPr bwMode="auto">
        <a:xfrm>
          <a:off x="12790343"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127</xdr:row>
      <xdr:rowOff>0</xdr:rowOff>
    </xdr:from>
    <xdr:ext cx="95250" cy="213632"/>
    <xdr:sp macro="" textlink="">
      <xdr:nvSpPr>
        <xdr:cNvPr id="221" name="Text Box 15">
          <a:extLst>
            <a:ext uri="{FF2B5EF4-FFF2-40B4-BE49-F238E27FC236}">
              <a16:creationId xmlns:a16="http://schemas.microsoft.com/office/drawing/2014/main" id="{00000000-0008-0000-0500-0000DD000000}"/>
            </a:ext>
          </a:extLst>
        </xdr:cNvPr>
        <xdr:cNvSpPr txBox="1">
          <a:spLocks noChangeArrowheads="1"/>
        </xdr:cNvSpPr>
      </xdr:nvSpPr>
      <xdr:spPr bwMode="auto">
        <a:xfrm>
          <a:off x="12790343"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127</xdr:row>
      <xdr:rowOff>0</xdr:rowOff>
    </xdr:from>
    <xdr:ext cx="95250" cy="213632"/>
    <xdr:sp macro="" textlink="">
      <xdr:nvSpPr>
        <xdr:cNvPr id="222" name="Text Box 15">
          <a:extLst>
            <a:ext uri="{FF2B5EF4-FFF2-40B4-BE49-F238E27FC236}">
              <a16:creationId xmlns:a16="http://schemas.microsoft.com/office/drawing/2014/main" id="{00000000-0008-0000-0500-0000DE000000}"/>
            </a:ext>
          </a:extLst>
        </xdr:cNvPr>
        <xdr:cNvSpPr txBox="1">
          <a:spLocks noChangeArrowheads="1"/>
        </xdr:cNvSpPr>
      </xdr:nvSpPr>
      <xdr:spPr bwMode="auto">
        <a:xfrm>
          <a:off x="12790343"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127</xdr:row>
      <xdr:rowOff>0</xdr:rowOff>
    </xdr:from>
    <xdr:ext cx="95250" cy="213632"/>
    <xdr:sp macro="" textlink="">
      <xdr:nvSpPr>
        <xdr:cNvPr id="223" name="Text Box 15">
          <a:extLst>
            <a:ext uri="{FF2B5EF4-FFF2-40B4-BE49-F238E27FC236}">
              <a16:creationId xmlns:a16="http://schemas.microsoft.com/office/drawing/2014/main" id="{00000000-0008-0000-0500-0000DF000000}"/>
            </a:ext>
          </a:extLst>
        </xdr:cNvPr>
        <xdr:cNvSpPr txBox="1">
          <a:spLocks noChangeArrowheads="1"/>
        </xdr:cNvSpPr>
      </xdr:nvSpPr>
      <xdr:spPr bwMode="auto">
        <a:xfrm>
          <a:off x="12790343"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127</xdr:row>
      <xdr:rowOff>0</xdr:rowOff>
    </xdr:from>
    <xdr:ext cx="95250" cy="213632"/>
    <xdr:sp macro="" textlink="">
      <xdr:nvSpPr>
        <xdr:cNvPr id="224" name="Text Box 15">
          <a:extLst>
            <a:ext uri="{FF2B5EF4-FFF2-40B4-BE49-F238E27FC236}">
              <a16:creationId xmlns:a16="http://schemas.microsoft.com/office/drawing/2014/main" id="{00000000-0008-0000-0500-0000E0000000}"/>
            </a:ext>
          </a:extLst>
        </xdr:cNvPr>
        <xdr:cNvSpPr txBox="1">
          <a:spLocks noChangeArrowheads="1"/>
        </xdr:cNvSpPr>
      </xdr:nvSpPr>
      <xdr:spPr bwMode="auto">
        <a:xfrm>
          <a:off x="12790343"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127</xdr:row>
      <xdr:rowOff>0</xdr:rowOff>
    </xdr:from>
    <xdr:ext cx="95250" cy="213632"/>
    <xdr:sp macro="" textlink="">
      <xdr:nvSpPr>
        <xdr:cNvPr id="225" name="Text Box 15">
          <a:extLst>
            <a:ext uri="{FF2B5EF4-FFF2-40B4-BE49-F238E27FC236}">
              <a16:creationId xmlns:a16="http://schemas.microsoft.com/office/drawing/2014/main" id="{00000000-0008-0000-0500-0000E1000000}"/>
            </a:ext>
          </a:extLst>
        </xdr:cNvPr>
        <xdr:cNvSpPr txBox="1">
          <a:spLocks noChangeArrowheads="1"/>
        </xdr:cNvSpPr>
      </xdr:nvSpPr>
      <xdr:spPr bwMode="auto">
        <a:xfrm>
          <a:off x="12790343"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127</xdr:row>
      <xdr:rowOff>0</xdr:rowOff>
    </xdr:from>
    <xdr:ext cx="95250" cy="213632"/>
    <xdr:sp macro="" textlink="">
      <xdr:nvSpPr>
        <xdr:cNvPr id="226" name="Text Box 15">
          <a:extLst>
            <a:ext uri="{FF2B5EF4-FFF2-40B4-BE49-F238E27FC236}">
              <a16:creationId xmlns:a16="http://schemas.microsoft.com/office/drawing/2014/main" id="{00000000-0008-0000-0500-0000E2000000}"/>
            </a:ext>
          </a:extLst>
        </xdr:cNvPr>
        <xdr:cNvSpPr txBox="1">
          <a:spLocks noChangeArrowheads="1"/>
        </xdr:cNvSpPr>
      </xdr:nvSpPr>
      <xdr:spPr bwMode="auto">
        <a:xfrm>
          <a:off x="12790343"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213632"/>
    <xdr:sp macro="" textlink="">
      <xdr:nvSpPr>
        <xdr:cNvPr id="227" name="Text Box 15">
          <a:extLst>
            <a:ext uri="{FF2B5EF4-FFF2-40B4-BE49-F238E27FC236}">
              <a16:creationId xmlns:a16="http://schemas.microsoft.com/office/drawing/2014/main" id="{00000000-0008-0000-0500-0000E3000000}"/>
            </a:ext>
          </a:extLst>
        </xdr:cNvPr>
        <xdr:cNvSpPr txBox="1">
          <a:spLocks noChangeArrowheads="1"/>
        </xdr:cNvSpPr>
      </xdr:nvSpPr>
      <xdr:spPr bwMode="auto">
        <a:xfrm>
          <a:off x="9374909" y="12870007"/>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213632"/>
    <xdr:sp macro="" textlink="">
      <xdr:nvSpPr>
        <xdr:cNvPr id="228" name="Text Box 15">
          <a:extLst>
            <a:ext uri="{FF2B5EF4-FFF2-40B4-BE49-F238E27FC236}">
              <a16:creationId xmlns:a16="http://schemas.microsoft.com/office/drawing/2014/main" id="{00000000-0008-0000-0500-0000E4000000}"/>
            </a:ext>
          </a:extLst>
        </xdr:cNvPr>
        <xdr:cNvSpPr txBox="1">
          <a:spLocks noChangeArrowheads="1"/>
        </xdr:cNvSpPr>
      </xdr:nvSpPr>
      <xdr:spPr bwMode="auto">
        <a:xfrm>
          <a:off x="9374909" y="12870007"/>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127</xdr:row>
      <xdr:rowOff>0</xdr:rowOff>
    </xdr:from>
    <xdr:ext cx="95250" cy="213632"/>
    <xdr:sp macro="" textlink="">
      <xdr:nvSpPr>
        <xdr:cNvPr id="229" name="Text Box 15">
          <a:extLst>
            <a:ext uri="{FF2B5EF4-FFF2-40B4-BE49-F238E27FC236}">
              <a16:creationId xmlns:a16="http://schemas.microsoft.com/office/drawing/2014/main" id="{00000000-0008-0000-0500-0000E5000000}"/>
            </a:ext>
          </a:extLst>
        </xdr:cNvPr>
        <xdr:cNvSpPr txBox="1">
          <a:spLocks noChangeArrowheads="1"/>
        </xdr:cNvSpPr>
      </xdr:nvSpPr>
      <xdr:spPr bwMode="auto">
        <a:xfrm>
          <a:off x="12790343" y="12870007"/>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127</xdr:row>
      <xdr:rowOff>0</xdr:rowOff>
    </xdr:from>
    <xdr:ext cx="95250" cy="213632"/>
    <xdr:sp macro="" textlink="">
      <xdr:nvSpPr>
        <xdr:cNvPr id="230" name="Text Box 15">
          <a:extLst>
            <a:ext uri="{FF2B5EF4-FFF2-40B4-BE49-F238E27FC236}">
              <a16:creationId xmlns:a16="http://schemas.microsoft.com/office/drawing/2014/main" id="{00000000-0008-0000-0500-0000E6000000}"/>
            </a:ext>
          </a:extLst>
        </xdr:cNvPr>
        <xdr:cNvSpPr txBox="1">
          <a:spLocks noChangeArrowheads="1"/>
        </xdr:cNvSpPr>
      </xdr:nvSpPr>
      <xdr:spPr bwMode="auto">
        <a:xfrm>
          <a:off x="12790343" y="12870007"/>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213632"/>
    <xdr:sp macro="" textlink="">
      <xdr:nvSpPr>
        <xdr:cNvPr id="231" name="Text Box 15">
          <a:extLst>
            <a:ext uri="{FF2B5EF4-FFF2-40B4-BE49-F238E27FC236}">
              <a16:creationId xmlns:a16="http://schemas.microsoft.com/office/drawing/2014/main" id="{00000000-0008-0000-0500-0000E7000000}"/>
            </a:ext>
          </a:extLst>
        </xdr:cNvPr>
        <xdr:cNvSpPr txBox="1">
          <a:spLocks noChangeArrowheads="1"/>
        </xdr:cNvSpPr>
      </xdr:nvSpPr>
      <xdr:spPr bwMode="auto">
        <a:xfrm>
          <a:off x="9374909"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213632"/>
    <xdr:sp macro="" textlink="">
      <xdr:nvSpPr>
        <xdr:cNvPr id="232" name="Text Box 15">
          <a:extLst>
            <a:ext uri="{FF2B5EF4-FFF2-40B4-BE49-F238E27FC236}">
              <a16:creationId xmlns:a16="http://schemas.microsoft.com/office/drawing/2014/main" id="{00000000-0008-0000-0500-0000E8000000}"/>
            </a:ext>
          </a:extLst>
        </xdr:cNvPr>
        <xdr:cNvSpPr txBox="1">
          <a:spLocks noChangeArrowheads="1"/>
        </xdr:cNvSpPr>
      </xdr:nvSpPr>
      <xdr:spPr bwMode="auto">
        <a:xfrm>
          <a:off x="9374909"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213632"/>
    <xdr:sp macro="" textlink="">
      <xdr:nvSpPr>
        <xdr:cNvPr id="233" name="Text Box 15">
          <a:extLst>
            <a:ext uri="{FF2B5EF4-FFF2-40B4-BE49-F238E27FC236}">
              <a16:creationId xmlns:a16="http://schemas.microsoft.com/office/drawing/2014/main" id="{00000000-0008-0000-0500-0000E9000000}"/>
            </a:ext>
          </a:extLst>
        </xdr:cNvPr>
        <xdr:cNvSpPr txBox="1">
          <a:spLocks noChangeArrowheads="1"/>
        </xdr:cNvSpPr>
      </xdr:nvSpPr>
      <xdr:spPr bwMode="auto">
        <a:xfrm>
          <a:off x="9374909"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213632"/>
    <xdr:sp macro="" textlink="">
      <xdr:nvSpPr>
        <xdr:cNvPr id="234" name="Text Box 15">
          <a:extLst>
            <a:ext uri="{FF2B5EF4-FFF2-40B4-BE49-F238E27FC236}">
              <a16:creationId xmlns:a16="http://schemas.microsoft.com/office/drawing/2014/main" id="{00000000-0008-0000-0500-0000EA000000}"/>
            </a:ext>
          </a:extLst>
        </xdr:cNvPr>
        <xdr:cNvSpPr txBox="1">
          <a:spLocks noChangeArrowheads="1"/>
        </xdr:cNvSpPr>
      </xdr:nvSpPr>
      <xdr:spPr bwMode="auto">
        <a:xfrm>
          <a:off x="9374909"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213632"/>
    <xdr:sp macro="" textlink="">
      <xdr:nvSpPr>
        <xdr:cNvPr id="235" name="Text Box 15">
          <a:extLst>
            <a:ext uri="{FF2B5EF4-FFF2-40B4-BE49-F238E27FC236}">
              <a16:creationId xmlns:a16="http://schemas.microsoft.com/office/drawing/2014/main" id="{00000000-0008-0000-0500-0000EB000000}"/>
            </a:ext>
          </a:extLst>
        </xdr:cNvPr>
        <xdr:cNvSpPr txBox="1">
          <a:spLocks noChangeArrowheads="1"/>
        </xdr:cNvSpPr>
      </xdr:nvSpPr>
      <xdr:spPr bwMode="auto">
        <a:xfrm>
          <a:off x="9374909"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213632"/>
    <xdr:sp macro="" textlink="">
      <xdr:nvSpPr>
        <xdr:cNvPr id="236" name="Text Box 15">
          <a:extLst>
            <a:ext uri="{FF2B5EF4-FFF2-40B4-BE49-F238E27FC236}">
              <a16:creationId xmlns:a16="http://schemas.microsoft.com/office/drawing/2014/main" id="{00000000-0008-0000-0500-0000EC000000}"/>
            </a:ext>
          </a:extLst>
        </xdr:cNvPr>
        <xdr:cNvSpPr txBox="1">
          <a:spLocks noChangeArrowheads="1"/>
        </xdr:cNvSpPr>
      </xdr:nvSpPr>
      <xdr:spPr bwMode="auto">
        <a:xfrm>
          <a:off x="9374909"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213632"/>
    <xdr:sp macro="" textlink="">
      <xdr:nvSpPr>
        <xdr:cNvPr id="237" name="Text Box 15">
          <a:extLst>
            <a:ext uri="{FF2B5EF4-FFF2-40B4-BE49-F238E27FC236}">
              <a16:creationId xmlns:a16="http://schemas.microsoft.com/office/drawing/2014/main" id="{00000000-0008-0000-0500-0000ED000000}"/>
            </a:ext>
          </a:extLst>
        </xdr:cNvPr>
        <xdr:cNvSpPr txBox="1">
          <a:spLocks noChangeArrowheads="1"/>
        </xdr:cNvSpPr>
      </xdr:nvSpPr>
      <xdr:spPr bwMode="auto">
        <a:xfrm>
          <a:off x="9374909"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127</xdr:row>
      <xdr:rowOff>0</xdr:rowOff>
    </xdr:from>
    <xdr:ext cx="95250" cy="213632"/>
    <xdr:sp macro="" textlink="">
      <xdr:nvSpPr>
        <xdr:cNvPr id="238" name="Text Box 15">
          <a:extLst>
            <a:ext uri="{FF2B5EF4-FFF2-40B4-BE49-F238E27FC236}">
              <a16:creationId xmlns:a16="http://schemas.microsoft.com/office/drawing/2014/main" id="{00000000-0008-0000-0500-0000EE000000}"/>
            </a:ext>
          </a:extLst>
        </xdr:cNvPr>
        <xdr:cNvSpPr txBox="1">
          <a:spLocks noChangeArrowheads="1"/>
        </xdr:cNvSpPr>
      </xdr:nvSpPr>
      <xdr:spPr bwMode="auto">
        <a:xfrm>
          <a:off x="12790343"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127</xdr:row>
      <xdr:rowOff>0</xdr:rowOff>
    </xdr:from>
    <xdr:ext cx="95250" cy="213632"/>
    <xdr:sp macro="" textlink="">
      <xdr:nvSpPr>
        <xdr:cNvPr id="239" name="Text Box 15">
          <a:extLst>
            <a:ext uri="{FF2B5EF4-FFF2-40B4-BE49-F238E27FC236}">
              <a16:creationId xmlns:a16="http://schemas.microsoft.com/office/drawing/2014/main" id="{00000000-0008-0000-0500-0000EF000000}"/>
            </a:ext>
          </a:extLst>
        </xdr:cNvPr>
        <xdr:cNvSpPr txBox="1">
          <a:spLocks noChangeArrowheads="1"/>
        </xdr:cNvSpPr>
      </xdr:nvSpPr>
      <xdr:spPr bwMode="auto">
        <a:xfrm>
          <a:off x="12790343"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127</xdr:row>
      <xdr:rowOff>0</xdr:rowOff>
    </xdr:from>
    <xdr:ext cx="95250" cy="213632"/>
    <xdr:sp macro="" textlink="">
      <xdr:nvSpPr>
        <xdr:cNvPr id="240" name="Text Box 15">
          <a:extLst>
            <a:ext uri="{FF2B5EF4-FFF2-40B4-BE49-F238E27FC236}">
              <a16:creationId xmlns:a16="http://schemas.microsoft.com/office/drawing/2014/main" id="{00000000-0008-0000-0500-0000F0000000}"/>
            </a:ext>
          </a:extLst>
        </xdr:cNvPr>
        <xdr:cNvSpPr txBox="1">
          <a:spLocks noChangeArrowheads="1"/>
        </xdr:cNvSpPr>
      </xdr:nvSpPr>
      <xdr:spPr bwMode="auto">
        <a:xfrm>
          <a:off x="12790343"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127</xdr:row>
      <xdr:rowOff>0</xdr:rowOff>
    </xdr:from>
    <xdr:ext cx="95250" cy="213632"/>
    <xdr:sp macro="" textlink="">
      <xdr:nvSpPr>
        <xdr:cNvPr id="241" name="Text Box 15">
          <a:extLst>
            <a:ext uri="{FF2B5EF4-FFF2-40B4-BE49-F238E27FC236}">
              <a16:creationId xmlns:a16="http://schemas.microsoft.com/office/drawing/2014/main" id="{00000000-0008-0000-0500-0000F1000000}"/>
            </a:ext>
          </a:extLst>
        </xdr:cNvPr>
        <xdr:cNvSpPr txBox="1">
          <a:spLocks noChangeArrowheads="1"/>
        </xdr:cNvSpPr>
      </xdr:nvSpPr>
      <xdr:spPr bwMode="auto">
        <a:xfrm>
          <a:off x="12790343"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127</xdr:row>
      <xdr:rowOff>0</xdr:rowOff>
    </xdr:from>
    <xdr:ext cx="95250" cy="213632"/>
    <xdr:sp macro="" textlink="">
      <xdr:nvSpPr>
        <xdr:cNvPr id="242" name="Text Box 15">
          <a:extLst>
            <a:ext uri="{FF2B5EF4-FFF2-40B4-BE49-F238E27FC236}">
              <a16:creationId xmlns:a16="http://schemas.microsoft.com/office/drawing/2014/main" id="{00000000-0008-0000-0500-0000F2000000}"/>
            </a:ext>
          </a:extLst>
        </xdr:cNvPr>
        <xdr:cNvSpPr txBox="1">
          <a:spLocks noChangeArrowheads="1"/>
        </xdr:cNvSpPr>
      </xdr:nvSpPr>
      <xdr:spPr bwMode="auto">
        <a:xfrm>
          <a:off x="12790343"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127</xdr:row>
      <xdr:rowOff>0</xdr:rowOff>
    </xdr:from>
    <xdr:ext cx="95250" cy="213632"/>
    <xdr:sp macro="" textlink="">
      <xdr:nvSpPr>
        <xdr:cNvPr id="243" name="Text Box 15">
          <a:extLst>
            <a:ext uri="{FF2B5EF4-FFF2-40B4-BE49-F238E27FC236}">
              <a16:creationId xmlns:a16="http://schemas.microsoft.com/office/drawing/2014/main" id="{00000000-0008-0000-0500-0000F3000000}"/>
            </a:ext>
          </a:extLst>
        </xdr:cNvPr>
        <xdr:cNvSpPr txBox="1">
          <a:spLocks noChangeArrowheads="1"/>
        </xdr:cNvSpPr>
      </xdr:nvSpPr>
      <xdr:spPr bwMode="auto">
        <a:xfrm>
          <a:off x="12790343"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127</xdr:row>
      <xdr:rowOff>0</xdr:rowOff>
    </xdr:from>
    <xdr:ext cx="95250" cy="213632"/>
    <xdr:sp macro="" textlink="">
      <xdr:nvSpPr>
        <xdr:cNvPr id="244" name="Text Box 15">
          <a:extLst>
            <a:ext uri="{FF2B5EF4-FFF2-40B4-BE49-F238E27FC236}">
              <a16:creationId xmlns:a16="http://schemas.microsoft.com/office/drawing/2014/main" id="{00000000-0008-0000-0500-0000F4000000}"/>
            </a:ext>
          </a:extLst>
        </xdr:cNvPr>
        <xdr:cNvSpPr txBox="1">
          <a:spLocks noChangeArrowheads="1"/>
        </xdr:cNvSpPr>
      </xdr:nvSpPr>
      <xdr:spPr bwMode="auto">
        <a:xfrm>
          <a:off x="12790343"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213632"/>
    <xdr:sp macro="" textlink="">
      <xdr:nvSpPr>
        <xdr:cNvPr id="245" name="Text Box 15">
          <a:extLst>
            <a:ext uri="{FF2B5EF4-FFF2-40B4-BE49-F238E27FC236}">
              <a16:creationId xmlns:a16="http://schemas.microsoft.com/office/drawing/2014/main" id="{00000000-0008-0000-0500-0000F5000000}"/>
            </a:ext>
          </a:extLst>
        </xdr:cNvPr>
        <xdr:cNvSpPr txBox="1">
          <a:spLocks noChangeArrowheads="1"/>
        </xdr:cNvSpPr>
      </xdr:nvSpPr>
      <xdr:spPr bwMode="auto">
        <a:xfrm>
          <a:off x="9374909" y="12870007"/>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213632"/>
    <xdr:sp macro="" textlink="">
      <xdr:nvSpPr>
        <xdr:cNvPr id="246" name="Text Box 15">
          <a:extLst>
            <a:ext uri="{FF2B5EF4-FFF2-40B4-BE49-F238E27FC236}">
              <a16:creationId xmlns:a16="http://schemas.microsoft.com/office/drawing/2014/main" id="{00000000-0008-0000-0500-0000F6000000}"/>
            </a:ext>
          </a:extLst>
        </xdr:cNvPr>
        <xdr:cNvSpPr txBox="1">
          <a:spLocks noChangeArrowheads="1"/>
        </xdr:cNvSpPr>
      </xdr:nvSpPr>
      <xdr:spPr bwMode="auto">
        <a:xfrm>
          <a:off x="9374909" y="12870007"/>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127</xdr:row>
      <xdr:rowOff>0</xdr:rowOff>
    </xdr:from>
    <xdr:ext cx="95250" cy="213632"/>
    <xdr:sp macro="" textlink="">
      <xdr:nvSpPr>
        <xdr:cNvPr id="247" name="Text Box 15">
          <a:extLst>
            <a:ext uri="{FF2B5EF4-FFF2-40B4-BE49-F238E27FC236}">
              <a16:creationId xmlns:a16="http://schemas.microsoft.com/office/drawing/2014/main" id="{00000000-0008-0000-0500-0000F7000000}"/>
            </a:ext>
          </a:extLst>
        </xdr:cNvPr>
        <xdr:cNvSpPr txBox="1">
          <a:spLocks noChangeArrowheads="1"/>
        </xdr:cNvSpPr>
      </xdr:nvSpPr>
      <xdr:spPr bwMode="auto">
        <a:xfrm>
          <a:off x="12790343" y="12870007"/>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127</xdr:row>
      <xdr:rowOff>0</xdr:rowOff>
    </xdr:from>
    <xdr:ext cx="95250" cy="213632"/>
    <xdr:sp macro="" textlink="">
      <xdr:nvSpPr>
        <xdr:cNvPr id="248" name="Text Box 15">
          <a:extLst>
            <a:ext uri="{FF2B5EF4-FFF2-40B4-BE49-F238E27FC236}">
              <a16:creationId xmlns:a16="http://schemas.microsoft.com/office/drawing/2014/main" id="{00000000-0008-0000-0500-0000F8000000}"/>
            </a:ext>
          </a:extLst>
        </xdr:cNvPr>
        <xdr:cNvSpPr txBox="1">
          <a:spLocks noChangeArrowheads="1"/>
        </xdr:cNvSpPr>
      </xdr:nvSpPr>
      <xdr:spPr bwMode="auto">
        <a:xfrm>
          <a:off x="12790343" y="12870007"/>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213632"/>
    <xdr:sp macro="" textlink="">
      <xdr:nvSpPr>
        <xdr:cNvPr id="249" name="Text Box 15">
          <a:extLst>
            <a:ext uri="{FF2B5EF4-FFF2-40B4-BE49-F238E27FC236}">
              <a16:creationId xmlns:a16="http://schemas.microsoft.com/office/drawing/2014/main" id="{00000000-0008-0000-0500-0000F9000000}"/>
            </a:ext>
          </a:extLst>
        </xdr:cNvPr>
        <xdr:cNvSpPr txBox="1">
          <a:spLocks noChangeArrowheads="1"/>
        </xdr:cNvSpPr>
      </xdr:nvSpPr>
      <xdr:spPr bwMode="auto">
        <a:xfrm>
          <a:off x="9374909"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213632"/>
    <xdr:sp macro="" textlink="">
      <xdr:nvSpPr>
        <xdr:cNvPr id="250" name="Text Box 15">
          <a:extLst>
            <a:ext uri="{FF2B5EF4-FFF2-40B4-BE49-F238E27FC236}">
              <a16:creationId xmlns:a16="http://schemas.microsoft.com/office/drawing/2014/main" id="{00000000-0008-0000-0500-0000FA000000}"/>
            </a:ext>
          </a:extLst>
        </xdr:cNvPr>
        <xdr:cNvSpPr txBox="1">
          <a:spLocks noChangeArrowheads="1"/>
        </xdr:cNvSpPr>
      </xdr:nvSpPr>
      <xdr:spPr bwMode="auto">
        <a:xfrm>
          <a:off x="9374909"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213632"/>
    <xdr:sp macro="" textlink="">
      <xdr:nvSpPr>
        <xdr:cNvPr id="251" name="Text Box 15">
          <a:extLst>
            <a:ext uri="{FF2B5EF4-FFF2-40B4-BE49-F238E27FC236}">
              <a16:creationId xmlns:a16="http://schemas.microsoft.com/office/drawing/2014/main" id="{00000000-0008-0000-0500-0000FB000000}"/>
            </a:ext>
          </a:extLst>
        </xdr:cNvPr>
        <xdr:cNvSpPr txBox="1">
          <a:spLocks noChangeArrowheads="1"/>
        </xdr:cNvSpPr>
      </xdr:nvSpPr>
      <xdr:spPr bwMode="auto">
        <a:xfrm>
          <a:off x="9374909"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213632"/>
    <xdr:sp macro="" textlink="">
      <xdr:nvSpPr>
        <xdr:cNvPr id="252" name="Text Box 15">
          <a:extLst>
            <a:ext uri="{FF2B5EF4-FFF2-40B4-BE49-F238E27FC236}">
              <a16:creationId xmlns:a16="http://schemas.microsoft.com/office/drawing/2014/main" id="{00000000-0008-0000-0500-0000FC000000}"/>
            </a:ext>
          </a:extLst>
        </xdr:cNvPr>
        <xdr:cNvSpPr txBox="1">
          <a:spLocks noChangeArrowheads="1"/>
        </xdr:cNvSpPr>
      </xdr:nvSpPr>
      <xdr:spPr bwMode="auto">
        <a:xfrm>
          <a:off x="9374909"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213632"/>
    <xdr:sp macro="" textlink="">
      <xdr:nvSpPr>
        <xdr:cNvPr id="253" name="Text Box 15">
          <a:extLst>
            <a:ext uri="{FF2B5EF4-FFF2-40B4-BE49-F238E27FC236}">
              <a16:creationId xmlns:a16="http://schemas.microsoft.com/office/drawing/2014/main" id="{00000000-0008-0000-0500-0000FD000000}"/>
            </a:ext>
          </a:extLst>
        </xdr:cNvPr>
        <xdr:cNvSpPr txBox="1">
          <a:spLocks noChangeArrowheads="1"/>
        </xdr:cNvSpPr>
      </xdr:nvSpPr>
      <xdr:spPr bwMode="auto">
        <a:xfrm>
          <a:off x="9374909"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213632"/>
    <xdr:sp macro="" textlink="">
      <xdr:nvSpPr>
        <xdr:cNvPr id="254" name="Text Box 15">
          <a:extLst>
            <a:ext uri="{FF2B5EF4-FFF2-40B4-BE49-F238E27FC236}">
              <a16:creationId xmlns:a16="http://schemas.microsoft.com/office/drawing/2014/main" id="{00000000-0008-0000-0500-0000FE000000}"/>
            </a:ext>
          </a:extLst>
        </xdr:cNvPr>
        <xdr:cNvSpPr txBox="1">
          <a:spLocks noChangeArrowheads="1"/>
        </xdr:cNvSpPr>
      </xdr:nvSpPr>
      <xdr:spPr bwMode="auto">
        <a:xfrm>
          <a:off x="9374909"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213632"/>
    <xdr:sp macro="" textlink="">
      <xdr:nvSpPr>
        <xdr:cNvPr id="255" name="Text Box 15">
          <a:extLst>
            <a:ext uri="{FF2B5EF4-FFF2-40B4-BE49-F238E27FC236}">
              <a16:creationId xmlns:a16="http://schemas.microsoft.com/office/drawing/2014/main" id="{00000000-0008-0000-0500-0000FF000000}"/>
            </a:ext>
          </a:extLst>
        </xdr:cNvPr>
        <xdr:cNvSpPr txBox="1">
          <a:spLocks noChangeArrowheads="1"/>
        </xdr:cNvSpPr>
      </xdr:nvSpPr>
      <xdr:spPr bwMode="auto">
        <a:xfrm>
          <a:off x="9374909"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127</xdr:row>
      <xdr:rowOff>0</xdr:rowOff>
    </xdr:from>
    <xdr:ext cx="95250" cy="213632"/>
    <xdr:sp macro="" textlink="">
      <xdr:nvSpPr>
        <xdr:cNvPr id="256" name="Text Box 15">
          <a:extLst>
            <a:ext uri="{FF2B5EF4-FFF2-40B4-BE49-F238E27FC236}">
              <a16:creationId xmlns:a16="http://schemas.microsoft.com/office/drawing/2014/main" id="{00000000-0008-0000-0500-000000010000}"/>
            </a:ext>
          </a:extLst>
        </xdr:cNvPr>
        <xdr:cNvSpPr txBox="1">
          <a:spLocks noChangeArrowheads="1"/>
        </xdr:cNvSpPr>
      </xdr:nvSpPr>
      <xdr:spPr bwMode="auto">
        <a:xfrm>
          <a:off x="12790343"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127</xdr:row>
      <xdr:rowOff>0</xdr:rowOff>
    </xdr:from>
    <xdr:ext cx="95250" cy="213632"/>
    <xdr:sp macro="" textlink="">
      <xdr:nvSpPr>
        <xdr:cNvPr id="257" name="Text Box 15">
          <a:extLst>
            <a:ext uri="{FF2B5EF4-FFF2-40B4-BE49-F238E27FC236}">
              <a16:creationId xmlns:a16="http://schemas.microsoft.com/office/drawing/2014/main" id="{00000000-0008-0000-0500-000001010000}"/>
            </a:ext>
          </a:extLst>
        </xdr:cNvPr>
        <xdr:cNvSpPr txBox="1">
          <a:spLocks noChangeArrowheads="1"/>
        </xdr:cNvSpPr>
      </xdr:nvSpPr>
      <xdr:spPr bwMode="auto">
        <a:xfrm>
          <a:off x="12790343"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127</xdr:row>
      <xdr:rowOff>0</xdr:rowOff>
    </xdr:from>
    <xdr:ext cx="95250" cy="213632"/>
    <xdr:sp macro="" textlink="">
      <xdr:nvSpPr>
        <xdr:cNvPr id="258" name="Text Box 15">
          <a:extLst>
            <a:ext uri="{FF2B5EF4-FFF2-40B4-BE49-F238E27FC236}">
              <a16:creationId xmlns:a16="http://schemas.microsoft.com/office/drawing/2014/main" id="{00000000-0008-0000-0500-000002010000}"/>
            </a:ext>
          </a:extLst>
        </xdr:cNvPr>
        <xdr:cNvSpPr txBox="1">
          <a:spLocks noChangeArrowheads="1"/>
        </xdr:cNvSpPr>
      </xdr:nvSpPr>
      <xdr:spPr bwMode="auto">
        <a:xfrm>
          <a:off x="12790343"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127</xdr:row>
      <xdr:rowOff>0</xdr:rowOff>
    </xdr:from>
    <xdr:ext cx="95250" cy="213632"/>
    <xdr:sp macro="" textlink="">
      <xdr:nvSpPr>
        <xdr:cNvPr id="259" name="Text Box 15">
          <a:extLst>
            <a:ext uri="{FF2B5EF4-FFF2-40B4-BE49-F238E27FC236}">
              <a16:creationId xmlns:a16="http://schemas.microsoft.com/office/drawing/2014/main" id="{00000000-0008-0000-0500-000003010000}"/>
            </a:ext>
          </a:extLst>
        </xdr:cNvPr>
        <xdr:cNvSpPr txBox="1">
          <a:spLocks noChangeArrowheads="1"/>
        </xdr:cNvSpPr>
      </xdr:nvSpPr>
      <xdr:spPr bwMode="auto">
        <a:xfrm>
          <a:off x="12790343"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127</xdr:row>
      <xdr:rowOff>0</xdr:rowOff>
    </xdr:from>
    <xdr:ext cx="95250" cy="213632"/>
    <xdr:sp macro="" textlink="">
      <xdr:nvSpPr>
        <xdr:cNvPr id="260" name="Text Box 15">
          <a:extLst>
            <a:ext uri="{FF2B5EF4-FFF2-40B4-BE49-F238E27FC236}">
              <a16:creationId xmlns:a16="http://schemas.microsoft.com/office/drawing/2014/main" id="{00000000-0008-0000-0500-000004010000}"/>
            </a:ext>
          </a:extLst>
        </xdr:cNvPr>
        <xdr:cNvSpPr txBox="1">
          <a:spLocks noChangeArrowheads="1"/>
        </xdr:cNvSpPr>
      </xdr:nvSpPr>
      <xdr:spPr bwMode="auto">
        <a:xfrm>
          <a:off x="12790343"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127</xdr:row>
      <xdr:rowOff>0</xdr:rowOff>
    </xdr:from>
    <xdr:ext cx="95250" cy="213632"/>
    <xdr:sp macro="" textlink="">
      <xdr:nvSpPr>
        <xdr:cNvPr id="261" name="Text Box 15">
          <a:extLst>
            <a:ext uri="{FF2B5EF4-FFF2-40B4-BE49-F238E27FC236}">
              <a16:creationId xmlns:a16="http://schemas.microsoft.com/office/drawing/2014/main" id="{00000000-0008-0000-0500-000005010000}"/>
            </a:ext>
          </a:extLst>
        </xdr:cNvPr>
        <xdr:cNvSpPr txBox="1">
          <a:spLocks noChangeArrowheads="1"/>
        </xdr:cNvSpPr>
      </xdr:nvSpPr>
      <xdr:spPr bwMode="auto">
        <a:xfrm>
          <a:off x="12790343"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127</xdr:row>
      <xdr:rowOff>0</xdr:rowOff>
    </xdr:from>
    <xdr:ext cx="95250" cy="213632"/>
    <xdr:sp macro="" textlink="">
      <xdr:nvSpPr>
        <xdr:cNvPr id="262" name="Text Box 15">
          <a:extLst>
            <a:ext uri="{FF2B5EF4-FFF2-40B4-BE49-F238E27FC236}">
              <a16:creationId xmlns:a16="http://schemas.microsoft.com/office/drawing/2014/main" id="{00000000-0008-0000-0500-000006010000}"/>
            </a:ext>
          </a:extLst>
        </xdr:cNvPr>
        <xdr:cNvSpPr txBox="1">
          <a:spLocks noChangeArrowheads="1"/>
        </xdr:cNvSpPr>
      </xdr:nvSpPr>
      <xdr:spPr bwMode="auto">
        <a:xfrm>
          <a:off x="12790343"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213632"/>
    <xdr:sp macro="" textlink="">
      <xdr:nvSpPr>
        <xdr:cNvPr id="263" name="Text Box 15">
          <a:extLst>
            <a:ext uri="{FF2B5EF4-FFF2-40B4-BE49-F238E27FC236}">
              <a16:creationId xmlns:a16="http://schemas.microsoft.com/office/drawing/2014/main" id="{00000000-0008-0000-0500-000007010000}"/>
            </a:ext>
          </a:extLst>
        </xdr:cNvPr>
        <xdr:cNvSpPr txBox="1">
          <a:spLocks noChangeArrowheads="1"/>
        </xdr:cNvSpPr>
      </xdr:nvSpPr>
      <xdr:spPr bwMode="auto">
        <a:xfrm>
          <a:off x="9374909" y="12870007"/>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213632"/>
    <xdr:sp macro="" textlink="">
      <xdr:nvSpPr>
        <xdr:cNvPr id="264" name="Text Box 15">
          <a:extLst>
            <a:ext uri="{FF2B5EF4-FFF2-40B4-BE49-F238E27FC236}">
              <a16:creationId xmlns:a16="http://schemas.microsoft.com/office/drawing/2014/main" id="{00000000-0008-0000-0500-000008010000}"/>
            </a:ext>
          </a:extLst>
        </xdr:cNvPr>
        <xdr:cNvSpPr txBox="1">
          <a:spLocks noChangeArrowheads="1"/>
        </xdr:cNvSpPr>
      </xdr:nvSpPr>
      <xdr:spPr bwMode="auto">
        <a:xfrm>
          <a:off x="9374909" y="12870007"/>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127</xdr:row>
      <xdr:rowOff>0</xdr:rowOff>
    </xdr:from>
    <xdr:ext cx="95250" cy="213632"/>
    <xdr:sp macro="" textlink="">
      <xdr:nvSpPr>
        <xdr:cNvPr id="265" name="Text Box 15">
          <a:extLst>
            <a:ext uri="{FF2B5EF4-FFF2-40B4-BE49-F238E27FC236}">
              <a16:creationId xmlns:a16="http://schemas.microsoft.com/office/drawing/2014/main" id="{00000000-0008-0000-0500-000009010000}"/>
            </a:ext>
          </a:extLst>
        </xdr:cNvPr>
        <xdr:cNvSpPr txBox="1">
          <a:spLocks noChangeArrowheads="1"/>
        </xdr:cNvSpPr>
      </xdr:nvSpPr>
      <xdr:spPr bwMode="auto">
        <a:xfrm>
          <a:off x="12790343" y="12870007"/>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127</xdr:row>
      <xdr:rowOff>0</xdr:rowOff>
    </xdr:from>
    <xdr:ext cx="95250" cy="213632"/>
    <xdr:sp macro="" textlink="">
      <xdr:nvSpPr>
        <xdr:cNvPr id="266" name="Text Box 15">
          <a:extLst>
            <a:ext uri="{FF2B5EF4-FFF2-40B4-BE49-F238E27FC236}">
              <a16:creationId xmlns:a16="http://schemas.microsoft.com/office/drawing/2014/main" id="{00000000-0008-0000-0500-00000A010000}"/>
            </a:ext>
          </a:extLst>
        </xdr:cNvPr>
        <xdr:cNvSpPr txBox="1">
          <a:spLocks noChangeArrowheads="1"/>
        </xdr:cNvSpPr>
      </xdr:nvSpPr>
      <xdr:spPr bwMode="auto">
        <a:xfrm>
          <a:off x="12790343" y="12870007"/>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213632"/>
    <xdr:sp macro="" textlink="">
      <xdr:nvSpPr>
        <xdr:cNvPr id="267" name="Text Box 15">
          <a:extLst>
            <a:ext uri="{FF2B5EF4-FFF2-40B4-BE49-F238E27FC236}">
              <a16:creationId xmlns:a16="http://schemas.microsoft.com/office/drawing/2014/main" id="{00000000-0008-0000-0500-00000B010000}"/>
            </a:ext>
          </a:extLst>
        </xdr:cNvPr>
        <xdr:cNvSpPr txBox="1">
          <a:spLocks noChangeArrowheads="1"/>
        </xdr:cNvSpPr>
      </xdr:nvSpPr>
      <xdr:spPr bwMode="auto">
        <a:xfrm>
          <a:off x="9374909"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213632"/>
    <xdr:sp macro="" textlink="">
      <xdr:nvSpPr>
        <xdr:cNvPr id="268" name="Text Box 15">
          <a:extLst>
            <a:ext uri="{FF2B5EF4-FFF2-40B4-BE49-F238E27FC236}">
              <a16:creationId xmlns:a16="http://schemas.microsoft.com/office/drawing/2014/main" id="{00000000-0008-0000-0500-00000C010000}"/>
            </a:ext>
          </a:extLst>
        </xdr:cNvPr>
        <xdr:cNvSpPr txBox="1">
          <a:spLocks noChangeArrowheads="1"/>
        </xdr:cNvSpPr>
      </xdr:nvSpPr>
      <xdr:spPr bwMode="auto">
        <a:xfrm>
          <a:off x="9374909"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213632"/>
    <xdr:sp macro="" textlink="">
      <xdr:nvSpPr>
        <xdr:cNvPr id="269" name="Text Box 15">
          <a:extLst>
            <a:ext uri="{FF2B5EF4-FFF2-40B4-BE49-F238E27FC236}">
              <a16:creationId xmlns:a16="http://schemas.microsoft.com/office/drawing/2014/main" id="{00000000-0008-0000-0500-00000D010000}"/>
            </a:ext>
          </a:extLst>
        </xdr:cNvPr>
        <xdr:cNvSpPr txBox="1">
          <a:spLocks noChangeArrowheads="1"/>
        </xdr:cNvSpPr>
      </xdr:nvSpPr>
      <xdr:spPr bwMode="auto">
        <a:xfrm>
          <a:off x="9374909"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213632"/>
    <xdr:sp macro="" textlink="">
      <xdr:nvSpPr>
        <xdr:cNvPr id="270" name="Text Box 15">
          <a:extLst>
            <a:ext uri="{FF2B5EF4-FFF2-40B4-BE49-F238E27FC236}">
              <a16:creationId xmlns:a16="http://schemas.microsoft.com/office/drawing/2014/main" id="{00000000-0008-0000-0500-00000E010000}"/>
            </a:ext>
          </a:extLst>
        </xdr:cNvPr>
        <xdr:cNvSpPr txBox="1">
          <a:spLocks noChangeArrowheads="1"/>
        </xdr:cNvSpPr>
      </xdr:nvSpPr>
      <xdr:spPr bwMode="auto">
        <a:xfrm>
          <a:off x="9374909"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213632"/>
    <xdr:sp macro="" textlink="">
      <xdr:nvSpPr>
        <xdr:cNvPr id="271" name="Text Box 15">
          <a:extLst>
            <a:ext uri="{FF2B5EF4-FFF2-40B4-BE49-F238E27FC236}">
              <a16:creationId xmlns:a16="http://schemas.microsoft.com/office/drawing/2014/main" id="{00000000-0008-0000-0500-00000F010000}"/>
            </a:ext>
          </a:extLst>
        </xdr:cNvPr>
        <xdr:cNvSpPr txBox="1">
          <a:spLocks noChangeArrowheads="1"/>
        </xdr:cNvSpPr>
      </xdr:nvSpPr>
      <xdr:spPr bwMode="auto">
        <a:xfrm>
          <a:off x="9374909"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213632"/>
    <xdr:sp macro="" textlink="">
      <xdr:nvSpPr>
        <xdr:cNvPr id="272" name="Text Box 15">
          <a:extLst>
            <a:ext uri="{FF2B5EF4-FFF2-40B4-BE49-F238E27FC236}">
              <a16:creationId xmlns:a16="http://schemas.microsoft.com/office/drawing/2014/main" id="{00000000-0008-0000-0500-000010010000}"/>
            </a:ext>
          </a:extLst>
        </xdr:cNvPr>
        <xdr:cNvSpPr txBox="1">
          <a:spLocks noChangeArrowheads="1"/>
        </xdr:cNvSpPr>
      </xdr:nvSpPr>
      <xdr:spPr bwMode="auto">
        <a:xfrm>
          <a:off x="9374909"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213632"/>
    <xdr:sp macro="" textlink="">
      <xdr:nvSpPr>
        <xdr:cNvPr id="273" name="Text Box 15">
          <a:extLst>
            <a:ext uri="{FF2B5EF4-FFF2-40B4-BE49-F238E27FC236}">
              <a16:creationId xmlns:a16="http://schemas.microsoft.com/office/drawing/2014/main" id="{00000000-0008-0000-0500-000011010000}"/>
            </a:ext>
          </a:extLst>
        </xdr:cNvPr>
        <xdr:cNvSpPr txBox="1">
          <a:spLocks noChangeArrowheads="1"/>
        </xdr:cNvSpPr>
      </xdr:nvSpPr>
      <xdr:spPr bwMode="auto">
        <a:xfrm>
          <a:off x="9374909"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127</xdr:row>
      <xdr:rowOff>0</xdr:rowOff>
    </xdr:from>
    <xdr:ext cx="95250" cy="213632"/>
    <xdr:sp macro="" textlink="">
      <xdr:nvSpPr>
        <xdr:cNvPr id="274" name="Text Box 15">
          <a:extLst>
            <a:ext uri="{FF2B5EF4-FFF2-40B4-BE49-F238E27FC236}">
              <a16:creationId xmlns:a16="http://schemas.microsoft.com/office/drawing/2014/main" id="{00000000-0008-0000-0500-000012010000}"/>
            </a:ext>
          </a:extLst>
        </xdr:cNvPr>
        <xdr:cNvSpPr txBox="1">
          <a:spLocks noChangeArrowheads="1"/>
        </xdr:cNvSpPr>
      </xdr:nvSpPr>
      <xdr:spPr bwMode="auto">
        <a:xfrm>
          <a:off x="12790343"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127</xdr:row>
      <xdr:rowOff>0</xdr:rowOff>
    </xdr:from>
    <xdr:ext cx="95250" cy="213632"/>
    <xdr:sp macro="" textlink="">
      <xdr:nvSpPr>
        <xdr:cNvPr id="275" name="Text Box 15">
          <a:extLst>
            <a:ext uri="{FF2B5EF4-FFF2-40B4-BE49-F238E27FC236}">
              <a16:creationId xmlns:a16="http://schemas.microsoft.com/office/drawing/2014/main" id="{00000000-0008-0000-0500-000013010000}"/>
            </a:ext>
          </a:extLst>
        </xdr:cNvPr>
        <xdr:cNvSpPr txBox="1">
          <a:spLocks noChangeArrowheads="1"/>
        </xdr:cNvSpPr>
      </xdr:nvSpPr>
      <xdr:spPr bwMode="auto">
        <a:xfrm>
          <a:off x="12790343"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127</xdr:row>
      <xdr:rowOff>0</xdr:rowOff>
    </xdr:from>
    <xdr:ext cx="95250" cy="213632"/>
    <xdr:sp macro="" textlink="">
      <xdr:nvSpPr>
        <xdr:cNvPr id="276" name="Text Box 15">
          <a:extLst>
            <a:ext uri="{FF2B5EF4-FFF2-40B4-BE49-F238E27FC236}">
              <a16:creationId xmlns:a16="http://schemas.microsoft.com/office/drawing/2014/main" id="{00000000-0008-0000-0500-000014010000}"/>
            </a:ext>
          </a:extLst>
        </xdr:cNvPr>
        <xdr:cNvSpPr txBox="1">
          <a:spLocks noChangeArrowheads="1"/>
        </xdr:cNvSpPr>
      </xdr:nvSpPr>
      <xdr:spPr bwMode="auto">
        <a:xfrm>
          <a:off x="12790343"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127</xdr:row>
      <xdr:rowOff>0</xdr:rowOff>
    </xdr:from>
    <xdr:ext cx="95250" cy="213632"/>
    <xdr:sp macro="" textlink="">
      <xdr:nvSpPr>
        <xdr:cNvPr id="277" name="Text Box 15">
          <a:extLst>
            <a:ext uri="{FF2B5EF4-FFF2-40B4-BE49-F238E27FC236}">
              <a16:creationId xmlns:a16="http://schemas.microsoft.com/office/drawing/2014/main" id="{00000000-0008-0000-0500-000015010000}"/>
            </a:ext>
          </a:extLst>
        </xdr:cNvPr>
        <xdr:cNvSpPr txBox="1">
          <a:spLocks noChangeArrowheads="1"/>
        </xdr:cNvSpPr>
      </xdr:nvSpPr>
      <xdr:spPr bwMode="auto">
        <a:xfrm>
          <a:off x="12790343"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127</xdr:row>
      <xdr:rowOff>0</xdr:rowOff>
    </xdr:from>
    <xdr:ext cx="95250" cy="213632"/>
    <xdr:sp macro="" textlink="">
      <xdr:nvSpPr>
        <xdr:cNvPr id="278" name="Text Box 15">
          <a:extLst>
            <a:ext uri="{FF2B5EF4-FFF2-40B4-BE49-F238E27FC236}">
              <a16:creationId xmlns:a16="http://schemas.microsoft.com/office/drawing/2014/main" id="{00000000-0008-0000-0500-000016010000}"/>
            </a:ext>
          </a:extLst>
        </xdr:cNvPr>
        <xdr:cNvSpPr txBox="1">
          <a:spLocks noChangeArrowheads="1"/>
        </xdr:cNvSpPr>
      </xdr:nvSpPr>
      <xdr:spPr bwMode="auto">
        <a:xfrm>
          <a:off x="12790343"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127</xdr:row>
      <xdr:rowOff>0</xdr:rowOff>
    </xdr:from>
    <xdr:ext cx="95250" cy="213632"/>
    <xdr:sp macro="" textlink="">
      <xdr:nvSpPr>
        <xdr:cNvPr id="279" name="Text Box 15">
          <a:extLst>
            <a:ext uri="{FF2B5EF4-FFF2-40B4-BE49-F238E27FC236}">
              <a16:creationId xmlns:a16="http://schemas.microsoft.com/office/drawing/2014/main" id="{00000000-0008-0000-0500-000017010000}"/>
            </a:ext>
          </a:extLst>
        </xdr:cNvPr>
        <xdr:cNvSpPr txBox="1">
          <a:spLocks noChangeArrowheads="1"/>
        </xdr:cNvSpPr>
      </xdr:nvSpPr>
      <xdr:spPr bwMode="auto">
        <a:xfrm>
          <a:off x="12790343"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127</xdr:row>
      <xdr:rowOff>0</xdr:rowOff>
    </xdr:from>
    <xdr:ext cx="95250" cy="213632"/>
    <xdr:sp macro="" textlink="">
      <xdr:nvSpPr>
        <xdr:cNvPr id="280" name="Text Box 15">
          <a:extLst>
            <a:ext uri="{FF2B5EF4-FFF2-40B4-BE49-F238E27FC236}">
              <a16:creationId xmlns:a16="http://schemas.microsoft.com/office/drawing/2014/main" id="{00000000-0008-0000-0500-000018010000}"/>
            </a:ext>
          </a:extLst>
        </xdr:cNvPr>
        <xdr:cNvSpPr txBox="1">
          <a:spLocks noChangeArrowheads="1"/>
        </xdr:cNvSpPr>
      </xdr:nvSpPr>
      <xdr:spPr bwMode="auto">
        <a:xfrm>
          <a:off x="12790343"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213632"/>
    <xdr:sp macro="" textlink="">
      <xdr:nvSpPr>
        <xdr:cNvPr id="281" name="Text Box 15">
          <a:extLst>
            <a:ext uri="{FF2B5EF4-FFF2-40B4-BE49-F238E27FC236}">
              <a16:creationId xmlns:a16="http://schemas.microsoft.com/office/drawing/2014/main" id="{00000000-0008-0000-0500-000019010000}"/>
            </a:ext>
          </a:extLst>
        </xdr:cNvPr>
        <xdr:cNvSpPr txBox="1">
          <a:spLocks noChangeArrowheads="1"/>
        </xdr:cNvSpPr>
      </xdr:nvSpPr>
      <xdr:spPr bwMode="auto">
        <a:xfrm>
          <a:off x="9374909" y="12870007"/>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213632"/>
    <xdr:sp macro="" textlink="">
      <xdr:nvSpPr>
        <xdr:cNvPr id="282" name="Text Box 15">
          <a:extLst>
            <a:ext uri="{FF2B5EF4-FFF2-40B4-BE49-F238E27FC236}">
              <a16:creationId xmlns:a16="http://schemas.microsoft.com/office/drawing/2014/main" id="{00000000-0008-0000-0500-00001A010000}"/>
            </a:ext>
          </a:extLst>
        </xdr:cNvPr>
        <xdr:cNvSpPr txBox="1">
          <a:spLocks noChangeArrowheads="1"/>
        </xdr:cNvSpPr>
      </xdr:nvSpPr>
      <xdr:spPr bwMode="auto">
        <a:xfrm>
          <a:off x="9374909" y="12870007"/>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127</xdr:row>
      <xdr:rowOff>0</xdr:rowOff>
    </xdr:from>
    <xdr:ext cx="95250" cy="213632"/>
    <xdr:sp macro="" textlink="">
      <xdr:nvSpPr>
        <xdr:cNvPr id="283" name="Text Box 15">
          <a:extLst>
            <a:ext uri="{FF2B5EF4-FFF2-40B4-BE49-F238E27FC236}">
              <a16:creationId xmlns:a16="http://schemas.microsoft.com/office/drawing/2014/main" id="{00000000-0008-0000-0500-00001B010000}"/>
            </a:ext>
          </a:extLst>
        </xdr:cNvPr>
        <xdr:cNvSpPr txBox="1">
          <a:spLocks noChangeArrowheads="1"/>
        </xdr:cNvSpPr>
      </xdr:nvSpPr>
      <xdr:spPr bwMode="auto">
        <a:xfrm>
          <a:off x="12790343" y="12870007"/>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127</xdr:row>
      <xdr:rowOff>0</xdr:rowOff>
    </xdr:from>
    <xdr:ext cx="95250" cy="213632"/>
    <xdr:sp macro="" textlink="">
      <xdr:nvSpPr>
        <xdr:cNvPr id="284" name="Text Box 15">
          <a:extLst>
            <a:ext uri="{FF2B5EF4-FFF2-40B4-BE49-F238E27FC236}">
              <a16:creationId xmlns:a16="http://schemas.microsoft.com/office/drawing/2014/main" id="{00000000-0008-0000-0500-00001C010000}"/>
            </a:ext>
          </a:extLst>
        </xdr:cNvPr>
        <xdr:cNvSpPr txBox="1">
          <a:spLocks noChangeArrowheads="1"/>
        </xdr:cNvSpPr>
      </xdr:nvSpPr>
      <xdr:spPr bwMode="auto">
        <a:xfrm>
          <a:off x="12790343" y="12870007"/>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213632"/>
    <xdr:sp macro="" textlink="">
      <xdr:nvSpPr>
        <xdr:cNvPr id="285" name="Text Box 15">
          <a:extLst>
            <a:ext uri="{FF2B5EF4-FFF2-40B4-BE49-F238E27FC236}">
              <a16:creationId xmlns:a16="http://schemas.microsoft.com/office/drawing/2014/main" id="{00000000-0008-0000-0500-00001D010000}"/>
            </a:ext>
          </a:extLst>
        </xdr:cNvPr>
        <xdr:cNvSpPr txBox="1">
          <a:spLocks noChangeArrowheads="1"/>
        </xdr:cNvSpPr>
      </xdr:nvSpPr>
      <xdr:spPr bwMode="auto">
        <a:xfrm>
          <a:off x="9374909"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213632"/>
    <xdr:sp macro="" textlink="">
      <xdr:nvSpPr>
        <xdr:cNvPr id="286" name="Text Box 15">
          <a:extLst>
            <a:ext uri="{FF2B5EF4-FFF2-40B4-BE49-F238E27FC236}">
              <a16:creationId xmlns:a16="http://schemas.microsoft.com/office/drawing/2014/main" id="{00000000-0008-0000-0500-00001E010000}"/>
            </a:ext>
          </a:extLst>
        </xdr:cNvPr>
        <xdr:cNvSpPr txBox="1">
          <a:spLocks noChangeArrowheads="1"/>
        </xdr:cNvSpPr>
      </xdr:nvSpPr>
      <xdr:spPr bwMode="auto">
        <a:xfrm>
          <a:off x="9374909"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213632"/>
    <xdr:sp macro="" textlink="">
      <xdr:nvSpPr>
        <xdr:cNvPr id="287" name="Text Box 15">
          <a:extLst>
            <a:ext uri="{FF2B5EF4-FFF2-40B4-BE49-F238E27FC236}">
              <a16:creationId xmlns:a16="http://schemas.microsoft.com/office/drawing/2014/main" id="{00000000-0008-0000-0500-00001F010000}"/>
            </a:ext>
          </a:extLst>
        </xdr:cNvPr>
        <xdr:cNvSpPr txBox="1">
          <a:spLocks noChangeArrowheads="1"/>
        </xdr:cNvSpPr>
      </xdr:nvSpPr>
      <xdr:spPr bwMode="auto">
        <a:xfrm>
          <a:off x="9374909"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213632"/>
    <xdr:sp macro="" textlink="">
      <xdr:nvSpPr>
        <xdr:cNvPr id="288" name="Text Box 15">
          <a:extLst>
            <a:ext uri="{FF2B5EF4-FFF2-40B4-BE49-F238E27FC236}">
              <a16:creationId xmlns:a16="http://schemas.microsoft.com/office/drawing/2014/main" id="{00000000-0008-0000-0500-000020010000}"/>
            </a:ext>
          </a:extLst>
        </xdr:cNvPr>
        <xdr:cNvSpPr txBox="1">
          <a:spLocks noChangeArrowheads="1"/>
        </xdr:cNvSpPr>
      </xdr:nvSpPr>
      <xdr:spPr bwMode="auto">
        <a:xfrm>
          <a:off x="9374909"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213632"/>
    <xdr:sp macro="" textlink="">
      <xdr:nvSpPr>
        <xdr:cNvPr id="289" name="Text Box 15">
          <a:extLst>
            <a:ext uri="{FF2B5EF4-FFF2-40B4-BE49-F238E27FC236}">
              <a16:creationId xmlns:a16="http://schemas.microsoft.com/office/drawing/2014/main" id="{00000000-0008-0000-0500-000021010000}"/>
            </a:ext>
          </a:extLst>
        </xdr:cNvPr>
        <xdr:cNvSpPr txBox="1">
          <a:spLocks noChangeArrowheads="1"/>
        </xdr:cNvSpPr>
      </xdr:nvSpPr>
      <xdr:spPr bwMode="auto">
        <a:xfrm>
          <a:off x="9374909"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213632"/>
    <xdr:sp macro="" textlink="">
      <xdr:nvSpPr>
        <xdr:cNvPr id="290" name="Text Box 15">
          <a:extLst>
            <a:ext uri="{FF2B5EF4-FFF2-40B4-BE49-F238E27FC236}">
              <a16:creationId xmlns:a16="http://schemas.microsoft.com/office/drawing/2014/main" id="{00000000-0008-0000-0500-000022010000}"/>
            </a:ext>
          </a:extLst>
        </xdr:cNvPr>
        <xdr:cNvSpPr txBox="1">
          <a:spLocks noChangeArrowheads="1"/>
        </xdr:cNvSpPr>
      </xdr:nvSpPr>
      <xdr:spPr bwMode="auto">
        <a:xfrm>
          <a:off x="9374909"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213632"/>
    <xdr:sp macro="" textlink="">
      <xdr:nvSpPr>
        <xdr:cNvPr id="291" name="Text Box 15">
          <a:extLst>
            <a:ext uri="{FF2B5EF4-FFF2-40B4-BE49-F238E27FC236}">
              <a16:creationId xmlns:a16="http://schemas.microsoft.com/office/drawing/2014/main" id="{00000000-0008-0000-0500-000023010000}"/>
            </a:ext>
          </a:extLst>
        </xdr:cNvPr>
        <xdr:cNvSpPr txBox="1">
          <a:spLocks noChangeArrowheads="1"/>
        </xdr:cNvSpPr>
      </xdr:nvSpPr>
      <xdr:spPr bwMode="auto">
        <a:xfrm>
          <a:off x="9374909"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127</xdr:row>
      <xdr:rowOff>0</xdr:rowOff>
    </xdr:from>
    <xdr:ext cx="95250" cy="213632"/>
    <xdr:sp macro="" textlink="">
      <xdr:nvSpPr>
        <xdr:cNvPr id="292" name="Text Box 15">
          <a:extLst>
            <a:ext uri="{FF2B5EF4-FFF2-40B4-BE49-F238E27FC236}">
              <a16:creationId xmlns:a16="http://schemas.microsoft.com/office/drawing/2014/main" id="{00000000-0008-0000-0500-000024010000}"/>
            </a:ext>
          </a:extLst>
        </xdr:cNvPr>
        <xdr:cNvSpPr txBox="1">
          <a:spLocks noChangeArrowheads="1"/>
        </xdr:cNvSpPr>
      </xdr:nvSpPr>
      <xdr:spPr bwMode="auto">
        <a:xfrm>
          <a:off x="12790343"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127</xdr:row>
      <xdr:rowOff>0</xdr:rowOff>
    </xdr:from>
    <xdr:ext cx="95250" cy="213632"/>
    <xdr:sp macro="" textlink="">
      <xdr:nvSpPr>
        <xdr:cNvPr id="293" name="Text Box 15">
          <a:extLst>
            <a:ext uri="{FF2B5EF4-FFF2-40B4-BE49-F238E27FC236}">
              <a16:creationId xmlns:a16="http://schemas.microsoft.com/office/drawing/2014/main" id="{00000000-0008-0000-0500-000025010000}"/>
            </a:ext>
          </a:extLst>
        </xdr:cNvPr>
        <xdr:cNvSpPr txBox="1">
          <a:spLocks noChangeArrowheads="1"/>
        </xdr:cNvSpPr>
      </xdr:nvSpPr>
      <xdr:spPr bwMode="auto">
        <a:xfrm>
          <a:off x="12790343"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127</xdr:row>
      <xdr:rowOff>0</xdr:rowOff>
    </xdr:from>
    <xdr:ext cx="95250" cy="213632"/>
    <xdr:sp macro="" textlink="">
      <xdr:nvSpPr>
        <xdr:cNvPr id="294" name="Text Box 15">
          <a:extLst>
            <a:ext uri="{FF2B5EF4-FFF2-40B4-BE49-F238E27FC236}">
              <a16:creationId xmlns:a16="http://schemas.microsoft.com/office/drawing/2014/main" id="{00000000-0008-0000-0500-000026010000}"/>
            </a:ext>
          </a:extLst>
        </xdr:cNvPr>
        <xdr:cNvSpPr txBox="1">
          <a:spLocks noChangeArrowheads="1"/>
        </xdr:cNvSpPr>
      </xdr:nvSpPr>
      <xdr:spPr bwMode="auto">
        <a:xfrm>
          <a:off x="12790343"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127</xdr:row>
      <xdr:rowOff>0</xdr:rowOff>
    </xdr:from>
    <xdr:ext cx="95250" cy="213632"/>
    <xdr:sp macro="" textlink="">
      <xdr:nvSpPr>
        <xdr:cNvPr id="295" name="Text Box 15">
          <a:extLst>
            <a:ext uri="{FF2B5EF4-FFF2-40B4-BE49-F238E27FC236}">
              <a16:creationId xmlns:a16="http://schemas.microsoft.com/office/drawing/2014/main" id="{00000000-0008-0000-0500-000027010000}"/>
            </a:ext>
          </a:extLst>
        </xdr:cNvPr>
        <xdr:cNvSpPr txBox="1">
          <a:spLocks noChangeArrowheads="1"/>
        </xdr:cNvSpPr>
      </xdr:nvSpPr>
      <xdr:spPr bwMode="auto">
        <a:xfrm>
          <a:off x="12790343"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127</xdr:row>
      <xdr:rowOff>0</xdr:rowOff>
    </xdr:from>
    <xdr:ext cx="95250" cy="213632"/>
    <xdr:sp macro="" textlink="">
      <xdr:nvSpPr>
        <xdr:cNvPr id="296" name="Text Box 15">
          <a:extLst>
            <a:ext uri="{FF2B5EF4-FFF2-40B4-BE49-F238E27FC236}">
              <a16:creationId xmlns:a16="http://schemas.microsoft.com/office/drawing/2014/main" id="{00000000-0008-0000-0500-000028010000}"/>
            </a:ext>
          </a:extLst>
        </xdr:cNvPr>
        <xdr:cNvSpPr txBox="1">
          <a:spLocks noChangeArrowheads="1"/>
        </xdr:cNvSpPr>
      </xdr:nvSpPr>
      <xdr:spPr bwMode="auto">
        <a:xfrm>
          <a:off x="12790343"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127</xdr:row>
      <xdr:rowOff>0</xdr:rowOff>
    </xdr:from>
    <xdr:ext cx="95250" cy="213632"/>
    <xdr:sp macro="" textlink="">
      <xdr:nvSpPr>
        <xdr:cNvPr id="297" name="Text Box 15">
          <a:extLst>
            <a:ext uri="{FF2B5EF4-FFF2-40B4-BE49-F238E27FC236}">
              <a16:creationId xmlns:a16="http://schemas.microsoft.com/office/drawing/2014/main" id="{00000000-0008-0000-0500-000029010000}"/>
            </a:ext>
          </a:extLst>
        </xdr:cNvPr>
        <xdr:cNvSpPr txBox="1">
          <a:spLocks noChangeArrowheads="1"/>
        </xdr:cNvSpPr>
      </xdr:nvSpPr>
      <xdr:spPr bwMode="auto">
        <a:xfrm>
          <a:off x="12790343"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127</xdr:row>
      <xdr:rowOff>0</xdr:rowOff>
    </xdr:from>
    <xdr:ext cx="95250" cy="213632"/>
    <xdr:sp macro="" textlink="">
      <xdr:nvSpPr>
        <xdr:cNvPr id="298" name="Text Box 15">
          <a:extLst>
            <a:ext uri="{FF2B5EF4-FFF2-40B4-BE49-F238E27FC236}">
              <a16:creationId xmlns:a16="http://schemas.microsoft.com/office/drawing/2014/main" id="{00000000-0008-0000-0500-00002A010000}"/>
            </a:ext>
          </a:extLst>
        </xdr:cNvPr>
        <xdr:cNvSpPr txBox="1">
          <a:spLocks noChangeArrowheads="1"/>
        </xdr:cNvSpPr>
      </xdr:nvSpPr>
      <xdr:spPr bwMode="auto">
        <a:xfrm>
          <a:off x="12790343"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213632"/>
    <xdr:sp macro="" textlink="">
      <xdr:nvSpPr>
        <xdr:cNvPr id="299" name="Text Box 15">
          <a:extLst>
            <a:ext uri="{FF2B5EF4-FFF2-40B4-BE49-F238E27FC236}">
              <a16:creationId xmlns:a16="http://schemas.microsoft.com/office/drawing/2014/main" id="{00000000-0008-0000-0500-00002B010000}"/>
            </a:ext>
          </a:extLst>
        </xdr:cNvPr>
        <xdr:cNvSpPr txBox="1">
          <a:spLocks noChangeArrowheads="1"/>
        </xdr:cNvSpPr>
      </xdr:nvSpPr>
      <xdr:spPr bwMode="auto">
        <a:xfrm>
          <a:off x="9374909" y="12870007"/>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213632"/>
    <xdr:sp macro="" textlink="">
      <xdr:nvSpPr>
        <xdr:cNvPr id="300" name="Text Box 15">
          <a:extLst>
            <a:ext uri="{FF2B5EF4-FFF2-40B4-BE49-F238E27FC236}">
              <a16:creationId xmlns:a16="http://schemas.microsoft.com/office/drawing/2014/main" id="{00000000-0008-0000-0500-00002C010000}"/>
            </a:ext>
          </a:extLst>
        </xdr:cNvPr>
        <xdr:cNvSpPr txBox="1">
          <a:spLocks noChangeArrowheads="1"/>
        </xdr:cNvSpPr>
      </xdr:nvSpPr>
      <xdr:spPr bwMode="auto">
        <a:xfrm>
          <a:off x="9374909" y="12870007"/>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127</xdr:row>
      <xdr:rowOff>0</xdr:rowOff>
    </xdr:from>
    <xdr:ext cx="95250" cy="213632"/>
    <xdr:sp macro="" textlink="">
      <xdr:nvSpPr>
        <xdr:cNvPr id="301" name="Text Box 15">
          <a:extLst>
            <a:ext uri="{FF2B5EF4-FFF2-40B4-BE49-F238E27FC236}">
              <a16:creationId xmlns:a16="http://schemas.microsoft.com/office/drawing/2014/main" id="{00000000-0008-0000-0500-00002D010000}"/>
            </a:ext>
          </a:extLst>
        </xdr:cNvPr>
        <xdr:cNvSpPr txBox="1">
          <a:spLocks noChangeArrowheads="1"/>
        </xdr:cNvSpPr>
      </xdr:nvSpPr>
      <xdr:spPr bwMode="auto">
        <a:xfrm>
          <a:off x="12790343" y="12870007"/>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127</xdr:row>
      <xdr:rowOff>0</xdr:rowOff>
    </xdr:from>
    <xdr:ext cx="95250" cy="213632"/>
    <xdr:sp macro="" textlink="">
      <xdr:nvSpPr>
        <xdr:cNvPr id="302" name="Text Box 15">
          <a:extLst>
            <a:ext uri="{FF2B5EF4-FFF2-40B4-BE49-F238E27FC236}">
              <a16:creationId xmlns:a16="http://schemas.microsoft.com/office/drawing/2014/main" id="{00000000-0008-0000-0500-00002E010000}"/>
            </a:ext>
          </a:extLst>
        </xdr:cNvPr>
        <xdr:cNvSpPr txBox="1">
          <a:spLocks noChangeArrowheads="1"/>
        </xdr:cNvSpPr>
      </xdr:nvSpPr>
      <xdr:spPr bwMode="auto">
        <a:xfrm>
          <a:off x="12790343" y="12870007"/>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213632"/>
    <xdr:sp macro="" textlink="">
      <xdr:nvSpPr>
        <xdr:cNvPr id="303" name="Text Box 15">
          <a:extLst>
            <a:ext uri="{FF2B5EF4-FFF2-40B4-BE49-F238E27FC236}">
              <a16:creationId xmlns:a16="http://schemas.microsoft.com/office/drawing/2014/main" id="{00000000-0008-0000-0500-00002F010000}"/>
            </a:ext>
          </a:extLst>
        </xdr:cNvPr>
        <xdr:cNvSpPr txBox="1">
          <a:spLocks noChangeArrowheads="1"/>
        </xdr:cNvSpPr>
      </xdr:nvSpPr>
      <xdr:spPr bwMode="auto">
        <a:xfrm>
          <a:off x="9374909"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213632"/>
    <xdr:sp macro="" textlink="">
      <xdr:nvSpPr>
        <xdr:cNvPr id="304" name="Text Box 15">
          <a:extLst>
            <a:ext uri="{FF2B5EF4-FFF2-40B4-BE49-F238E27FC236}">
              <a16:creationId xmlns:a16="http://schemas.microsoft.com/office/drawing/2014/main" id="{00000000-0008-0000-0500-000030010000}"/>
            </a:ext>
          </a:extLst>
        </xdr:cNvPr>
        <xdr:cNvSpPr txBox="1">
          <a:spLocks noChangeArrowheads="1"/>
        </xdr:cNvSpPr>
      </xdr:nvSpPr>
      <xdr:spPr bwMode="auto">
        <a:xfrm>
          <a:off x="9374909"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213632"/>
    <xdr:sp macro="" textlink="">
      <xdr:nvSpPr>
        <xdr:cNvPr id="305" name="Text Box 15">
          <a:extLst>
            <a:ext uri="{FF2B5EF4-FFF2-40B4-BE49-F238E27FC236}">
              <a16:creationId xmlns:a16="http://schemas.microsoft.com/office/drawing/2014/main" id="{00000000-0008-0000-0500-000031010000}"/>
            </a:ext>
          </a:extLst>
        </xdr:cNvPr>
        <xdr:cNvSpPr txBox="1">
          <a:spLocks noChangeArrowheads="1"/>
        </xdr:cNvSpPr>
      </xdr:nvSpPr>
      <xdr:spPr bwMode="auto">
        <a:xfrm>
          <a:off x="9374909"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213632"/>
    <xdr:sp macro="" textlink="">
      <xdr:nvSpPr>
        <xdr:cNvPr id="306" name="Text Box 15">
          <a:extLst>
            <a:ext uri="{FF2B5EF4-FFF2-40B4-BE49-F238E27FC236}">
              <a16:creationId xmlns:a16="http://schemas.microsoft.com/office/drawing/2014/main" id="{00000000-0008-0000-0500-000032010000}"/>
            </a:ext>
          </a:extLst>
        </xdr:cNvPr>
        <xdr:cNvSpPr txBox="1">
          <a:spLocks noChangeArrowheads="1"/>
        </xdr:cNvSpPr>
      </xdr:nvSpPr>
      <xdr:spPr bwMode="auto">
        <a:xfrm>
          <a:off x="9374909"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213632"/>
    <xdr:sp macro="" textlink="">
      <xdr:nvSpPr>
        <xdr:cNvPr id="307" name="Text Box 15">
          <a:extLst>
            <a:ext uri="{FF2B5EF4-FFF2-40B4-BE49-F238E27FC236}">
              <a16:creationId xmlns:a16="http://schemas.microsoft.com/office/drawing/2014/main" id="{00000000-0008-0000-0500-000033010000}"/>
            </a:ext>
          </a:extLst>
        </xdr:cNvPr>
        <xdr:cNvSpPr txBox="1">
          <a:spLocks noChangeArrowheads="1"/>
        </xdr:cNvSpPr>
      </xdr:nvSpPr>
      <xdr:spPr bwMode="auto">
        <a:xfrm>
          <a:off x="9374909"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213632"/>
    <xdr:sp macro="" textlink="">
      <xdr:nvSpPr>
        <xdr:cNvPr id="308" name="Text Box 15">
          <a:extLst>
            <a:ext uri="{FF2B5EF4-FFF2-40B4-BE49-F238E27FC236}">
              <a16:creationId xmlns:a16="http://schemas.microsoft.com/office/drawing/2014/main" id="{00000000-0008-0000-0500-000034010000}"/>
            </a:ext>
          </a:extLst>
        </xdr:cNvPr>
        <xdr:cNvSpPr txBox="1">
          <a:spLocks noChangeArrowheads="1"/>
        </xdr:cNvSpPr>
      </xdr:nvSpPr>
      <xdr:spPr bwMode="auto">
        <a:xfrm>
          <a:off x="9374909"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213632"/>
    <xdr:sp macro="" textlink="">
      <xdr:nvSpPr>
        <xdr:cNvPr id="309" name="Text Box 15">
          <a:extLst>
            <a:ext uri="{FF2B5EF4-FFF2-40B4-BE49-F238E27FC236}">
              <a16:creationId xmlns:a16="http://schemas.microsoft.com/office/drawing/2014/main" id="{00000000-0008-0000-0500-000035010000}"/>
            </a:ext>
          </a:extLst>
        </xdr:cNvPr>
        <xdr:cNvSpPr txBox="1">
          <a:spLocks noChangeArrowheads="1"/>
        </xdr:cNvSpPr>
      </xdr:nvSpPr>
      <xdr:spPr bwMode="auto">
        <a:xfrm>
          <a:off x="9374909"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127</xdr:row>
      <xdr:rowOff>0</xdr:rowOff>
    </xdr:from>
    <xdr:ext cx="95250" cy="213632"/>
    <xdr:sp macro="" textlink="">
      <xdr:nvSpPr>
        <xdr:cNvPr id="310" name="Text Box 15">
          <a:extLst>
            <a:ext uri="{FF2B5EF4-FFF2-40B4-BE49-F238E27FC236}">
              <a16:creationId xmlns:a16="http://schemas.microsoft.com/office/drawing/2014/main" id="{00000000-0008-0000-0500-000036010000}"/>
            </a:ext>
          </a:extLst>
        </xdr:cNvPr>
        <xdr:cNvSpPr txBox="1">
          <a:spLocks noChangeArrowheads="1"/>
        </xdr:cNvSpPr>
      </xdr:nvSpPr>
      <xdr:spPr bwMode="auto">
        <a:xfrm>
          <a:off x="12790343"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127</xdr:row>
      <xdr:rowOff>0</xdr:rowOff>
    </xdr:from>
    <xdr:ext cx="95250" cy="213632"/>
    <xdr:sp macro="" textlink="">
      <xdr:nvSpPr>
        <xdr:cNvPr id="311" name="Text Box 15">
          <a:extLst>
            <a:ext uri="{FF2B5EF4-FFF2-40B4-BE49-F238E27FC236}">
              <a16:creationId xmlns:a16="http://schemas.microsoft.com/office/drawing/2014/main" id="{00000000-0008-0000-0500-000037010000}"/>
            </a:ext>
          </a:extLst>
        </xdr:cNvPr>
        <xdr:cNvSpPr txBox="1">
          <a:spLocks noChangeArrowheads="1"/>
        </xdr:cNvSpPr>
      </xdr:nvSpPr>
      <xdr:spPr bwMode="auto">
        <a:xfrm>
          <a:off x="12790343"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127</xdr:row>
      <xdr:rowOff>0</xdr:rowOff>
    </xdr:from>
    <xdr:ext cx="95250" cy="213632"/>
    <xdr:sp macro="" textlink="">
      <xdr:nvSpPr>
        <xdr:cNvPr id="312" name="Text Box 15">
          <a:extLst>
            <a:ext uri="{FF2B5EF4-FFF2-40B4-BE49-F238E27FC236}">
              <a16:creationId xmlns:a16="http://schemas.microsoft.com/office/drawing/2014/main" id="{00000000-0008-0000-0500-000038010000}"/>
            </a:ext>
          </a:extLst>
        </xdr:cNvPr>
        <xdr:cNvSpPr txBox="1">
          <a:spLocks noChangeArrowheads="1"/>
        </xdr:cNvSpPr>
      </xdr:nvSpPr>
      <xdr:spPr bwMode="auto">
        <a:xfrm>
          <a:off x="12790343"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127</xdr:row>
      <xdr:rowOff>0</xdr:rowOff>
    </xdr:from>
    <xdr:ext cx="95250" cy="213632"/>
    <xdr:sp macro="" textlink="">
      <xdr:nvSpPr>
        <xdr:cNvPr id="313" name="Text Box 15">
          <a:extLst>
            <a:ext uri="{FF2B5EF4-FFF2-40B4-BE49-F238E27FC236}">
              <a16:creationId xmlns:a16="http://schemas.microsoft.com/office/drawing/2014/main" id="{00000000-0008-0000-0500-000039010000}"/>
            </a:ext>
          </a:extLst>
        </xdr:cNvPr>
        <xdr:cNvSpPr txBox="1">
          <a:spLocks noChangeArrowheads="1"/>
        </xdr:cNvSpPr>
      </xdr:nvSpPr>
      <xdr:spPr bwMode="auto">
        <a:xfrm>
          <a:off x="12790343"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127</xdr:row>
      <xdr:rowOff>0</xdr:rowOff>
    </xdr:from>
    <xdr:ext cx="95250" cy="213632"/>
    <xdr:sp macro="" textlink="">
      <xdr:nvSpPr>
        <xdr:cNvPr id="314" name="Text Box 15">
          <a:extLst>
            <a:ext uri="{FF2B5EF4-FFF2-40B4-BE49-F238E27FC236}">
              <a16:creationId xmlns:a16="http://schemas.microsoft.com/office/drawing/2014/main" id="{00000000-0008-0000-0500-00003A010000}"/>
            </a:ext>
          </a:extLst>
        </xdr:cNvPr>
        <xdr:cNvSpPr txBox="1">
          <a:spLocks noChangeArrowheads="1"/>
        </xdr:cNvSpPr>
      </xdr:nvSpPr>
      <xdr:spPr bwMode="auto">
        <a:xfrm>
          <a:off x="12790343"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127</xdr:row>
      <xdr:rowOff>0</xdr:rowOff>
    </xdr:from>
    <xdr:ext cx="95250" cy="213632"/>
    <xdr:sp macro="" textlink="">
      <xdr:nvSpPr>
        <xdr:cNvPr id="315" name="Text Box 15">
          <a:extLst>
            <a:ext uri="{FF2B5EF4-FFF2-40B4-BE49-F238E27FC236}">
              <a16:creationId xmlns:a16="http://schemas.microsoft.com/office/drawing/2014/main" id="{00000000-0008-0000-0500-00003B010000}"/>
            </a:ext>
          </a:extLst>
        </xdr:cNvPr>
        <xdr:cNvSpPr txBox="1">
          <a:spLocks noChangeArrowheads="1"/>
        </xdr:cNvSpPr>
      </xdr:nvSpPr>
      <xdr:spPr bwMode="auto">
        <a:xfrm>
          <a:off x="12790343"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127</xdr:row>
      <xdr:rowOff>0</xdr:rowOff>
    </xdr:from>
    <xdr:ext cx="95250" cy="213632"/>
    <xdr:sp macro="" textlink="">
      <xdr:nvSpPr>
        <xdr:cNvPr id="316" name="Text Box 15">
          <a:extLst>
            <a:ext uri="{FF2B5EF4-FFF2-40B4-BE49-F238E27FC236}">
              <a16:creationId xmlns:a16="http://schemas.microsoft.com/office/drawing/2014/main" id="{00000000-0008-0000-0500-00003C010000}"/>
            </a:ext>
          </a:extLst>
        </xdr:cNvPr>
        <xdr:cNvSpPr txBox="1">
          <a:spLocks noChangeArrowheads="1"/>
        </xdr:cNvSpPr>
      </xdr:nvSpPr>
      <xdr:spPr bwMode="auto">
        <a:xfrm>
          <a:off x="12790343"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213632"/>
    <xdr:sp macro="" textlink="">
      <xdr:nvSpPr>
        <xdr:cNvPr id="317" name="Text Box 15">
          <a:extLst>
            <a:ext uri="{FF2B5EF4-FFF2-40B4-BE49-F238E27FC236}">
              <a16:creationId xmlns:a16="http://schemas.microsoft.com/office/drawing/2014/main" id="{00000000-0008-0000-0500-00003D010000}"/>
            </a:ext>
          </a:extLst>
        </xdr:cNvPr>
        <xdr:cNvSpPr txBox="1">
          <a:spLocks noChangeArrowheads="1"/>
        </xdr:cNvSpPr>
      </xdr:nvSpPr>
      <xdr:spPr bwMode="auto">
        <a:xfrm>
          <a:off x="9374909" y="12870007"/>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213632"/>
    <xdr:sp macro="" textlink="">
      <xdr:nvSpPr>
        <xdr:cNvPr id="318" name="Text Box 15">
          <a:extLst>
            <a:ext uri="{FF2B5EF4-FFF2-40B4-BE49-F238E27FC236}">
              <a16:creationId xmlns:a16="http://schemas.microsoft.com/office/drawing/2014/main" id="{00000000-0008-0000-0500-00003E010000}"/>
            </a:ext>
          </a:extLst>
        </xdr:cNvPr>
        <xdr:cNvSpPr txBox="1">
          <a:spLocks noChangeArrowheads="1"/>
        </xdr:cNvSpPr>
      </xdr:nvSpPr>
      <xdr:spPr bwMode="auto">
        <a:xfrm>
          <a:off x="9374909" y="12870007"/>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127</xdr:row>
      <xdr:rowOff>0</xdr:rowOff>
    </xdr:from>
    <xdr:ext cx="95250" cy="213632"/>
    <xdr:sp macro="" textlink="">
      <xdr:nvSpPr>
        <xdr:cNvPr id="319" name="Text Box 15">
          <a:extLst>
            <a:ext uri="{FF2B5EF4-FFF2-40B4-BE49-F238E27FC236}">
              <a16:creationId xmlns:a16="http://schemas.microsoft.com/office/drawing/2014/main" id="{00000000-0008-0000-0500-00003F010000}"/>
            </a:ext>
          </a:extLst>
        </xdr:cNvPr>
        <xdr:cNvSpPr txBox="1">
          <a:spLocks noChangeArrowheads="1"/>
        </xdr:cNvSpPr>
      </xdr:nvSpPr>
      <xdr:spPr bwMode="auto">
        <a:xfrm>
          <a:off x="12790343" y="12870007"/>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127</xdr:row>
      <xdr:rowOff>0</xdr:rowOff>
    </xdr:from>
    <xdr:ext cx="95250" cy="213632"/>
    <xdr:sp macro="" textlink="">
      <xdr:nvSpPr>
        <xdr:cNvPr id="320" name="Text Box 15">
          <a:extLst>
            <a:ext uri="{FF2B5EF4-FFF2-40B4-BE49-F238E27FC236}">
              <a16:creationId xmlns:a16="http://schemas.microsoft.com/office/drawing/2014/main" id="{00000000-0008-0000-0500-000040010000}"/>
            </a:ext>
          </a:extLst>
        </xdr:cNvPr>
        <xdr:cNvSpPr txBox="1">
          <a:spLocks noChangeArrowheads="1"/>
        </xdr:cNvSpPr>
      </xdr:nvSpPr>
      <xdr:spPr bwMode="auto">
        <a:xfrm>
          <a:off x="12790343" y="12870007"/>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213632"/>
    <xdr:sp macro="" textlink="">
      <xdr:nvSpPr>
        <xdr:cNvPr id="321" name="Text Box 15">
          <a:extLst>
            <a:ext uri="{FF2B5EF4-FFF2-40B4-BE49-F238E27FC236}">
              <a16:creationId xmlns:a16="http://schemas.microsoft.com/office/drawing/2014/main" id="{00000000-0008-0000-0500-000041010000}"/>
            </a:ext>
          </a:extLst>
        </xdr:cNvPr>
        <xdr:cNvSpPr txBox="1">
          <a:spLocks noChangeArrowheads="1"/>
        </xdr:cNvSpPr>
      </xdr:nvSpPr>
      <xdr:spPr bwMode="auto">
        <a:xfrm>
          <a:off x="9374909"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213632"/>
    <xdr:sp macro="" textlink="">
      <xdr:nvSpPr>
        <xdr:cNvPr id="322" name="Text Box 15">
          <a:extLst>
            <a:ext uri="{FF2B5EF4-FFF2-40B4-BE49-F238E27FC236}">
              <a16:creationId xmlns:a16="http://schemas.microsoft.com/office/drawing/2014/main" id="{00000000-0008-0000-0500-000042010000}"/>
            </a:ext>
          </a:extLst>
        </xdr:cNvPr>
        <xdr:cNvSpPr txBox="1">
          <a:spLocks noChangeArrowheads="1"/>
        </xdr:cNvSpPr>
      </xdr:nvSpPr>
      <xdr:spPr bwMode="auto">
        <a:xfrm>
          <a:off x="9374909"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213632"/>
    <xdr:sp macro="" textlink="">
      <xdr:nvSpPr>
        <xdr:cNvPr id="323" name="Text Box 15">
          <a:extLst>
            <a:ext uri="{FF2B5EF4-FFF2-40B4-BE49-F238E27FC236}">
              <a16:creationId xmlns:a16="http://schemas.microsoft.com/office/drawing/2014/main" id="{00000000-0008-0000-0500-000043010000}"/>
            </a:ext>
          </a:extLst>
        </xdr:cNvPr>
        <xdr:cNvSpPr txBox="1">
          <a:spLocks noChangeArrowheads="1"/>
        </xdr:cNvSpPr>
      </xdr:nvSpPr>
      <xdr:spPr bwMode="auto">
        <a:xfrm>
          <a:off x="9374909"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213632"/>
    <xdr:sp macro="" textlink="">
      <xdr:nvSpPr>
        <xdr:cNvPr id="324" name="Text Box 15">
          <a:extLst>
            <a:ext uri="{FF2B5EF4-FFF2-40B4-BE49-F238E27FC236}">
              <a16:creationId xmlns:a16="http://schemas.microsoft.com/office/drawing/2014/main" id="{00000000-0008-0000-0500-000044010000}"/>
            </a:ext>
          </a:extLst>
        </xdr:cNvPr>
        <xdr:cNvSpPr txBox="1">
          <a:spLocks noChangeArrowheads="1"/>
        </xdr:cNvSpPr>
      </xdr:nvSpPr>
      <xdr:spPr bwMode="auto">
        <a:xfrm>
          <a:off x="9374909"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213632"/>
    <xdr:sp macro="" textlink="">
      <xdr:nvSpPr>
        <xdr:cNvPr id="325" name="Text Box 15">
          <a:extLst>
            <a:ext uri="{FF2B5EF4-FFF2-40B4-BE49-F238E27FC236}">
              <a16:creationId xmlns:a16="http://schemas.microsoft.com/office/drawing/2014/main" id="{00000000-0008-0000-0500-000045010000}"/>
            </a:ext>
          </a:extLst>
        </xdr:cNvPr>
        <xdr:cNvSpPr txBox="1">
          <a:spLocks noChangeArrowheads="1"/>
        </xdr:cNvSpPr>
      </xdr:nvSpPr>
      <xdr:spPr bwMode="auto">
        <a:xfrm>
          <a:off x="9374909"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213632"/>
    <xdr:sp macro="" textlink="">
      <xdr:nvSpPr>
        <xdr:cNvPr id="326" name="Text Box 15">
          <a:extLst>
            <a:ext uri="{FF2B5EF4-FFF2-40B4-BE49-F238E27FC236}">
              <a16:creationId xmlns:a16="http://schemas.microsoft.com/office/drawing/2014/main" id="{00000000-0008-0000-0500-000046010000}"/>
            </a:ext>
          </a:extLst>
        </xdr:cNvPr>
        <xdr:cNvSpPr txBox="1">
          <a:spLocks noChangeArrowheads="1"/>
        </xdr:cNvSpPr>
      </xdr:nvSpPr>
      <xdr:spPr bwMode="auto">
        <a:xfrm>
          <a:off x="9374909"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213632"/>
    <xdr:sp macro="" textlink="">
      <xdr:nvSpPr>
        <xdr:cNvPr id="327" name="Text Box 15">
          <a:extLst>
            <a:ext uri="{FF2B5EF4-FFF2-40B4-BE49-F238E27FC236}">
              <a16:creationId xmlns:a16="http://schemas.microsoft.com/office/drawing/2014/main" id="{00000000-0008-0000-0500-000047010000}"/>
            </a:ext>
          </a:extLst>
        </xdr:cNvPr>
        <xdr:cNvSpPr txBox="1">
          <a:spLocks noChangeArrowheads="1"/>
        </xdr:cNvSpPr>
      </xdr:nvSpPr>
      <xdr:spPr bwMode="auto">
        <a:xfrm>
          <a:off x="9374909"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127</xdr:row>
      <xdr:rowOff>0</xdr:rowOff>
    </xdr:from>
    <xdr:ext cx="95250" cy="213632"/>
    <xdr:sp macro="" textlink="">
      <xdr:nvSpPr>
        <xdr:cNvPr id="328" name="Text Box 15">
          <a:extLst>
            <a:ext uri="{FF2B5EF4-FFF2-40B4-BE49-F238E27FC236}">
              <a16:creationId xmlns:a16="http://schemas.microsoft.com/office/drawing/2014/main" id="{00000000-0008-0000-0500-000048010000}"/>
            </a:ext>
          </a:extLst>
        </xdr:cNvPr>
        <xdr:cNvSpPr txBox="1">
          <a:spLocks noChangeArrowheads="1"/>
        </xdr:cNvSpPr>
      </xdr:nvSpPr>
      <xdr:spPr bwMode="auto">
        <a:xfrm>
          <a:off x="12790343"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127</xdr:row>
      <xdr:rowOff>0</xdr:rowOff>
    </xdr:from>
    <xdr:ext cx="95250" cy="213632"/>
    <xdr:sp macro="" textlink="">
      <xdr:nvSpPr>
        <xdr:cNvPr id="329" name="Text Box 15">
          <a:extLst>
            <a:ext uri="{FF2B5EF4-FFF2-40B4-BE49-F238E27FC236}">
              <a16:creationId xmlns:a16="http://schemas.microsoft.com/office/drawing/2014/main" id="{00000000-0008-0000-0500-000049010000}"/>
            </a:ext>
          </a:extLst>
        </xdr:cNvPr>
        <xdr:cNvSpPr txBox="1">
          <a:spLocks noChangeArrowheads="1"/>
        </xdr:cNvSpPr>
      </xdr:nvSpPr>
      <xdr:spPr bwMode="auto">
        <a:xfrm>
          <a:off x="12790343"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127</xdr:row>
      <xdr:rowOff>0</xdr:rowOff>
    </xdr:from>
    <xdr:ext cx="95250" cy="213632"/>
    <xdr:sp macro="" textlink="">
      <xdr:nvSpPr>
        <xdr:cNvPr id="330" name="Text Box 15">
          <a:extLst>
            <a:ext uri="{FF2B5EF4-FFF2-40B4-BE49-F238E27FC236}">
              <a16:creationId xmlns:a16="http://schemas.microsoft.com/office/drawing/2014/main" id="{00000000-0008-0000-0500-00004A010000}"/>
            </a:ext>
          </a:extLst>
        </xdr:cNvPr>
        <xdr:cNvSpPr txBox="1">
          <a:spLocks noChangeArrowheads="1"/>
        </xdr:cNvSpPr>
      </xdr:nvSpPr>
      <xdr:spPr bwMode="auto">
        <a:xfrm>
          <a:off x="12790343"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127</xdr:row>
      <xdr:rowOff>0</xdr:rowOff>
    </xdr:from>
    <xdr:ext cx="95250" cy="213632"/>
    <xdr:sp macro="" textlink="">
      <xdr:nvSpPr>
        <xdr:cNvPr id="331" name="Text Box 15">
          <a:extLst>
            <a:ext uri="{FF2B5EF4-FFF2-40B4-BE49-F238E27FC236}">
              <a16:creationId xmlns:a16="http://schemas.microsoft.com/office/drawing/2014/main" id="{00000000-0008-0000-0500-00004B010000}"/>
            </a:ext>
          </a:extLst>
        </xdr:cNvPr>
        <xdr:cNvSpPr txBox="1">
          <a:spLocks noChangeArrowheads="1"/>
        </xdr:cNvSpPr>
      </xdr:nvSpPr>
      <xdr:spPr bwMode="auto">
        <a:xfrm>
          <a:off x="12790343"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127</xdr:row>
      <xdr:rowOff>0</xdr:rowOff>
    </xdr:from>
    <xdr:ext cx="95250" cy="213632"/>
    <xdr:sp macro="" textlink="">
      <xdr:nvSpPr>
        <xdr:cNvPr id="332" name="Text Box 15">
          <a:extLst>
            <a:ext uri="{FF2B5EF4-FFF2-40B4-BE49-F238E27FC236}">
              <a16:creationId xmlns:a16="http://schemas.microsoft.com/office/drawing/2014/main" id="{00000000-0008-0000-0500-00004C010000}"/>
            </a:ext>
          </a:extLst>
        </xdr:cNvPr>
        <xdr:cNvSpPr txBox="1">
          <a:spLocks noChangeArrowheads="1"/>
        </xdr:cNvSpPr>
      </xdr:nvSpPr>
      <xdr:spPr bwMode="auto">
        <a:xfrm>
          <a:off x="12790343"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127</xdr:row>
      <xdr:rowOff>0</xdr:rowOff>
    </xdr:from>
    <xdr:ext cx="95250" cy="213632"/>
    <xdr:sp macro="" textlink="">
      <xdr:nvSpPr>
        <xdr:cNvPr id="333" name="Text Box 15">
          <a:extLst>
            <a:ext uri="{FF2B5EF4-FFF2-40B4-BE49-F238E27FC236}">
              <a16:creationId xmlns:a16="http://schemas.microsoft.com/office/drawing/2014/main" id="{00000000-0008-0000-0500-00004D010000}"/>
            </a:ext>
          </a:extLst>
        </xdr:cNvPr>
        <xdr:cNvSpPr txBox="1">
          <a:spLocks noChangeArrowheads="1"/>
        </xdr:cNvSpPr>
      </xdr:nvSpPr>
      <xdr:spPr bwMode="auto">
        <a:xfrm>
          <a:off x="12790343"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127</xdr:row>
      <xdr:rowOff>0</xdr:rowOff>
    </xdr:from>
    <xdr:ext cx="95250" cy="213632"/>
    <xdr:sp macro="" textlink="">
      <xdr:nvSpPr>
        <xdr:cNvPr id="334" name="Text Box 15">
          <a:extLst>
            <a:ext uri="{FF2B5EF4-FFF2-40B4-BE49-F238E27FC236}">
              <a16:creationId xmlns:a16="http://schemas.microsoft.com/office/drawing/2014/main" id="{00000000-0008-0000-0500-00004E010000}"/>
            </a:ext>
          </a:extLst>
        </xdr:cNvPr>
        <xdr:cNvSpPr txBox="1">
          <a:spLocks noChangeArrowheads="1"/>
        </xdr:cNvSpPr>
      </xdr:nvSpPr>
      <xdr:spPr bwMode="auto">
        <a:xfrm>
          <a:off x="12790343"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213632"/>
    <xdr:sp macro="" textlink="">
      <xdr:nvSpPr>
        <xdr:cNvPr id="335" name="Text Box 15">
          <a:extLst>
            <a:ext uri="{FF2B5EF4-FFF2-40B4-BE49-F238E27FC236}">
              <a16:creationId xmlns:a16="http://schemas.microsoft.com/office/drawing/2014/main" id="{00000000-0008-0000-0500-00004F010000}"/>
            </a:ext>
          </a:extLst>
        </xdr:cNvPr>
        <xdr:cNvSpPr txBox="1">
          <a:spLocks noChangeArrowheads="1"/>
        </xdr:cNvSpPr>
      </xdr:nvSpPr>
      <xdr:spPr bwMode="auto">
        <a:xfrm>
          <a:off x="9374909" y="12870007"/>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213632"/>
    <xdr:sp macro="" textlink="">
      <xdr:nvSpPr>
        <xdr:cNvPr id="336" name="Text Box 15">
          <a:extLst>
            <a:ext uri="{FF2B5EF4-FFF2-40B4-BE49-F238E27FC236}">
              <a16:creationId xmlns:a16="http://schemas.microsoft.com/office/drawing/2014/main" id="{00000000-0008-0000-0500-000050010000}"/>
            </a:ext>
          </a:extLst>
        </xdr:cNvPr>
        <xdr:cNvSpPr txBox="1">
          <a:spLocks noChangeArrowheads="1"/>
        </xdr:cNvSpPr>
      </xdr:nvSpPr>
      <xdr:spPr bwMode="auto">
        <a:xfrm>
          <a:off x="9374909" y="12870007"/>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127</xdr:row>
      <xdr:rowOff>0</xdr:rowOff>
    </xdr:from>
    <xdr:ext cx="95250" cy="213632"/>
    <xdr:sp macro="" textlink="">
      <xdr:nvSpPr>
        <xdr:cNvPr id="337" name="Text Box 15">
          <a:extLst>
            <a:ext uri="{FF2B5EF4-FFF2-40B4-BE49-F238E27FC236}">
              <a16:creationId xmlns:a16="http://schemas.microsoft.com/office/drawing/2014/main" id="{00000000-0008-0000-0500-000051010000}"/>
            </a:ext>
          </a:extLst>
        </xdr:cNvPr>
        <xdr:cNvSpPr txBox="1">
          <a:spLocks noChangeArrowheads="1"/>
        </xdr:cNvSpPr>
      </xdr:nvSpPr>
      <xdr:spPr bwMode="auto">
        <a:xfrm>
          <a:off x="12790343" y="12870007"/>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127</xdr:row>
      <xdr:rowOff>0</xdr:rowOff>
    </xdr:from>
    <xdr:ext cx="95250" cy="213632"/>
    <xdr:sp macro="" textlink="">
      <xdr:nvSpPr>
        <xdr:cNvPr id="338" name="Text Box 15">
          <a:extLst>
            <a:ext uri="{FF2B5EF4-FFF2-40B4-BE49-F238E27FC236}">
              <a16:creationId xmlns:a16="http://schemas.microsoft.com/office/drawing/2014/main" id="{00000000-0008-0000-0500-000052010000}"/>
            </a:ext>
          </a:extLst>
        </xdr:cNvPr>
        <xdr:cNvSpPr txBox="1">
          <a:spLocks noChangeArrowheads="1"/>
        </xdr:cNvSpPr>
      </xdr:nvSpPr>
      <xdr:spPr bwMode="auto">
        <a:xfrm>
          <a:off x="12790343" y="12870007"/>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213632"/>
    <xdr:sp macro="" textlink="">
      <xdr:nvSpPr>
        <xdr:cNvPr id="339" name="Text Box 15">
          <a:extLst>
            <a:ext uri="{FF2B5EF4-FFF2-40B4-BE49-F238E27FC236}">
              <a16:creationId xmlns:a16="http://schemas.microsoft.com/office/drawing/2014/main" id="{00000000-0008-0000-0500-000053010000}"/>
            </a:ext>
          </a:extLst>
        </xdr:cNvPr>
        <xdr:cNvSpPr txBox="1">
          <a:spLocks noChangeArrowheads="1"/>
        </xdr:cNvSpPr>
      </xdr:nvSpPr>
      <xdr:spPr bwMode="auto">
        <a:xfrm>
          <a:off x="9374909"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213632"/>
    <xdr:sp macro="" textlink="">
      <xdr:nvSpPr>
        <xdr:cNvPr id="340" name="Text Box 15">
          <a:extLst>
            <a:ext uri="{FF2B5EF4-FFF2-40B4-BE49-F238E27FC236}">
              <a16:creationId xmlns:a16="http://schemas.microsoft.com/office/drawing/2014/main" id="{00000000-0008-0000-0500-000054010000}"/>
            </a:ext>
          </a:extLst>
        </xdr:cNvPr>
        <xdr:cNvSpPr txBox="1">
          <a:spLocks noChangeArrowheads="1"/>
        </xdr:cNvSpPr>
      </xdr:nvSpPr>
      <xdr:spPr bwMode="auto">
        <a:xfrm>
          <a:off x="9374909"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213632"/>
    <xdr:sp macro="" textlink="">
      <xdr:nvSpPr>
        <xdr:cNvPr id="341" name="Text Box 15">
          <a:extLst>
            <a:ext uri="{FF2B5EF4-FFF2-40B4-BE49-F238E27FC236}">
              <a16:creationId xmlns:a16="http://schemas.microsoft.com/office/drawing/2014/main" id="{00000000-0008-0000-0500-000055010000}"/>
            </a:ext>
          </a:extLst>
        </xdr:cNvPr>
        <xdr:cNvSpPr txBox="1">
          <a:spLocks noChangeArrowheads="1"/>
        </xdr:cNvSpPr>
      </xdr:nvSpPr>
      <xdr:spPr bwMode="auto">
        <a:xfrm>
          <a:off x="9374909"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213632"/>
    <xdr:sp macro="" textlink="">
      <xdr:nvSpPr>
        <xdr:cNvPr id="342" name="Text Box 15">
          <a:extLst>
            <a:ext uri="{FF2B5EF4-FFF2-40B4-BE49-F238E27FC236}">
              <a16:creationId xmlns:a16="http://schemas.microsoft.com/office/drawing/2014/main" id="{00000000-0008-0000-0500-000056010000}"/>
            </a:ext>
          </a:extLst>
        </xdr:cNvPr>
        <xdr:cNvSpPr txBox="1">
          <a:spLocks noChangeArrowheads="1"/>
        </xdr:cNvSpPr>
      </xdr:nvSpPr>
      <xdr:spPr bwMode="auto">
        <a:xfrm>
          <a:off x="9374909"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213632"/>
    <xdr:sp macro="" textlink="">
      <xdr:nvSpPr>
        <xdr:cNvPr id="343" name="Text Box 15">
          <a:extLst>
            <a:ext uri="{FF2B5EF4-FFF2-40B4-BE49-F238E27FC236}">
              <a16:creationId xmlns:a16="http://schemas.microsoft.com/office/drawing/2014/main" id="{00000000-0008-0000-0500-000057010000}"/>
            </a:ext>
          </a:extLst>
        </xdr:cNvPr>
        <xdr:cNvSpPr txBox="1">
          <a:spLocks noChangeArrowheads="1"/>
        </xdr:cNvSpPr>
      </xdr:nvSpPr>
      <xdr:spPr bwMode="auto">
        <a:xfrm>
          <a:off x="9374909"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213632"/>
    <xdr:sp macro="" textlink="">
      <xdr:nvSpPr>
        <xdr:cNvPr id="344" name="Text Box 15">
          <a:extLst>
            <a:ext uri="{FF2B5EF4-FFF2-40B4-BE49-F238E27FC236}">
              <a16:creationId xmlns:a16="http://schemas.microsoft.com/office/drawing/2014/main" id="{00000000-0008-0000-0500-000058010000}"/>
            </a:ext>
          </a:extLst>
        </xdr:cNvPr>
        <xdr:cNvSpPr txBox="1">
          <a:spLocks noChangeArrowheads="1"/>
        </xdr:cNvSpPr>
      </xdr:nvSpPr>
      <xdr:spPr bwMode="auto">
        <a:xfrm>
          <a:off x="9374909"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213632"/>
    <xdr:sp macro="" textlink="">
      <xdr:nvSpPr>
        <xdr:cNvPr id="345" name="Text Box 15">
          <a:extLst>
            <a:ext uri="{FF2B5EF4-FFF2-40B4-BE49-F238E27FC236}">
              <a16:creationId xmlns:a16="http://schemas.microsoft.com/office/drawing/2014/main" id="{00000000-0008-0000-0500-000059010000}"/>
            </a:ext>
          </a:extLst>
        </xdr:cNvPr>
        <xdr:cNvSpPr txBox="1">
          <a:spLocks noChangeArrowheads="1"/>
        </xdr:cNvSpPr>
      </xdr:nvSpPr>
      <xdr:spPr bwMode="auto">
        <a:xfrm>
          <a:off x="9374909"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127</xdr:row>
      <xdr:rowOff>0</xdr:rowOff>
    </xdr:from>
    <xdr:ext cx="95250" cy="213632"/>
    <xdr:sp macro="" textlink="">
      <xdr:nvSpPr>
        <xdr:cNvPr id="346" name="Text Box 15">
          <a:extLst>
            <a:ext uri="{FF2B5EF4-FFF2-40B4-BE49-F238E27FC236}">
              <a16:creationId xmlns:a16="http://schemas.microsoft.com/office/drawing/2014/main" id="{00000000-0008-0000-0500-00005A010000}"/>
            </a:ext>
          </a:extLst>
        </xdr:cNvPr>
        <xdr:cNvSpPr txBox="1">
          <a:spLocks noChangeArrowheads="1"/>
        </xdr:cNvSpPr>
      </xdr:nvSpPr>
      <xdr:spPr bwMode="auto">
        <a:xfrm>
          <a:off x="12790343"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127</xdr:row>
      <xdr:rowOff>0</xdr:rowOff>
    </xdr:from>
    <xdr:ext cx="95250" cy="213632"/>
    <xdr:sp macro="" textlink="">
      <xdr:nvSpPr>
        <xdr:cNvPr id="347" name="Text Box 15">
          <a:extLst>
            <a:ext uri="{FF2B5EF4-FFF2-40B4-BE49-F238E27FC236}">
              <a16:creationId xmlns:a16="http://schemas.microsoft.com/office/drawing/2014/main" id="{00000000-0008-0000-0500-00005B010000}"/>
            </a:ext>
          </a:extLst>
        </xdr:cNvPr>
        <xdr:cNvSpPr txBox="1">
          <a:spLocks noChangeArrowheads="1"/>
        </xdr:cNvSpPr>
      </xdr:nvSpPr>
      <xdr:spPr bwMode="auto">
        <a:xfrm>
          <a:off x="12790343"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127</xdr:row>
      <xdr:rowOff>0</xdr:rowOff>
    </xdr:from>
    <xdr:ext cx="95250" cy="213632"/>
    <xdr:sp macro="" textlink="">
      <xdr:nvSpPr>
        <xdr:cNvPr id="348" name="Text Box 15">
          <a:extLst>
            <a:ext uri="{FF2B5EF4-FFF2-40B4-BE49-F238E27FC236}">
              <a16:creationId xmlns:a16="http://schemas.microsoft.com/office/drawing/2014/main" id="{00000000-0008-0000-0500-00005C010000}"/>
            </a:ext>
          </a:extLst>
        </xdr:cNvPr>
        <xdr:cNvSpPr txBox="1">
          <a:spLocks noChangeArrowheads="1"/>
        </xdr:cNvSpPr>
      </xdr:nvSpPr>
      <xdr:spPr bwMode="auto">
        <a:xfrm>
          <a:off x="12790343"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127</xdr:row>
      <xdr:rowOff>0</xdr:rowOff>
    </xdr:from>
    <xdr:ext cx="95250" cy="213632"/>
    <xdr:sp macro="" textlink="">
      <xdr:nvSpPr>
        <xdr:cNvPr id="349" name="Text Box 15">
          <a:extLst>
            <a:ext uri="{FF2B5EF4-FFF2-40B4-BE49-F238E27FC236}">
              <a16:creationId xmlns:a16="http://schemas.microsoft.com/office/drawing/2014/main" id="{00000000-0008-0000-0500-00005D010000}"/>
            </a:ext>
          </a:extLst>
        </xdr:cNvPr>
        <xdr:cNvSpPr txBox="1">
          <a:spLocks noChangeArrowheads="1"/>
        </xdr:cNvSpPr>
      </xdr:nvSpPr>
      <xdr:spPr bwMode="auto">
        <a:xfrm>
          <a:off x="12790343"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127</xdr:row>
      <xdr:rowOff>0</xdr:rowOff>
    </xdr:from>
    <xdr:ext cx="95250" cy="213632"/>
    <xdr:sp macro="" textlink="">
      <xdr:nvSpPr>
        <xdr:cNvPr id="350" name="Text Box 15">
          <a:extLst>
            <a:ext uri="{FF2B5EF4-FFF2-40B4-BE49-F238E27FC236}">
              <a16:creationId xmlns:a16="http://schemas.microsoft.com/office/drawing/2014/main" id="{00000000-0008-0000-0500-00005E010000}"/>
            </a:ext>
          </a:extLst>
        </xdr:cNvPr>
        <xdr:cNvSpPr txBox="1">
          <a:spLocks noChangeArrowheads="1"/>
        </xdr:cNvSpPr>
      </xdr:nvSpPr>
      <xdr:spPr bwMode="auto">
        <a:xfrm>
          <a:off x="12790343"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127</xdr:row>
      <xdr:rowOff>0</xdr:rowOff>
    </xdr:from>
    <xdr:ext cx="95250" cy="213632"/>
    <xdr:sp macro="" textlink="">
      <xdr:nvSpPr>
        <xdr:cNvPr id="351" name="Text Box 15">
          <a:extLst>
            <a:ext uri="{FF2B5EF4-FFF2-40B4-BE49-F238E27FC236}">
              <a16:creationId xmlns:a16="http://schemas.microsoft.com/office/drawing/2014/main" id="{00000000-0008-0000-0500-00005F010000}"/>
            </a:ext>
          </a:extLst>
        </xdr:cNvPr>
        <xdr:cNvSpPr txBox="1">
          <a:spLocks noChangeArrowheads="1"/>
        </xdr:cNvSpPr>
      </xdr:nvSpPr>
      <xdr:spPr bwMode="auto">
        <a:xfrm>
          <a:off x="12790343"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127</xdr:row>
      <xdr:rowOff>0</xdr:rowOff>
    </xdr:from>
    <xdr:ext cx="95250" cy="213632"/>
    <xdr:sp macro="" textlink="">
      <xdr:nvSpPr>
        <xdr:cNvPr id="352" name="Text Box 15">
          <a:extLst>
            <a:ext uri="{FF2B5EF4-FFF2-40B4-BE49-F238E27FC236}">
              <a16:creationId xmlns:a16="http://schemas.microsoft.com/office/drawing/2014/main" id="{00000000-0008-0000-0500-000060010000}"/>
            </a:ext>
          </a:extLst>
        </xdr:cNvPr>
        <xdr:cNvSpPr txBox="1">
          <a:spLocks noChangeArrowheads="1"/>
        </xdr:cNvSpPr>
      </xdr:nvSpPr>
      <xdr:spPr bwMode="auto">
        <a:xfrm>
          <a:off x="12790343"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213632"/>
    <xdr:sp macro="" textlink="">
      <xdr:nvSpPr>
        <xdr:cNvPr id="353" name="Text Box 15">
          <a:extLst>
            <a:ext uri="{FF2B5EF4-FFF2-40B4-BE49-F238E27FC236}">
              <a16:creationId xmlns:a16="http://schemas.microsoft.com/office/drawing/2014/main" id="{00000000-0008-0000-0500-000061010000}"/>
            </a:ext>
          </a:extLst>
        </xdr:cNvPr>
        <xdr:cNvSpPr txBox="1">
          <a:spLocks noChangeArrowheads="1"/>
        </xdr:cNvSpPr>
      </xdr:nvSpPr>
      <xdr:spPr bwMode="auto">
        <a:xfrm>
          <a:off x="9374909" y="12870007"/>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213632"/>
    <xdr:sp macro="" textlink="">
      <xdr:nvSpPr>
        <xdr:cNvPr id="354" name="Text Box 15">
          <a:extLst>
            <a:ext uri="{FF2B5EF4-FFF2-40B4-BE49-F238E27FC236}">
              <a16:creationId xmlns:a16="http://schemas.microsoft.com/office/drawing/2014/main" id="{00000000-0008-0000-0500-000062010000}"/>
            </a:ext>
          </a:extLst>
        </xdr:cNvPr>
        <xdr:cNvSpPr txBox="1">
          <a:spLocks noChangeArrowheads="1"/>
        </xdr:cNvSpPr>
      </xdr:nvSpPr>
      <xdr:spPr bwMode="auto">
        <a:xfrm>
          <a:off x="9374909" y="12870007"/>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127</xdr:row>
      <xdr:rowOff>0</xdr:rowOff>
    </xdr:from>
    <xdr:ext cx="95250" cy="213632"/>
    <xdr:sp macro="" textlink="">
      <xdr:nvSpPr>
        <xdr:cNvPr id="355" name="Text Box 15">
          <a:extLst>
            <a:ext uri="{FF2B5EF4-FFF2-40B4-BE49-F238E27FC236}">
              <a16:creationId xmlns:a16="http://schemas.microsoft.com/office/drawing/2014/main" id="{00000000-0008-0000-0500-000063010000}"/>
            </a:ext>
          </a:extLst>
        </xdr:cNvPr>
        <xdr:cNvSpPr txBox="1">
          <a:spLocks noChangeArrowheads="1"/>
        </xdr:cNvSpPr>
      </xdr:nvSpPr>
      <xdr:spPr bwMode="auto">
        <a:xfrm>
          <a:off x="12790343" y="12870007"/>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127</xdr:row>
      <xdr:rowOff>0</xdr:rowOff>
    </xdr:from>
    <xdr:ext cx="95250" cy="213632"/>
    <xdr:sp macro="" textlink="">
      <xdr:nvSpPr>
        <xdr:cNvPr id="356" name="Text Box 15">
          <a:extLst>
            <a:ext uri="{FF2B5EF4-FFF2-40B4-BE49-F238E27FC236}">
              <a16:creationId xmlns:a16="http://schemas.microsoft.com/office/drawing/2014/main" id="{00000000-0008-0000-0500-000064010000}"/>
            </a:ext>
          </a:extLst>
        </xdr:cNvPr>
        <xdr:cNvSpPr txBox="1">
          <a:spLocks noChangeArrowheads="1"/>
        </xdr:cNvSpPr>
      </xdr:nvSpPr>
      <xdr:spPr bwMode="auto">
        <a:xfrm>
          <a:off x="12790343" y="12870007"/>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213632"/>
    <xdr:sp macro="" textlink="">
      <xdr:nvSpPr>
        <xdr:cNvPr id="357" name="Text Box 15">
          <a:extLst>
            <a:ext uri="{FF2B5EF4-FFF2-40B4-BE49-F238E27FC236}">
              <a16:creationId xmlns:a16="http://schemas.microsoft.com/office/drawing/2014/main" id="{00000000-0008-0000-0500-000065010000}"/>
            </a:ext>
          </a:extLst>
        </xdr:cNvPr>
        <xdr:cNvSpPr txBox="1">
          <a:spLocks noChangeArrowheads="1"/>
        </xdr:cNvSpPr>
      </xdr:nvSpPr>
      <xdr:spPr bwMode="auto">
        <a:xfrm>
          <a:off x="9374909"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213632"/>
    <xdr:sp macro="" textlink="">
      <xdr:nvSpPr>
        <xdr:cNvPr id="358" name="Text Box 15">
          <a:extLst>
            <a:ext uri="{FF2B5EF4-FFF2-40B4-BE49-F238E27FC236}">
              <a16:creationId xmlns:a16="http://schemas.microsoft.com/office/drawing/2014/main" id="{00000000-0008-0000-0500-000066010000}"/>
            </a:ext>
          </a:extLst>
        </xdr:cNvPr>
        <xdr:cNvSpPr txBox="1">
          <a:spLocks noChangeArrowheads="1"/>
        </xdr:cNvSpPr>
      </xdr:nvSpPr>
      <xdr:spPr bwMode="auto">
        <a:xfrm>
          <a:off x="9374909"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213632"/>
    <xdr:sp macro="" textlink="">
      <xdr:nvSpPr>
        <xdr:cNvPr id="359" name="Text Box 15">
          <a:extLst>
            <a:ext uri="{FF2B5EF4-FFF2-40B4-BE49-F238E27FC236}">
              <a16:creationId xmlns:a16="http://schemas.microsoft.com/office/drawing/2014/main" id="{00000000-0008-0000-0500-000067010000}"/>
            </a:ext>
          </a:extLst>
        </xdr:cNvPr>
        <xdr:cNvSpPr txBox="1">
          <a:spLocks noChangeArrowheads="1"/>
        </xdr:cNvSpPr>
      </xdr:nvSpPr>
      <xdr:spPr bwMode="auto">
        <a:xfrm>
          <a:off x="9374909"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213632"/>
    <xdr:sp macro="" textlink="">
      <xdr:nvSpPr>
        <xdr:cNvPr id="360" name="Text Box 15">
          <a:extLst>
            <a:ext uri="{FF2B5EF4-FFF2-40B4-BE49-F238E27FC236}">
              <a16:creationId xmlns:a16="http://schemas.microsoft.com/office/drawing/2014/main" id="{00000000-0008-0000-0500-000068010000}"/>
            </a:ext>
          </a:extLst>
        </xdr:cNvPr>
        <xdr:cNvSpPr txBox="1">
          <a:spLocks noChangeArrowheads="1"/>
        </xdr:cNvSpPr>
      </xdr:nvSpPr>
      <xdr:spPr bwMode="auto">
        <a:xfrm>
          <a:off x="9374909"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213632"/>
    <xdr:sp macro="" textlink="">
      <xdr:nvSpPr>
        <xdr:cNvPr id="361" name="Text Box 15">
          <a:extLst>
            <a:ext uri="{FF2B5EF4-FFF2-40B4-BE49-F238E27FC236}">
              <a16:creationId xmlns:a16="http://schemas.microsoft.com/office/drawing/2014/main" id="{00000000-0008-0000-0500-000069010000}"/>
            </a:ext>
          </a:extLst>
        </xdr:cNvPr>
        <xdr:cNvSpPr txBox="1">
          <a:spLocks noChangeArrowheads="1"/>
        </xdr:cNvSpPr>
      </xdr:nvSpPr>
      <xdr:spPr bwMode="auto">
        <a:xfrm>
          <a:off x="9374909"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213632"/>
    <xdr:sp macro="" textlink="">
      <xdr:nvSpPr>
        <xdr:cNvPr id="362" name="Text Box 15">
          <a:extLst>
            <a:ext uri="{FF2B5EF4-FFF2-40B4-BE49-F238E27FC236}">
              <a16:creationId xmlns:a16="http://schemas.microsoft.com/office/drawing/2014/main" id="{00000000-0008-0000-0500-00006A010000}"/>
            </a:ext>
          </a:extLst>
        </xdr:cNvPr>
        <xdr:cNvSpPr txBox="1">
          <a:spLocks noChangeArrowheads="1"/>
        </xdr:cNvSpPr>
      </xdr:nvSpPr>
      <xdr:spPr bwMode="auto">
        <a:xfrm>
          <a:off x="9374909"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213632"/>
    <xdr:sp macro="" textlink="">
      <xdr:nvSpPr>
        <xdr:cNvPr id="363" name="Text Box 15">
          <a:extLst>
            <a:ext uri="{FF2B5EF4-FFF2-40B4-BE49-F238E27FC236}">
              <a16:creationId xmlns:a16="http://schemas.microsoft.com/office/drawing/2014/main" id="{00000000-0008-0000-0500-00006B010000}"/>
            </a:ext>
          </a:extLst>
        </xdr:cNvPr>
        <xdr:cNvSpPr txBox="1">
          <a:spLocks noChangeArrowheads="1"/>
        </xdr:cNvSpPr>
      </xdr:nvSpPr>
      <xdr:spPr bwMode="auto">
        <a:xfrm>
          <a:off x="9374909"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127</xdr:row>
      <xdr:rowOff>0</xdr:rowOff>
    </xdr:from>
    <xdr:ext cx="95250" cy="213632"/>
    <xdr:sp macro="" textlink="">
      <xdr:nvSpPr>
        <xdr:cNvPr id="364" name="Text Box 15">
          <a:extLst>
            <a:ext uri="{FF2B5EF4-FFF2-40B4-BE49-F238E27FC236}">
              <a16:creationId xmlns:a16="http://schemas.microsoft.com/office/drawing/2014/main" id="{00000000-0008-0000-0500-00006C010000}"/>
            </a:ext>
          </a:extLst>
        </xdr:cNvPr>
        <xdr:cNvSpPr txBox="1">
          <a:spLocks noChangeArrowheads="1"/>
        </xdr:cNvSpPr>
      </xdr:nvSpPr>
      <xdr:spPr bwMode="auto">
        <a:xfrm>
          <a:off x="12790343"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127</xdr:row>
      <xdr:rowOff>0</xdr:rowOff>
    </xdr:from>
    <xdr:ext cx="95250" cy="213632"/>
    <xdr:sp macro="" textlink="">
      <xdr:nvSpPr>
        <xdr:cNvPr id="365" name="Text Box 15">
          <a:extLst>
            <a:ext uri="{FF2B5EF4-FFF2-40B4-BE49-F238E27FC236}">
              <a16:creationId xmlns:a16="http://schemas.microsoft.com/office/drawing/2014/main" id="{00000000-0008-0000-0500-00006D010000}"/>
            </a:ext>
          </a:extLst>
        </xdr:cNvPr>
        <xdr:cNvSpPr txBox="1">
          <a:spLocks noChangeArrowheads="1"/>
        </xdr:cNvSpPr>
      </xdr:nvSpPr>
      <xdr:spPr bwMode="auto">
        <a:xfrm>
          <a:off x="12790343"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127</xdr:row>
      <xdr:rowOff>0</xdr:rowOff>
    </xdr:from>
    <xdr:ext cx="95250" cy="213632"/>
    <xdr:sp macro="" textlink="">
      <xdr:nvSpPr>
        <xdr:cNvPr id="366" name="Text Box 15">
          <a:extLst>
            <a:ext uri="{FF2B5EF4-FFF2-40B4-BE49-F238E27FC236}">
              <a16:creationId xmlns:a16="http://schemas.microsoft.com/office/drawing/2014/main" id="{00000000-0008-0000-0500-00006E010000}"/>
            </a:ext>
          </a:extLst>
        </xdr:cNvPr>
        <xdr:cNvSpPr txBox="1">
          <a:spLocks noChangeArrowheads="1"/>
        </xdr:cNvSpPr>
      </xdr:nvSpPr>
      <xdr:spPr bwMode="auto">
        <a:xfrm>
          <a:off x="12790343"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127</xdr:row>
      <xdr:rowOff>0</xdr:rowOff>
    </xdr:from>
    <xdr:ext cx="95250" cy="213632"/>
    <xdr:sp macro="" textlink="">
      <xdr:nvSpPr>
        <xdr:cNvPr id="367" name="Text Box 15">
          <a:extLst>
            <a:ext uri="{FF2B5EF4-FFF2-40B4-BE49-F238E27FC236}">
              <a16:creationId xmlns:a16="http://schemas.microsoft.com/office/drawing/2014/main" id="{00000000-0008-0000-0500-00006F010000}"/>
            </a:ext>
          </a:extLst>
        </xdr:cNvPr>
        <xdr:cNvSpPr txBox="1">
          <a:spLocks noChangeArrowheads="1"/>
        </xdr:cNvSpPr>
      </xdr:nvSpPr>
      <xdr:spPr bwMode="auto">
        <a:xfrm>
          <a:off x="12790343"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127</xdr:row>
      <xdr:rowOff>0</xdr:rowOff>
    </xdr:from>
    <xdr:ext cx="95250" cy="213632"/>
    <xdr:sp macro="" textlink="">
      <xdr:nvSpPr>
        <xdr:cNvPr id="368" name="Text Box 15">
          <a:extLst>
            <a:ext uri="{FF2B5EF4-FFF2-40B4-BE49-F238E27FC236}">
              <a16:creationId xmlns:a16="http://schemas.microsoft.com/office/drawing/2014/main" id="{00000000-0008-0000-0500-000070010000}"/>
            </a:ext>
          </a:extLst>
        </xdr:cNvPr>
        <xdr:cNvSpPr txBox="1">
          <a:spLocks noChangeArrowheads="1"/>
        </xdr:cNvSpPr>
      </xdr:nvSpPr>
      <xdr:spPr bwMode="auto">
        <a:xfrm>
          <a:off x="12790343"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127</xdr:row>
      <xdr:rowOff>0</xdr:rowOff>
    </xdr:from>
    <xdr:ext cx="95250" cy="213632"/>
    <xdr:sp macro="" textlink="">
      <xdr:nvSpPr>
        <xdr:cNvPr id="369" name="Text Box 15">
          <a:extLst>
            <a:ext uri="{FF2B5EF4-FFF2-40B4-BE49-F238E27FC236}">
              <a16:creationId xmlns:a16="http://schemas.microsoft.com/office/drawing/2014/main" id="{00000000-0008-0000-0500-000071010000}"/>
            </a:ext>
          </a:extLst>
        </xdr:cNvPr>
        <xdr:cNvSpPr txBox="1">
          <a:spLocks noChangeArrowheads="1"/>
        </xdr:cNvSpPr>
      </xdr:nvSpPr>
      <xdr:spPr bwMode="auto">
        <a:xfrm>
          <a:off x="12790343"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127</xdr:row>
      <xdr:rowOff>0</xdr:rowOff>
    </xdr:from>
    <xdr:ext cx="95250" cy="213632"/>
    <xdr:sp macro="" textlink="">
      <xdr:nvSpPr>
        <xdr:cNvPr id="370" name="Text Box 15">
          <a:extLst>
            <a:ext uri="{FF2B5EF4-FFF2-40B4-BE49-F238E27FC236}">
              <a16:creationId xmlns:a16="http://schemas.microsoft.com/office/drawing/2014/main" id="{00000000-0008-0000-0500-000072010000}"/>
            </a:ext>
          </a:extLst>
        </xdr:cNvPr>
        <xdr:cNvSpPr txBox="1">
          <a:spLocks noChangeArrowheads="1"/>
        </xdr:cNvSpPr>
      </xdr:nvSpPr>
      <xdr:spPr bwMode="auto">
        <a:xfrm>
          <a:off x="12790343"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213632"/>
    <xdr:sp macro="" textlink="">
      <xdr:nvSpPr>
        <xdr:cNvPr id="371" name="Text Box 15">
          <a:extLst>
            <a:ext uri="{FF2B5EF4-FFF2-40B4-BE49-F238E27FC236}">
              <a16:creationId xmlns:a16="http://schemas.microsoft.com/office/drawing/2014/main" id="{00000000-0008-0000-0500-000073010000}"/>
            </a:ext>
          </a:extLst>
        </xdr:cNvPr>
        <xdr:cNvSpPr txBox="1">
          <a:spLocks noChangeArrowheads="1"/>
        </xdr:cNvSpPr>
      </xdr:nvSpPr>
      <xdr:spPr bwMode="auto">
        <a:xfrm>
          <a:off x="9374909" y="12870007"/>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213632"/>
    <xdr:sp macro="" textlink="">
      <xdr:nvSpPr>
        <xdr:cNvPr id="372" name="Text Box 15">
          <a:extLst>
            <a:ext uri="{FF2B5EF4-FFF2-40B4-BE49-F238E27FC236}">
              <a16:creationId xmlns:a16="http://schemas.microsoft.com/office/drawing/2014/main" id="{00000000-0008-0000-0500-000074010000}"/>
            </a:ext>
          </a:extLst>
        </xdr:cNvPr>
        <xdr:cNvSpPr txBox="1">
          <a:spLocks noChangeArrowheads="1"/>
        </xdr:cNvSpPr>
      </xdr:nvSpPr>
      <xdr:spPr bwMode="auto">
        <a:xfrm>
          <a:off x="9374909" y="12870007"/>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127</xdr:row>
      <xdr:rowOff>0</xdr:rowOff>
    </xdr:from>
    <xdr:ext cx="95250" cy="213632"/>
    <xdr:sp macro="" textlink="">
      <xdr:nvSpPr>
        <xdr:cNvPr id="373" name="Text Box 15">
          <a:extLst>
            <a:ext uri="{FF2B5EF4-FFF2-40B4-BE49-F238E27FC236}">
              <a16:creationId xmlns:a16="http://schemas.microsoft.com/office/drawing/2014/main" id="{00000000-0008-0000-0500-000075010000}"/>
            </a:ext>
          </a:extLst>
        </xdr:cNvPr>
        <xdr:cNvSpPr txBox="1">
          <a:spLocks noChangeArrowheads="1"/>
        </xdr:cNvSpPr>
      </xdr:nvSpPr>
      <xdr:spPr bwMode="auto">
        <a:xfrm>
          <a:off x="12790343" y="12870007"/>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127</xdr:row>
      <xdr:rowOff>0</xdr:rowOff>
    </xdr:from>
    <xdr:ext cx="95250" cy="213632"/>
    <xdr:sp macro="" textlink="">
      <xdr:nvSpPr>
        <xdr:cNvPr id="374" name="Text Box 15">
          <a:extLst>
            <a:ext uri="{FF2B5EF4-FFF2-40B4-BE49-F238E27FC236}">
              <a16:creationId xmlns:a16="http://schemas.microsoft.com/office/drawing/2014/main" id="{00000000-0008-0000-0500-000076010000}"/>
            </a:ext>
          </a:extLst>
        </xdr:cNvPr>
        <xdr:cNvSpPr txBox="1">
          <a:spLocks noChangeArrowheads="1"/>
        </xdr:cNvSpPr>
      </xdr:nvSpPr>
      <xdr:spPr bwMode="auto">
        <a:xfrm>
          <a:off x="12790343" y="12870007"/>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213632"/>
    <xdr:sp macro="" textlink="">
      <xdr:nvSpPr>
        <xdr:cNvPr id="375" name="Text Box 15">
          <a:extLst>
            <a:ext uri="{FF2B5EF4-FFF2-40B4-BE49-F238E27FC236}">
              <a16:creationId xmlns:a16="http://schemas.microsoft.com/office/drawing/2014/main" id="{00000000-0008-0000-0500-000077010000}"/>
            </a:ext>
          </a:extLst>
        </xdr:cNvPr>
        <xdr:cNvSpPr txBox="1">
          <a:spLocks noChangeArrowheads="1"/>
        </xdr:cNvSpPr>
      </xdr:nvSpPr>
      <xdr:spPr bwMode="auto">
        <a:xfrm>
          <a:off x="9374909"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213632"/>
    <xdr:sp macro="" textlink="">
      <xdr:nvSpPr>
        <xdr:cNvPr id="376" name="Text Box 15">
          <a:extLst>
            <a:ext uri="{FF2B5EF4-FFF2-40B4-BE49-F238E27FC236}">
              <a16:creationId xmlns:a16="http://schemas.microsoft.com/office/drawing/2014/main" id="{00000000-0008-0000-0500-000078010000}"/>
            </a:ext>
          </a:extLst>
        </xdr:cNvPr>
        <xdr:cNvSpPr txBox="1">
          <a:spLocks noChangeArrowheads="1"/>
        </xdr:cNvSpPr>
      </xdr:nvSpPr>
      <xdr:spPr bwMode="auto">
        <a:xfrm>
          <a:off x="9374909"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213632"/>
    <xdr:sp macro="" textlink="">
      <xdr:nvSpPr>
        <xdr:cNvPr id="377" name="Text Box 15">
          <a:extLst>
            <a:ext uri="{FF2B5EF4-FFF2-40B4-BE49-F238E27FC236}">
              <a16:creationId xmlns:a16="http://schemas.microsoft.com/office/drawing/2014/main" id="{00000000-0008-0000-0500-000079010000}"/>
            </a:ext>
          </a:extLst>
        </xdr:cNvPr>
        <xdr:cNvSpPr txBox="1">
          <a:spLocks noChangeArrowheads="1"/>
        </xdr:cNvSpPr>
      </xdr:nvSpPr>
      <xdr:spPr bwMode="auto">
        <a:xfrm>
          <a:off x="9374909"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213632"/>
    <xdr:sp macro="" textlink="">
      <xdr:nvSpPr>
        <xdr:cNvPr id="378" name="Text Box 15">
          <a:extLst>
            <a:ext uri="{FF2B5EF4-FFF2-40B4-BE49-F238E27FC236}">
              <a16:creationId xmlns:a16="http://schemas.microsoft.com/office/drawing/2014/main" id="{00000000-0008-0000-0500-00007A010000}"/>
            </a:ext>
          </a:extLst>
        </xdr:cNvPr>
        <xdr:cNvSpPr txBox="1">
          <a:spLocks noChangeArrowheads="1"/>
        </xdr:cNvSpPr>
      </xdr:nvSpPr>
      <xdr:spPr bwMode="auto">
        <a:xfrm>
          <a:off x="9374909"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213632"/>
    <xdr:sp macro="" textlink="">
      <xdr:nvSpPr>
        <xdr:cNvPr id="379" name="Text Box 15">
          <a:extLst>
            <a:ext uri="{FF2B5EF4-FFF2-40B4-BE49-F238E27FC236}">
              <a16:creationId xmlns:a16="http://schemas.microsoft.com/office/drawing/2014/main" id="{00000000-0008-0000-0500-00007B010000}"/>
            </a:ext>
          </a:extLst>
        </xdr:cNvPr>
        <xdr:cNvSpPr txBox="1">
          <a:spLocks noChangeArrowheads="1"/>
        </xdr:cNvSpPr>
      </xdr:nvSpPr>
      <xdr:spPr bwMode="auto">
        <a:xfrm>
          <a:off x="9374909"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213632"/>
    <xdr:sp macro="" textlink="">
      <xdr:nvSpPr>
        <xdr:cNvPr id="380" name="Text Box 15">
          <a:extLst>
            <a:ext uri="{FF2B5EF4-FFF2-40B4-BE49-F238E27FC236}">
              <a16:creationId xmlns:a16="http://schemas.microsoft.com/office/drawing/2014/main" id="{00000000-0008-0000-0500-00007C010000}"/>
            </a:ext>
          </a:extLst>
        </xdr:cNvPr>
        <xdr:cNvSpPr txBox="1">
          <a:spLocks noChangeArrowheads="1"/>
        </xdr:cNvSpPr>
      </xdr:nvSpPr>
      <xdr:spPr bwMode="auto">
        <a:xfrm>
          <a:off x="9374909"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213632"/>
    <xdr:sp macro="" textlink="">
      <xdr:nvSpPr>
        <xdr:cNvPr id="381" name="Text Box 15">
          <a:extLst>
            <a:ext uri="{FF2B5EF4-FFF2-40B4-BE49-F238E27FC236}">
              <a16:creationId xmlns:a16="http://schemas.microsoft.com/office/drawing/2014/main" id="{00000000-0008-0000-0500-00007D010000}"/>
            </a:ext>
          </a:extLst>
        </xdr:cNvPr>
        <xdr:cNvSpPr txBox="1">
          <a:spLocks noChangeArrowheads="1"/>
        </xdr:cNvSpPr>
      </xdr:nvSpPr>
      <xdr:spPr bwMode="auto">
        <a:xfrm>
          <a:off x="9374909"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127</xdr:row>
      <xdr:rowOff>0</xdr:rowOff>
    </xdr:from>
    <xdr:ext cx="95250" cy="213632"/>
    <xdr:sp macro="" textlink="">
      <xdr:nvSpPr>
        <xdr:cNvPr id="382" name="Text Box 15">
          <a:extLst>
            <a:ext uri="{FF2B5EF4-FFF2-40B4-BE49-F238E27FC236}">
              <a16:creationId xmlns:a16="http://schemas.microsoft.com/office/drawing/2014/main" id="{00000000-0008-0000-0500-00007E010000}"/>
            </a:ext>
          </a:extLst>
        </xdr:cNvPr>
        <xdr:cNvSpPr txBox="1">
          <a:spLocks noChangeArrowheads="1"/>
        </xdr:cNvSpPr>
      </xdr:nvSpPr>
      <xdr:spPr bwMode="auto">
        <a:xfrm>
          <a:off x="12790343"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127</xdr:row>
      <xdr:rowOff>0</xdr:rowOff>
    </xdr:from>
    <xdr:ext cx="95250" cy="213632"/>
    <xdr:sp macro="" textlink="">
      <xdr:nvSpPr>
        <xdr:cNvPr id="383" name="Text Box 15">
          <a:extLst>
            <a:ext uri="{FF2B5EF4-FFF2-40B4-BE49-F238E27FC236}">
              <a16:creationId xmlns:a16="http://schemas.microsoft.com/office/drawing/2014/main" id="{00000000-0008-0000-0500-00007F010000}"/>
            </a:ext>
          </a:extLst>
        </xdr:cNvPr>
        <xdr:cNvSpPr txBox="1">
          <a:spLocks noChangeArrowheads="1"/>
        </xdr:cNvSpPr>
      </xdr:nvSpPr>
      <xdr:spPr bwMode="auto">
        <a:xfrm>
          <a:off x="12790343"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127</xdr:row>
      <xdr:rowOff>0</xdr:rowOff>
    </xdr:from>
    <xdr:ext cx="95250" cy="213632"/>
    <xdr:sp macro="" textlink="">
      <xdr:nvSpPr>
        <xdr:cNvPr id="384" name="Text Box 15">
          <a:extLst>
            <a:ext uri="{FF2B5EF4-FFF2-40B4-BE49-F238E27FC236}">
              <a16:creationId xmlns:a16="http://schemas.microsoft.com/office/drawing/2014/main" id="{00000000-0008-0000-0500-000080010000}"/>
            </a:ext>
          </a:extLst>
        </xdr:cNvPr>
        <xdr:cNvSpPr txBox="1">
          <a:spLocks noChangeArrowheads="1"/>
        </xdr:cNvSpPr>
      </xdr:nvSpPr>
      <xdr:spPr bwMode="auto">
        <a:xfrm>
          <a:off x="12790343"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127</xdr:row>
      <xdr:rowOff>0</xdr:rowOff>
    </xdr:from>
    <xdr:ext cx="95250" cy="213632"/>
    <xdr:sp macro="" textlink="">
      <xdr:nvSpPr>
        <xdr:cNvPr id="385" name="Text Box 15">
          <a:extLst>
            <a:ext uri="{FF2B5EF4-FFF2-40B4-BE49-F238E27FC236}">
              <a16:creationId xmlns:a16="http://schemas.microsoft.com/office/drawing/2014/main" id="{00000000-0008-0000-0500-000081010000}"/>
            </a:ext>
          </a:extLst>
        </xdr:cNvPr>
        <xdr:cNvSpPr txBox="1">
          <a:spLocks noChangeArrowheads="1"/>
        </xdr:cNvSpPr>
      </xdr:nvSpPr>
      <xdr:spPr bwMode="auto">
        <a:xfrm>
          <a:off x="12790343"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127</xdr:row>
      <xdr:rowOff>0</xdr:rowOff>
    </xdr:from>
    <xdr:ext cx="95250" cy="213632"/>
    <xdr:sp macro="" textlink="">
      <xdr:nvSpPr>
        <xdr:cNvPr id="386" name="Text Box 15">
          <a:extLst>
            <a:ext uri="{FF2B5EF4-FFF2-40B4-BE49-F238E27FC236}">
              <a16:creationId xmlns:a16="http://schemas.microsoft.com/office/drawing/2014/main" id="{00000000-0008-0000-0500-000082010000}"/>
            </a:ext>
          </a:extLst>
        </xdr:cNvPr>
        <xdr:cNvSpPr txBox="1">
          <a:spLocks noChangeArrowheads="1"/>
        </xdr:cNvSpPr>
      </xdr:nvSpPr>
      <xdr:spPr bwMode="auto">
        <a:xfrm>
          <a:off x="12790343"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127</xdr:row>
      <xdr:rowOff>0</xdr:rowOff>
    </xdr:from>
    <xdr:ext cx="95250" cy="213632"/>
    <xdr:sp macro="" textlink="">
      <xdr:nvSpPr>
        <xdr:cNvPr id="387" name="Text Box 15">
          <a:extLst>
            <a:ext uri="{FF2B5EF4-FFF2-40B4-BE49-F238E27FC236}">
              <a16:creationId xmlns:a16="http://schemas.microsoft.com/office/drawing/2014/main" id="{00000000-0008-0000-0500-000083010000}"/>
            </a:ext>
          </a:extLst>
        </xdr:cNvPr>
        <xdr:cNvSpPr txBox="1">
          <a:spLocks noChangeArrowheads="1"/>
        </xdr:cNvSpPr>
      </xdr:nvSpPr>
      <xdr:spPr bwMode="auto">
        <a:xfrm>
          <a:off x="12790343"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127</xdr:row>
      <xdr:rowOff>0</xdr:rowOff>
    </xdr:from>
    <xdr:ext cx="95250" cy="213632"/>
    <xdr:sp macro="" textlink="">
      <xdr:nvSpPr>
        <xdr:cNvPr id="388" name="Text Box 15">
          <a:extLst>
            <a:ext uri="{FF2B5EF4-FFF2-40B4-BE49-F238E27FC236}">
              <a16:creationId xmlns:a16="http://schemas.microsoft.com/office/drawing/2014/main" id="{00000000-0008-0000-0500-000084010000}"/>
            </a:ext>
          </a:extLst>
        </xdr:cNvPr>
        <xdr:cNvSpPr txBox="1">
          <a:spLocks noChangeArrowheads="1"/>
        </xdr:cNvSpPr>
      </xdr:nvSpPr>
      <xdr:spPr bwMode="auto">
        <a:xfrm>
          <a:off x="12790343"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213632"/>
    <xdr:sp macro="" textlink="">
      <xdr:nvSpPr>
        <xdr:cNvPr id="389" name="Text Box 15">
          <a:extLst>
            <a:ext uri="{FF2B5EF4-FFF2-40B4-BE49-F238E27FC236}">
              <a16:creationId xmlns:a16="http://schemas.microsoft.com/office/drawing/2014/main" id="{00000000-0008-0000-0500-000085010000}"/>
            </a:ext>
          </a:extLst>
        </xdr:cNvPr>
        <xdr:cNvSpPr txBox="1">
          <a:spLocks noChangeArrowheads="1"/>
        </xdr:cNvSpPr>
      </xdr:nvSpPr>
      <xdr:spPr bwMode="auto">
        <a:xfrm>
          <a:off x="9374909" y="12870007"/>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213632"/>
    <xdr:sp macro="" textlink="">
      <xdr:nvSpPr>
        <xdr:cNvPr id="390" name="Text Box 15">
          <a:extLst>
            <a:ext uri="{FF2B5EF4-FFF2-40B4-BE49-F238E27FC236}">
              <a16:creationId xmlns:a16="http://schemas.microsoft.com/office/drawing/2014/main" id="{00000000-0008-0000-0500-000086010000}"/>
            </a:ext>
          </a:extLst>
        </xdr:cNvPr>
        <xdr:cNvSpPr txBox="1">
          <a:spLocks noChangeArrowheads="1"/>
        </xdr:cNvSpPr>
      </xdr:nvSpPr>
      <xdr:spPr bwMode="auto">
        <a:xfrm>
          <a:off x="9374909" y="12870007"/>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127</xdr:row>
      <xdr:rowOff>0</xdr:rowOff>
    </xdr:from>
    <xdr:ext cx="95250" cy="213632"/>
    <xdr:sp macro="" textlink="">
      <xdr:nvSpPr>
        <xdr:cNvPr id="391" name="Text Box 15">
          <a:extLst>
            <a:ext uri="{FF2B5EF4-FFF2-40B4-BE49-F238E27FC236}">
              <a16:creationId xmlns:a16="http://schemas.microsoft.com/office/drawing/2014/main" id="{00000000-0008-0000-0500-000087010000}"/>
            </a:ext>
          </a:extLst>
        </xdr:cNvPr>
        <xdr:cNvSpPr txBox="1">
          <a:spLocks noChangeArrowheads="1"/>
        </xdr:cNvSpPr>
      </xdr:nvSpPr>
      <xdr:spPr bwMode="auto">
        <a:xfrm>
          <a:off x="12790343" y="12870007"/>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127</xdr:row>
      <xdr:rowOff>0</xdr:rowOff>
    </xdr:from>
    <xdr:ext cx="95250" cy="213632"/>
    <xdr:sp macro="" textlink="">
      <xdr:nvSpPr>
        <xdr:cNvPr id="392" name="Text Box 15">
          <a:extLst>
            <a:ext uri="{FF2B5EF4-FFF2-40B4-BE49-F238E27FC236}">
              <a16:creationId xmlns:a16="http://schemas.microsoft.com/office/drawing/2014/main" id="{00000000-0008-0000-0500-000088010000}"/>
            </a:ext>
          </a:extLst>
        </xdr:cNvPr>
        <xdr:cNvSpPr txBox="1">
          <a:spLocks noChangeArrowheads="1"/>
        </xdr:cNvSpPr>
      </xdr:nvSpPr>
      <xdr:spPr bwMode="auto">
        <a:xfrm>
          <a:off x="12790343" y="12870007"/>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213632"/>
    <xdr:sp macro="" textlink="">
      <xdr:nvSpPr>
        <xdr:cNvPr id="393" name="Text Box 15">
          <a:extLst>
            <a:ext uri="{FF2B5EF4-FFF2-40B4-BE49-F238E27FC236}">
              <a16:creationId xmlns:a16="http://schemas.microsoft.com/office/drawing/2014/main" id="{00000000-0008-0000-0500-000089010000}"/>
            </a:ext>
          </a:extLst>
        </xdr:cNvPr>
        <xdr:cNvSpPr txBox="1">
          <a:spLocks noChangeArrowheads="1"/>
        </xdr:cNvSpPr>
      </xdr:nvSpPr>
      <xdr:spPr bwMode="auto">
        <a:xfrm>
          <a:off x="9374909"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213632"/>
    <xdr:sp macro="" textlink="">
      <xdr:nvSpPr>
        <xdr:cNvPr id="394" name="Text Box 15">
          <a:extLst>
            <a:ext uri="{FF2B5EF4-FFF2-40B4-BE49-F238E27FC236}">
              <a16:creationId xmlns:a16="http://schemas.microsoft.com/office/drawing/2014/main" id="{00000000-0008-0000-0500-00008A010000}"/>
            </a:ext>
          </a:extLst>
        </xdr:cNvPr>
        <xdr:cNvSpPr txBox="1">
          <a:spLocks noChangeArrowheads="1"/>
        </xdr:cNvSpPr>
      </xdr:nvSpPr>
      <xdr:spPr bwMode="auto">
        <a:xfrm>
          <a:off x="9374909"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213632"/>
    <xdr:sp macro="" textlink="">
      <xdr:nvSpPr>
        <xdr:cNvPr id="395" name="Text Box 15">
          <a:extLst>
            <a:ext uri="{FF2B5EF4-FFF2-40B4-BE49-F238E27FC236}">
              <a16:creationId xmlns:a16="http://schemas.microsoft.com/office/drawing/2014/main" id="{00000000-0008-0000-0500-00008B010000}"/>
            </a:ext>
          </a:extLst>
        </xdr:cNvPr>
        <xdr:cNvSpPr txBox="1">
          <a:spLocks noChangeArrowheads="1"/>
        </xdr:cNvSpPr>
      </xdr:nvSpPr>
      <xdr:spPr bwMode="auto">
        <a:xfrm>
          <a:off x="9374909"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213632"/>
    <xdr:sp macro="" textlink="">
      <xdr:nvSpPr>
        <xdr:cNvPr id="396" name="Text Box 15">
          <a:extLst>
            <a:ext uri="{FF2B5EF4-FFF2-40B4-BE49-F238E27FC236}">
              <a16:creationId xmlns:a16="http://schemas.microsoft.com/office/drawing/2014/main" id="{00000000-0008-0000-0500-00008C010000}"/>
            </a:ext>
          </a:extLst>
        </xdr:cNvPr>
        <xdr:cNvSpPr txBox="1">
          <a:spLocks noChangeArrowheads="1"/>
        </xdr:cNvSpPr>
      </xdr:nvSpPr>
      <xdr:spPr bwMode="auto">
        <a:xfrm>
          <a:off x="9374909"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213632"/>
    <xdr:sp macro="" textlink="">
      <xdr:nvSpPr>
        <xdr:cNvPr id="397" name="Text Box 15">
          <a:extLst>
            <a:ext uri="{FF2B5EF4-FFF2-40B4-BE49-F238E27FC236}">
              <a16:creationId xmlns:a16="http://schemas.microsoft.com/office/drawing/2014/main" id="{00000000-0008-0000-0500-00008D010000}"/>
            </a:ext>
          </a:extLst>
        </xdr:cNvPr>
        <xdr:cNvSpPr txBox="1">
          <a:spLocks noChangeArrowheads="1"/>
        </xdr:cNvSpPr>
      </xdr:nvSpPr>
      <xdr:spPr bwMode="auto">
        <a:xfrm>
          <a:off x="9374909"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213632"/>
    <xdr:sp macro="" textlink="">
      <xdr:nvSpPr>
        <xdr:cNvPr id="398" name="Text Box 15">
          <a:extLst>
            <a:ext uri="{FF2B5EF4-FFF2-40B4-BE49-F238E27FC236}">
              <a16:creationId xmlns:a16="http://schemas.microsoft.com/office/drawing/2014/main" id="{00000000-0008-0000-0500-00008E010000}"/>
            </a:ext>
          </a:extLst>
        </xdr:cNvPr>
        <xdr:cNvSpPr txBox="1">
          <a:spLocks noChangeArrowheads="1"/>
        </xdr:cNvSpPr>
      </xdr:nvSpPr>
      <xdr:spPr bwMode="auto">
        <a:xfrm>
          <a:off x="9374909"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213632"/>
    <xdr:sp macro="" textlink="">
      <xdr:nvSpPr>
        <xdr:cNvPr id="399" name="Text Box 15">
          <a:extLst>
            <a:ext uri="{FF2B5EF4-FFF2-40B4-BE49-F238E27FC236}">
              <a16:creationId xmlns:a16="http://schemas.microsoft.com/office/drawing/2014/main" id="{00000000-0008-0000-0500-00008F010000}"/>
            </a:ext>
          </a:extLst>
        </xdr:cNvPr>
        <xdr:cNvSpPr txBox="1">
          <a:spLocks noChangeArrowheads="1"/>
        </xdr:cNvSpPr>
      </xdr:nvSpPr>
      <xdr:spPr bwMode="auto">
        <a:xfrm>
          <a:off x="9374909"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127</xdr:row>
      <xdr:rowOff>0</xdr:rowOff>
    </xdr:from>
    <xdr:ext cx="95250" cy="213632"/>
    <xdr:sp macro="" textlink="">
      <xdr:nvSpPr>
        <xdr:cNvPr id="400" name="Text Box 15">
          <a:extLst>
            <a:ext uri="{FF2B5EF4-FFF2-40B4-BE49-F238E27FC236}">
              <a16:creationId xmlns:a16="http://schemas.microsoft.com/office/drawing/2014/main" id="{00000000-0008-0000-0500-000090010000}"/>
            </a:ext>
          </a:extLst>
        </xdr:cNvPr>
        <xdr:cNvSpPr txBox="1">
          <a:spLocks noChangeArrowheads="1"/>
        </xdr:cNvSpPr>
      </xdr:nvSpPr>
      <xdr:spPr bwMode="auto">
        <a:xfrm>
          <a:off x="12790343"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127</xdr:row>
      <xdr:rowOff>0</xdr:rowOff>
    </xdr:from>
    <xdr:ext cx="95250" cy="213632"/>
    <xdr:sp macro="" textlink="">
      <xdr:nvSpPr>
        <xdr:cNvPr id="401" name="Text Box 15">
          <a:extLst>
            <a:ext uri="{FF2B5EF4-FFF2-40B4-BE49-F238E27FC236}">
              <a16:creationId xmlns:a16="http://schemas.microsoft.com/office/drawing/2014/main" id="{00000000-0008-0000-0500-000091010000}"/>
            </a:ext>
          </a:extLst>
        </xdr:cNvPr>
        <xdr:cNvSpPr txBox="1">
          <a:spLocks noChangeArrowheads="1"/>
        </xdr:cNvSpPr>
      </xdr:nvSpPr>
      <xdr:spPr bwMode="auto">
        <a:xfrm>
          <a:off x="12790343"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127</xdr:row>
      <xdr:rowOff>0</xdr:rowOff>
    </xdr:from>
    <xdr:ext cx="95250" cy="213632"/>
    <xdr:sp macro="" textlink="">
      <xdr:nvSpPr>
        <xdr:cNvPr id="402" name="Text Box 15">
          <a:extLst>
            <a:ext uri="{FF2B5EF4-FFF2-40B4-BE49-F238E27FC236}">
              <a16:creationId xmlns:a16="http://schemas.microsoft.com/office/drawing/2014/main" id="{00000000-0008-0000-0500-000092010000}"/>
            </a:ext>
          </a:extLst>
        </xdr:cNvPr>
        <xdr:cNvSpPr txBox="1">
          <a:spLocks noChangeArrowheads="1"/>
        </xdr:cNvSpPr>
      </xdr:nvSpPr>
      <xdr:spPr bwMode="auto">
        <a:xfrm>
          <a:off x="12790343"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127</xdr:row>
      <xdr:rowOff>0</xdr:rowOff>
    </xdr:from>
    <xdr:ext cx="95250" cy="213632"/>
    <xdr:sp macro="" textlink="">
      <xdr:nvSpPr>
        <xdr:cNvPr id="403" name="Text Box 15">
          <a:extLst>
            <a:ext uri="{FF2B5EF4-FFF2-40B4-BE49-F238E27FC236}">
              <a16:creationId xmlns:a16="http://schemas.microsoft.com/office/drawing/2014/main" id="{00000000-0008-0000-0500-000093010000}"/>
            </a:ext>
          </a:extLst>
        </xdr:cNvPr>
        <xdr:cNvSpPr txBox="1">
          <a:spLocks noChangeArrowheads="1"/>
        </xdr:cNvSpPr>
      </xdr:nvSpPr>
      <xdr:spPr bwMode="auto">
        <a:xfrm>
          <a:off x="12790343"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127</xdr:row>
      <xdr:rowOff>0</xdr:rowOff>
    </xdr:from>
    <xdr:ext cx="95250" cy="213632"/>
    <xdr:sp macro="" textlink="">
      <xdr:nvSpPr>
        <xdr:cNvPr id="404" name="Text Box 15">
          <a:extLst>
            <a:ext uri="{FF2B5EF4-FFF2-40B4-BE49-F238E27FC236}">
              <a16:creationId xmlns:a16="http://schemas.microsoft.com/office/drawing/2014/main" id="{00000000-0008-0000-0500-000094010000}"/>
            </a:ext>
          </a:extLst>
        </xdr:cNvPr>
        <xdr:cNvSpPr txBox="1">
          <a:spLocks noChangeArrowheads="1"/>
        </xdr:cNvSpPr>
      </xdr:nvSpPr>
      <xdr:spPr bwMode="auto">
        <a:xfrm>
          <a:off x="12790343"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127</xdr:row>
      <xdr:rowOff>0</xdr:rowOff>
    </xdr:from>
    <xdr:ext cx="95250" cy="213632"/>
    <xdr:sp macro="" textlink="">
      <xdr:nvSpPr>
        <xdr:cNvPr id="405" name="Text Box 15">
          <a:extLst>
            <a:ext uri="{FF2B5EF4-FFF2-40B4-BE49-F238E27FC236}">
              <a16:creationId xmlns:a16="http://schemas.microsoft.com/office/drawing/2014/main" id="{00000000-0008-0000-0500-000095010000}"/>
            </a:ext>
          </a:extLst>
        </xdr:cNvPr>
        <xdr:cNvSpPr txBox="1">
          <a:spLocks noChangeArrowheads="1"/>
        </xdr:cNvSpPr>
      </xdr:nvSpPr>
      <xdr:spPr bwMode="auto">
        <a:xfrm>
          <a:off x="12790343"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127</xdr:row>
      <xdr:rowOff>0</xdr:rowOff>
    </xdr:from>
    <xdr:ext cx="95250" cy="213632"/>
    <xdr:sp macro="" textlink="">
      <xdr:nvSpPr>
        <xdr:cNvPr id="406" name="Text Box 15">
          <a:extLst>
            <a:ext uri="{FF2B5EF4-FFF2-40B4-BE49-F238E27FC236}">
              <a16:creationId xmlns:a16="http://schemas.microsoft.com/office/drawing/2014/main" id="{00000000-0008-0000-0500-000096010000}"/>
            </a:ext>
          </a:extLst>
        </xdr:cNvPr>
        <xdr:cNvSpPr txBox="1">
          <a:spLocks noChangeArrowheads="1"/>
        </xdr:cNvSpPr>
      </xdr:nvSpPr>
      <xdr:spPr bwMode="auto">
        <a:xfrm>
          <a:off x="12790343"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213632"/>
    <xdr:sp macro="" textlink="">
      <xdr:nvSpPr>
        <xdr:cNvPr id="407" name="Text Box 15">
          <a:extLst>
            <a:ext uri="{FF2B5EF4-FFF2-40B4-BE49-F238E27FC236}">
              <a16:creationId xmlns:a16="http://schemas.microsoft.com/office/drawing/2014/main" id="{00000000-0008-0000-0500-000097010000}"/>
            </a:ext>
          </a:extLst>
        </xdr:cNvPr>
        <xdr:cNvSpPr txBox="1">
          <a:spLocks noChangeArrowheads="1"/>
        </xdr:cNvSpPr>
      </xdr:nvSpPr>
      <xdr:spPr bwMode="auto">
        <a:xfrm>
          <a:off x="9374909" y="12870007"/>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213632"/>
    <xdr:sp macro="" textlink="">
      <xdr:nvSpPr>
        <xdr:cNvPr id="408" name="Text Box 15">
          <a:extLst>
            <a:ext uri="{FF2B5EF4-FFF2-40B4-BE49-F238E27FC236}">
              <a16:creationId xmlns:a16="http://schemas.microsoft.com/office/drawing/2014/main" id="{00000000-0008-0000-0500-000098010000}"/>
            </a:ext>
          </a:extLst>
        </xdr:cNvPr>
        <xdr:cNvSpPr txBox="1">
          <a:spLocks noChangeArrowheads="1"/>
        </xdr:cNvSpPr>
      </xdr:nvSpPr>
      <xdr:spPr bwMode="auto">
        <a:xfrm>
          <a:off x="9374909" y="12870007"/>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127</xdr:row>
      <xdr:rowOff>0</xdr:rowOff>
    </xdr:from>
    <xdr:ext cx="95250" cy="213632"/>
    <xdr:sp macro="" textlink="">
      <xdr:nvSpPr>
        <xdr:cNvPr id="409" name="Text Box 15">
          <a:extLst>
            <a:ext uri="{FF2B5EF4-FFF2-40B4-BE49-F238E27FC236}">
              <a16:creationId xmlns:a16="http://schemas.microsoft.com/office/drawing/2014/main" id="{00000000-0008-0000-0500-000099010000}"/>
            </a:ext>
          </a:extLst>
        </xdr:cNvPr>
        <xdr:cNvSpPr txBox="1">
          <a:spLocks noChangeArrowheads="1"/>
        </xdr:cNvSpPr>
      </xdr:nvSpPr>
      <xdr:spPr bwMode="auto">
        <a:xfrm>
          <a:off x="12790343" y="12870007"/>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127</xdr:row>
      <xdr:rowOff>0</xdr:rowOff>
    </xdr:from>
    <xdr:ext cx="95250" cy="213632"/>
    <xdr:sp macro="" textlink="">
      <xdr:nvSpPr>
        <xdr:cNvPr id="410" name="Text Box 15">
          <a:extLst>
            <a:ext uri="{FF2B5EF4-FFF2-40B4-BE49-F238E27FC236}">
              <a16:creationId xmlns:a16="http://schemas.microsoft.com/office/drawing/2014/main" id="{00000000-0008-0000-0500-00009A010000}"/>
            </a:ext>
          </a:extLst>
        </xdr:cNvPr>
        <xdr:cNvSpPr txBox="1">
          <a:spLocks noChangeArrowheads="1"/>
        </xdr:cNvSpPr>
      </xdr:nvSpPr>
      <xdr:spPr bwMode="auto">
        <a:xfrm>
          <a:off x="12790343" y="12870007"/>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213632"/>
    <xdr:sp macro="" textlink="">
      <xdr:nvSpPr>
        <xdr:cNvPr id="411" name="Text Box 15">
          <a:extLst>
            <a:ext uri="{FF2B5EF4-FFF2-40B4-BE49-F238E27FC236}">
              <a16:creationId xmlns:a16="http://schemas.microsoft.com/office/drawing/2014/main" id="{00000000-0008-0000-0500-00009B010000}"/>
            </a:ext>
          </a:extLst>
        </xdr:cNvPr>
        <xdr:cNvSpPr txBox="1">
          <a:spLocks noChangeArrowheads="1"/>
        </xdr:cNvSpPr>
      </xdr:nvSpPr>
      <xdr:spPr bwMode="auto">
        <a:xfrm>
          <a:off x="9374909"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213632"/>
    <xdr:sp macro="" textlink="">
      <xdr:nvSpPr>
        <xdr:cNvPr id="412" name="Text Box 15">
          <a:extLst>
            <a:ext uri="{FF2B5EF4-FFF2-40B4-BE49-F238E27FC236}">
              <a16:creationId xmlns:a16="http://schemas.microsoft.com/office/drawing/2014/main" id="{00000000-0008-0000-0500-00009C010000}"/>
            </a:ext>
          </a:extLst>
        </xdr:cNvPr>
        <xdr:cNvSpPr txBox="1">
          <a:spLocks noChangeArrowheads="1"/>
        </xdr:cNvSpPr>
      </xdr:nvSpPr>
      <xdr:spPr bwMode="auto">
        <a:xfrm>
          <a:off x="9374909"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213632"/>
    <xdr:sp macro="" textlink="">
      <xdr:nvSpPr>
        <xdr:cNvPr id="413" name="Text Box 15">
          <a:extLst>
            <a:ext uri="{FF2B5EF4-FFF2-40B4-BE49-F238E27FC236}">
              <a16:creationId xmlns:a16="http://schemas.microsoft.com/office/drawing/2014/main" id="{00000000-0008-0000-0500-00009D010000}"/>
            </a:ext>
          </a:extLst>
        </xdr:cNvPr>
        <xdr:cNvSpPr txBox="1">
          <a:spLocks noChangeArrowheads="1"/>
        </xdr:cNvSpPr>
      </xdr:nvSpPr>
      <xdr:spPr bwMode="auto">
        <a:xfrm>
          <a:off x="9374909"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213632"/>
    <xdr:sp macro="" textlink="">
      <xdr:nvSpPr>
        <xdr:cNvPr id="414" name="Text Box 15">
          <a:extLst>
            <a:ext uri="{FF2B5EF4-FFF2-40B4-BE49-F238E27FC236}">
              <a16:creationId xmlns:a16="http://schemas.microsoft.com/office/drawing/2014/main" id="{00000000-0008-0000-0500-00009E010000}"/>
            </a:ext>
          </a:extLst>
        </xdr:cNvPr>
        <xdr:cNvSpPr txBox="1">
          <a:spLocks noChangeArrowheads="1"/>
        </xdr:cNvSpPr>
      </xdr:nvSpPr>
      <xdr:spPr bwMode="auto">
        <a:xfrm>
          <a:off x="9374909"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213632"/>
    <xdr:sp macro="" textlink="">
      <xdr:nvSpPr>
        <xdr:cNvPr id="415" name="Text Box 15">
          <a:extLst>
            <a:ext uri="{FF2B5EF4-FFF2-40B4-BE49-F238E27FC236}">
              <a16:creationId xmlns:a16="http://schemas.microsoft.com/office/drawing/2014/main" id="{00000000-0008-0000-0500-00009F010000}"/>
            </a:ext>
          </a:extLst>
        </xdr:cNvPr>
        <xdr:cNvSpPr txBox="1">
          <a:spLocks noChangeArrowheads="1"/>
        </xdr:cNvSpPr>
      </xdr:nvSpPr>
      <xdr:spPr bwMode="auto">
        <a:xfrm>
          <a:off x="9374909"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213632"/>
    <xdr:sp macro="" textlink="">
      <xdr:nvSpPr>
        <xdr:cNvPr id="416" name="Text Box 15">
          <a:extLst>
            <a:ext uri="{FF2B5EF4-FFF2-40B4-BE49-F238E27FC236}">
              <a16:creationId xmlns:a16="http://schemas.microsoft.com/office/drawing/2014/main" id="{00000000-0008-0000-0500-0000A0010000}"/>
            </a:ext>
          </a:extLst>
        </xdr:cNvPr>
        <xdr:cNvSpPr txBox="1">
          <a:spLocks noChangeArrowheads="1"/>
        </xdr:cNvSpPr>
      </xdr:nvSpPr>
      <xdr:spPr bwMode="auto">
        <a:xfrm>
          <a:off x="9374909"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213632"/>
    <xdr:sp macro="" textlink="">
      <xdr:nvSpPr>
        <xdr:cNvPr id="417" name="Text Box 15">
          <a:extLst>
            <a:ext uri="{FF2B5EF4-FFF2-40B4-BE49-F238E27FC236}">
              <a16:creationId xmlns:a16="http://schemas.microsoft.com/office/drawing/2014/main" id="{00000000-0008-0000-0500-0000A1010000}"/>
            </a:ext>
          </a:extLst>
        </xdr:cNvPr>
        <xdr:cNvSpPr txBox="1">
          <a:spLocks noChangeArrowheads="1"/>
        </xdr:cNvSpPr>
      </xdr:nvSpPr>
      <xdr:spPr bwMode="auto">
        <a:xfrm>
          <a:off x="9374909"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127</xdr:row>
      <xdr:rowOff>0</xdr:rowOff>
    </xdr:from>
    <xdr:ext cx="95250" cy="213632"/>
    <xdr:sp macro="" textlink="">
      <xdr:nvSpPr>
        <xdr:cNvPr id="418" name="Text Box 15">
          <a:extLst>
            <a:ext uri="{FF2B5EF4-FFF2-40B4-BE49-F238E27FC236}">
              <a16:creationId xmlns:a16="http://schemas.microsoft.com/office/drawing/2014/main" id="{00000000-0008-0000-0500-0000A2010000}"/>
            </a:ext>
          </a:extLst>
        </xdr:cNvPr>
        <xdr:cNvSpPr txBox="1">
          <a:spLocks noChangeArrowheads="1"/>
        </xdr:cNvSpPr>
      </xdr:nvSpPr>
      <xdr:spPr bwMode="auto">
        <a:xfrm>
          <a:off x="12790343"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127</xdr:row>
      <xdr:rowOff>0</xdr:rowOff>
    </xdr:from>
    <xdr:ext cx="95250" cy="213632"/>
    <xdr:sp macro="" textlink="">
      <xdr:nvSpPr>
        <xdr:cNvPr id="419" name="Text Box 15">
          <a:extLst>
            <a:ext uri="{FF2B5EF4-FFF2-40B4-BE49-F238E27FC236}">
              <a16:creationId xmlns:a16="http://schemas.microsoft.com/office/drawing/2014/main" id="{00000000-0008-0000-0500-0000A3010000}"/>
            </a:ext>
          </a:extLst>
        </xdr:cNvPr>
        <xdr:cNvSpPr txBox="1">
          <a:spLocks noChangeArrowheads="1"/>
        </xdr:cNvSpPr>
      </xdr:nvSpPr>
      <xdr:spPr bwMode="auto">
        <a:xfrm>
          <a:off x="12790343"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127</xdr:row>
      <xdr:rowOff>0</xdr:rowOff>
    </xdr:from>
    <xdr:ext cx="95250" cy="213632"/>
    <xdr:sp macro="" textlink="">
      <xdr:nvSpPr>
        <xdr:cNvPr id="420" name="Text Box 15">
          <a:extLst>
            <a:ext uri="{FF2B5EF4-FFF2-40B4-BE49-F238E27FC236}">
              <a16:creationId xmlns:a16="http://schemas.microsoft.com/office/drawing/2014/main" id="{00000000-0008-0000-0500-0000A4010000}"/>
            </a:ext>
          </a:extLst>
        </xdr:cNvPr>
        <xdr:cNvSpPr txBox="1">
          <a:spLocks noChangeArrowheads="1"/>
        </xdr:cNvSpPr>
      </xdr:nvSpPr>
      <xdr:spPr bwMode="auto">
        <a:xfrm>
          <a:off x="12790343"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127</xdr:row>
      <xdr:rowOff>0</xdr:rowOff>
    </xdr:from>
    <xdr:ext cx="95250" cy="213632"/>
    <xdr:sp macro="" textlink="">
      <xdr:nvSpPr>
        <xdr:cNvPr id="421" name="Text Box 15">
          <a:extLst>
            <a:ext uri="{FF2B5EF4-FFF2-40B4-BE49-F238E27FC236}">
              <a16:creationId xmlns:a16="http://schemas.microsoft.com/office/drawing/2014/main" id="{00000000-0008-0000-0500-0000A5010000}"/>
            </a:ext>
          </a:extLst>
        </xdr:cNvPr>
        <xdr:cNvSpPr txBox="1">
          <a:spLocks noChangeArrowheads="1"/>
        </xdr:cNvSpPr>
      </xdr:nvSpPr>
      <xdr:spPr bwMode="auto">
        <a:xfrm>
          <a:off x="12790343"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127</xdr:row>
      <xdr:rowOff>0</xdr:rowOff>
    </xdr:from>
    <xdr:ext cx="95250" cy="213632"/>
    <xdr:sp macro="" textlink="">
      <xdr:nvSpPr>
        <xdr:cNvPr id="422" name="Text Box 15">
          <a:extLst>
            <a:ext uri="{FF2B5EF4-FFF2-40B4-BE49-F238E27FC236}">
              <a16:creationId xmlns:a16="http://schemas.microsoft.com/office/drawing/2014/main" id="{00000000-0008-0000-0500-0000A6010000}"/>
            </a:ext>
          </a:extLst>
        </xdr:cNvPr>
        <xdr:cNvSpPr txBox="1">
          <a:spLocks noChangeArrowheads="1"/>
        </xdr:cNvSpPr>
      </xdr:nvSpPr>
      <xdr:spPr bwMode="auto">
        <a:xfrm>
          <a:off x="12790343"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127</xdr:row>
      <xdr:rowOff>0</xdr:rowOff>
    </xdr:from>
    <xdr:ext cx="95250" cy="213632"/>
    <xdr:sp macro="" textlink="">
      <xdr:nvSpPr>
        <xdr:cNvPr id="423" name="Text Box 15">
          <a:extLst>
            <a:ext uri="{FF2B5EF4-FFF2-40B4-BE49-F238E27FC236}">
              <a16:creationId xmlns:a16="http://schemas.microsoft.com/office/drawing/2014/main" id="{00000000-0008-0000-0500-0000A7010000}"/>
            </a:ext>
          </a:extLst>
        </xdr:cNvPr>
        <xdr:cNvSpPr txBox="1">
          <a:spLocks noChangeArrowheads="1"/>
        </xdr:cNvSpPr>
      </xdr:nvSpPr>
      <xdr:spPr bwMode="auto">
        <a:xfrm>
          <a:off x="12790343"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127</xdr:row>
      <xdr:rowOff>0</xdr:rowOff>
    </xdr:from>
    <xdr:ext cx="95250" cy="213632"/>
    <xdr:sp macro="" textlink="">
      <xdr:nvSpPr>
        <xdr:cNvPr id="424" name="Text Box 15">
          <a:extLst>
            <a:ext uri="{FF2B5EF4-FFF2-40B4-BE49-F238E27FC236}">
              <a16:creationId xmlns:a16="http://schemas.microsoft.com/office/drawing/2014/main" id="{00000000-0008-0000-0500-0000A8010000}"/>
            </a:ext>
          </a:extLst>
        </xdr:cNvPr>
        <xdr:cNvSpPr txBox="1">
          <a:spLocks noChangeArrowheads="1"/>
        </xdr:cNvSpPr>
      </xdr:nvSpPr>
      <xdr:spPr bwMode="auto">
        <a:xfrm>
          <a:off x="12790343"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213632"/>
    <xdr:sp macro="" textlink="">
      <xdr:nvSpPr>
        <xdr:cNvPr id="425" name="Text Box 15">
          <a:extLst>
            <a:ext uri="{FF2B5EF4-FFF2-40B4-BE49-F238E27FC236}">
              <a16:creationId xmlns:a16="http://schemas.microsoft.com/office/drawing/2014/main" id="{00000000-0008-0000-0500-0000A9010000}"/>
            </a:ext>
          </a:extLst>
        </xdr:cNvPr>
        <xdr:cNvSpPr txBox="1">
          <a:spLocks noChangeArrowheads="1"/>
        </xdr:cNvSpPr>
      </xdr:nvSpPr>
      <xdr:spPr bwMode="auto">
        <a:xfrm>
          <a:off x="9374909" y="12870007"/>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213632"/>
    <xdr:sp macro="" textlink="">
      <xdr:nvSpPr>
        <xdr:cNvPr id="426" name="Text Box 15">
          <a:extLst>
            <a:ext uri="{FF2B5EF4-FFF2-40B4-BE49-F238E27FC236}">
              <a16:creationId xmlns:a16="http://schemas.microsoft.com/office/drawing/2014/main" id="{00000000-0008-0000-0500-0000AA010000}"/>
            </a:ext>
          </a:extLst>
        </xdr:cNvPr>
        <xdr:cNvSpPr txBox="1">
          <a:spLocks noChangeArrowheads="1"/>
        </xdr:cNvSpPr>
      </xdr:nvSpPr>
      <xdr:spPr bwMode="auto">
        <a:xfrm>
          <a:off x="9374909" y="12870007"/>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127</xdr:row>
      <xdr:rowOff>0</xdr:rowOff>
    </xdr:from>
    <xdr:ext cx="95250" cy="213632"/>
    <xdr:sp macro="" textlink="">
      <xdr:nvSpPr>
        <xdr:cNvPr id="427" name="Text Box 15">
          <a:extLst>
            <a:ext uri="{FF2B5EF4-FFF2-40B4-BE49-F238E27FC236}">
              <a16:creationId xmlns:a16="http://schemas.microsoft.com/office/drawing/2014/main" id="{00000000-0008-0000-0500-0000AB010000}"/>
            </a:ext>
          </a:extLst>
        </xdr:cNvPr>
        <xdr:cNvSpPr txBox="1">
          <a:spLocks noChangeArrowheads="1"/>
        </xdr:cNvSpPr>
      </xdr:nvSpPr>
      <xdr:spPr bwMode="auto">
        <a:xfrm>
          <a:off x="12790343" y="12870007"/>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127</xdr:row>
      <xdr:rowOff>0</xdr:rowOff>
    </xdr:from>
    <xdr:ext cx="95250" cy="213632"/>
    <xdr:sp macro="" textlink="">
      <xdr:nvSpPr>
        <xdr:cNvPr id="428" name="Text Box 15">
          <a:extLst>
            <a:ext uri="{FF2B5EF4-FFF2-40B4-BE49-F238E27FC236}">
              <a16:creationId xmlns:a16="http://schemas.microsoft.com/office/drawing/2014/main" id="{00000000-0008-0000-0500-0000AC010000}"/>
            </a:ext>
          </a:extLst>
        </xdr:cNvPr>
        <xdr:cNvSpPr txBox="1">
          <a:spLocks noChangeArrowheads="1"/>
        </xdr:cNvSpPr>
      </xdr:nvSpPr>
      <xdr:spPr bwMode="auto">
        <a:xfrm>
          <a:off x="12790343" y="12870007"/>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213632"/>
    <xdr:sp macro="" textlink="">
      <xdr:nvSpPr>
        <xdr:cNvPr id="429" name="Text Box 15">
          <a:extLst>
            <a:ext uri="{FF2B5EF4-FFF2-40B4-BE49-F238E27FC236}">
              <a16:creationId xmlns:a16="http://schemas.microsoft.com/office/drawing/2014/main" id="{00000000-0008-0000-0500-0000AD010000}"/>
            </a:ext>
          </a:extLst>
        </xdr:cNvPr>
        <xdr:cNvSpPr txBox="1">
          <a:spLocks noChangeArrowheads="1"/>
        </xdr:cNvSpPr>
      </xdr:nvSpPr>
      <xdr:spPr bwMode="auto">
        <a:xfrm>
          <a:off x="9374909"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213632"/>
    <xdr:sp macro="" textlink="">
      <xdr:nvSpPr>
        <xdr:cNvPr id="430" name="Text Box 15">
          <a:extLst>
            <a:ext uri="{FF2B5EF4-FFF2-40B4-BE49-F238E27FC236}">
              <a16:creationId xmlns:a16="http://schemas.microsoft.com/office/drawing/2014/main" id="{00000000-0008-0000-0500-0000AE010000}"/>
            </a:ext>
          </a:extLst>
        </xdr:cNvPr>
        <xdr:cNvSpPr txBox="1">
          <a:spLocks noChangeArrowheads="1"/>
        </xdr:cNvSpPr>
      </xdr:nvSpPr>
      <xdr:spPr bwMode="auto">
        <a:xfrm>
          <a:off x="9374909"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213632"/>
    <xdr:sp macro="" textlink="">
      <xdr:nvSpPr>
        <xdr:cNvPr id="431" name="Text Box 15">
          <a:extLst>
            <a:ext uri="{FF2B5EF4-FFF2-40B4-BE49-F238E27FC236}">
              <a16:creationId xmlns:a16="http://schemas.microsoft.com/office/drawing/2014/main" id="{00000000-0008-0000-0500-0000AF010000}"/>
            </a:ext>
          </a:extLst>
        </xdr:cNvPr>
        <xdr:cNvSpPr txBox="1">
          <a:spLocks noChangeArrowheads="1"/>
        </xdr:cNvSpPr>
      </xdr:nvSpPr>
      <xdr:spPr bwMode="auto">
        <a:xfrm>
          <a:off x="9374909"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213632"/>
    <xdr:sp macro="" textlink="">
      <xdr:nvSpPr>
        <xdr:cNvPr id="432" name="Text Box 15">
          <a:extLst>
            <a:ext uri="{FF2B5EF4-FFF2-40B4-BE49-F238E27FC236}">
              <a16:creationId xmlns:a16="http://schemas.microsoft.com/office/drawing/2014/main" id="{00000000-0008-0000-0500-0000B0010000}"/>
            </a:ext>
          </a:extLst>
        </xdr:cNvPr>
        <xdr:cNvSpPr txBox="1">
          <a:spLocks noChangeArrowheads="1"/>
        </xdr:cNvSpPr>
      </xdr:nvSpPr>
      <xdr:spPr bwMode="auto">
        <a:xfrm>
          <a:off x="9374909"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213632"/>
    <xdr:sp macro="" textlink="">
      <xdr:nvSpPr>
        <xdr:cNvPr id="433" name="Text Box 15">
          <a:extLst>
            <a:ext uri="{FF2B5EF4-FFF2-40B4-BE49-F238E27FC236}">
              <a16:creationId xmlns:a16="http://schemas.microsoft.com/office/drawing/2014/main" id="{00000000-0008-0000-0500-0000B1010000}"/>
            </a:ext>
          </a:extLst>
        </xdr:cNvPr>
        <xdr:cNvSpPr txBox="1">
          <a:spLocks noChangeArrowheads="1"/>
        </xdr:cNvSpPr>
      </xdr:nvSpPr>
      <xdr:spPr bwMode="auto">
        <a:xfrm>
          <a:off x="9374909"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213632"/>
    <xdr:sp macro="" textlink="">
      <xdr:nvSpPr>
        <xdr:cNvPr id="434" name="Text Box 15">
          <a:extLst>
            <a:ext uri="{FF2B5EF4-FFF2-40B4-BE49-F238E27FC236}">
              <a16:creationId xmlns:a16="http://schemas.microsoft.com/office/drawing/2014/main" id="{00000000-0008-0000-0500-0000B2010000}"/>
            </a:ext>
          </a:extLst>
        </xdr:cNvPr>
        <xdr:cNvSpPr txBox="1">
          <a:spLocks noChangeArrowheads="1"/>
        </xdr:cNvSpPr>
      </xdr:nvSpPr>
      <xdr:spPr bwMode="auto">
        <a:xfrm>
          <a:off x="9374909"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213632"/>
    <xdr:sp macro="" textlink="">
      <xdr:nvSpPr>
        <xdr:cNvPr id="435" name="Text Box 15">
          <a:extLst>
            <a:ext uri="{FF2B5EF4-FFF2-40B4-BE49-F238E27FC236}">
              <a16:creationId xmlns:a16="http://schemas.microsoft.com/office/drawing/2014/main" id="{00000000-0008-0000-0500-0000B3010000}"/>
            </a:ext>
          </a:extLst>
        </xdr:cNvPr>
        <xdr:cNvSpPr txBox="1">
          <a:spLocks noChangeArrowheads="1"/>
        </xdr:cNvSpPr>
      </xdr:nvSpPr>
      <xdr:spPr bwMode="auto">
        <a:xfrm>
          <a:off x="9374909"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127</xdr:row>
      <xdr:rowOff>0</xdr:rowOff>
    </xdr:from>
    <xdr:ext cx="95250" cy="213632"/>
    <xdr:sp macro="" textlink="">
      <xdr:nvSpPr>
        <xdr:cNvPr id="436" name="Text Box 15">
          <a:extLst>
            <a:ext uri="{FF2B5EF4-FFF2-40B4-BE49-F238E27FC236}">
              <a16:creationId xmlns:a16="http://schemas.microsoft.com/office/drawing/2014/main" id="{00000000-0008-0000-0500-0000B4010000}"/>
            </a:ext>
          </a:extLst>
        </xdr:cNvPr>
        <xdr:cNvSpPr txBox="1">
          <a:spLocks noChangeArrowheads="1"/>
        </xdr:cNvSpPr>
      </xdr:nvSpPr>
      <xdr:spPr bwMode="auto">
        <a:xfrm>
          <a:off x="12790343"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127</xdr:row>
      <xdr:rowOff>0</xdr:rowOff>
    </xdr:from>
    <xdr:ext cx="95250" cy="213632"/>
    <xdr:sp macro="" textlink="">
      <xdr:nvSpPr>
        <xdr:cNvPr id="437" name="Text Box 15">
          <a:extLst>
            <a:ext uri="{FF2B5EF4-FFF2-40B4-BE49-F238E27FC236}">
              <a16:creationId xmlns:a16="http://schemas.microsoft.com/office/drawing/2014/main" id="{00000000-0008-0000-0500-0000B5010000}"/>
            </a:ext>
          </a:extLst>
        </xdr:cNvPr>
        <xdr:cNvSpPr txBox="1">
          <a:spLocks noChangeArrowheads="1"/>
        </xdr:cNvSpPr>
      </xdr:nvSpPr>
      <xdr:spPr bwMode="auto">
        <a:xfrm>
          <a:off x="12790343"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127</xdr:row>
      <xdr:rowOff>0</xdr:rowOff>
    </xdr:from>
    <xdr:ext cx="95250" cy="213632"/>
    <xdr:sp macro="" textlink="">
      <xdr:nvSpPr>
        <xdr:cNvPr id="438" name="Text Box 15">
          <a:extLst>
            <a:ext uri="{FF2B5EF4-FFF2-40B4-BE49-F238E27FC236}">
              <a16:creationId xmlns:a16="http://schemas.microsoft.com/office/drawing/2014/main" id="{00000000-0008-0000-0500-0000B6010000}"/>
            </a:ext>
          </a:extLst>
        </xdr:cNvPr>
        <xdr:cNvSpPr txBox="1">
          <a:spLocks noChangeArrowheads="1"/>
        </xdr:cNvSpPr>
      </xdr:nvSpPr>
      <xdr:spPr bwMode="auto">
        <a:xfrm>
          <a:off x="12790343"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127</xdr:row>
      <xdr:rowOff>0</xdr:rowOff>
    </xdr:from>
    <xdr:ext cx="95250" cy="213632"/>
    <xdr:sp macro="" textlink="">
      <xdr:nvSpPr>
        <xdr:cNvPr id="439" name="Text Box 15">
          <a:extLst>
            <a:ext uri="{FF2B5EF4-FFF2-40B4-BE49-F238E27FC236}">
              <a16:creationId xmlns:a16="http://schemas.microsoft.com/office/drawing/2014/main" id="{00000000-0008-0000-0500-0000B7010000}"/>
            </a:ext>
          </a:extLst>
        </xdr:cNvPr>
        <xdr:cNvSpPr txBox="1">
          <a:spLocks noChangeArrowheads="1"/>
        </xdr:cNvSpPr>
      </xdr:nvSpPr>
      <xdr:spPr bwMode="auto">
        <a:xfrm>
          <a:off x="12790343"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127</xdr:row>
      <xdr:rowOff>0</xdr:rowOff>
    </xdr:from>
    <xdr:ext cx="95250" cy="213632"/>
    <xdr:sp macro="" textlink="">
      <xdr:nvSpPr>
        <xdr:cNvPr id="440" name="Text Box 15">
          <a:extLst>
            <a:ext uri="{FF2B5EF4-FFF2-40B4-BE49-F238E27FC236}">
              <a16:creationId xmlns:a16="http://schemas.microsoft.com/office/drawing/2014/main" id="{00000000-0008-0000-0500-0000B8010000}"/>
            </a:ext>
          </a:extLst>
        </xdr:cNvPr>
        <xdr:cNvSpPr txBox="1">
          <a:spLocks noChangeArrowheads="1"/>
        </xdr:cNvSpPr>
      </xdr:nvSpPr>
      <xdr:spPr bwMode="auto">
        <a:xfrm>
          <a:off x="12790343"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127</xdr:row>
      <xdr:rowOff>0</xdr:rowOff>
    </xdr:from>
    <xdr:ext cx="95250" cy="213632"/>
    <xdr:sp macro="" textlink="">
      <xdr:nvSpPr>
        <xdr:cNvPr id="441" name="Text Box 15">
          <a:extLst>
            <a:ext uri="{FF2B5EF4-FFF2-40B4-BE49-F238E27FC236}">
              <a16:creationId xmlns:a16="http://schemas.microsoft.com/office/drawing/2014/main" id="{00000000-0008-0000-0500-0000B9010000}"/>
            </a:ext>
          </a:extLst>
        </xdr:cNvPr>
        <xdr:cNvSpPr txBox="1">
          <a:spLocks noChangeArrowheads="1"/>
        </xdr:cNvSpPr>
      </xdr:nvSpPr>
      <xdr:spPr bwMode="auto">
        <a:xfrm>
          <a:off x="12790343"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127</xdr:row>
      <xdr:rowOff>0</xdr:rowOff>
    </xdr:from>
    <xdr:ext cx="95250" cy="213632"/>
    <xdr:sp macro="" textlink="">
      <xdr:nvSpPr>
        <xdr:cNvPr id="442" name="Text Box 15">
          <a:extLst>
            <a:ext uri="{FF2B5EF4-FFF2-40B4-BE49-F238E27FC236}">
              <a16:creationId xmlns:a16="http://schemas.microsoft.com/office/drawing/2014/main" id="{00000000-0008-0000-0500-0000BA010000}"/>
            </a:ext>
          </a:extLst>
        </xdr:cNvPr>
        <xdr:cNvSpPr txBox="1">
          <a:spLocks noChangeArrowheads="1"/>
        </xdr:cNvSpPr>
      </xdr:nvSpPr>
      <xdr:spPr bwMode="auto">
        <a:xfrm>
          <a:off x="12790343"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213632"/>
    <xdr:sp macro="" textlink="">
      <xdr:nvSpPr>
        <xdr:cNvPr id="443" name="Text Box 15">
          <a:extLst>
            <a:ext uri="{FF2B5EF4-FFF2-40B4-BE49-F238E27FC236}">
              <a16:creationId xmlns:a16="http://schemas.microsoft.com/office/drawing/2014/main" id="{00000000-0008-0000-0500-0000BB010000}"/>
            </a:ext>
          </a:extLst>
        </xdr:cNvPr>
        <xdr:cNvSpPr txBox="1">
          <a:spLocks noChangeArrowheads="1"/>
        </xdr:cNvSpPr>
      </xdr:nvSpPr>
      <xdr:spPr bwMode="auto">
        <a:xfrm>
          <a:off x="9374909" y="12870007"/>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213632"/>
    <xdr:sp macro="" textlink="">
      <xdr:nvSpPr>
        <xdr:cNvPr id="444" name="Text Box 15">
          <a:extLst>
            <a:ext uri="{FF2B5EF4-FFF2-40B4-BE49-F238E27FC236}">
              <a16:creationId xmlns:a16="http://schemas.microsoft.com/office/drawing/2014/main" id="{00000000-0008-0000-0500-0000BC010000}"/>
            </a:ext>
          </a:extLst>
        </xdr:cNvPr>
        <xdr:cNvSpPr txBox="1">
          <a:spLocks noChangeArrowheads="1"/>
        </xdr:cNvSpPr>
      </xdr:nvSpPr>
      <xdr:spPr bwMode="auto">
        <a:xfrm>
          <a:off x="9374909" y="12870007"/>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127</xdr:row>
      <xdr:rowOff>0</xdr:rowOff>
    </xdr:from>
    <xdr:ext cx="95250" cy="213632"/>
    <xdr:sp macro="" textlink="">
      <xdr:nvSpPr>
        <xdr:cNvPr id="445" name="Text Box 15">
          <a:extLst>
            <a:ext uri="{FF2B5EF4-FFF2-40B4-BE49-F238E27FC236}">
              <a16:creationId xmlns:a16="http://schemas.microsoft.com/office/drawing/2014/main" id="{00000000-0008-0000-0500-0000BD010000}"/>
            </a:ext>
          </a:extLst>
        </xdr:cNvPr>
        <xdr:cNvSpPr txBox="1">
          <a:spLocks noChangeArrowheads="1"/>
        </xdr:cNvSpPr>
      </xdr:nvSpPr>
      <xdr:spPr bwMode="auto">
        <a:xfrm>
          <a:off x="12790343" y="12870007"/>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127</xdr:row>
      <xdr:rowOff>0</xdr:rowOff>
    </xdr:from>
    <xdr:ext cx="95250" cy="213632"/>
    <xdr:sp macro="" textlink="">
      <xdr:nvSpPr>
        <xdr:cNvPr id="446" name="Text Box 15">
          <a:extLst>
            <a:ext uri="{FF2B5EF4-FFF2-40B4-BE49-F238E27FC236}">
              <a16:creationId xmlns:a16="http://schemas.microsoft.com/office/drawing/2014/main" id="{00000000-0008-0000-0500-0000BE010000}"/>
            </a:ext>
          </a:extLst>
        </xdr:cNvPr>
        <xdr:cNvSpPr txBox="1">
          <a:spLocks noChangeArrowheads="1"/>
        </xdr:cNvSpPr>
      </xdr:nvSpPr>
      <xdr:spPr bwMode="auto">
        <a:xfrm>
          <a:off x="12790343" y="12870007"/>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213632"/>
    <xdr:sp macro="" textlink="">
      <xdr:nvSpPr>
        <xdr:cNvPr id="447" name="Text Box 15">
          <a:extLst>
            <a:ext uri="{FF2B5EF4-FFF2-40B4-BE49-F238E27FC236}">
              <a16:creationId xmlns:a16="http://schemas.microsoft.com/office/drawing/2014/main" id="{00000000-0008-0000-0500-0000BF010000}"/>
            </a:ext>
          </a:extLst>
        </xdr:cNvPr>
        <xdr:cNvSpPr txBox="1">
          <a:spLocks noChangeArrowheads="1"/>
        </xdr:cNvSpPr>
      </xdr:nvSpPr>
      <xdr:spPr bwMode="auto">
        <a:xfrm>
          <a:off x="9374909"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213632"/>
    <xdr:sp macro="" textlink="">
      <xdr:nvSpPr>
        <xdr:cNvPr id="448" name="Text Box 15">
          <a:extLst>
            <a:ext uri="{FF2B5EF4-FFF2-40B4-BE49-F238E27FC236}">
              <a16:creationId xmlns:a16="http://schemas.microsoft.com/office/drawing/2014/main" id="{00000000-0008-0000-0500-0000C0010000}"/>
            </a:ext>
          </a:extLst>
        </xdr:cNvPr>
        <xdr:cNvSpPr txBox="1">
          <a:spLocks noChangeArrowheads="1"/>
        </xdr:cNvSpPr>
      </xdr:nvSpPr>
      <xdr:spPr bwMode="auto">
        <a:xfrm>
          <a:off x="9374909"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213632"/>
    <xdr:sp macro="" textlink="">
      <xdr:nvSpPr>
        <xdr:cNvPr id="449" name="Text Box 15">
          <a:extLst>
            <a:ext uri="{FF2B5EF4-FFF2-40B4-BE49-F238E27FC236}">
              <a16:creationId xmlns:a16="http://schemas.microsoft.com/office/drawing/2014/main" id="{00000000-0008-0000-0500-0000C1010000}"/>
            </a:ext>
          </a:extLst>
        </xdr:cNvPr>
        <xdr:cNvSpPr txBox="1">
          <a:spLocks noChangeArrowheads="1"/>
        </xdr:cNvSpPr>
      </xdr:nvSpPr>
      <xdr:spPr bwMode="auto">
        <a:xfrm>
          <a:off x="9374909"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213632"/>
    <xdr:sp macro="" textlink="">
      <xdr:nvSpPr>
        <xdr:cNvPr id="450" name="Text Box 15">
          <a:extLst>
            <a:ext uri="{FF2B5EF4-FFF2-40B4-BE49-F238E27FC236}">
              <a16:creationId xmlns:a16="http://schemas.microsoft.com/office/drawing/2014/main" id="{00000000-0008-0000-0500-0000C2010000}"/>
            </a:ext>
          </a:extLst>
        </xdr:cNvPr>
        <xdr:cNvSpPr txBox="1">
          <a:spLocks noChangeArrowheads="1"/>
        </xdr:cNvSpPr>
      </xdr:nvSpPr>
      <xdr:spPr bwMode="auto">
        <a:xfrm>
          <a:off x="9374909"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213632"/>
    <xdr:sp macro="" textlink="">
      <xdr:nvSpPr>
        <xdr:cNvPr id="451" name="Text Box 15">
          <a:extLst>
            <a:ext uri="{FF2B5EF4-FFF2-40B4-BE49-F238E27FC236}">
              <a16:creationId xmlns:a16="http://schemas.microsoft.com/office/drawing/2014/main" id="{00000000-0008-0000-0500-0000C3010000}"/>
            </a:ext>
          </a:extLst>
        </xdr:cNvPr>
        <xdr:cNvSpPr txBox="1">
          <a:spLocks noChangeArrowheads="1"/>
        </xdr:cNvSpPr>
      </xdr:nvSpPr>
      <xdr:spPr bwMode="auto">
        <a:xfrm>
          <a:off x="9374909"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213632"/>
    <xdr:sp macro="" textlink="">
      <xdr:nvSpPr>
        <xdr:cNvPr id="452" name="Text Box 15">
          <a:extLst>
            <a:ext uri="{FF2B5EF4-FFF2-40B4-BE49-F238E27FC236}">
              <a16:creationId xmlns:a16="http://schemas.microsoft.com/office/drawing/2014/main" id="{00000000-0008-0000-0500-0000C4010000}"/>
            </a:ext>
          </a:extLst>
        </xdr:cNvPr>
        <xdr:cNvSpPr txBox="1">
          <a:spLocks noChangeArrowheads="1"/>
        </xdr:cNvSpPr>
      </xdr:nvSpPr>
      <xdr:spPr bwMode="auto">
        <a:xfrm>
          <a:off x="9374909"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213632"/>
    <xdr:sp macro="" textlink="">
      <xdr:nvSpPr>
        <xdr:cNvPr id="453" name="Text Box 15">
          <a:extLst>
            <a:ext uri="{FF2B5EF4-FFF2-40B4-BE49-F238E27FC236}">
              <a16:creationId xmlns:a16="http://schemas.microsoft.com/office/drawing/2014/main" id="{00000000-0008-0000-0500-0000C5010000}"/>
            </a:ext>
          </a:extLst>
        </xdr:cNvPr>
        <xdr:cNvSpPr txBox="1">
          <a:spLocks noChangeArrowheads="1"/>
        </xdr:cNvSpPr>
      </xdr:nvSpPr>
      <xdr:spPr bwMode="auto">
        <a:xfrm>
          <a:off x="9374909"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127</xdr:row>
      <xdr:rowOff>0</xdr:rowOff>
    </xdr:from>
    <xdr:ext cx="95250" cy="213632"/>
    <xdr:sp macro="" textlink="">
      <xdr:nvSpPr>
        <xdr:cNvPr id="454" name="Text Box 15">
          <a:extLst>
            <a:ext uri="{FF2B5EF4-FFF2-40B4-BE49-F238E27FC236}">
              <a16:creationId xmlns:a16="http://schemas.microsoft.com/office/drawing/2014/main" id="{00000000-0008-0000-0500-0000C6010000}"/>
            </a:ext>
          </a:extLst>
        </xdr:cNvPr>
        <xdr:cNvSpPr txBox="1">
          <a:spLocks noChangeArrowheads="1"/>
        </xdr:cNvSpPr>
      </xdr:nvSpPr>
      <xdr:spPr bwMode="auto">
        <a:xfrm>
          <a:off x="12790343"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127</xdr:row>
      <xdr:rowOff>0</xdr:rowOff>
    </xdr:from>
    <xdr:ext cx="95250" cy="213632"/>
    <xdr:sp macro="" textlink="">
      <xdr:nvSpPr>
        <xdr:cNvPr id="455" name="Text Box 15">
          <a:extLst>
            <a:ext uri="{FF2B5EF4-FFF2-40B4-BE49-F238E27FC236}">
              <a16:creationId xmlns:a16="http://schemas.microsoft.com/office/drawing/2014/main" id="{00000000-0008-0000-0500-0000C7010000}"/>
            </a:ext>
          </a:extLst>
        </xdr:cNvPr>
        <xdr:cNvSpPr txBox="1">
          <a:spLocks noChangeArrowheads="1"/>
        </xdr:cNvSpPr>
      </xdr:nvSpPr>
      <xdr:spPr bwMode="auto">
        <a:xfrm>
          <a:off x="12790343"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127</xdr:row>
      <xdr:rowOff>0</xdr:rowOff>
    </xdr:from>
    <xdr:ext cx="95250" cy="213632"/>
    <xdr:sp macro="" textlink="">
      <xdr:nvSpPr>
        <xdr:cNvPr id="456" name="Text Box 15">
          <a:extLst>
            <a:ext uri="{FF2B5EF4-FFF2-40B4-BE49-F238E27FC236}">
              <a16:creationId xmlns:a16="http://schemas.microsoft.com/office/drawing/2014/main" id="{00000000-0008-0000-0500-0000C8010000}"/>
            </a:ext>
          </a:extLst>
        </xdr:cNvPr>
        <xdr:cNvSpPr txBox="1">
          <a:spLocks noChangeArrowheads="1"/>
        </xdr:cNvSpPr>
      </xdr:nvSpPr>
      <xdr:spPr bwMode="auto">
        <a:xfrm>
          <a:off x="12790343"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127</xdr:row>
      <xdr:rowOff>0</xdr:rowOff>
    </xdr:from>
    <xdr:ext cx="95250" cy="213632"/>
    <xdr:sp macro="" textlink="">
      <xdr:nvSpPr>
        <xdr:cNvPr id="457" name="Text Box 15">
          <a:extLst>
            <a:ext uri="{FF2B5EF4-FFF2-40B4-BE49-F238E27FC236}">
              <a16:creationId xmlns:a16="http://schemas.microsoft.com/office/drawing/2014/main" id="{00000000-0008-0000-0500-0000C9010000}"/>
            </a:ext>
          </a:extLst>
        </xdr:cNvPr>
        <xdr:cNvSpPr txBox="1">
          <a:spLocks noChangeArrowheads="1"/>
        </xdr:cNvSpPr>
      </xdr:nvSpPr>
      <xdr:spPr bwMode="auto">
        <a:xfrm>
          <a:off x="12790343"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127</xdr:row>
      <xdr:rowOff>0</xdr:rowOff>
    </xdr:from>
    <xdr:ext cx="95250" cy="213632"/>
    <xdr:sp macro="" textlink="">
      <xdr:nvSpPr>
        <xdr:cNvPr id="458" name="Text Box 15">
          <a:extLst>
            <a:ext uri="{FF2B5EF4-FFF2-40B4-BE49-F238E27FC236}">
              <a16:creationId xmlns:a16="http://schemas.microsoft.com/office/drawing/2014/main" id="{00000000-0008-0000-0500-0000CA010000}"/>
            </a:ext>
          </a:extLst>
        </xdr:cNvPr>
        <xdr:cNvSpPr txBox="1">
          <a:spLocks noChangeArrowheads="1"/>
        </xdr:cNvSpPr>
      </xdr:nvSpPr>
      <xdr:spPr bwMode="auto">
        <a:xfrm>
          <a:off x="12790343"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127</xdr:row>
      <xdr:rowOff>0</xdr:rowOff>
    </xdr:from>
    <xdr:ext cx="95250" cy="213632"/>
    <xdr:sp macro="" textlink="">
      <xdr:nvSpPr>
        <xdr:cNvPr id="459" name="Text Box 15">
          <a:extLst>
            <a:ext uri="{FF2B5EF4-FFF2-40B4-BE49-F238E27FC236}">
              <a16:creationId xmlns:a16="http://schemas.microsoft.com/office/drawing/2014/main" id="{00000000-0008-0000-0500-0000CB010000}"/>
            </a:ext>
          </a:extLst>
        </xdr:cNvPr>
        <xdr:cNvSpPr txBox="1">
          <a:spLocks noChangeArrowheads="1"/>
        </xdr:cNvSpPr>
      </xdr:nvSpPr>
      <xdr:spPr bwMode="auto">
        <a:xfrm>
          <a:off x="12790343"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127</xdr:row>
      <xdr:rowOff>0</xdr:rowOff>
    </xdr:from>
    <xdr:ext cx="95250" cy="213632"/>
    <xdr:sp macro="" textlink="">
      <xdr:nvSpPr>
        <xdr:cNvPr id="460" name="Text Box 15">
          <a:extLst>
            <a:ext uri="{FF2B5EF4-FFF2-40B4-BE49-F238E27FC236}">
              <a16:creationId xmlns:a16="http://schemas.microsoft.com/office/drawing/2014/main" id="{00000000-0008-0000-0500-0000CC010000}"/>
            </a:ext>
          </a:extLst>
        </xdr:cNvPr>
        <xdr:cNvSpPr txBox="1">
          <a:spLocks noChangeArrowheads="1"/>
        </xdr:cNvSpPr>
      </xdr:nvSpPr>
      <xdr:spPr bwMode="auto">
        <a:xfrm>
          <a:off x="12790343"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213632"/>
    <xdr:sp macro="" textlink="">
      <xdr:nvSpPr>
        <xdr:cNvPr id="461" name="Text Box 15">
          <a:extLst>
            <a:ext uri="{FF2B5EF4-FFF2-40B4-BE49-F238E27FC236}">
              <a16:creationId xmlns:a16="http://schemas.microsoft.com/office/drawing/2014/main" id="{00000000-0008-0000-0500-0000CD010000}"/>
            </a:ext>
          </a:extLst>
        </xdr:cNvPr>
        <xdr:cNvSpPr txBox="1">
          <a:spLocks noChangeArrowheads="1"/>
        </xdr:cNvSpPr>
      </xdr:nvSpPr>
      <xdr:spPr bwMode="auto">
        <a:xfrm>
          <a:off x="9374909" y="12870007"/>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213632"/>
    <xdr:sp macro="" textlink="">
      <xdr:nvSpPr>
        <xdr:cNvPr id="462" name="Text Box 15">
          <a:extLst>
            <a:ext uri="{FF2B5EF4-FFF2-40B4-BE49-F238E27FC236}">
              <a16:creationId xmlns:a16="http://schemas.microsoft.com/office/drawing/2014/main" id="{00000000-0008-0000-0500-0000CE010000}"/>
            </a:ext>
          </a:extLst>
        </xdr:cNvPr>
        <xdr:cNvSpPr txBox="1">
          <a:spLocks noChangeArrowheads="1"/>
        </xdr:cNvSpPr>
      </xdr:nvSpPr>
      <xdr:spPr bwMode="auto">
        <a:xfrm>
          <a:off x="9374909" y="12870007"/>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127</xdr:row>
      <xdr:rowOff>0</xdr:rowOff>
    </xdr:from>
    <xdr:ext cx="95250" cy="213632"/>
    <xdr:sp macro="" textlink="">
      <xdr:nvSpPr>
        <xdr:cNvPr id="463" name="Text Box 15">
          <a:extLst>
            <a:ext uri="{FF2B5EF4-FFF2-40B4-BE49-F238E27FC236}">
              <a16:creationId xmlns:a16="http://schemas.microsoft.com/office/drawing/2014/main" id="{00000000-0008-0000-0500-0000CF010000}"/>
            </a:ext>
          </a:extLst>
        </xdr:cNvPr>
        <xdr:cNvSpPr txBox="1">
          <a:spLocks noChangeArrowheads="1"/>
        </xdr:cNvSpPr>
      </xdr:nvSpPr>
      <xdr:spPr bwMode="auto">
        <a:xfrm>
          <a:off x="12790343" y="12870007"/>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127</xdr:row>
      <xdr:rowOff>0</xdr:rowOff>
    </xdr:from>
    <xdr:ext cx="95250" cy="213632"/>
    <xdr:sp macro="" textlink="">
      <xdr:nvSpPr>
        <xdr:cNvPr id="464" name="Text Box 15">
          <a:extLst>
            <a:ext uri="{FF2B5EF4-FFF2-40B4-BE49-F238E27FC236}">
              <a16:creationId xmlns:a16="http://schemas.microsoft.com/office/drawing/2014/main" id="{00000000-0008-0000-0500-0000D0010000}"/>
            </a:ext>
          </a:extLst>
        </xdr:cNvPr>
        <xdr:cNvSpPr txBox="1">
          <a:spLocks noChangeArrowheads="1"/>
        </xdr:cNvSpPr>
      </xdr:nvSpPr>
      <xdr:spPr bwMode="auto">
        <a:xfrm>
          <a:off x="12790343" y="12870007"/>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213632"/>
    <xdr:sp macro="" textlink="">
      <xdr:nvSpPr>
        <xdr:cNvPr id="465" name="Text Box 15">
          <a:extLst>
            <a:ext uri="{FF2B5EF4-FFF2-40B4-BE49-F238E27FC236}">
              <a16:creationId xmlns:a16="http://schemas.microsoft.com/office/drawing/2014/main" id="{00000000-0008-0000-0500-0000D1010000}"/>
            </a:ext>
          </a:extLst>
        </xdr:cNvPr>
        <xdr:cNvSpPr txBox="1">
          <a:spLocks noChangeArrowheads="1"/>
        </xdr:cNvSpPr>
      </xdr:nvSpPr>
      <xdr:spPr bwMode="auto">
        <a:xfrm>
          <a:off x="9374909"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213632"/>
    <xdr:sp macro="" textlink="">
      <xdr:nvSpPr>
        <xdr:cNvPr id="466" name="Text Box 15">
          <a:extLst>
            <a:ext uri="{FF2B5EF4-FFF2-40B4-BE49-F238E27FC236}">
              <a16:creationId xmlns:a16="http://schemas.microsoft.com/office/drawing/2014/main" id="{00000000-0008-0000-0500-0000D2010000}"/>
            </a:ext>
          </a:extLst>
        </xdr:cNvPr>
        <xdr:cNvSpPr txBox="1">
          <a:spLocks noChangeArrowheads="1"/>
        </xdr:cNvSpPr>
      </xdr:nvSpPr>
      <xdr:spPr bwMode="auto">
        <a:xfrm>
          <a:off x="9374909"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213632"/>
    <xdr:sp macro="" textlink="">
      <xdr:nvSpPr>
        <xdr:cNvPr id="467" name="Text Box 15">
          <a:extLst>
            <a:ext uri="{FF2B5EF4-FFF2-40B4-BE49-F238E27FC236}">
              <a16:creationId xmlns:a16="http://schemas.microsoft.com/office/drawing/2014/main" id="{00000000-0008-0000-0500-0000D3010000}"/>
            </a:ext>
          </a:extLst>
        </xdr:cNvPr>
        <xdr:cNvSpPr txBox="1">
          <a:spLocks noChangeArrowheads="1"/>
        </xdr:cNvSpPr>
      </xdr:nvSpPr>
      <xdr:spPr bwMode="auto">
        <a:xfrm>
          <a:off x="9374909"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213632"/>
    <xdr:sp macro="" textlink="">
      <xdr:nvSpPr>
        <xdr:cNvPr id="468" name="Text Box 15">
          <a:extLst>
            <a:ext uri="{FF2B5EF4-FFF2-40B4-BE49-F238E27FC236}">
              <a16:creationId xmlns:a16="http://schemas.microsoft.com/office/drawing/2014/main" id="{00000000-0008-0000-0500-0000D4010000}"/>
            </a:ext>
          </a:extLst>
        </xdr:cNvPr>
        <xdr:cNvSpPr txBox="1">
          <a:spLocks noChangeArrowheads="1"/>
        </xdr:cNvSpPr>
      </xdr:nvSpPr>
      <xdr:spPr bwMode="auto">
        <a:xfrm>
          <a:off x="9374909"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213632"/>
    <xdr:sp macro="" textlink="">
      <xdr:nvSpPr>
        <xdr:cNvPr id="469" name="Text Box 15">
          <a:extLst>
            <a:ext uri="{FF2B5EF4-FFF2-40B4-BE49-F238E27FC236}">
              <a16:creationId xmlns:a16="http://schemas.microsoft.com/office/drawing/2014/main" id="{00000000-0008-0000-0500-0000D5010000}"/>
            </a:ext>
          </a:extLst>
        </xdr:cNvPr>
        <xdr:cNvSpPr txBox="1">
          <a:spLocks noChangeArrowheads="1"/>
        </xdr:cNvSpPr>
      </xdr:nvSpPr>
      <xdr:spPr bwMode="auto">
        <a:xfrm>
          <a:off x="9374909"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213632"/>
    <xdr:sp macro="" textlink="">
      <xdr:nvSpPr>
        <xdr:cNvPr id="470" name="Text Box 15">
          <a:extLst>
            <a:ext uri="{FF2B5EF4-FFF2-40B4-BE49-F238E27FC236}">
              <a16:creationId xmlns:a16="http://schemas.microsoft.com/office/drawing/2014/main" id="{00000000-0008-0000-0500-0000D6010000}"/>
            </a:ext>
          </a:extLst>
        </xdr:cNvPr>
        <xdr:cNvSpPr txBox="1">
          <a:spLocks noChangeArrowheads="1"/>
        </xdr:cNvSpPr>
      </xdr:nvSpPr>
      <xdr:spPr bwMode="auto">
        <a:xfrm>
          <a:off x="9374909"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213632"/>
    <xdr:sp macro="" textlink="">
      <xdr:nvSpPr>
        <xdr:cNvPr id="471" name="Text Box 15">
          <a:extLst>
            <a:ext uri="{FF2B5EF4-FFF2-40B4-BE49-F238E27FC236}">
              <a16:creationId xmlns:a16="http://schemas.microsoft.com/office/drawing/2014/main" id="{00000000-0008-0000-0500-0000D7010000}"/>
            </a:ext>
          </a:extLst>
        </xdr:cNvPr>
        <xdr:cNvSpPr txBox="1">
          <a:spLocks noChangeArrowheads="1"/>
        </xdr:cNvSpPr>
      </xdr:nvSpPr>
      <xdr:spPr bwMode="auto">
        <a:xfrm>
          <a:off x="9374909"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127</xdr:row>
      <xdr:rowOff>0</xdr:rowOff>
    </xdr:from>
    <xdr:ext cx="95250" cy="213632"/>
    <xdr:sp macro="" textlink="">
      <xdr:nvSpPr>
        <xdr:cNvPr id="472" name="Text Box 15">
          <a:extLst>
            <a:ext uri="{FF2B5EF4-FFF2-40B4-BE49-F238E27FC236}">
              <a16:creationId xmlns:a16="http://schemas.microsoft.com/office/drawing/2014/main" id="{00000000-0008-0000-0500-0000D8010000}"/>
            </a:ext>
          </a:extLst>
        </xdr:cNvPr>
        <xdr:cNvSpPr txBox="1">
          <a:spLocks noChangeArrowheads="1"/>
        </xdr:cNvSpPr>
      </xdr:nvSpPr>
      <xdr:spPr bwMode="auto">
        <a:xfrm>
          <a:off x="12790343"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127</xdr:row>
      <xdr:rowOff>0</xdr:rowOff>
    </xdr:from>
    <xdr:ext cx="95250" cy="213632"/>
    <xdr:sp macro="" textlink="">
      <xdr:nvSpPr>
        <xdr:cNvPr id="473" name="Text Box 15">
          <a:extLst>
            <a:ext uri="{FF2B5EF4-FFF2-40B4-BE49-F238E27FC236}">
              <a16:creationId xmlns:a16="http://schemas.microsoft.com/office/drawing/2014/main" id="{00000000-0008-0000-0500-0000D9010000}"/>
            </a:ext>
          </a:extLst>
        </xdr:cNvPr>
        <xdr:cNvSpPr txBox="1">
          <a:spLocks noChangeArrowheads="1"/>
        </xdr:cNvSpPr>
      </xdr:nvSpPr>
      <xdr:spPr bwMode="auto">
        <a:xfrm>
          <a:off x="12790343"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127</xdr:row>
      <xdr:rowOff>0</xdr:rowOff>
    </xdr:from>
    <xdr:ext cx="95250" cy="213632"/>
    <xdr:sp macro="" textlink="">
      <xdr:nvSpPr>
        <xdr:cNvPr id="474" name="Text Box 15">
          <a:extLst>
            <a:ext uri="{FF2B5EF4-FFF2-40B4-BE49-F238E27FC236}">
              <a16:creationId xmlns:a16="http://schemas.microsoft.com/office/drawing/2014/main" id="{00000000-0008-0000-0500-0000DA010000}"/>
            </a:ext>
          </a:extLst>
        </xdr:cNvPr>
        <xdr:cNvSpPr txBox="1">
          <a:spLocks noChangeArrowheads="1"/>
        </xdr:cNvSpPr>
      </xdr:nvSpPr>
      <xdr:spPr bwMode="auto">
        <a:xfrm>
          <a:off x="12790343"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127</xdr:row>
      <xdr:rowOff>0</xdr:rowOff>
    </xdr:from>
    <xdr:ext cx="95250" cy="213632"/>
    <xdr:sp macro="" textlink="">
      <xdr:nvSpPr>
        <xdr:cNvPr id="475" name="Text Box 15">
          <a:extLst>
            <a:ext uri="{FF2B5EF4-FFF2-40B4-BE49-F238E27FC236}">
              <a16:creationId xmlns:a16="http://schemas.microsoft.com/office/drawing/2014/main" id="{00000000-0008-0000-0500-0000DB010000}"/>
            </a:ext>
          </a:extLst>
        </xdr:cNvPr>
        <xdr:cNvSpPr txBox="1">
          <a:spLocks noChangeArrowheads="1"/>
        </xdr:cNvSpPr>
      </xdr:nvSpPr>
      <xdr:spPr bwMode="auto">
        <a:xfrm>
          <a:off x="12790343"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127</xdr:row>
      <xdr:rowOff>0</xdr:rowOff>
    </xdr:from>
    <xdr:ext cx="95250" cy="213632"/>
    <xdr:sp macro="" textlink="">
      <xdr:nvSpPr>
        <xdr:cNvPr id="476" name="Text Box 15">
          <a:extLst>
            <a:ext uri="{FF2B5EF4-FFF2-40B4-BE49-F238E27FC236}">
              <a16:creationId xmlns:a16="http://schemas.microsoft.com/office/drawing/2014/main" id="{00000000-0008-0000-0500-0000DC010000}"/>
            </a:ext>
          </a:extLst>
        </xdr:cNvPr>
        <xdr:cNvSpPr txBox="1">
          <a:spLocks noChangeArrowheads="1"/>
        </xdr:cNvSpPr>
      </xdr:nvSpPr>
      <xdr:spPr bwMode="auto">
        <a:xfrm>
          <a:off x="12790343"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127</xdr:row>
      <xdr:rowOff>0</xdr:rowOff>
    </xdr:from>
    <xdr:ext cx="95250" cy="213632"/>
    <xdr:sp macro="" textlink="">
      <xdr:nvSpPr>
        <xdr:cNvPr id="477" name="Text Box 15">
          <a:extLst>
            <a:ext uri="{FF2B5EF4-FFF2-40B4-BE49-F238E27FC236}">
              <a16:creationId xmlns:a16="http://schemas.microsoft.com/office/drawing/2014/main" id="{00000000-0008-0000-0500-0000DD010000}"/>
            </a:ext>
          </a:extLst>
        </xdr:cNvPr>
        <xdr:cNvSpPr txBox="1">
          <a:spLocks noChangeArrowheads="1"/>
        </xdr:cNvSpPr>
      </xdr:nvSpPr>
      <xdr:spPr bwMode="auto">
        <a:xfrm>
          <a:off x="12790343"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127</xdr:row>
      <xdr:rowOff>0</xdr:rowOff>
    </xdr:from>
    <xdr:ext cx="95250" cy="213632"/>
    <xdr:sp macro="" textlink="">
      <xdr:nvSpPr>
        <xdr:cNvPr id="478" name="Text Box 15">
          <a:extLst>
            <a:ext uri="{FF2B5EF4-FFF2-40B4-BE49-F238E27FC236}">
              <a16:creationId xmlns:a16="http://schemas.microsoft.com/office/drawing/2014/main" id="{00000000-0008-0000-0500-0000DE010000}"/>
            </a:ext>
          </a:extLst>
        </xdr:cNvPr>
        <xdr:cNvSpPr txBox="1">
          <a:spLocks noChangeArrowheads="1"/>
        </xdr:cNvSpPr>
      </xdr:nvSpPr>
      <xdr:spPr bwMode="auto">
        <a:xfrm>
          <a:off x="12790343"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213632"/>
    <xdr:sp macro="" textlink="">
      <xdr:nvSpPr>
        <xdr:cNvPr id="479" name="Text Box 15">
          <a:extLst>
            <a:ext uri="{FF2B5EF4-FFF2-40B4-BE49-F238E27FC236}">
              <a16:creationId xmlns:a16="http://schemas.microsoft.com/office/drawing/2014/main" id="{00000000-0008-0000-0500-0000DF010000}"/>
            </a:ext>
          </a:extLst>
        </xdr:cNvPr>
        <xdr:cNvSpPr txBox="1">
          <a:spLocks noChangeArrowheads="1"/>
        </xdr:cNvSpPr>
      </xdr:nvSpPr>
      <xdr:spPr bwMode="auto">
        <a:xfrm>
          <a:off x="9374909" y="12870007"/>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213632"/>
    <xdr:sp macro="" textlink="">
      <xdr:nvSpPr>
        <xdr:cNvPr id="480" name="Text Box 15">
          <a:extLst>
            <a:ext uri="{FF2B5EF4-FFF2-40B4-BE49-F238E27FC236}">
              <a16:creationId xmlns:a16="http://schemas.microsoft.com/office/drawing/2014/main" id="{00000000-0008-0000-0500-0000E0010000}"/>
            </a:ext>
          </a:extLst>
        </xdr:cNvPr>
        <xdr:cNvSpPr txBox="1">
          <a:spLocks noChangeArrowheads="1"/>
        </xdr:cNvSpPr>
      </xdr:nvSpPr>
      <xdr:spPr bwMode="auto">
        <a:xfrm>
          <a:off x="9374909" y="12870007"/>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127</xdr:row>
      <xdr:rowOff>0</xdr:rowOff>
    </xdr:from>
    <xdr:ext cx="95250" cy="213632"/>
    <xdr:sp macro="" textlink="">
      <xdr:nvSpPr>
        <xdr:cNvPr id="481" name="Text Box 15">
          <a:extLst>
            <a:ext uri="{FF2B5EF4-FFF2-40B4-BE49-F238E27FC236}">
              <a16:creationId xmlns:a16="http://schemas.microsoft.com/office/drawing/2014/main" id="{00000000-0008-0000-0500-0000E1010000}"/>
            </a:ext>
          </a:extLst>
        </xdr:cNvPr>
        <xdr:cNvSpPr txBox="1">
          <a:spLocks noChangeArrowheads="1"/>
        </xdr:cNvSpPr>
      </xdr:nvSpPr>
      <xdr:spPr bwMode="auto">
        <a:xfrm>
          <a:off x="12790343" y="12870007"/>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127</xdr:row>
      <xdr:rowOff>0</xdr:rowOff>
    </xdr:from>
    <xdr:ext cx="95250" cy="213632"/>
    <xdr:sp macro="" textlink="">
      <xdr:nvSpPr>
        <xdr:cNvPr id="482" name="Text Box 15">
          <a:extLst>
            <a:ext uri="{FF2B5EF4-FFF2-40B4-BE49-F238E27FC236}">
              <a16:creationId xmlns:a16="http://schemas.microsoft.com/office/drawing/2014/main" id="{00000000-0008-0000-0500-0000E2010000}"/>
            </a:ext>
          </a:extLst>
        </xdr:cNvPr>
        <xdr:cNvSpPr txBox="1">
          <a:spLocks noChangeArrowheads="1"/>
        </xdr:cNvSpPr>
      </xdr:nvSpPr>
      <xdr:spPr bwMode="auto">
        <a:xfrm>
          <a:off x="12790343" y="12870007"/>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213632"/>
    <xdr:sp macro="" textlink="">
      <xdr:nvSpPr>
        <xdr:cNvPr id="483" name="Text Box 15">
          <a:extLst>
            <a:ext uri="{FF2B5EF4-FFF2-40B4-BE49-F238E27FC236}">
              <a16:creationId xmlns:a16="http://schemas.microsoft.com/office/drawing/2014/main" id="{00000000-0008-0000-0500-0000E3010000}"/>
            </a:ext>
          </a:extLst>
        </xdr:cNvPr>
        <xdr:cNvSpPr txBox="1">
          <a:spLocks noChangeArrowheads="1"/>
        </xdr:cNvSpPr>
      </xdr:nvSpPr>
      <xdr:spPr bwMode="auto">
        <a:xfrm>
          <a:off x="9374909"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213632"/>
    <xdr:sp macro="" textlink="">
      <xdr:nvSpPr>
        <xdr:cNvPr id="484" name="Text Box 15">
          <a:extLst>
            <a:ext uri="{FF2B5EF4-FFF2-40B4-BE49-F238E27FC236}">
              <a16:creationId xmlns:a16="http://schemas.microsoft.com/office/drawing/2014/main" id="{00000000-0008-0000-0500-0000E4010000}"/>
            </a:ext>
          </a:extLst>
        </xdr:cNvPr>
        <xdr:cNvSpPr txBox="1">
          <a:spLocks noChangeArrowheads="1"/>
        </xdr:cNvSpPr>
      </xdr:nvSpPr>
      <xdr:spPr bwMode="auto">
        <a:xfrm>
          <a:off x="9374909"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213632"/>
    <xdr:sp macro="" textlink="">
      <xdr:nvSpPr>
        <xdr:cNvPr id="485" name="Text Box 15">
          <a:extLst>
            <a:ext uri="{FF2B5EF4-FFF2-40B4-BE49-F238E27FC236}">
              <a16:creationId xmlns:a16="http://schemas.microsoft.com/office/drawing/2014/main" id="{00000000-0008-0000-0500-0000E5010000}"/>
            </a:ext>
          </a:extLst>
        </xdr:cNvPr>
        <xdr:cNvSpPr txBox="1">
          <a:spLocks noChangeArrowheads="1"/>
        </xdr:cNvSpPr>
      </xdr:nvSpPr>
      <xdr:spPr bwMode="auto">
        <a:xfrm>
          <a:off x="9374909"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213632"/>
    <xdr:sp macro="" textlink="">
      <xdr:nvSpPr>
        <xdr:cNvPr id="486" name="Text Box 15">
          <a:extLst>
            <a:ext uri="{FF2B5EF4-FFF2-40B4-BE49-F238E27FC236}">
              <a16:creationId xmlns:a16="http://schemas.microsoft.com/office/drawing/2014/main" id="{00000000-0008-0000-0500-0000E6010000}"/>
            </a:ext>
          </a:extLst>
        </xdr:cNvPr>
        <xdr:cNvSpPr txBox="1">
          <a:spLocks noChangeArrowheads="1"/>
        </xdr:cNvSpPr>
      </xdr:nvSpPr>
      <xdr:spPr bwMode="auto">
        <a:xfrm>
          <a:off x="9374909"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213632"/>
    <xdr:sp macro="" textlink="">
      <xdr:nvSpPr>
        <xdr:cNvPr id="487" name="Text Box 15">
          <a:extLst>
            <a:ext uri="{FF2B5EF4-FFF2-40B4-BE49-F238E27FC236}">
              <a16:creationId xmlns:a16="http://schemas.microsoft.com/office/drawing/2014/main" id="{00000000-0008-0000-0500-0000E7010000}"/>
            </a:ext>
          </a:extLst>
        </xdr:cNvPr>
        <xdr:cNvSpPr txBox="1">
          <a:spLocks noChangeArrowheads="1"/>
        </xdr:cNvSpPr>
      </xdr:nvSpPr>
      <xdr:spPr bwMode="auto">
        <a:xfrm>
          <a:off x="9374909"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213632"/>
    <xdr:sp macro="" textlink="">
      <xdr:nvSpPr>
        <xdr:cNvPr id="488" name="Text Box 15">
          <a:extLst>
            <a:ext uri="{FF2B5EF4-FFF2-40B4-BE49-F238E27FC236}">
              <a16:creationId xmlns:a16="http://schemas.microsoft.com/office/drawing/2014/main" id="{00000000-0008-0000-0500-0000E8010000}"/>
            </a:ext>
          </a:extLst>
        </xdr:cNvPr>
        <xdr:cNvSpPr txBox="1">
          <a:spLocks noChangeArrowheads="1"/>
        </xdr:cNvSpPr>
      </xdr:nvSpPr>
      <xdr:spPr bwMode="auto">
        <a:xfrm>
          <a:off x="9374909"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213632"/>
    <xdr:sp macro="" textlink="">
      <xdr:nvSpPr>
        <xdr:cNvPr id="489" name="Text Box 15">
          <a:extLst>
            <a:ext uri="{FF2B5EF4-FFF2-40B4-BE49-F238E27FC236}">
              <a16:creationId xmlns:a16="http://schemas.microsoft.com/office/drawing/2014/main" id="{00000000-0008-0000-0500-0000E9010000}"/>
            </a:ext>
          </a:extLst>
        </xdr:cNvPr>
        <xdr:cNvSpPr txBox="1">
          <a:spLocks noChangeArrowheads="1"/>
        </xdr:cNvSpPr>
      </xdr:nvSpPr>
      <xdr:spPr bwMode="auto">
        <a:xfrm>
          <a:off x="9374909"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127</xdr:row>
      <xdr:rowOff>0</xdr:rowOff>
    </xdr:from>
    <xdr:ext cx="95250" cy="213632"/>
    <xdr:sp macro="" textlink="">
      <xdr:nvSpPr>
        <xdr:cNvPr id="490" name="Text Box 15">
          <a:extLst>
            <a:ext uri="{FF2B5EF4-FFF2-40B4-BE49-F238E27FC236}">
              <a16:creationId xmlns:a16="http://schemas.microsoft.com/office/drawing/2014/main" id="{00000000-0008-0000-0500-0000EA010000}"/>
            </a:ext>
          </a:extLst>
        </xdr:cNvPr>
        <xdr:cNvSpPr txBox="1">
          <a:spLocks noChangeArrowheads="1"/>
        </xdr:cNvSpPr>
      </xdr:nvSpPr>
      <xdr:spPr bwMode="auto">
        <a:xfrm>
          <a:off x="12790343"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127</xdr:row>
      <xdr:rowOff>0</xdr:rowOff>
    </xdr:from>
    <xdr:ext cx="95250" cy="213632"/>
    <xdr:sp macro="" textlink="">
      <xdr:nvSpPr>
        <xdr:cNvPr id="491" name="Text Box 15">
          <a:extLst>
            <a:ext uri="{FF2B5EF4-FFF2-40B4-BE49-F238E27FC236}">
              <a16:creationId xmlns:a16="http://schemas.microsoft.com/office/drawing/2014/main" id="{00000000-0008-0000-0500-0000EB010000}"/>
            </a:ext>
          </a:extLst>
        </xdr:cNvPr>
        <xdr:cNvSpPr txBox="1">
          <a:spLocks noChangeArrowheads="1"/>
        </xdr:cNvSpPr>
      </xdr:nvSpPr>
      <xdr:spPr bwMode="auto">
        <a:xfrm>
          <a:off x="12790343"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127</xdr:row>
      <xdr:rowOff>0</xdr:rowOff>
    </xdr:from>
    <xdr:ext cx="95250" cy="213632"/>
    <xdr:sp macro="" textlink="">
      <xdr:nvSpPr>
        <xdr:cNvPr id="492" name="Text Box 15">
          <a:extLst>
            <a:ext uri="{FF2B5EF4-FFF2-40B4-BE49-F238E27FC236}">
              <a16:creationId xmlns:a16="http://schemas.microsoft.com/office/drawing/2014/main" id="{00000000-0008-0000-0500-0000EC010000}"/>
            </a:ext>
          </a:extLst>
        </xdr:cNvPr>
        <xdr:cNvSpPr txBox="1">
          <a:spLocks noChangeArrowheads="1"/>
        </xdr:cNvSpPr>
      </xdr:nvSpPr>
      <xdr:spPr bwMode="auto">
        <a:xfrm>
          <a:off x="12790343"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127</xdr:row>
      <xdr:rowOff>0</xdr:rowOff>
    </xdr:from>
    <xdr:ext cx="95250" cy="213632"/>
    <xdr:sp macro="" textlink="">
      <xdr:nvSpPr>
        <xdr:cNvPr id="493" name="Text Box 15">
          <a:extLst>
            <a:ext uri="{FF2B5EF4-FFF2-40B4-BE49-F238E27FC236}">
              <a16:creationId xmlns:a16="http://schemas.microsoft.com/office/drawing/2014/main" id="{00000000-0008-0000-0500-0000ED010000}"/>
            </a:ext>
          </a:extLst>
        </xdr:cNvPr>
        <xdr:cNvSpPr txBox="1">
          <a:spLocks noChangeArrowheads="1"/>
        </xdr:cNvSpPr>
      </xdr:nvSpPr>
      <xdr:spPr bwMode="auto">
        <a:xfrm>
          <a:off x="12790343"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127</xdr:row>
      <xdr:rowOff>0</xdr:rowOff>
    </xdr:from>
    <xdr:ext cx="95250" cy="213632"/>
    <xdr:sp macro="" textlink="">
      <xdr:nvSpPr>
        <xdr:cNvPr id="494" name="Text Box 15">
          <a:extLst>
            <a:ext uri="{FF2B5EF4-FFF2-40B4-BE49-F238E27FC236}">
              <a16:creationId xmlns:a16="http://schemas.microsoft.com/office/drawing/2014/main" id="{00000000-0008-0000-0500-0000EE010000}"/>
            </a:ext>
          </a:extLst>
        </xdr:cNvPr>
        <xdr:cNvSpPr txBox="1">
          <a:spLocks noChangeArrowheads="1"/>
        </xdr:cNvSpPr>
      </xdr:nvSpPr>
      <xdr:spPr bwMode="auto">
        <a:xfrm>
          <a:off x="12790343"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127</xdr:row>
      <xdr:rowOff>0</xdr:rowOff>
    </xdr:from>
    <xdr:ext cx="95250" cy="213632"/>
    <xdr:sp macro="" textlink="">
      <xdr:nvSpPr>
        <xdr:cNvPr id="495" name="Text Box 15">
          <a:extLst>
            <a:ext uri="{FF2B5EF4-FFF2-40B4-BE49-F238E27FC236}">
              <a16:creationId xmlns:a16="http://schemas.microsoft.com/office/drawing/2014/main" id="{00000000-0008-0000-0500-0000EF010000}"/>
            </a:ext>
          </a:extLst>
        </xdr:cNvPr>
        <xdr:cNvSpPr txBox="1">
          <a:spLocks noChangeArrowheads="1"/>
        </xdr:cNvSpPr>
      </xdr:nvSpPr>
      <xdr:spPr bwMode="auto">
        <a:xfrm>
          <a:off x="12790343"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127</xdr:row>
      <xdr:rowOff>0</xdr:rowOff>
    </xdr:from>
    <xdr:ext cx="95250" cy="213632"/>
    <xdr:sp macro="" textlink="">
      <xdr:nvSpPr>
        <xdr:cNvPr id="496" name="Text Box 15">
          <a:extLst>
            <a:ext uri="{FF2B5EF4-FFF2-40B4-BE49-F238E27FC236}">
              <a16:creationId xmlns:a16="http://schemas.microsoft.com/office/drawing/2014/main" id="{00000000-0008-0000-0500-0000F0010000}"/>
            </a:ext>
          </a:extLst>
        </xdr:cNvPr>
        <xdr:cNvSpPr txBox="1">
          <a:spLocks noChangeArrowheads="1"/>
        </xdr:cNvSpPr>
      </xdr:nvSpPr>
      <xdr:spPr bwMode="auto">
        <a:xfrm>
          <a:off x="12790343"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213632"/>
    <xdr:sp macro="" textlink="">
      <xdr:nvSpPr>
        <xdr:cNvPr id="497" name="Text Box 15">
          <a:extLst>
            <a:ext uri="{FF2B5EF4-FFF2-40B4-BE49-F238E27FC236}">
              <a16:creationId xmlns:a16="http://schemas.microsoft.com/office/drawing/2014/main" id="{00000000-0008-0000-0500-0000F1010000}"/>
            </a:ext>
          </a:extLst>
        </xdr:cNvPr>
        <xdr:cNvSpPr txBox="1">
          <a:spLocks noChangeArrowheads="1"/>
        </xdr:cNvSpPr>
      </xdr:nvSpPr>
      <xdr:spPr bwMode="auto">
        <a:xfrm>
          <a:off x="9374909" y="12870007"/>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213632"/>
    <xdr:sp macro="" textlink="">
      <xdr:nvSpPr>
        <xdr:cNvPr id="498" name="Text Box 15">
          <a:extLst>
            <a:ext uri="{FF2B5EF4-FFF2-40B4-BE49-F238E27FC236}">
              <a16:creationId xmlns:a16="http://schemas.microsoft.com/office/drawing/2014/main" id="{00000000-0008-0000-0500-0000F2010000}"/>
            </a:ext>
          </a:extLst>
        </xdr:cNvPr>
        <xdr:cNvSpPr txBox="1">
          <a:spLocks noChangeArrowheads="1"/>
        </xdr:cNvSpPr>
      </xdr:nvSpPr>
      <xdr:spPr bwMode="auto">
        <a:xfrm>
          <a:off x="9374909" y="12870007"/>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127</xdr:row>
      <xdr:rowOff>0</xdr:rowOff>
    </xdr:from>
    <xdr:ext cx="95250" cy="213632"/>
    <xdr:sp macro="" textlink="">
      <xdr:nvSpPr>
        <xdr:cNvPr id="499" name="Text Box 15">
          <a:extLst>
            <a:ext uri="{FF2B5EF4-FFF2-40B4-BE49-F238E27FC236}">
              <a16:creationId xmlns:a16="http://schemas.microsoft.com/office/drawing/2014/main" id="{00000000-0008-0000-0500-0000F3010000}"/>
            </a:ext>
          </a:extLst>
        </xdr:cNvPr>
        <xdr:cNvSpPr txBox="1">
          <a:spLocks noChangeArrowheads="1"/>
        </xdr:cNvSpPr>
      </xdr:nvSpPr>
      <xdr:spPr bwMode="auto">
        <a:xfrm>
          <a:off x="12790343" y="12870007"/>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127</xdr:row>
      <xdr:rowOff>0</xdr:rowOff>
    </xdr:from>
    <xdr:ext cx="95250" cy="213632"/>
    <xdr:sp macro="" textlink="">
      <xdr:nvSpPr>
        <xdr:cNvPr id="500" name="Text Box 15">
          <a:extLst>
            <a:ext uri="{FF2B5EF4-FFF2-40B4-BE49-F238E27FC236}">
              <a16:creationId xmlns:a16="http://schemas.microsoft.com/office/drawing/2014/main" id="{00000000-0008-0000-0500-0000F4010000}"/>
            </a:ext>
          </a:extLst>
        </xdr:cNvPr>
        <xdr:cNvSpPr txBox="1">
          <a:spLocks noChangeArrowheads="1"/>
        </xdr:cNvSpPr>
      </xdr:nvSpPr>
      <xdr:spPr bwMode="auto">
        <a:xfrm>
          <a:off x="12790343" y="12870007"/>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213632"/>
    <xdr:sp macro="" textlink="">
      <xdr:nvSpPr>
        <xdr:cNvPr id="501" name="Text Box 15">
          <a:extLst>
            <a:ext uri="{FF2B5EF4-FFF2-40B4-BE49-F238E27FC236}">
              <a16:creationId xmlns:a16="http://schemas.microsoft.com/office/drawing/2014/main" id="{00000000-0008-0000-0500-0000F5010000}"/>
            </a:ext>
          </a:extLst>
        </xdr:cNvPr>
        <xdr:cNvSpPr txBox="1">
          <a:spLocks noChangeArrowheads="1"/>
        </xdr:cNvSpPr>
      </xdr:nvSpPr>
      <xdr:spPr bwMode="auto">
        <a:xfrm>
          <a:off x="9374909"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213632"/>
    <xdr:sp macro="" textlink="">
      <xdr:nvSpPr>
        <xdr:cNvPr id="502" name="Text Box 15">
          <a:extLst>
            <a:ext uri="{FF2B5EF4-FFF2-40B4-BE49-F238E27FC236}">
              <a16:creationId xmlns:a16="http://schemas.microsoft.com/office/drawing/2014/main" id="{00000000-0008-0000-0500-0000F6010000}"/>
            </a:ext>
          </a:extLst>
        </xdr:cNvPr>
        <xdr:cNvSpPr txBox="1">
          <a:spLocks noChangeArrowheads="1"/>
        </xdr:cNvSpPr>
      </xdr:nvSpPr>
      <xdr:spPr bwMode="auto">
        <a:xfrm>
          <a:off x="9374909"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213632"/>
    <xdr:sp macro="" textlink="">
      <xdr:nvSpPr>
        <xdr:cNvPr id="503" name="Text Box 15">
          <a:extLst>
            <a:ext uri="{FF2B5EF4-FFF2-40B4-BE49-F238E27FC236}">
              <a16:creationId xmlns:a16="http://schemas.microsoft.com/office/drawing/2014/main" id="{00000000-0008-0000-0500-0000F7010000}"/>
            </a:ext>
          </a:extLst>
        </xdr:cNvPr>
        <xdr:cNvSpPr txBox="1">
          <a:spLocks noChangeArrowheads="1"/>
        </xdr:cNvSpPr>
      </xdr:nvSpPr>
      <xdr:spPr bwMode="auto">
        <a:xfrm>
          <a:off x="9374909"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213632"/>
    <xdr:sp macro="" textlink="">
      <xdr:nvSpPr>
        <xdr:cNvPr id="504" name="Text Box 15">
          <a:extLst>
            <a:ext uri="{FF2B5EF4-FFF2-40B4-BE49-F238E27FC236}">
              <a16:creationId xmlns:a16="http://schemas.microsoft.com/office/drawing/2014/main" id="{00000000-0008-0000-0500-0000F8010000}"/>
            </a:ext>
          </a:extLst>
        </xdr:cNvPr>
        <xdr:cNvSpPr txBox="1">
          <a:spLocks noChangeArrowheads="1"/>
        </xdr:cNvSpPr>
      </xdr:nvSpPr>
      <xdr:spPr bwMode="auto">
        <a:xfrm>
          <a:off x="9374909"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213632"/>
    <xdr:sp macro="" textlink="">
      <xdr:nvSpPr>
        <xdr:cNvPr id="505" name="Text Box 15">
          <a:extLst>
            <a:ext uri="{FF2B5EF4-FFF2-40B4-BE49-F238E27FC236}">
              <a16:creationId xmlns:a16="http://schemas.microsoft.com/office/drawing/2014/main" id="{00000000-0008-0000-0500-0000F9010000}"/>
            </a:ext>
          </a:extLst>
        </xdr:cNvPr>
        <xdr:cNvSpPr txBox="1">
          <a:spLocks noChangeArrowheads="1"/>
        </xdr:cNvSpPr>
      </xdr:nvSpPr>
      <xdr:spPr bwMode="auto">
        <a:xfrm>
          <a:off x="9374909"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213632"/>
    <xdr:sp macro="" textlink="">
      <xdr:nvSpPr>
        <xdr:cNvPr id="506" name="Text Box 15">
          <a:extLst>
            <a:ext uri="{FF2B5EF4-FFF2-40B4-BE49-F238E27FC236}">
              <a16:creationId xmlns:a16="http://schemas.microsoft.com/office/drawing/2014/main" id="{00000000-0008-0000-0500-0000FA010000}"/>
            </a:ext>
          </a:extLst>
        </xdr:cNvPr>
        <xdr:cNvSpPr txBox="1">
          <a:spLocks noChangeArrowheads="1"/>
        </xdr:cNvSpPr>
      </xdr:nvSpPr>
      <xdr:spPr bwMode="auto">
        <a:xfrm>
          <a:off x="9374909"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213632"/>
    <xdr:sp macro="" textlink="">
      <xdr:nvSpPr>
        <xdr:cNvPr id="507" name="Text Box 15">
          <a:extLst>
            <a:ext uri="{FF2B5EF4-FFF2-40B4-BE49-F238E27FC236}">
              <a16:creationId xmlns:a16="http://schemas.microsoft.com/office/drawing/2014/main" id="{00000000-0008-0000-0500-0000FB010000}"/>
            </a:ext>
          </a:extLst>
        </xdr:cNvPr>
        <xdr:cNvSpPr txBox="1">
          <a:spLocks noChangeArrowheads="1"/>
        </xdr:cNvSpPr>
      </xdr:nvSpPr>
      <xdr:spPr bwMode="auto">
        <a:xfrm>
          <a:off x="9374909"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127</xdr:row>
      <xdr:rowOff>0</xdr:rowOff>
    </xdr:from>
    <xdr:ext cx="95250" cy="213632"/>
    <xdr:sp macro="" textlink="">
      <xdr:nvSpPr>
        <xdr:cNvPr id="508" name="Text Box 15">
          <a:extLst>
            <a:ext uri="{FF2B5EF4-FFF2-40B4-BE49-F238E27FC236}">
              <a16:creationId xmlns:a16="http://schemas.microsoft.com/office/drawing/2014/main" id="{00000000-0008-0000-0500-0000FC010000}"/>
            </a:ext>
          </a:extLst>
        </xdr:cNvPr>
        <xdr:cNvSpPr txBox="1">
          <a:spLocks noChangeArrowheads="1"/>
        </xdr:cNvSpPr>
      </xdr:nvSpPr>
      <xdr:spPr bwMode="auto">
        <a:xfrm>
          <a:off x="12790343"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127</xdr:row>
      <xdr:rowOff>0</xdr:rowOff>
    </xdr:from>
    <xdr:ext cx="95250" cy="213632"/>
    <xdr:sp macro="" textlink="">
      <xdr:nvSpPr>
        <xdr:cNvPr id="509" name="Text Box 15">
          <a:extLst>
            <a:ext uri="{FF2B5EF4-FFF2-40B4-BE49-F238E27FC236}">
              <a16:creationId xmlns:a16="http://schemas.microsoft.com/office/drawing/2014/main" id="{00000000-0008-0000-0500-0000FD010000}"/>
            </a:ext>
          </a:extLst>
        </xdr:cNvPr>
        <xdr:cNvSpPr txBox="1">
          <a:spLocks noChangeArrowheads="1"/>
        </xdr:cNvSpPr>
      </xdr:nvSpPr>
      <xdr:spPr bwMode="auto">
        <a:xfrm>
          <a:off x="12790343"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127</xdr:row>
      <xdr:rowOff>0</xdr:rowOff>
    </xdr:from>
    <xdr:ext cx="95250" cy="213632"/>
    <xdr:sp macro="" textlink="">
      <xdr:nvSpPr>
        <xdr:cNvPr id="510" name="Text Box 15">
          <a:extLst>
            <a:ext uri="{FF2B5EF4-FFF2-40B4-BE49-F238E27FC236}">
              <a16:creationId xmlns:a16="http://schemas.microsoft.com/office/drawing/2014/main" id="{00000000-0008-0000-0500-0000FE010000}"/>
            </a:ext>
          </a:extLst>
        </xdr:cNvPr>
        <xdr:cNvSpPr txBox="1">
          <a:spLocks noChangeArrowheads="1"/>
        </xdr:cNvSpPr>
      </xdr:nvSpPr>
      <xdr:spPr bwMode="auto">
        <a:xfrm>
          <a:off x="12790343"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127</xdr:row>
      <xdr:rowOff>0</xdr:rowOff>
    </xdr:from>
    <xdr:ext cx="95250" cy="213632"/>
    <xdr:sp macro="" textlink="">
      <xdr:nvSpPr>
        <xdr:cNvPr id="511" name="Text Box 15">
          <a:extLst>
            <a:ext uri="{FF2B5EF4-FFF2-40B4-BE49-F238E27FC236}">
              <a16:creationId xmlns:a16="http://schemas.microsoft.com/office/drawing/2014/main" id="{00000000-0008-0000-0500-0000FF010000}"/>
            </a:ext>
          </a:extLst>
        </xdr:cNvPr>
        <xdr:cNvSpPr txBox="1">
          <a:spLocks noChangeArrowheads="1"/>
        </xdr:cNvSpPr>
      </xdr:nvSpPr>
      <xdr:spPr bwMode="auto">
        <a:xfrm>
          <a:off x="12790343"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127</xdr:row>
      <xdr:rowOff>0</xdr:rowOff>
    </xdr:from>
    <xdr:ext cx="95250" cy="213632"/>
    <xdr:sp macro="" textlink="">
      <xdr:nvSpPr>
        <xdr:cNvPr id="512" name="Text Box 15">
          <a:extLst>
            <a:ext uri="{FF2B5EF4-FFF2-40B4-BE49-F238E27FC236}">
              <a16:creationId xmlns:a16="http://schemas.microsoft.com/office/drawing/2014/main" id="{00000000-0008-0000-0500-000000020000}"/>
            </a:ext>
          </a:extLst>
        </xdr:cNvPr>
        <xdr:cNvSpPr txBox="1">
          <a:spLocks noChangeArrowheads="1"/>
        </xdr:cNvSpPr>
      </xdr:nvSpPr>
      <xdr:spPr bwMode="auto">
        <a:xfrm>
          <a:off x="12790343"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127</xdr:row>
      <xdr:rowOff>0</xdr:rowOff>
    </xdr:from>
    <xdr:ext cx="95250" cy="213632"/>
    <xdr:sp macro="" textlink="">
      <xdr:nvSpPr>
        <xdr:cNvPr id="513" name="Text Box 15">
          <a:extLst>
            <a:ext uri="{FF2B5EF4-FFF2-40B4-BE49-F238E27FC236}">
              <a16:creationId xmlns:a16="http://schemas.microsoft.com/office/drawing/2014/main" id="{00000000-0008-0000-0500-000001020000}"/>
            </a:ext>
          </a:extLst>
        </xdr:cNvPr>
        <xdr:cNvSpPr txBox="1">
          <a:spLocks noChangeArrowheads="1"/>
        </xdr:cNvSpPr>
      </xdr:nvSpPr>
      <xdr:spPr bwMode="auto">
        <a:xfrm>
          <a:off x="12790343"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127</xdr:row>
      <xdr:rowOff>0</xdr:rowOff>
    </xdr:from>
    <xdr:ext cx="95250" cy="213632"/>
    <xdr:sp macro="" textlink="">
      <xdr:nvSpPr>
        <xdr:cNvPr id="514" name="Text Box 15">
          <a:extLst>
            <a:ext uri="{FF2B5EF4-FFF2-40B4-BE49-F238E27FC236}">
              <a16:creationId xmlns:a16="http://schemas.microsoft.com/office/drawing/2014/main" id="{00000000-0008-0000-0500-000002020000}"/>
            </a:ext>
          </a:extLst>
        </xdr:cNvPr>
        <xdr:cNvSpPr txBox="1">
          <a:spLocks noChangeArrowheads="1"/>
        </xdr:cNvSpPr>
      </xdr:nvSpPr>
      <xdr:spPr bwMode="auto">
        <a:xfrm>
          <a:off x="12790343"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213632"/>
    <xdr:sp macro="" textlink="">
      <xdr:nvSpPr>
        <xdr:cNvPr id="515" name="Text Box 15">
          <a:extLst>
            <a:ext uri="{FF2B5EF4-FFF2-40B4-BE49-F238E27FC236}">
              <a16:creationId xmlns:a16="http://schemas.microsoft.com/office/drawing/2014/main" id="{00000000-0008-0000-0500-000003020000}"/>
            </a:ext>
          </a:extLst>
        </xdr:cNvPr>
        <xdr:cNvSpPr txBox="1">
          <a:spLocks noChangeArrowheads="1"/>
        </xdr:cNvSpPr>
      </xdr:nvSpPr>
      <xdr:spPr bwMode="auto">
        <a:xfrm>
          <a:off x="9374909" y="12870007"/>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213632"/>
    <xdr:sp macro="" textlink="">
      <xdr:nvSpPr>
        <xdr:cNvPr id="516" name="Text Box 15">
          <a:extLst>
            <a:ext uri="{FF2B5EF4-FFF2-40B4-BE49-F238E27FC236}">
              <a16:creationId xmlns:a16="http://schemas.microsoft.com/office/drawing/2014/main" id="{00000000-0008-0000-0500-000004020000}"/>
            </a:ext>
          </a:extLst>
        </xdr:cNvPr>
        <xdr:cNvSpPr txBox="1">
          <a:spLocks noChangeArrowheads="1"/>
        </xdr:cNvSpPr>
      </xdr:nvSpPr>
      <xdr:spPr bwMode="auto">
        <a:xfrm>
          <a:off x="9374909" y="12870007"/>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127</xdr:row>
      <xdr:rowOff>0</xdr:rowOff>
    </xdr:from>
    <xdr:ext cx="95250" cy="213632"/>
    <xdr:sp macro="" textlink="">
      <xdr:nvSpPr>
        <xdr:cNvPr id="517" name="Text Box 15">
          <a:extLst>
            <a:ext uri="{FF2B5EF4-FFF2-40B4-BE49-F238E27FC236}">
              <a16:creationId xmlns:a16="http://schemas.microsoft.com/office/drawing/2014/main" id="{00000000-0008-0000-0500-000005020000}"/>
            </a:ext>
          </a:extLst>
        </xdr:cNvPr>
        <xdr:cNvSpPr txBox="1">
          <a:spLocks noChangeArrowheads="1"/>
        </xdr:cNvSpPr>
      </xdr:nvSpPr>
      <xdr:spPr bwMode="auto">
        <a:xfrm>
          <a:off x="12790343" y="12870007"/>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127</xdr:row>
      <xdr:rowOff>0</xdr:rowOff>
    </xdr:from>
    <xdr:ext cx="95250" cy="213632"/>
    <xdr:sp macro="" textlink="">
      <xdr:nvSpPr>
        <xdr:cNvPr id="518" name="Text Box 15">
          <a:extLst>
            <a:ext uri="{FF2B5EF4-FFF2-40B4-BE49-F238E27FC236}">
              <a16:creationId xmlns:a16="http://schemas.microsoft.com/office/drawing/2014/main" id="{00000000-0008-0000-0500-000006020000}"/>
            </a:ext>
          </a:extLst>
        </xdr:cNvPr>
        <xdr:cNvSpPr txBox="1">
          <a:spLocks noChangeArrowheads="1"/>
        </xdr:cNvSpPr>
      </xdr:nvSpPr>
      <xdr:spPr bwMode="auto">
        <a:xfrm>
          <a:off x="12790343" y="12870007"/>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213632"/>
    <xdr:sp macro="" textlink="">
      <xdr:nvSpPr>
        <xdr:cNvPr id="519" name="Text Box 15">
          <a:extLst>
            <a:ext uri="{FF2B5EF4-FFF2-40B4-BE49-F238E27FC236}">
              <a16:creationId xmlns:a16="http://schemas.microsoft.com/office/drawing/2014/main" id="{00000000-0008-0000-0500-000007020000}"/>
            </a:ext>
          </a:extLst>
        </xdr:cNvPr>
        <xdr:cNvSpPr txBox="1">
          <a:spLocks noChangeArrowheads="1"/>
        </xdr:cNvSpPr>
      </xdr:nvSpPr>
      <xdr:spPr bwMode="auto">
        <a:xfrm>
          <a:off x="9374909"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213632"/>
    <xdr:sp macro="" textlink="">
      <xdr:nvSpPr>
        <xdr:cNvPr id="520" name="Text Box 15">
          <a:extLst>
            <a:ext uri="{FF2B5EF4-FFF2-40B4-BE49-F238E27FC236}">
              <a16:creationId xmlns:a16="http://schemas.microsoft.com/office/drawing/2014/main" id="{00000000-0008-0000-0500-000008020000}"/>
            </a:ext>
          </a:extLst>
        </xdr:cNvPr>
        <xdr:cNvSpPr txBox="1">
          <a:spLocks noChangeArrowheads="1"/>
        </xdr:cNvSpPr>
      </xdr:nvSpPr>
      <xdr:spPr bwMode="auto">
        <a:xfrm>
          <a:off x="9374909"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213632"/>
    <xdr:sp macro="" textlink="">
      <xdr:nvSpPr>
        <xdr:cNvPr id="521" name="Text Box 15">
          <a:extLst>
            <a:ext uri="{FF2B5EF4-FFF2-40B4-BE49-F238E27FC236}">
              <a16:creationId xmlns:a16="http://schemas.microsoft.com/office/drawing/2014/main" id="{00000000-0008-0000-0500-000009020000}"/>
            </a:ext>
          </a:extLst>
        </xdr:cNvPr>
        <xdr:cNvSpPr txBox="1">
          <a:spLocks noChangeArrowheads="1"/>
        </xdr:cNvSpPr>
      </xdr:nvSpPr>
      <xdr:spPr bwMode="auto">
        <a:xfrm>
          <a:off x="9374909"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213632"/>
    <xdr:sp macro="" textlink="">
      <xdr:nvSpPr>
        <xdr:cNvPr id="522" name="Text Box 15">
          <a:extLst>
            <a:ext uri="{FF2B5EF4-FFF2-40B4-BE49-F238E27FC236}">
              <a16:creationId xmlns:a16="http://schemas.microsoft.com/office/drawing/2014/main" id="{00000000-0008-0000-0500-00000A020000}"/>
            </a:ext>
          </a:extLst>
        </xdr:cNvPr>
        <xdr:cNvSpPr txBox="1">
          <a:spLocks noChangeArrowheads="1"/>
        </xdr:cNvSpPr>
      </xdr:nvSpPr>
      <xdr:spPr bwMode="auto">
        <a:xfrm>
          <a:off x="9374909"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213632"/>
    <xdr:sp macro="" textlink="">
      <xdr:nvSpPr>
        <xdr:cNvPr id="523" name="Text Box 15">
          <a:extLst>
            <a:ext uri="{FF2B5EF4-FFF2-40B4-BE49-F238E27FC236}">
              <a16:creationId xmlns:a16="http://schemas.microsoft.com/office/drawing/2014/main" id="{00000000-0008-0000-0500-00000B020000}"/>
            </a:ext>
          </a:extLst>
        </xdr:cNvPr>
        <xdr:cNvSpPr txBox="1">
          <a:spLocks noChangeArrowheads="1"/>
        </xdr:cNvSpPr>
      </xdr:nvSpPr>
      <xdr:spPr bwMode="auto">
        <a:xfrm>
          <a:off x="9374909"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213632"/>
    <xdr:sp macro="" textlink="">
      <xdr:nvSpPr>
        <xdr:cNvPr id="524" name="Text Box 15">
          <a:extLst>
            <a:ext uri="{FF2B5EF4-FFF2-40B4-BE49-F238E27FC236}">
              <a16:creationId xmlns:a16="http://schemas.microsoft.com/office/drawing/2014/main" id="{00000000-0008-0000-0500-00000C020000}"/>
            </a:ext>
          </a:extLst>
        </xdr:cNvPr>
        <xdr:cNvSpPr txBox="1">
          <a:spLocks noChangeArrowheads="1"/>
        </xdr:cNvSpPr>
      </xdr:nvSpPr>
      <xdr:spPr bwMode="auto">
        <a:xfrm>
          <a:off x="9374909"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213632"/>
    <xdr:sp macro="" textlink="">
      <xdr:nvSpPr>
        <xdr:cNvPr id="525" name="Text Box 15">
          <a:extLst>
            <a:ext uri="{FF2B5EF4-FFF2-40B4-BE49-F238E27FC236}">
              <a16:creationId xmlns:a16="http://schemas.microsoft.com/office/drawing/2014/main" id="{00000000-0008-0000-0500-00000D020000}"/>
            </a:ext>
          </a:extLst>
        </xdr:cNvPr>
        <xdr:cNvSpPr txBox="1">
          <a:spLocks noChangeArrowheads="1"/>
        </xdr:cNvSpPr>
      </xdr:nvSpPr>
      <xdr:spPr bwMode="auto">
        <a:xfrm>
          <a:off x="9374909"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127</xdr:row>
      <xdr:rowOff>0</xdr:rowOff>
    </xdr:from>
    <xdr:ext cx="95250" cy="213632"/>
    <xdr:sp macro="" textlink="">
      <xdr:nvSpPr>
        <xdr:cNvPr id="526" name="Text Box 15">
          <a:extLst>
            <a:ext uri="{FF2B5EF4-FFF2-40B4-BE49-F238E27FC236}">
              <a16:creationId xmlns:a16="http://schemas.microsoft.com/office/drawing/2014/main" id="{00000000-0008-0000-0500-00000E020000}"/>
            </a:ext>
          </a:extLst>
        </xdr:cNvPr>
        <xdr:cNvSpPr txBox="1">
          <a:spLocks noChangeArrowheads="1"/>
        </xdr:cNvSpPr>
      </xdr:nvSpPr>
      <xdr:spPr bwMode="auto">
        <a:xfrm>
          <a:off x="12790343"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127</xdr:row>
      <xdr:rowOff>0</xdr:rowOff>
    </xdr:from>
    <xdr:ext cx="95250" cy="213632"/>
    <xdr:sp macro="" textlink="">
      <xdr:nvSpPr>
        <xdr:cNvPr id="527" name="Text Box 15">
          <a:extLst>
            <a:ext uri="{FF2B5EF4-FFF2-40B4-BE49-F238E27FC236}">
              <a16:creationId xmlns:a16="http://schemas.microsoft.com/office/drawing/2014/main" id="{00000000-0008-0000-0500-00000F020000}"/>
            </a:ext>
          </a:extLst>
        </xdr:cNvPr>
        <xdr:cNvSpPr txBox="1">
          <a:spLocks noChangeArrowheads="1"/>
        </xdr:cNvSpPr>
      </xdr:nvSpPr>
      <xdr:spPr bwMode="auto">
        <a:xfrm>
          <a:off x="12790343"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127</xdr:row>
      <xdr:rowOff>0</xdr:rowOff>
    </xdr:from>
    <xdr:ext cx="95250" cy="213632"/>
    <xdr:sp macro="" textlink="">
      <xdr:nvSpPr>
        <xdr:cNvPr id="528" name="Text Box 15">
          <a:extLst>
            <a:ext uri="{FF2B5EF4-FFF2-40B4-BE49-F238E27FC236}">
              <a16:creationId xmlns:a16="http://schemas.microsoft.com/office/drawing/2014/main" id="{00000000-0008-0000-0500-000010020000}"/>
            </a:ext>
          </a:extLst>
        </xdr:cNvPr>
        <xdr:cNvSpPr txBox="1">
          <a:spLocks noChangeArrowheads="1"/>
        </xdr:cNvSpPr>
      </xdr:nvSpPr>
      <xdr:spPr bwMode="auto">
        <a:xfrm>
          <a:off x="12790343"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127</xdr:row>
      <xdr:rowOff>0</xdr:rowOff>
    </xdr:from>
    <xdr:ext cx="95250" cy="213632"/>
    <xdr:sp macro="" textlink="">
      <xdr:nvSpPr>
        <xdr:cNvPr id="529" name="Text Box 15">
          <a:extLst>
            <a:ext uri="{FF2B5EF4-FFF2-40B4-BE49-F238E27FC236}">
              <a16:creationId xmlns:a16="http://schemas.microsoft.com/office/drawing/2014/main" id="{00000000-0008-0000-0500-000011020000}"/>
            </a:ext>
          </a:extLst>
        </xdr:cNvPr>
        <xdr:cNvSpPr txBox="1">
          <a:spLocks noChangeArrowheads="1"/>
        </xdr:cNvSpPr>
      </xdr:nvSpPr>
      <xdr:spPr bwMode="auto">
        <a:xfrm>
          <a:off x="12790343"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127</xdr:row>
      <xdr:rowOff>0</xdr:rowOff>
    </xdr:from>
    <xdr:ext cx="95250" cy="213632"/>
    <xdr:sp macro="" textlink="">
      <xdr:nvSpPr>
        <xdr:cNvPr id="530" name="Text Box 15">
          <a:extLst>
            <a:ext uri="{FF2B5EF4-FFF2-40B4-BE49-F238E27FC236}">
              <a16:creationId xmlns:a16="http://schemas.microsoft.com/office/drawing/2014/main" id="{00000000-0008-0000-0500-000012020000}"/>
            </a:ext>
          </a:extLst>
        </xdr:cNvPr>
        <xdr:cNvSpPr txBox="1">
          <a:spLocks noChangeArrowheads="1"/>
        </xdr:cNvSpPr>
      </xdr:nvSpPr>
      <xdr:spPr bwMode="auto">
        <a:xfrm>
          <a:off x="12790343"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127</xdr:row>
      <xdr:rowOff>0</xdr:rowOff>
    </xdr:from>
    <xdr:ext cx="95250" cy="213632"/>
    <xdr:sp macro="" textlink="">
      <xdr:nvSpPr>
        <xdr:cNvPr id="531" name="Text Box 15">
          <a:extLst>
            <a:ext uri="{FF2B5EF4-FFF2-40B4-BE49-F238E27FC236}">
              <a16:creationId xmlns:a16="http://schemas.microsoft.com/office/drawing/2014/main" id="{00000000-0008-0000-0500-000013020000}"/>
            </a:ext>
          </a:extLst>
        </xdr:cNvPr>
        <xdr:cNvSpPr txBox="1">
          <a:spLocks noChangeArrowheads="1"/>
        </xdr:cNvSpPr>
      </xdr:nvSpPr>
      <xdr:spPr bwMode="auto">
        <a:xfrm>
          <a:off x="12790343"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127</xdr:row>
      <xdr:rowOff>0</xdr:rowOff>
    </xdr:from>
    <xdr:ext cx="95250" cy="213632"/>
    <xdr:sp macro="" textlink="">
      <xdr:nvSpPr>
        <xdr:cNvPr id="532" name="Text Box 15">
          <a:extLst>
            <a:ext uri="{FF2B5EF4-FFF2-40B4-BE49-F238E27FC236}">
              <a16:creationId xmlns:a16="http://schemas.microsoft.com/office/drawing/2014/main" id="{00000000-0008-0000-0500-000014020000}"/>
            </a:ext>
          </a:extLst>
        </xdr:cNvPr>
        <xdr:cNvSpPr txBox="1">
          <a:spLocks noChangeArrowheads="1"/>
        </xdr:cNvSpPr>
      </xdr:nvSpPr>
      <xdr:spPr bwMode="auto">
        <a:xfrm>
          <a:off x="12790343"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213632"/>
    <xdr:sp macro="" textlink="">
      <xdr:nvSpPr>
        <xdr:cNvPr id="533" name="Text Box 15">
          <a:extLst>
            <a:ext uri="{FF2B5EF4-FFF2-40B4-BE49-F238E27FC236}">
              <a16:creationId xmlns:a16="http://schemas.microsoft.com/office/drawing/2014/main" id="{00000000-0008-0000-0500-000015020000}"/>
            </a:ext>
          </a:extLst>
        </xdr:cNvPr>
        <xdr:cNvSpPr txBox="1">
          <a:spLocks noChangeArrowheads="1"/>
        </xdr:cNvSpPr>
      </xdr:nvSpPr>
      <xdr:spPr bwMode="auto">
        <a:xfrm>
          <a:off x="9374909" y="12870007"/>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213632"/>
    <xdr:sp macro="" textlink="">
      <xdr:nvSpPr>
        <xdr:cNvPr id="534" name="Text Box 15">
          <a:extLst>
            <a:ext uri="{FF2B5EF4-FFF2-40B4-BE49-F238E27FC236}">
              <a16:creationId xmlns:a16="http://schemas.microsoft.com/office/drawing/2014/main" id="{00000000-0008-0000-0500-000016020000}"/>
            </a:ext>
          </a:extLst>
        </xdr:cNvPr>
        <xdr:cNvSpPr txBox="1">
          <a:spLocks noChangeArrowheads="1"/>
        </xdr:cNvSpPr>
      </xdr:nvSpPr>
      <xdr:spPr bwMode="auto">
        <a:xfrm>
          <a:off x="9374909" y="12870007"/>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127</xdr:row>
      <xdr:rowOff>0</xdr:rowOff>
    </xdr:from>
    <xdr:ext cx="95250" cy="213632"/>
    <xdr:sp macro="" textlink="">
      <xdr:nvSpPr>
        <xdr:cNvPr id="535" name="Text Box 15">
          <a:extLst>
            <a:ext uri="{FF2B5EF4-FFF2-40B4-BE49-F238E27FC236}">
              <a16:creationId xmlns:a16="http://schemas.microsoft.com/office/drawing/2014/main" id="{00000000-0008-0000-0500-000017020000}"/>
            </a:ext>
          </a:extLst>
        </xdr:cNvPr>
        <xdr:cNvSpPr txBox="1">
          <a:spLocks noChangeArrowheads="1"/>
        </xdr:cNvSpPr>
      </xdr:nvSpPr>
      <xdr:spPr bwMode="auto">
        <a:xfrm>
          <a:off x="12790343" y="12870007"/>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127</xdr:row>
      <xdr:rowOff>0</xdr:rowOff>
    </xdr:from>
    <xdr:ext cx="95250" cy="213632"/>
    <xdr:sp macro="" textlink="">
      <xdr:nvSpPr>
        <xdr:cNvPr id="536" name="Text Box 15">
          <a:extLst>
            <a:ext uri="{FF2B5EF4-FFF2-40B4-BE49-F238E27FC236}">
              <a16:creationId xmlns:a16="http://schemas.microsoft.com/office/drawing/2014/main" id="{00000000-0008-0000-0500-000018020000}"/>
            </a:ext>
          </a:extLst>
        </xdr:cNvPr>
        <xdr:cNvSpPr txBox="1">
          <a:spLocks noChangeArrowheads="1"/>
        </xdr:cNvSpPr>
      </xdr:nvSpPr>
      <xdr:spPr bwMode="auto">
        <a:xfrm>
          <a:off x="12790343" y="12870007"/>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213632"/>
    <xdr:sp macro="" textlink="">
      <xdr:nvSpPr>
        <xdr:cNvPr id="537" name="Text Box 15">
          <a:extLst>
            <a:ext uri="{FF2B5EF4-FFF2-40B4-BE49-F238E27FC236}">
              <a16:creationId xmlns:a16="http://schemas.microsoft.com/office/drawing/2014/main" id="{00000000-0008-0000-0500-000019020000}"/>
            </a:ext>
          </a:extLst>
        </xdr:cNvPr>
        <xdr:cNvSpPr txBox="1">
          <a:spLocks noChangeArrowheads="1"/>
        </xdr:cNvSpPr>
      </xdr:nvSpPr>
      <xdr:spPr bwMode="auto">
        <a:xfrm>
          <a:off x="9374909"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213632"/>
    <xdr:sp macro="" textlink="">
      <xdr:nvSpPr>
        <xdr:cNvPr id="538" name="Text Box 15">
          <a:extLst>
            <a:ext uri="{FF2B5EF4-FFF2-40B4-BE49-F238E27FC236}">
              <a16:creationId xmlns:a16="http://schemas.microsoft.com/office/drawing/2014/main" id="{00000000-0008-0000-0500-00001A020000}"/>
            </a:ext>
          </a:extLst>
        </xdr:cNvPr>
        <xdr:cNvSpPr txBox="1">
          <a:spLocks noChangeArrowheads="1"/>
        </xdr:cNvSpPr>
      </xdr:nvSpPr>
      <xdr:spPr bwMode="auto">
        <a:xfrm>
          <a:off x="9374909"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213632"/>
    <xdr:sp macro="" textlink="">
      <xdr:nvSpPr>
        <xdr:cNvPr id="539" name="Text Box 15">
          <a:extLst>
            <a:ext uri="{FF2B5EF4-FFF2-40B4-BE49-F238E27FC236}">
              <a16:creationId xmlns:a16="http://schemas.microsoft.com/office/drawing/2014/main" id="{00000000-0008-0000-0500-00001B020000}"/>
            </a:ext>
          </a:extLst>
        </xdr:cNvPr>
        <xdr:cNvSpPr txBox="1">
          <a:spLocks noChangeArrowheads="1"/>
        </xdr:cNvSpPr>
      </xdr:nvSpPr>
      <xdr:spPr bwMode="auto">
        <a:xfrm>
          <a:off x="9374909"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213632"/>
    <xdr:sp macro="" textlink="">
      <xdr:nvSpPr>
        <xdr:cNvPr id="540" name="Text Box 15">
          <a:extLst>
            <a:ext uri="{FF2B5EF4-FFF2-40B4-BE49-F238E27FC236}">
              <a16:creationId xmlns:a16="http://schemas.microsoft.com/office/drawing/2014/main" id="{00000000-0008-0000-0500-00001C020000}"/>
            </a:ext>
          </a:extLst>
        </xdr:cNvPr>
        <xdr:cNvSpPr txBox="1">
          <a:spLocks noChangeArrowheads="1"/>
        </xdr:cNvSpPr>
      </xdr:nvSpPr>
      <xdr:spPr bwMode="auto">
        <a:xfrm>
          <a:off x="9374909"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213632"/>
    <xdr:sp macro="" textlink="">
      <xdr:nvSpPr>
        <xdr:cNvPr id="541" name="Text Box 15">
          <a:extLst>
            <a:ext uri="{FF2B5EF4-FFF2-40B4-BE49-F238E27FC236}">
              <a16:creationId xmlns:a16="http://schemas.microsoft.com/office/drawing/2014/main" id="{00000000-0008-0000-0500-00001D020000}"/>
            </a:ext>
          </a:extLst>
        </xdr:cNvPr>
        <xdr:cNvSpPr txBox="1">
          <a:spLocks noChangeArrowheads="1"/>
        </xdr:cNvSpPr>
      </xdr:nvSpPr>
      <xdr:spPr bwMode="auto">
        <a:xfrm>
          <a:off x="9374909"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213632"/>
    <xdr:sp macro="" textlink="">
      <xdr:nvSpPr>
        <xdr:cNvPr id="542" name="Text Box 15">
          <a:extLst>
            <a:ext uri="{FF2B5EF4-FFF2-40B4-BE49-F238E27FC236}">
              <a16:creationId xmlns:a16="http://schemas.microsoft.com/office/drawing/2014/main" id="{00000000-0008-0000-0500-00001E020000}"/>
            </a:ext>
          </a:extLst>
        </xdr:cNvPr>
        <xdr:cNvSpPr txBox="1">
          <a:spLocks noChangeArrowheads="1"/>
        </xdr:cNvSpPr>
      </xdr:nvSpPr>
      <xdr:spPr bwMode="auto">
        <a:xfrm>
          <a:off x="9374909"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213632"/>
    <xdr:sp macro="" textlink="">
      <xdr:nvSpPr>
        <xdr:cNvPr id="543" name="Text Box 15">
          <a:extLst>
            <a:ext uri="{FF2B5EF4-FFF2-40B4-BE49-F238E27FC236}">
              <a16:creationId xmlns:a16="http://schemas.microsoft.com/office/drawing/2014/main" id="{00000000-0008-0000-0500-00001F020000}"/>
            </a:ext>
          </a:extLst>
        </xdr:cNvPr>
        <xdr:cNvSpPr txBox="1">
          <a:spLocks noChangeArrowheads="1"/>
        </xdr:cNvSpPr>
      </xdr:nvSpPr>
      <xdr:spPr bwMode="auto">
        <a:xfrm>
          <a:off x="9374909"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127</xdr:row>
      <xdr:rowOff>0</xdr:rowOff>
    </xdr:from>
    <xdr:ext cx="95250" cy="213632"/>
    <xdr:sp macro="" textlink="">
      <xdr:nvSpPr>
        <xdr:cNvPr id="544" name="Text Box 15">
          <a:extLst>
            <a:ext uri="{FF2B5EF4-FFF2-40B4-BE49-F238E27FC236}">
              <a16:creationId xmlns:a16="http://schemas.microsoft.com/office/drawing/2014/main" id="{00000000-0008-0000-0500-000020020000}"/>
            </a:ext>
          </a:extLst>
        </xdr:cNvPr>
        <xdr:cNvSpPr txBox="1">
          <a:spLocks noChangeArrowheads="1"/>
        </xdr:cNvSpPr>
      </xdr:nvSpPr>
      <xdr:spPr bwMode="auto">
        <a:xfrm>
          <a:off x="12790343"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127</xdr:row>
      <xdr:rowOff>0</xdr:rowOff>
    </xdr:from>
    <xdr:ext cx="95250" cy="213632"/>
    <xdr:sp macro="" textlink="">
      <xdr:nvSpPr>
        <xdr:cNvPr id="545" name="Text Box 15">
          <a:extLst>
            <a:ext uri="{FF2B5EF4-FFF2-40B4-BE49-F238E27FC236}">
              <a16:creationId xmlns:a16="http://schemas.microsoft.com/office/drawing/2014/main" id="{00000000-0008-0000-0500-000021020000}"/>
            </a:ext>
          </a:extLst>
        </xdr:cNvPr>
        <xdr:cNvSpPr txBox="1">
          <a:spLocks noChangeArrowheads="1"/>
        </xdr:cNvSpPr>
      </xdr:nvSpPr>
      <xdr:spPr bwMode="auto">
        <a:xfrm>
          <a:off x="12790343"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127</xdr:row>
      <xdr:rowOff>0</xdr:rowOff>
    </xdr:from>
    <xdr:ext cx="95250" cy="213632"/>
    <xdr:sp macro="" textlink="">
      <xdr:nvSpPr>
        <xdr:cNvPr id="546" name="Text Box 15">
          <a:extLst>
            <a:ext uri="{FF2B5EF4-FFF2-40B4-BE49-F238E27FC236}">
              <a16:creationId xmlns:a16="http://schemas.microsoft.com/office/drawing/2014/main" id="{00000000-0008-0000-0500-000022020000}"/>
            </a:ext>
          </a:extLst>
        </xdr:cNvPr>
        <xdr:cNvSpPr txBox="1">
          <a:spLocks noChangeArrowheads="1"/>
        </xdr:cNvSpPr>
      </xdr:nvSpPr>
      <xdr:spPr bwMode="auto">
        <a:xfrm>
          <a:off x="12790343"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127</xdr:row>
      <xdr:rowOff>0</xdr:rowOff>
    </xdr:from>
    <xdr:ext cx="95250" cy="213632"/>
    <xdr:sp macro="" textlink="">
      <xdr:nvSpPr>
        <xdr:cNvPr id="547" name="Text Box 15">
          <a:extLst>
            <a:ext uri="{FF2B5EF4-FFF2-40B4-BE49-F238E27FC236}">
              <a16:creationId xmlns:a16="http://schemas.microsoft.com/office/drawing/2014/main" id="{00000000-0008-0000-0500-000023020000}"/>
            </a:ext>
          </a:extLst>
        </xdr:cNvPr>
        <xdr:cNvSpPr txBox="1">
          <a:spLocks noChangeArrowheads="1"/>
        </xdr:cNvSpPr>
      </xdr:nvSpPr>
      <xdr:spPr bwMode="auto">
        <a:xfrm>
          <a:off x="12790343"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127</xdr:row>
      <xdr:rowOff>0</xdr:rowOff>
    </xdr:from>
    <xdr:ext cx="95250" cy="213632"/>
    <xdr:sp macro="" textlink="">
      <xdr:nvSpPr>
        <xdr:cNvPr id="548" name="Text Box 15">
          <a:extLst>
            <a:ext uri="{FF2B5EF4-FFF2-40B4-BE49-F238E27FC236}">
              <a16:creationId xmlns:a16="http://schemas.microsoft.com/office/drawing/2014/main" id="{00000000-0008-0000-0500-000024020000}"/>
            </a:ext>
          </a:extLst>
        </xdr:cNvPr>
        <xdr:cNvSpPr txBox="1">
          <a:spLocks noChangeArrowheads="1"/>
        </xdr:cNvSpPr>
      </xdr:nvSpPr>
      <xdr:spPr bwMode="auto">
        <a:xfrm>
          <a:off x="12790343"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127</xdr:row>
      <xdr:rowOff>0</xdr:rowOff>
    </xdr:from>
    <xdr:ext cx="95250" cy="213632"/>
    <xdr:sp macro="" textlink="">
      <xdr:nvSpPr>
        <xdr:cNvPr id="549" name="Text Box 15">
          <a:extLst>
            <a:ext uri="{FF2B5EF4-FFF2-40B4-BE49-F238E27FC236}">
              <a16:creationId xmlns:a16="http://schemas.microsoft.com/office/drawing/2014/main" id="{00000000-0008-0000-0500-000025020000}"/>
            </a:ext>
          </a:extLst>
        </xdr:cNvPr>
        <xdr:cNvSpPr txBox="1">
          <a:spLocks noChangeArrowheads="1"/>
        </xdr:cNvSpPr>
      </xdr:nvSpPr>
      <xdr:spPr bwMode="auto">
        <a:xfrm>
          <a:off x="12790343"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127</xdr:row>
      <xdr:rowOff>0</xdr:rowOff>
    </xdr:from>
    <xdr:ext cx="95250" cy="213632"/>
    <xdr:sp macro="" textlink="">
      <xdr:nvSpPr>
        <xdr:cNvPr id="550" name="Text Box 15">
          <a:extLst>
            <a:ext uri="{FF2B5EF4-FFF2-40B4-BE49-F238E27FC236}">
              <a16:creationId xmlns:a16="http://schemas.microsoft.com/office/drawing/2014/main" id="{00000000-0008-0000-0500-000026020000}"/>
            </a:ext>
          </a:extLst>
        </xdr:cNvPr>
        <xdr:cNvSpPr txBox="1">
          <a:spLocks noChangeArrowheads="1"/>
        </xdr:cNvSpPr>
      </xdr:nvSpPr>
      <xdr:spPr bwMode="auto">
        <a:xfrm>
          <a:off x="12790343"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213632"/>
    <xdr:sp macro="" textlink="">
      <xdr:nvSpPr>
        <xdr:cNvPr id="551" name="Text Box 15">
          <a:extLst>
            <a:ext uri="{FF2B5EF4-FFF2-40B4-BE49-F238E27FC236}">
              <a16:creationId xmlns:a16="http://schemas.microsoft.com/office/drawing/2014/main" id="{00000000-0008-0000-0500-000027020000}"/>
            </a:ext>
          </a:extLst>
        </xdr:cNvPr>
        <xdr:cNvSpPr txBox="1">
          <a:spLocks noChangeArrowheads="1"/>
        </xdr:cNvSpPr>
      </xdr:nvSpPr>
      <xdr:spPr bwMode="auto">
        <a:xfrm>
          <a:off x="9374909" y="12870007"/>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213632"/>
    <xdr:sp macro="" textlink="">
      <xdr:nvSpPr>
        <xdr:cNvPr id="552" name="Text Box 15">
          <a:extLst>
            <a:ext uri="{FF2B5EF4-FFF2-40B4-BE49-F238E27FC236}">
              <a16:creationId xmlns:a16="http://schemas.microsoft.com/office/drawing/2014/main" id="{00000000-0008-0000-0500-000028020000}"/>
            </a:ext>
          </a:extLst>
        </xdr:cNvPr>
        <xdr:cNvSpPr txBox="1">
          <a:spLocks noChangeArrowheads="1"/>
        </xdr:cNvSpPr>
      </xdr:nvSpPr>
      <xdr:spPr bwMode="auto">
        <a:xfrm>
          <a:off x="9374909" y="12870007"/>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127</xdr:row>
      <xdr:rowOff>0</xdr:rowOff>
    </xdr:from>
    <xdr:ext cx="95250" cy="213632"/>
    <xdr:sp macro="" textlink="">
      <xdr:nvSpPr>
        <xdr:cNvPr id="553" name="Text Box 15">
          <a:extLst>
            <a:ext uri="{FF2B5EF4-FFF2-40B4-BE49-F238E27FC236}">
              <a16:creationId xmlns:a16="http://schemas.microsoft.com/office/drawing/2014/main" id="{00000000-0008-0000-0500-000029020000}"/>
            </a:ext>
          </a:extLst>
        </xdr:cNvPr>
        <xdr:cNvSpPr txBox="1">
          <a:spLocks noChangeArrowheads="1"/>
        </xdr:cNvSpPr>
      </xdr:nvSpPr>
      <xdr:spPr bwMode="auto">
        <a:xfrm>
          <a:off x="12790343" y="12870007"/>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127</xdr:row>
      <xdr:rowOff>0</xdr:rowOff>
    </xdr:from>
    <xdr:ext cx="95250" cy="213632"/>
    <xdr:sp macro="" textlink="">
      <xdr:nvSpPr>
        <xdr:cNvPr id="554" name="Text Box 15">
          <a:extLst>
            <a:ext uri="{FF2B5EF4-FFF2-40B4-BE49-F238E27FC236}">
              <a16:creationId xmlns:a16="http://schemas.microsoft.com/office/drawing/2014/main" id="{00000000-0008-0000-0500-00002A020000}"/>
            </a:ext>
          </a:extLst>
        </xdr:cNvPr>
        <xdr:cNvSpPr txBox="1">
          <a:spLocks noChangeArrowheads="1"/>
        </xdr:cNvSpPr>
      </xdr:nvSpPr>
      <xdr:spPr bwMode="auto">
        <a:xfrm>
          <a:off x="12790343" y="12870007"/>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213632"/>
    <xdr:sp macro="" textlink="">
      <xdr:nvSpPr>
        <xdr:cNvPr id="555" name="Text Box 15">
          <a:extLst>
            <a:ext uri="{FF2B5EF4-FFF2-40B4-BE49-F238E27FC236}">
              <a16:creationId xmlns:a16="http://schemas.microsoft.com/office/drawing/2014/main" id="{00000000-0008-0000-0500-00002B020000}"/>
            </a:ext>
          </a:extLst>
        </xdr:cNvPr>
        <xdr:cNvSpPr txBox="1">
          <a:spLocks noChangeArrowheads="1"/>
        </xdr:cNvSpPr>
      </xdr:nvSpPr>
      <xdr:spPr bwMode="auto">
        <a:xfrm>
          <a:off x="9374909"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213632"/>
    <xdr:sp macro="" textlink="">
      <xdr:nvSpPr>
        <xdr:cNvPr id="556" name="Text Box 15">
          <a:extLst>
            <a:ext uri="{FF2B5EF4-FFF2-40B4-BE49-F238E27FC236}">
              <a16:creationId xmlns:a16="http://schemas.microsoft.com/office/drawing/2014/main" id="{00000000-0008-0000-0500-00002C020000}"/>
            </a:ext>
          </a:extLst>
        </xdr:cNvPr>
        <xdr:cNvSpPr txBox="1">
          <a:spLocks noChangeArrowheads="1"/>
        </xdr:cNvSpPr>
      </xdr:nvSpPr>
      <xdr:spPr bwMode="auto">
        <a:xfrm>
          <a:off x="9374909"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213632"/>
    <xdr:sp macro="" textlink="">
      <xdr:nvSpPr>
        <xdr:cNvPr id="557" name="Text Box 15">
          <a:extLst>
            <a:ext uri="{FF2B5EF4-FFF2-40B4-BE49-F238E27FC236}">
              <a16:creationId xmlns:a16="http://schemas.microsoft.com/office/drawing/2014/main" id="{00000000-0008-0000-0500-00002D020000}"/>
            </a:ext>
          </a:extLst>
        </xdr:cNvPr>
        <xdr:cNvSpPr txBox="1">
          <a:spLocks noChangeArrowheads="1"/>
        </xdr:cNvSpPr>
      </xdr:nvSpPr>
      <xdr:spPr bwMode="auto">
        <a:xfrm>
          <a:off x="9374909"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213632"/>
    <xdr:sp macro="" textlink="">
      <xdr:nvSpPr>
        <xdr:cNvPr id="558" name="Text Box 15">
          <a:extLst>
            <a:ext uri="{FF2B5EF4-FFF2-40B4-BE49-F238E27FC236}">
              <a16:creationId xmlns:a16="http://schemas.microsoft.com/office/drawing/2014/main" id="{00000000-0008-0000-0500-00002E020000}"/>
            </a:ext>
          </a:extLst>
        </xdr:cNvPr>
        <xdr:cNvSpPr txBox="1">
          <a:spLocks noChangeArrowheads="1"/>
        </xdr:cNvSpPr>
      </xdr:nvSpPr>
      <xdr:spPr bwMode="auto">
        <a:xfrm>
          <a:off x="9374909"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213632"/>
    <xdr:sp macro="" textlink="">
      <xdr:nvSpPr>
        <xdr:cNvPr id="559" name="Text Box 15">
          <a:extLst>
            <a:ext uri="{FF2B5EF4-FFF2-40B4-BE49-F238E27FC236}">
              <a16:creationId xmlns:a16="http://schemas.microsoft.com/office/drawing/2014/main" id="{00000000-0008-0000-0500-00002F020000}"/>
            </a:ext>
          </a:extLst>
        </xdr:cNvPr>
        <xdr:cNvSpPr txBox="1">
          <a:spLocks noChangeArrowheads="1"/>
        </xdr:cNvSpPr>
      </xdr:nvSpPr>
      <xdr:spPr bwMode="auto">
        <a:xfrm>
          <a:off x="9374909"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213632"/>
    <xdr:sp macro="" textlink="">
      <xdr:nvSpPr>
        <xdr:cNvPr id="560" name="Text Box 15">
          <a:extLst>
            <a:ext uri="{FF2B5EF4-FFF2-40B4-BE49-F238E27FC236}">
              <a16:creationId xmlns:a16="http://schemas.microsoft.com/office/drawing/2014/main" id="{00000000-0008-0000-0500-000030020000}"/>
            </a:ext>
          </a:extLst>
        </xdr:cNvPr>
        <xdr:cNvSpPr txBox="1">
          <a:spLocks noChangeArrowheads="1"/>
        </xdr:cNvSpPr>
      </xdr:nvSpPr>
      <xdr:spPr bwMode="auto">
        <a:xfrm>
          <a:off x="9374909"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213632"/>
    <xdr:sp macro="" textlink="">
      <xdr:nvSpPr>
        <xdr:cNvPr id="561" name="Text Box 15">
          <a:extLst>
            <a:ext uri="{FF2B5EF4-FFF2-40B4-BE49-F238E27FC236}">
              <a16:creationId xmlns:a16="http://schemas.microsoft.com/office/drawing/2014/main" id="{00000000-0008-0000-0500-000031020000}"/>
            </a:ext>
          </a:extLst>
        </xdr:cNvPr>
        <xdr:cNvSpPr txBox="1">
          <a:spLocks noChangeArrowheads="1"/>
        </xdr:cNvSpPr>
      </xdr:nvSpPr>
      <xdr:spPr bwMode="auto">
        <a:xfrm>
          <a:off x="9374909"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127</xdr:row>
      <xdr:rowOff>0</xdr:rowOff>
    </xdr:from>
    <xdr:ext cx="95250" cy="213632"/>
    <xdr:sp macro="" textlink="">
      <xdr:nvSpPr>
        <xdr:cNvPr id="562" name="Text Box 15">
          <a:extLst>
            <a:ext uri="{FF2B5EF4-FFF2-40B4-BE49-F238E27FC236}">
              <a16:creationId xmlns:a16="http://schemas.microsoft.com/office/drawing/2014/main" id="{00000000-0008-0000-0500-000032020000}"/>
            </a:ext>
          </a:extLst>
        </xdr:cNvPr>
        <xdr:cNvSpPr txBox="1">
          <a:spLocks noChangeArrowheads="1"/>
        </xdr:cNvSpPr>
      </xdr:nvSpPr>
      <xdr:spPr bwMode="auto">
        <a:xfrm>
          <a:off x="12790343"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127</xdr:row>
      <xdr:rowOff>0</xdr:rowOff>
    </xdr:from>
    <xdr:ext cx="95250" cy="213632"/>
    <xdr:sp macro="" textlink="">
      <xdr:nvSpPr>
        <xdr:cNvPr id="563" name="Text Box 15">
          <a:extLst>
            <a:ext uri="{FF2B5EF4-FFF2-40B4-BE49-F238E27FC236}">
              <a16:creationId xmlns:a16="http://schemas.microsoft.com/office/drawing/2014/main" id="{00000000-0008-0000-0500-000033020000}"/>
            </a:ext>
          </a:extLst>
        </xdr:cNvPr>
        <xdr:cNvSpPr txBox="1">
          <a:spLocks noChangeArrowheads="1"/>
        </xdr:cNvSpPr>
      </xdr:nvSpPr>
      <xdr:spPr bwMode="auto">
        <a:xfrm>
          <a:off x="12790343"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127</xdr:row>
      <xdr:rowOff>0</xdr:rowOff>
    </xdr:from>
    <xdr:ext cx="95250" cy="213632"/>
    <xdr:sp macro="" textlink="">
      <xdr:nvSpPr>
        <xdr:cNvPr id="564" name="Text Box 15">
          <a:extLst>
            <a:ext uri="{FF2B5EF4-FFF2-40B4-BE49-F238E27FC236}">
              <a16:creationId xmlns:a16="http://schemas.microsoft.com/office/drawing/2014/main" id="{00000000-0008-0000-0500-000034020000}"/>
            </a:ext>
          </a:extLst>
        </xdr:cNvPr>
        <xdr:cNvSpPr txBox="1">
          <a:spLocks noChangeArrowheads="1"/>
        </xdr:cNvSpPr>
      </xdr:nvSpPr>
      <xdr:spPr bwMode="auto">
        <a:xfrm>
          <a:off x="12790343"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127</xdr:row>
      <xdr:rowOff>0</xdr:rowOff>
    </xdr:from>
    <xdr:ext cx="95250" cy="213632"/>
    <xdr:sp macro="" textlink="">
      <xdr:nvSpPr>
        <xdr:cNvPr id="565" name="Text Box 15">
          <a:extLst>
            <a:ext uri="{FF2B5EF4-FFF2-40B4-BE49-F238E27FC236}">
              <a16:creationId xmlns:a16="http://schemas.microsoft.com/office/drawing/2014/main" id="{00000000-0008-0000-0500-000035020000}"/>
            </a:ext>
          </a:extLst>
        </xdr:cNvPr>
        <xdr:cNvSpPr txBox="1">
          <a:spLocks noChangeArrowheads="1"/>
        </xdr:cNvSpPr>
      </xdr:nvSpPr>
      <xdr:spPr bwMode="auto">
        <a:xfrm>
          <a:off x="12790343"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127</xdr:row>
      <xdr:rowOff>0</xdr:rowOff>
    </xdr:from>
    <xdr:ext cx="95250" cy="213632"/>
    <xdr:sp macro="" textlink="">
      <xdr:nvSpPr>
        <xdr:cNvPr id="566" name="Text Box 15">
          <a:extLst>
            <a:ext uri="{FF2B5EF4-FFF2-40B4-BE49-F238E27FC236}">
              <a16:creationId xmlns:a16="http://schemas.microsoft.com/office/drawing/2014/main" id="{00000000-0008-0000-0500-000036020000}"/>
            </a:ext>
          </a:extLst>
        </xdr:cNvPr>
        <xdr:cNvSpPr txBox="1">
          <a:spLocks noChangeArrowheads="1"/>
        </xdr:cNvSpPr>
      </xdr:nvSpPr>
      <xdr:spPr bwMode="auto">
        <a:xfrm>
          <a:off x="12790343"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127</xdr:row>
      <xdr:rowOff>0</xdr:rowOff>
    </xdr:from>
    <xdr:ext cx="95250" cy="213632"/>
    <xdr:sp macro="" textlink="">
      <xdr:nvSpPr>
        <xdr:cNvPr id="567" name="Text Box 15">
          <a:extLst>
            <a:ext uri="{FF2B5EF4-FFF2-40B4-BE49-F238E27FC236}">
              <a16:creationId xmlns:a16="http://schemas.microsoft.com/office/drawing/2014/main" id="{00000000-0008-0000-0500-000037020000}"/>
            </a:ext>
          </a:extLst>
        </xdr:cNvPr>
        <xdr:cNvSpPr txBox="1">
          <a:spLocks noChangeArrowheads="1"/>
        </xdr:cNvSpPr>
      </xdr:nvSpPr>
      <xdr:spPr bwMode="auto">
        <a:xfrm>
          <a:off x="12790343"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127</xdr:row>
      <xdr:rowOff>0</xdr:rowOff>
    </xdr:from>
    <xdr:ext cx="95250" cy="213632"/>
    <xdr:sp macro="" textlink="">
      <xdr:nvSpPr>
        <xdr:cNvPr id="568" name="Text Box 15">
          <a:extLst>
            <a:ext uri="{FF2B5EF4-FFF2-40B4-BE49-F238E27FC236}">
              <a16:creationId xmlns:a16="http://schemas.microsoft.com/office/drawing/2014/main" id="{00000000-0008-0000-0500-000038020000}"/>
            </a:ext>
          </a:extLst>
        </xdr:cNvPr>
        <xdr:cNvSpPr txBox="1">
          <a:spLocks noChangeArrowheads="1"/>
        </xdr:cNvSpPr>
      </xdr:nvSpPr>
      <xdr:spPr bwMode="auto">
        <a:xfrm>
          <a:off x="12790343"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213632"/>
    <xdr:sp macro="" textlink="">
      <xdr:nvSpPr>
        <xdr:cNvPr id="569" name="Text Box 15">
          <a:extLst>
            <a:ext uri="{FF2B5EF4-FFF2-40B4-BE49-F238E27FC236}">
              <a16:creationId xmlns:a16="http://schemas.microsoft.com/office/drawing/2014/main" id="{00000000-0008-0000-0500-000039020000}"/>
            </a:ext>
          </a:extLst>
        </xdr:cNvPr>
        <xdr:cNvSpPr txBox="1">
          <a:spLocks noChangeArrowheads="1"/>
        </xdr:cNvSpPr>
      </xdr:nvSpPr>
      <xdr:spPr bwMode="auto">
        <a:xfrm>
          <a:off x="9374909" y="12870007"/>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213632"/>
    <xdr:sp macro="" textlink="">
      <xdr:nvSpPr>
        <xdr:cNvPr id="570" name="Text Box 15">
          <a:extLst>
            <a:ext uri="{FF2B5EF4-FFF2-40B4-BE49-F238E27FC236}">
              <a16:creationId xmlns:a16="http://schemas.microsoft.com/office/drawing/2014/main" id="{00000000-0008-0000-0500-00003A020000}"/>
            </a:ext>
          </a:extLst>
        </xdr:cNvPr>
        <xdr:cNvSpPr txBox="1">
          <a:spLocks noChangeArrowheads="1"/>
        </xdr:cNvSpPr>
      </xdr:nvSpPr>
      <xdr:spPr bwMode="auto">
        <a:xfrm>
          <a:off x="9374909" y="12870007"/>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127</xdr:row>
      <xdr:rowOff>0</xdr:rowOff>
    </xdr:from>
    <xdr:ext cx="95250" cy="213632"/>
    <xdr:sp macro="" textlink="">
      <xdr:nvSpPr>
        <xdr:cNvPr id="571" name="Text Box 15">
          <a:extLst>
            <a:ext uri="{FF2B5EF4-FFF2-40B4-BE49-F238E27FC236}">
              <a16:creationId xmlns:a16="http://schemas.microsoft.com/office/drawing/2014/main" id="{00000000-0008-0000-0500-00003B020000}"/>
            </a:ext>
          </a:extLst>
        </xdr:cNvPr>
        <xdr:cNvSpPr txBox="1">
          <a:spLocks noChangeArrowheads="1"/>
        </xdr:cNvSpPr>
      </xdr:nvSpPr>
      <xdr:spPr bwMode="auto">
        <a:xfrm>
          <a:off x="12790343" y="12870007"/>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127</xdr:row>
      <xdr:rowOff>0</xdr:rowOff>
    </xdr:from>
    <xdr:ext cx="95250" cy="213632"/>
    <xdr:sp macro="" textlink="">
      <xdr:nvSpPr>
        <xdr:cNvPr id="572" name="Text Box 15">
          <a:extLst>
            <a:ext uri="{FF2B5EF4-FFF2-40B4-BE49-F238E27FC236}">
              <a16:creationId xmlns:a16="http://schemas.microsoft.com/office/drawing/2014/main" id="{00000000-0008-0000-0500-00003C020000}"/>
            </a:ext>
          </a:extLst>
        </xdr:cNvPr>
        <xdr:cNvSpPr txBox="1">
          <a:spLocks noChangeArrowheads="1"/>
        </xdr:cNvSpPr>
      </xdr:nvSpPr>
      <xdr:spPr bwMode="auto">
        <a:xfrm>
          <a:off x="12790343" y="12870007"/>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213632"/>
    <xdr:sp macro="" textlink="">
      <xdr:nvSpPr>
        <xdr:cNvPr id="573" name="Text Box 15">
          <a:extLst>
            <a:ext uri="{FF2B5EF4-FFF2-40B4-BE49-F238E27FC236}">
              <a16:creationId xmlns:a16="http://schemas.microsoft.com/office/drawing/2014/main" id="{00000000-0008-0000-0500-00003D020000}"/>
            </a:ext>
          </a:extLst>
        </xdr:cNvPr>
        <xdr:cNvSpPr txBox="1">
          <a:spLocks noChangeArrowheads="1"/>
        </xdr:cNvSpPr>
      </xdr:nvSpPr>
      <xdr:spPr bwMode="auto">
        <a:xfrm>
          <a:off x="9374909"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213632"/>
    <xdr:sp macro="" textlink="">
      <xdr:nvSpPr>
        <xdr:cNvPr id="574" name="Text Box 15">
          <a:extLst>
            <a:ext uri="{FF2B5EF4-FFF2-40B4-BE49-F238E27FC236}">
              <a16:creationId xmlns:a16="http://schemas.microsoft.com/office/drawing/2014/main" id="{00000000-0008-0000-0500-00003E020000}"/>
            </a:ext>
          </a:extLst>
        </xdr:cNvPr>
        <xdr:cNvSpPr txBox="1">
          <a:spLocks noChangeArrowheads="1"/>
        </xdr:cNvSpPr>
      </xdr:nvSpPr>
      <xdr:spPr bwMode="auto">
        <a:xfrm>
          <a:off x="9374909"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213632"/>
    <xdr:sp macro="" textlink="">
      <xdr:nvSpPr>
        <xdr:cNvPr id="575" name="Text Box 15">
          <a:extLst>
            <a:ext uri="{FF2B5EF4-FFF2-40B4-BE49-F238E27FC236}">
              <a16:creationId xmlns:a16="http://schemas.microsoft.com/office/drawing/2014/main" id="{00000000-0008-0000-0500-00003F020000}"/>
            </a:ext>
          </a:extLst>
        </xdr:cNvPr>
        <xdr:cNvSpPr txBox="1">
          <a:spLocks noChangeArrowheads="1"/>
        </xdr:cNvSpPr>
      </xdr:nvSpPr>
      <xdr:spPr bwMode="auto">
        <a:xfrm>
          <a:off x="9374909"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213632"/>
    <xdr:sp macro="" textlink="">
      <xdr:nvSpPr>
        <xdr:cNvPr id="576" name="Text Box 15">
          <a:extLst>
            <a:ext uri="{FF2B5EF4-FFF2-40B4-BE49-F238E27FC236}">
              <a16:creationId xmlns:a16="http://schemas.microsoft.com/office/drawing/2014/main" id="{00000000-0008-0000-0500-000040020000}"/>
            </a:ext>
          </a:extLst>
        </xdr:cNvPr>
        <xdr:cNvSpPr txBox="1">
          <a:spLocks noChangeArrowheads="1"/>
        </xdr:cNvSpPr>
      </xdr:nvSpPr>
      <xdr:spPr bwMode="auto">
        <a:xfrm>
          <a:off x="9374909"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213632"/>
    <xdr:sp macro="" textlink="">
      <xdr:nvSpPr>
        <xdr:cNvPr id="577" name="Text Box 15">
          <a:extLst>
            <a:ext uri="{FF2B5EF4-FFF2-40B4-BE49-F238E27FC236}">
              <a16:creationId xmlns:a16="http://schemas.microsoft.com/office/drawing/2014/main" id="{00000000-0008-0000-0500-000041020000}"/>
            </a:ext>
          </a:extLst>
        </xdr:cNvPr>
        <xdr:cNvSpPr txBox="1">
          <a:spLocks noChangeArrowheads="1"/>
        </xdr:cNvSpPr>
      </xdr:nvSpPr>
      <xdr:spPr bwMode="auto">
        <a:xfrm>
          <a:off x="9374909"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213632"/>
    <xdr:sp macro="" textlink="">
      <xdr:nvSpPr>
        <xdr:cNvPr id="578" name="Text Box 15">
          <a:extLst>
            <a:ext uri="{FF2B5EF4-FFF2-40B4-BE49-F238E27FC236}">
              <a16:creationId xmlns:a16="http://schemas.microsoft.com/office/drawing/2014/main" id="{00000000-0008-0000-0500-000042020000}"/>
            </a:ext>
          </a:extLst>
        </xdr:cNvPr>
        <xdr:cNvSpPr txBox="1">
          <a:spLocks noChangeArrowheads="1"/>
        </xdr:cNvSpPr>
      </xdr:nvSpPr>
      <xdr:spPr bwMode="auto">
        <a:xfrm>
          <a:off x="9374909"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213632"/>
    <xdr:sp macro="" textlink="">
      <xdr:nvSpPr>
        <xdr:cNvPr id="579" name="Text Box 15">
          <a:extLst>
            <a:ext uri="{FF2B5EF4-FFF2-40B4-BE49-F238E27FC236}">
              <a16:creationId xmlns:a16="http://schemas.microsoft.com/office/drawing/2014/main" id="{00000000-0008-0000-0500-000043020000}"/>
            </a:ext>
          </a:extLst>
        </xdr:cNvPr>
        <xdr:cNvSpPr txBox="1">
          <a:spLocks noChangeArrowheads="1"/>
        </xdr:cNvSpPr>
      </xdr:nvSpPr>
      <xdr:spPr bwMode="auto">
        <a:xfrm>
          <a:off x="9374909"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127</xdr:row>
      <xdr:rowOff>0</xdr:rowOff>
    </xdr:from>
    <xdr:ext cx="95250" cy="213632"/>
    <xdr:sp macro="" textlink="">
      <xdr:nvSpPr>
        <xdr:cNvPr id="580" name="Text Box 15">
          <a:extLst>
            <a:ext uri="{FF2B5EF4-FFF2-40B4-BE49-F238E27FC236}">
              <a16:creationId xmlns:a16="http://schemas.microsoft.com/office/drawing/2014/main" id="{00000000-0008-0000-0500-000044020000}"/>
            </a:ext>
          </a:extLst>
        </xdr:cNvPr>
        <xdr:cNvSpPr txBox="1">
          <a:spLocks noChangeArrowheads="1"/>
        </xdr:cNvSpPr>
      </xdr:nvSpPr>
      <xdr:spPr bwMode="auto">
        <a:xfrm>
          <a:off x="12790343"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127</xdr:row>
      <xdr:rowOff>0</xdr:rowOff>
    </xdr:from>
    <xdr:ext cx="95250" cy="213632"/>
    <xdr:sp macro="" textlink="">
      <xdr:nvSpPr>
        <xdr:cNvPr id="581" name="Text Box 15">
          <a:extLst>
            <a:ext uri="{FF2B5EF4-FFF2-40B4-BE49-F238E27FC236}">
              <a16:creationId xmlns:a16="http://schemas.microsoft.com/office/drawing/2014/main" id="{00000000-0008-0000-0500-000045020000}"/>
            </a:ext>
          </a:extLst>
        </xdr:cNvPr>
        <xdr:cNvSpPr txBox="1">
          <a:spLocks noChangeArrowheads="1"/>
        </xdr:cNvSpPr>
      </xdr:nvSpPr>
      <xdr:spPr bwMode="auto">
        <a:xfrm>
          <a:off x="12790343"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127</xdr:row>
      <xdr:rowOff>0</xdr:rowOff>
    </xdr:from>
    <xdr:ext cx="95250" cy="213632"/>
    <xdr:sp macro="" textlink="">
      <xdr:nvSpPr>
        <xdr:cNvPr id="582" name="Text Box 15">
          <a:extLst>
            <a:ext uri="{FF2B5EF4-FFF2-40B4-BE49-F238E27FC236}">
              <a16:creationId xmlns:a16="http://schemas.microsoft.com/office/drawing/2014/main" id="{00000000-0008-0000-0500-000046020000}"/>
            </a:ext>
          </a:extLst>
        </xdr:cNvPr>
        <xdr:cNvSpPr txBox="1">
          <a:spLocks noChangeArrowheads="1"/>
        </xdr:cNvSpPr>
      </xdr:nvSpPr>
      <xdr:spPr bwMode="auto">
        <a:xfrm>
          <a:off x="12790343"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127</xdr:row>
      <xdr:rowOff>0</xdr:rowOff>
    </xdr:from>
    <xdr:ext cx="95250" cy="213632"/>
    <xdr:sp macro="" textlink="">
      <xdr:nvSpPr>
        <xdr:cNvPr id="583" name="Text Box 15">
          <a:extLst>
            <a:ext uri="{FF2B5EF4-FFF2-40B4-BE49-F238E27FC236}">
              <a16:creationId xmlns:a16="http://schemas.microsoft.com/office/drawing/2014/main" id="{00000000-0008-0000-0500-000047020000}"/>
            </a:ext>
          </a:extLst>
        </xdr:cNvPr>
        <xdr:cNvSpPr txBox="1">
          <a:spLocks noChangeArrowheads="1"/>
        </xdr:cNvSpPr>
      </xdr:nvSpPr>
      <xdr:spPr bwMode="auto">
        <a:xfrm>
          <a:off x="12790343"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127</xdr:row>
      <xdr:rowOff>0</xdr:rowOff>
    </xdr:from>
    <xdr:ext cx="95250" cy="213632"/>
    <xdr:sp macro="" textlink="">
      <xdr:nvSpPr>
        <xdr:cNvPr id="584" name="Text Box 15">
          <a:extLst>
            <a:ext uri="{FF2B5EF4-FFF2-40B4-BE49-F238E27FC236}">
              <a16:creationId xmlns:a16="http://schemas.microsoft.com/office/drawing/2014/main" id="{00000000-0008-0000-0500-000048020000}"/>
            </a:ext>
          </a:extLst>
        </xdr:cNvPr>
        <xdr:cNvSpPr txBox="1">
          <a:spLocks noChangeArrowheads="1"/>
        </xdr:cNvSpPr>
      </xdr:nvSpPr>
      <xdr:spPr bwMode="auto">
        <a:xfrm>
          <a:off x="12790343"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127</xdr:row>
      <xdr:rowOff>0</xdr:rowOff>
    </xdr:from>
    <xdr:ext cx="95250" cy="213632"/>
    <xdr:sp macro="" textlink="">
      <xdr:nvSpPr>
        <xdr:cNvPr id="585" name="Text Box 15">
          <a:extLst>
            <a:ext uri="{FF2B5EF4-FFF2-40B4-BE49-F238E27FC236}">
              <a16:creationId xmlns:a16="http://schemas.microsoft.com/office/drawing/2014/main" id="{00000000-0008-0000-0500-000049020000}"/>
            </a:ext>
          </a:extLst>
        </xdr:cNvPr>
        <xdr:cNvSpPr txBox="1">
          <a:spLocks noChangeArrowheads="1"/>
        </xdr:cNvSpPr>
      </xdr:nvSpPr>
      <xdr:spPr bwMode="auto">
        <a:xfrm>
          <a:off x="12790343"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127</xdr:row>
      <xdr:rowOff>0</xdr:rowOff>
    </xdr:from>
    <xdr:ext cx="95250" cy="213632"/>
    <xdr:sp macro="" textlink="">
      <xdr:nvSpPr>
        <xdr:cNvPr id="586" name="Text Box 15">
          <a:extLst>
            <a:ext uri="{FF2B5EF4-FFF2-40B4-BE49-F238E27FC236}">
              <a16:creationId xmlns:a16="http://schemas.microsoft.com/office/drawing/2014/main" id="{00000000-0008-0000-0500-00004A020000}"/>
            </a:ext>
          </a:extLst>
        </xdr:cNvPr>
        <xdr:cNvSpPr txBox="1">
          <a:spLocks noChangeArrowheads="1"/>
        </xdr:cNvSpPr>
      </xdr:nvSpPr>
      <xdr:spPr bwMode="auto">
        <a:xfrm>
          <a:off x="12790343"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213632"/>
    <xdr:sp macro="" textlink="">
      <xdr:nvSpPr>
        <xdr:cNvPr id="587" name="Text Box 15">
          <a:extLst>
            <a:ext uri="{FF2B5EF4-FFF2-40B4-BE49-F238E27FC236}">
              <a16:creationId xmlns:a16="http://schemas.microsoft.com/office/drawing/2014/main" id="{00000000-0008-0000-0500-00004B020000}"/>
            </a:ext>
          </a:extLst>
        </xdr:cNvPr>
        <xdr:cNvSpPr txBox="1">
          <a:spLocks noChangeArrowheads="1"/>
        </xdr:cNvSpPr>
      </xdr:nvSpPr>
      <xdr:spPr bwMode="auto">
        <a:xfrm>
          <a:off x="9374909" y="12870007"/>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213632"/>
    <xdr:sp macro="" textlink="">
      <xdr:nvSpPr>
        <xdr:cNvPr id="588" name="Text Box 15">
          <a:extLst>
            <a:ext uri="{FF2B5EF4-FFF2-40B4-BE49-F238E27FC236}">
              <a16:creationId xmlns:a16="http://schemas.microsoft.com/office/drawing/2014/main" id="{00000000-0008-0000-0500-00004C020000}"/>
            </a:ext>
          </a:extLst>
        </xdr:cNvPr>
        <xdr:cNvSpPr txBox="1">
          <a:spLocks noChangeArrowheads="1"/>
        </xdr:cNvSpPr>
      </xdr:nvSpPr>
      <xdr:spPr bwMode="auto">
        <a:xfrm>
          <a:off x="9374909" y="12870007"/>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127</xdr:row>
      <xdr:rowOff>0</xdr:rowOff>
    </xdr:from>
    <xdr:ext cx="95250" cy="213632"/>
    <xdr:sp macro="" textlink="">
      <xdr:nvSpPr>
        <xdr:cNvPr id="589" name="Text Box 15">
          <a:extLst>
            <a:ext uri="{FF2B5EF4-FFF2-40B4-BE49-F238E27FC236}">
              <a16:creationId xmlns:a16="http://schemas.microsoft.com/office/drawing/2014/main" id="{00000000-0008-0000-0500-00004D020000}"/>
            </a:ext>
          </a:extLst>
        </xdr:cNvPr>
        <xdr:cNvSpPr txBox="1">
          <a:spLocks noChangeArrowheads="1"/>
        </xdr:cNvSpPr>
      </xdr:nvSpPr>
      <xdr:spPr bwMode="auto">
        <a:xfrm>
          <a:off x="12790343" y="12870007"/>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127</xdr:row>
      <xdr:rowOff>0</xdr:rowOff>
    </xdr:from>
    <xdr:ext cx="95250" cy="213632"/>
    <xdr:sp macro="" textlink="">
      <xdr:nvSpPr>
        <xdr:cNvPr id="590" name="Text Box 15">
          <a:extLst>
            <a:ext uri="{FF2B5EF4-FFF2-40B4-BE49-F238E27FC236}">
              <a16:creationId xmlns:a16="http://schemas.microsoft.com/office/drawing/2014/main" id="{00000000-0008-0000-0500-00004E020000}"/>
            </a:ext>
          </a:extLst>
        </xdr:cNvPr>
        <xdr:cNvSpPr txBox="1">
          <a:spLocks noChangeArrowheads="1"/>
        </xdr:cNvSpPr>
      </xdr:nvSpPr>
      <xdr:spPr bwMode="auto">
        <a:xfrm>
          <a:off x="12790343" y="12870007"/>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213632"/>
    <xdr:sp macro="" textlink="">
      <xdr:nvSpPr>
        <xdr:cNvPr id="591" name="Text Box 15">
          <a:extLst>
            <a:ext uri="{FF2B5EF4-FFF2-40B4-BE49-F238E27FC236}">
              <a16:creationId xmlns:a16="http://schemas.microsoft.com/office/drawing/2014/main" id="{00000000-0008-0000-0500-00004F020000}"/>
            </a:ext>
          </a:extLst>
        </xdr:cNvPr>
        <xdr:cNvSpPr txBox="1">
          <a:spLocks noChangeArrowheads="1"/>
        </xdr:cNvSpPr>
      </xdr:nvSpPr>
      <xdr:spPr bwMode="auto">
        <a:xfrm>
          <a:off x="9374909"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213632"/>
    <xdr:sp macro="" textlink="">
      <xdr:nvSpPr>
        <xdr:cNvPr id="592" name="Text Box 15">
          <a:extLst>
            <a:ext uri="{FF2B5EF4-FFF2-40B4-BE49-F238E27FC236}">
              <a16:creationId xmlns:a16="http://schemas.microsoft.com/office/drawing/2014/main" id="{00000000-0008-0000-0500-000050020000}"/>
            </a:ext>
          </a:extLst>
        </xdr:cNvPr>
        <xdr:cNvSpPr txBox="1">
          <a:spLocks noChangeArrowheads="1"/>
        </xdr:cNvSpPr>
      </xdr:nvSpPr>
      <xdr:spPr bwMode="auto">
        <a:xfrm>
          <a:off x="9374909"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213632"/>
    <xdr:sp macro="" textlink="">
      <xdr:nvSpPr>
        <xdr:cNvPr id="593" name="Text Box 15">
          <a:extLst>
            <a:ext uri="{FF2B5EF4-FFF2-40B4-BE49-F238E27FC236}">
              <a16:creationId xmlns:a16="http://schemas.microsoft.com/office/drawing/2014/main" id="{00000000-0008-0000-0500-000051020000}"/>
            </a:ext>
          </a:extLst>
        </xdr:cNvPr>
        <xdr:cNvSpPr txBox="1">
          <a:spLocks noChangeArrowheads="1"/>
        </xdr:cNvSpPr>
      </xdr:nvSpPr>
      <xdr:spPr bwMode="auto">
        <a:xfrm>
          <a:off x="9374909"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213632"/>
    <xdr:sp macro="" textlink="">
      <xdr:nvSpPr>
        <xdr:cNvPr id="594" name="Text Box 15">
          <a:extLst>
            <a:ext uri="{FF2B5EF4-FFF2-40B4-BE49-F238E27FC236}">
              <a16:creationId xmlns:a16="http://schemas.microsoft.com/office/drawing/2014/main" id="{00000000-0008-0000-0500-000052020000}"/>
            </a:ext>
          </a:extLst>
        </xdr:cNvPr>
        <xdr:cNvSpPr txBox="1">
          <a:spLocks noChangeArrowheads="1"/>
        </xdr:cNvSpPr>
      </xdr:nvSpPr>
      <xdr:spPr bwMode="auto">
        <a:xfrm>
          <a:off x="9374909"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213632"/>
    <xdr:sp macro="" textlink="">
      <xdr:nvSpPr>
        <xdr:cNvPr id="595" name="Text Box 15">
          <a:extLst>
            <a:ext uri="{FF2B5EF4-FFF2-40B4-BE49-F238E27FC236}">
              <a16:creationId xmlns:a16="http://schemas.microsoft.com/office/drawing/2014/main" id="{00000000-0008-0000-0500-000053020000}"/>
            </a:ext>
          </a:extLst>
        </xdr:cNvPr>
        <xdr:cNvSpPr txBox="1">
          <a:spLocks noChangeArrowheads="1"/>
        </xdr:cNvSpPr>
      </xdr:nvSpPr>
      <xdr:spPr bwMode="auto">
        <a:xfrm>
          <a:off x="9374909"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213632"/>
    <xdr:sp macro="" textlink="">
      <xdr:nvSpPr>
        <xdr:cNvPr id="596" name="Text Box 15">
          <a:extLst>
            <a:ext uri="{FF2B5EF4-FFF2-40B4-BE49-F238E27FC236}">
              <a16:creationId xmlns:a16="http://schemas.microsoft.com/office/drawing/2014/main" id="{00000000-0008-0000-0500-000054020000}"/>
            </a:ext>
          </a:extLst>
        </xdr:cNvPr>
        <xdr:cNvSpPr txBox="1">
          <a:spLocks noChangeArrowheads="1"/>
        </xdr:cNvSpPr>
      </xdr:nvSpPr>
      <xdr:spPr bwMode="auto">
        <a:xfrm>
          <a:off x="9374909"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213632"/>
    <xdr:sp macro="" textlink="">
      <xdr:nvSpPr>
        <xdr:cNvPr id="597" name="Text Box 15">
          <a:extLst>
            <a:ext uri="{FF2B5EF4-FFF2-40B4-BE49-F238E27FC236}">
              <a16:creationId xmlns:a16="http://schemas.microsoft.com/office/drawing/2014/main" id="{00000000-0008-0000-0500-000055020000}"/>
            </a:ext>
          </a:extLst>
        </xdr:cNvPr>
        <xdr:cNvSpPr txBox="1">
          <a:spLocks noChangeArrowheads="1"/>
        </xdr:cNvSpPr>
      </xdr:nvSpPr>
      <xdr:spPr bwMode="auto">
        <a:xfrm>
          <a:off x="9374909"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127</xdr:row>
      <xdr:rowOff>0</xdr:rowOff>
    </xdr:from>
    <xdr:ext cx="95250" cy="213632"/>
    <xdr:sp macro="" textlink="">
      <xdr:nvSpPr>
        <xdr:cNvPr id="598" name="Text Box 15">
          <a:extLst>
            <a:ext uri="{FF2B5EF4-FFF2-40B4-BE49-F238E27FC236}">
              <a16:creationId xmlns:a16="http://schemas.microsoft.com/office/drawing/2014/main" id="{00000000-0008-0000-0500-000056020000}"/>
            </a:ext>
          </a:extLst>
        </xdr:cNvPr>
        <xdr:cNvSpPr txBox="1">
          <a:spLocks noChangeArrowheads="1"/>
        </xdr:cNvSpPr>
      </xdr:nvSpPr>
      <xdr:spPr bwMode="auto">
        <a:xfrm>
          <a:off x="12790343"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127</xdr:row>
      <xdr:rowOff>0</xdr:rowOff>
    </xdr:from>
    <xdr:ext cx="95250" cy="213632"/>
    <xdr:sp macro="" textlink="">
      <xdr:nvSpPr>
        <xdr:cNvPr id="599" name="Text Box 15">
          <a:extLst>
            <a:ext uri="{FF2B5EF4-FFF2-40B4-BE49-F238E27FC236}">
              <a16:creationId xmlns:a16="http://schemas.microsoft.com/office/drawing/2014/main" id="{00000000-0008-0000-0500-000057020000}"/>
            </a:ext>
          </a:extLst>
        </xdr:cNvPr>
        <xdr:cNvSpPr txBox="1">
          <a:spLocks noChangeArrowheads="1"/>
        </xdr:cNvSpPr>
      </xdr:nvSpPr>
      <xdr:spPr bwMode="auto">
        <a:xfrm>
          <a:off x="12790343"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127</xdr:row>
      <xdr:rowOff>0</xdr:rowOff>
    </xdr:from>
    <xdr:ext cx="95250" cy="213632"/>
    <xdr:sp macro="" textlink="">
      <xdr:nvSpPr>
        <xdr:cNvPr id="600" name="Text Box 15">
          <a:extLst>
            <a:ext uri="{FF2B5EF4-FFF2-40B4-BE49-F238E27FC236}">
              <a16:creationId xmlns:a16="http://schemas.microsoft.com/office/drawing/2014/main" id="{00000000-0008-0000-0500-000058020000}"/>
            </a:ext>
          </a:extLst>
        </xdr:cNvPr>
        <xdr:cNvSpPr txBox="1">
          <a:spLocks noChangeArrowheads="1"/>
        </xdr:cNvSpPr>
      </xdr:nvSpPr>
      <xdr:spPr bwMode="auto">
        <a:xfrm>
          <a:off x="12790343"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127</xdr:row>
      <xdr:rowOff>0</xdr:rowOff>
    </xdr:from>
    <xdr:ext cx="95250" cy="213632"/>
    <xdr:sp macro="" textlink="">
      <xdr:nvSpPr>
        <xdr:cNvPr id="601" name="Text Box 15">
          <a:extLst>
            <a:ext uri="{FF2B5EF4-FFF2-40B4-BE49-F238E27FC236}">
              <a16:creationId xmlns:a16="http://schemas.microsoft.com/office/drawing/2014/main" id="{00000000-0008-0000-0500-000059020000}"/>
            </a:ext>
          </a:extLst>
        </xdr:cNvPr>
        <xdr:cNvSpPr txBox="1">
          <a:spLocks noChangeArrowheads="1"/>
        </xdr:cNvSpPr>
      </xdr:nvSpPr>
      <xdr:spPr bwMode="auto">
        <a:xfrm>
          <a:off x="12790343"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127</xdr:row>
      <xdr:rowOff>0</xdr:rowOff>
    </xdr:from>
    <xdr:ext cx="95250" cy="213632"/>
    <xdr:sp macro="" textlink="">
      <xdr:nvSpPr>
        <xdr:cNvPr id="602" name="Text Box 15">
          <a:extLst>
            <a:ext uri="{FF2B5EF4-FFF2-40B4-BE49-F238E27FC236}">
              <a16:creationId xmlns:a16="http://schemas.microsoft.com/office/drawing/2014/main" id="{00000000-0008-0000-0500-00005A020000}"/>
            </a:ext>
          </a:extLst>
        </xdr:cNvPr>
        <xdr:cNvSpPr txBox="1">
          <a:spLocks noChangeArrowheads="1"/>
        </xdr:cNvSpPr>
      </xdr:nvSpPr>
      <xdr:spPr bwMode="auto">
        <a:xfrm>
          <a:off x="12790343"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127</xdr:row>
      <xdr:rowOff>0</xdr:rowOff>
    </xdr:from>
    <xdr:ext cx="95250" cy="213632"/>
    <xdr:sp macro="" textlink="">
      <xdr:nvSpPr>
        <xdr:cNvPr id="603" name="Text Box 15">
          <a:extLst>
            <a:ext uri="{FF2B5EF4-FFF2-40B4-BE49-F238E27FC236}">
              <a16:creationId xmlns:a16="http://schemas.microsoft.com/office/drawing/2014/main" id="{00000000-0008-0000-0500-00005B020000}"/>
            </a:ext>
          </a:extLst>
        </xdr:cNvPr>
        <xdr:cNvSpPr txBox="1">
          <a:spLocks noChangeArrowheads="1"/>
        </xdr:cNvSpPr>
      </xdr:nvSpPr>
      <xdr:spPr bwMode="auto">
        <a:xfrm>
          <a:off x="12790343"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127</xdr:row>
      <xdr:rowOff>0</xdr:rowOff>
    </xdr:from>
    <xdr:ext cx="95250" cy="213632"/>
    <xdr:sp macro="" textlink="">
      <xdr:nvSpPr>
        <xdr:cNvPr id="604" name="Text Box 15">
          <a:extLst>
            <a:ext uri="{FF2B5EF4-FFF2-40B4-BE49-F238E27FC236}">
              <a16:creationId xmlns:a16="http://schemas.microsoft.com/office/drawing/2014/main" id="{00000000-0008-0000-0500-00005C020000}"/>
            </a:ext>
          </a:extLst>
        </xdr:cNvPr>
        <xdr:cNvSpPr txBox="1">
          <a:spLocks noChangeArrowheads="1"/>
        </xdr:cNvSpPr>
      </xdr:nvSpPr>
      <xdr:spPr bwMode="auto">
        <a:xfrm>
          <a:off x="12790343"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213632"/>
    <xdr:sp macro="" textlink="">
      <xdr:nvSpPr>
        <xdr:cNvPr id="605" name="Text Box 15">
          <a:extLst>
            <a:ext uri="{FF2B5EF4-FFF2-40B4-BE49-F238E27FC236}">
              <a16:creationId xmlns:a16="http://schemas.microsoft.com/office/drawing/2014/main" id="{00000000-0008-0000-0500-00005D020000}"/>
            </a:ext>
          </a:extLst>
        </xdr:cNvPr>
        <xdr:cNvSpPr txBox="1">
          <a:spLocks noChangeArrowheads="1"/>
        </xdr:cNvSpPr>
      </xdr:nvSpPr>
      <xdr:spPr bwMode="auto">
        <a:xfrm>
          <a:off x="9374909" y="12870007"/>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213632"/>
    <xdr:sp macro="" textlink="">
      <xdr:nvSpPr>
        <xdr:cNvPr id="606" name="Text Box 15">
          <a:extLst>
            <a:ext uri="{FF2B5EF4-FFF2-40B4-BE49-F238E27FC236}">
              <a16:creationId xmlns:a16="http://schemas.microsoft.com/office/drawing/2014/main" id="{00000000-0008-0000-0500-00005E020000}"/>
            </a:ext>
          </a:extLst>
        </xdr:cNvPr>
        <xdr:cNvSpPr txBox="1">
          <a:spLocks noChangeArrowheads="1"/>
        </xdr:cNvSpPr>
      </xdr:nvSpPr>
      <xdr:spPr bwMode="auto">
        <a:xfrm>
          <a:off x="9374909" y="12870007"/>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127</xdr:row>
      <xdr:rowOff>0</xdr:rowOff>
    </xdr:from>
    <xdr:ext cx="95250" cy="213632"/>
    <xdr:sp macro="" textlink="">
      <xdr:nvSpPr>
        <xdr:cNvPr id="607" name="Text Box 15">
          <a:extLst>
            <a:ext uri="{FF2B5EF4-FFF2-40B4-BE49-F238E27FC236}">
              <a16:creationId xmlns:a16="http://schemas.microsoft.com/office/drawing/2014/main" id="{00000000-0008-0000-0500-00005F020000}"/>
            </a:ext>
          </a:extLst>
        </xdr:cNvPr>
        <xdr:cNvSpPr txBox="1">
          <a:spLocks noChangeArrowheads="1"/>
        </xdr:cNvSpPr>
      </xdr:nvSpPr>
      <xdr:spPr bwMode="auto">
        <a:xfrm>
          <a:off x="12790343" y="12870007"/>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127</xdr:row>
      <xdr:rowOff>0</xdr:rowOff>
    </xdr:from>
    <xdr:ext cx="95250" cy="213632"/>
    <xdr:sp macro="" textlink="">
      <xdr:nvSpPr>
        <xdr:cNvPr id="608" name="Text Box 15">
          <a:extLst>
            <a:ext uri="{FF2B5EF4-FFF2-40B4-BE49-F238E27FC236}">
              <a16:creationId xmlns:a16="http://schemas.microsoft.com/office/drawing/2014/main" id="{00000000-0008-0000-0500-000060020000}"/>
            </a:ext>
          </a:extLst>
        </xdr:cNvPr>
        <xdr:cNvSpPr txBox="1">
          <a:spLocks noChangeArrowheads="1"/>
        </xdr:cNvSpPr>
      </xdr:nvSpPr>
      <xdr:spPr bwMode="auto">
        <a:xfrm>
          <a:off x="12790343" y="12870007"/>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213632"/>
    <xdr:sp macro="" textlink="">
      <xdr:nvSpPr>
        <xdr:cNvPr id="609" name="Text Box 15">
          <a:extLst>
            <a:ext uri="{FF2B5EF4-FFF2-40B4-BE49-F238E27FC236}">
              <a16:creationId xmlns:a16="http://schemas.microsoft.com/office/drawing/2014/main" id="{00000000-0008-0000-0500-000061020000}"/>
            </a:ext>
          </a:extLst>
        </xdr:cNvPr>
        <xdr:cNvSpPr txBox="1">
          <a:spLocks noChangeArrowheads="1"/>
        </xdr:cNvSpPr>
      </xdr:nvSpPr>
      <xdr:spPr bwMode="auto">
        <a:xfrm>
          <a:off x="9374909"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213632"/>
    <xdr:sp macro="" textlink="">
      <xdr:nvSpPr>
        <xdr:cNvPr id="610" name="Text Box 15">
          <a:extLst>
            <a:ext uri="{FF2B5EF4-FFF2-40B4-BE49-F238E27FC236}">
              <a16:creationId xmlns:a16="http://schemas.microsoft.com/office/drawing/2014/main" id="{00000000-0008-0000-0500-000062020000}"/>
            </a:ext>
          </a:extLst>
        </xdr:cNvPr>
        <xdr:cNvSpPr txBox="1">
          <a:spLocks noChangeArrowheads="1"/>
        </xdr:cNvSpPr>
      </xdr:nvSpPr>
      <xdr:spPr bwMode="auto">
        <a:xfrm>
          <a:off x="9374909"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213632"/>
    <xdr:sp macro="" textlink="">
      <xdr:nvSpPr>
        <xdr:cNvPr id="611" name="Text Box 15">
          <a:extLst>
            <a:ext uri="{FF2B5EF4-FFF2-40B4-BE49-F238E27FC236}">
              <a16:creationId xmlns:a16="http://schemas.microsoft.com/office/drawing/2014/main" id="{00000000-0008-0000-0500-000063020000}"/>
            </a:ext>
          </a:extLst>
        </xdr:cNvPr>
        <xdr:cNvSpPr txBox="1">
          <a:spLocks noChangeArrowheads="1"/>
        </xdr:cNvSpPr>
      </xdr:nvSpPr>
      <xdr:spPr bwMode="auto">
        <a:xfrm>
          <a:off x="9374909"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213632"/>
    <xdr:sp macro="" textlink="">
      <xdr:nvSpPr>
        <xdr:cNvPr id="612" name="Text Box 15">
          <a:extLst>
            <a:ext uri="{FF2B5EF4-FFF2-40B4-BE49-F238E27FC236}">
              <a16:creationId xmlns:a16="http://schemas.microsoft.com/office/drawing/2014/main" id="{00000000-0008-0000-0500-000064020000}"/>
            </a:ext>
          </a:extLst>
        </xdr:cNvPr>
        <xdr:cNvSpPr txBox="1">
          <a:spLocks noChangeArrowheads="1"/>
        </xdr:cNvSpPr>
      </xdr:nvSpPr>
      <xdr:spPr bwMode="auto">
        <a:xfrm>
          <a:off x="9374909"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213632"/>
    <xdr:sp macro="" textlink="">
      <xdr:nvSpPr>
        <xdr:cNvPr id="613" name="Text Box 15">
          <a:extLst>
            <a:ext uri="{FF2B5EF4-FFF2-40B4-BE49-F238E27FC236}">
              <a16:creationId xmlns:a16="http://schemas.microsoft.com/office/drawing/2014/main" id="{00000000-0008-0000-0500-000065020000}"/>
            </a:ext>
          </a:extLst>
        </xdr:cNvPr>
        <xdr:cNvSpPr txBox="1">
          <a:spLocks noChangeArrowheads="1"/>
        </xdr:cNvSpPr>
      </xdr:nvSpPr>
      <xdr:spPr bwMode="auto">
        <a:xfrm>
          <a:off x="9374909"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213632"/>
    <xdr:sp macro="" textlink="">
      <xdr:nvSpPr>
        <xdr:cNvPr id="614" name="Text Box 15">
          <a:extLst>
            <a:ext uri="{FF2B5EF4-FFF2-40B4-BE49-F238E27FC236}">
              <a16:creationId xmlns:a16="http://schemas.microsoft.com/office/drawing/2014/main" id="{00000000-0008-0000-0500-000066020000}"/>
            </a:ext>
          </a:extLst>
        </xdr:cNvPr>
        <xdr:cNvSpPr txBox="1">
          <a:spLocks noChangeArrowheads="1"/>
        </xdr:cNvSpPr>
      </xdr:nvSpPr>
      <xdr:spPr bwMode="auto">
        <a:xfrm>
          <a:off x="9374909"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213632"/>
    <xdr:sp macro="" textlink="">
      <xdr:nvSpPr>
        <xdr:cNvPr id="615" name="Text Box 15">
          <a:extLst>
            <a:ext uri="{FF2B5EF4-FFF2-40B4-BE49-F238E27FC236}">
              <a16:creationId xmlns:a16="http://schemas.microsoft.com/office/drawing/2014/main" id="{00000000-0008-0000-0500-000067020000}"/>
            </a:ext>
          </a:extLst>
        </xdr:cNvPr>
        <xdr:cNvSpPr txBox="1">
          <a:spLocks noChangeArrowheads="1"/>
        </xdr:cNvSpPr>
      </xdr:nvSpPr>
      <xdr:spPr bwMode="auto">
        <a:xfrm>
          <a:off x="9374909"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127</xdr:row>
      <xdr:rowOff>0</xdr:rowOff>
    </xdr:from>
    <xdr:ext cx="95250" cy="213632"/>
    <xdr:sp macro="" textlink="">
      <xdr:nvSpPr>
        <xdr:cNvPr id="616" name="Text Box 15">
          <a:extLst>
            <a:ext uri="{FF2B5EF4-FFF2-40B4-BE49-F238E27FC236}">
              <a16:creationId xmlns:a16="http://schemas.microsoft.com/office/drawing/2014/main" id="{00000000-0008-0000-0500-000068020000}"/>
            </a:ext>
          </a:extLst>
        </xdr:cNvPr>
        <xdr:cNvSpPr txBox="1">
          <a:spLocks noChangeArrowheads="1"/>
        </xdr:cNvSpPr>
      </xdr:nvSpPr>
      <xdr:spPr bwMode="auto">
        <a:xfrm>
          <a:off x="12790343"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127</xdr:row>
      <xdr:rowOff>0</xdr:rowOff>
    </xdr:from>
    <xdr:ext cx="95250" cy="213632"/>
    <xdr:sp macro="" textlink="">
      <xdr:nvSpPr>
        <xdr:cNvPr id="617" name="Text Box 15">
          <a:extLst>
            <a:ext uri="{FF2B5EF4-FFF2-40B4-BE49-F238E27FC236}">
              <a16:creationId xmlns:a16="http://schemas.microsoft.com/office/drawing/2014/main" id="{00000000-0008-0000-0500-000069020000}"/>
            </a:ext>
          </a:extLst>
        </xdr:cNvPr>
        <xdr:cNvSpPr txBox="1">
          <a:spLocks noChangeArrowheads="1"/>
        </xdr:cNvSpPr>
      </xdr:nvSpPr>
      <xdr:spPr bwMode="auto">
        <a:xfrm>
          <a:off x="12790343"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127</xdr:row>
      <xdr:rowOff>0</xdr:rowOff>
    </xdr:from>
    <xdr:ext cx="95250" cy="213632"/>
    <xdr:sp macro="" textlink="">
      <xdr:nvSpPr>
        <xdr:cNvPr id="618" name="Text Box 15">
          <a:extLst>
            <a:ext uri="{FF2B5EF4-FFF2-40B4-BE49-F238E27FC236}">
              <a16:creationId xmlns:a16="http://schemas.microsoft.com/office/drawing/2014/main" id="{00000000-0008-0000-0500-00006A020000}"/>
            </a:ext>
          </a:extLst>
        </xdr:cNvPr>
        <xdr:cNvSpPr txBox="1">
          <a:spLocks noChangeArrowheads="1"/>
        </xdr:cNvSpPr>
      </xdr:nvSpPr>
      <xdr:spPr bwMode="auto">
        <a:xfrm>
          <a:off x="12790343"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127</xdr:row>
      <xdr:rowOff>0</xdr:rowOff>
    </xdr:from>
    <xdr:ext cx="95250" cy="213632"/>
    <xdr:sp macro="" textlink="">
      <xdr:nvSpPr>
        <xdr:cNvPr id="619" name="Text Box 15">
          <a:extLst>
            <a:ext uri="{FF2B5EF4-FFF2-40B4-BE49-F238E27FC236}">
              <a16:creationId xmlns:a16="http://schemas.microsoft.com/office/drawing/2014/main" id="{00000000-0008-0000-0500-00006B020000}"/>
            </a:ext>
          </a:extLst>
        </xdr:cNvPr>
        <xdr:cNvSpPr txBox="1">
          <a:spLocks noChangeArrowheads="1"/>
        </xdr:cNvSpPr>
      </xdr:nvSpPr>
      <xdr:spPr bwMode="auto">
        <a:xfrm>
          <a:off x="12790343"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127</xdr:row>
      <xdr:rowOff>0</xdr:rowOff>
    </xdr:from>
    <xdr:ext cx="95250" cy="213632"/>
    <xdr:sp macro="" textlink="">
      <xdr:nvSpPr>
        <xdr:cNvPr id="620" name="Text Box 15">
          <a:extLst>
            <a:ext uri="{FF2B5EF4-FFF2-40B4-BE49-F238E27FC236}">
              <a16:creationId xmlns:a16="http://schemas.microsoft.com/office/drawing/2014/main" id="{00000000-0008-0000-0500-00006C020000}"/>
            </a:ext>
          </a:extLst>
        </xdr:cNvPr>
        <xdr:cNvSpPr txBox="1">
          <a:spLocks noChangeArrowheads="1"/>
        </xdr:cNvSpPr>
      </xdr:nvSpPr>
      <xdr:spPr bwMode="auto">
        <a:xfrm>
          <a:off x="12790343"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127</xdr:row>
      <xdr:rowOff>0</xdr:rowOff>
    </xdr:from>
    <xdr:ext cx="95250" cy="213632"/>
    <xdr:sp macro="" textlink="">
      <xdr:nvSpPr>
        <xdr:cNvPr id="621" name="Text Box 15">
          <a:extLst>
            <a:ext uri="{FF2B5EF4-FFF2-40B4-BE49-F238E27FC236}">
              <a16:creationId xmlns:a16="http://schemas.microsoft.com/office/drawing/2014/main" id="{00000000-0008-0000-0500-00006D020000}"/>
            </a:ext>
          </a:extLst>
        </xdr:cNvPr>
        <xdr:cNvSpPr txBox="1">
          <a:spLocks noChangeArrowheads="1"/>
        </xdr:cNvSpPr>
      </xdr:nvSpPr>
      <xdr:spPr bwMode="auto">
        <a:xfrm>
          <a:off x="12790343"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127</xdr:row>
      <xdr:rowOff>0</xdr:rowOff>
    </xdr:from>
    <xdr:ext cx="95250" cy="213632"/>
    <xdr:sp macro="" textlink="">
      <xdr:nvSpPr>
        <xdr:cNvPr id="622" name="Text Box 15">
          <a:extLst>
            <a:ext uri="{FF2B5EF4-FFF2-40B4-BE49-F238E27FC236}">
              <a16:creationId xmlns:a16="http://schemas.microsoft.com/office/drawing/2014/main" id="{00000000-0008-0000-0500-00006E020000}"/>
            </a:ext>
          </a:extLst>
        </xdr:cNvPr>
        <xdr:cNvSpPr txBox="1">
          <a:spLocks noChangeArrowheads="1"/>
        </xdr:cNvSpPr>
      </xdr:nvSpPr>
      <xdr:spPr bwMode="auto">
        <a:xfrm>
          <a:off x="12790343"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213632"/>
    <xdr:sp macro="" textlink="">
      <xdr:nvSpPr>
        <xdr:cNvPr id="623" name="Text Box 15">
          <a:extLst>
            <a:ext uri="{FF2B5EF4-FFF2-40B4-BE49-F238E27FC236}">
              <a16:creationId xmlns:a16="http://schemas.microsoft.com/office/drawing/2014/main" id="{00000000-0008-0000-0500-00006F020000}"/>
            </a:ext>
          </a:extLst>
        </xdr:cNvPr>
        <xdr:cNvSpPr txBox="1">
          <a:spLocks noChangeArrowheads="1"/>
        </xdr:cNvSpPr>
      </xdr:nvSpPr>
      <xdr:spPr bwMode="auto">
        <a:xfrm>
          <a:off x="9374909" y="12870007"/>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213632"/>
    <xdr:sp macro="" textlink="">
      <xdr:nvSpPr>
        <xdr:cNvPr id="624" name="Text Box 15">
          <a:extLst>
            <a:ext uri="{FF2B5EF4-FFF2-40B4-BE49-F238E27FC236}">
              <a16:creationId xmlns:a16="http://schemas.microsoft.com/office/drawing/2014/main" id="{00000000-0008-0000-0500-000070020000}"/>
            </a:ext>
          </a:extLst>
        </xdr:cNvPr>
        <xdr:cNvSpPr txBox="1">
          <a:spLocks noChangeArrowheads="1"/>
        </xdr:cNvSpPr>
      </xdr:nvSpPr>
      <xdr:spPr bwMode="auto">
        <a:xfrm>
          <a:off x="9374909" y="12870007"/>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127</xdr:row>
      <xdr:rowOff>0</xdr:rowOff>
    </xdr:from>
    <xdr:ext cx="95250" cy="213632"/>
    <xdr:sp macro="" textlink="">
      <xdr:nvSpPr>
        <xdr:cNvPr id="625" name="Text Box 15">
          <a:extLst>
            <a:ext uri="{FF2B5EF4-FFF2-40B4-BE49-F238E27FC236}">
              <a16:creationId xmlns:a16="http://schemas.microsoft.com/office/drawing/2014/main" id="{00000000-0008-0000-0500-000071020000}"/>
            </a:ext>
          </a:extLst>
        </xdr:cNvPr>
        <xdr:cNvSpPr txBox="1">
          <a:spLocks noChangeArrowheads="1"/>
        </xdr:cNvSpPr>
      </xdr:nvSpPr>
      <xdr:spPr bwMode="auto">
        <a:xfrm>
          <a:off x="12790343" y="12870007"/>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127</xdr:row>
      <xdr:rowOff>0</xdr:rowOff>
    </xdr:from>
    <xdr:ext cx="95250" cy="213632"/>
    <xdr:sp macro="" textlink="">
      <xdr:nvSpPr>
        <xdr:cNvPr id="626" name="Text Box 15">
          <a:extLst>
            <a:ext uri="{FF2B5EF4-FFF2-40B4-BE49-F238E27FC236}">
              <a16:creationId xmlns:a16="http://schemas.microsoft.com/office/drawing/2014/main" id="{00000000-0008-0000-0500-000072020000}"/>
            </a:ext>
          </a:extLst>
        </xdr:cNvPr>
        <xdr:cNvSpPr txBox="1">
          <a:spLocks noChangeArrowheads="1"/>
        </xdr:cNvSpPr>
      </xdr:nvSpPr>
      <xdr:spPr bwMode="auto">
        <a:xfrm>
          <a:off x="12790343" y="12870007"/>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213632"/>
    <xdr:sp macro="" textlink="">
      <xdr:nvSpPr>
        <xdr:cNvPr id="627" name="Text Box 15">
          <a:extLst>
            <a:ext uri="{FF2B5EF4-FFF2-40B4-BE49-F238E27FC236}">
              <a16:creationId xmlns:a16="http://schemas.microsoft.com/office/drawing/2014/main" id="{00000000-0008-0000-0500-000073020000}"/>
            </a:ext>
          </a:extLst>
        </xdr:cNvPr>
        <xdr:cNvSpPr txBox="1">
          <a:spLocks noChangeArrowheads="1"/>
        </xdr:cNvSpPr>
      </xdr:nvSpPr>
      <xdr:spPr bwMode="auto">
        <a:xfrm>
          <a:off x="9374909"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213632"/>
    <xdr:sp macro="" textlink="">
      <xdr:nvSpPr>
        <xdr:cNvPr id="628" name="Text Box 15">
          <a:extLst>
            <a:ext uri="{FF2B5EF4-FFF2-40B4-BE49-F238E27FC236}">
              <a16:creationId xmlns:a16="http://schemas.microsoft.com/office/drawing/2014/main" id="{00000000-0008-0000-0500-000074020000}"/>
            </a:ext>
          </a:extLst>
        </xdr:cNvPr>
        <xdr:cNvSpPr txBox="1">
          <a:spLocks noChangeArrowheads="1"/>
        </xdr:cNvSpPr>
      </xdr:nvSpPr>
      <xdr:spPr bwMode="auto">
        <a:xfrm>
          <a:off x="9374909"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213632"/>
    <xdr:sp macro="" textlink="">
      <xdr:nvSpPr>
        <xdr:cNvPr id="629" name="Text Box 15">
          <a:extLst>
            <a:ext uri="{FF2B5EF4-FFF2-40B4-BE49-F238E27FC236}">
              <a16:creationId xmlns:a16="http://schemas.microsoft.com/office/drawing/2014/main" id="{00000000-0008-0000-0500-000075020000}"/>
            </a:ext>
          </a:extLst>
        </xdr:cNvPr>
        <xdr:cNvSpPr txBox="1">
          <a:spLocks noChangeArrowheads="1"/>
        </xdr:cNvSpPr>
      </xdr:nvSpPr>
      <xdr:spPr bwMode="auto">
        <a:xfrm>
          <a:off x="9374909"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213632"/>
    <xdr:sp macro="" textlink="">
      <xdr:nvSpPr>
        <xdr:cNvPr id="630" name="Text Box 15">
          <a:extLst>
            <a:ext uri="{FF2B5EF4-FFF2-40B4-BE49-F238E27FC236}">
              <a16:creationId xmlns:a16="http://schemas.microsoft.com/office/drawing/2014/main" id="{00000000-0008-0000-0500-000076020000}"/>
            </a:ext>
          </a:extLst>
        </xdr:cNvPr>
        <xdr:cNvSpPr txBox="1">
          <a:spLocks noChangeArrowheads="1"/>
        </xdr:cNvSpPr>
      </xdr:nvSpPr>
      <xdr:spPr bwMode="auto">
        <a:xfrm>
          <a:off x="9374909"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213632"/>
    <xdr:sp macro="" textlink="">
      <xdr:nvSpPr>
        <xdr:cNvPr id="631" name="Text Box 15">
          <a:extLst>
            <a:ext uri="{FF2B5EF4-FFF2-40B4-BE49-F238E27FC236}">
              <a16:creationId xmlns:a16="http://schemas.microsoft.com/office/drawing/2014/main" id="{00000000-0008-0000-0500-000077020000}"/>
            </a:ext>
          </a:extLst>
        </xdr:cNvPr>
        <xdr:cNvSpPr txBox="1">
          <a:spLocks noChangeArrowheads="1"/>
        </xdr:cNvSpPr>
      </xdr:nvSpPr>
      <xdr:spPr bwMode="auto">
        <a:xfrm>
          <a:off x="9374909"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213632"/>
    <xdr:sp macro="" textlink="">
      <xdr:nvSpPr>
        <xdr:cNvPr id="632" name="Text Box 15">
          <a:extLst>
            <a:ext uri="{FF2B5EF4-FFF2-40B4-BE49-F238E27FC236}">
              <a16:creationId xmlns:a16="http://schemas.microsoft.com/office/drawing/2014/main" id="{00000000-0008-0000-0500-000078020000}"/>
            </a:ext>
          </a:extLst>
        </xdr:cNvPr>
        <xdr:cNvSpPr txBox="1">
          <a:spLocks noChangeArrowheads="1"/>
        </xdr:cNvSpPr>
      </xdr:nvSpPr>
      <xdr:spPr bwMode="auto">
        <a:xfrm>
          <a:off x="9374909"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213632"/>
    <xdr:sp macro="" textlink="">
      <xdr:nvSpPr>
        <xdr:cNvPr id="633" name="Text Box 15">
          <a:extLst>
            <a:ext uri="{FF2B5EF4-FFF2-40B4-BE49-F238E27FC236}">
              <a16:creationId xmlns:a16="http://schemas.microsoft.com/office/drawing/2014/main" id="{00000000-0008-0000-0500-000079020000}"/>
            </a:ext>
          </a:extLst>
        </xdr:cNvPr>
        <xdr:cNvSpPr txBox="1">
          <a:spLocks noChangeArrowheads="1"/>
        </xdr:cNvSpPr>
      </xdr:nvSpPr>
      <xdr:spPr bwMode="auto">
        <a:xfrm>
          <a:off x="9374909"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127</xdr:row>
      <xdr:rowOff>0</xdr:rowOff>
    </xdr:from>
    <xdr:ext cx="95250" cy="213632"/>
    <xdr:sp macro="" textlink="">
      <xdr:nvSpPr>
        <xdr:cNvPr id="634" name="Text Box 15">
          <a:extLst>
            <a:ext uri="{FF2B5EF4-FFF2-40B4-BE49-F238E27FC236}">
              <a16:creationId xmlns:a16="http://schemas.microsoft.com/office/drawing/2014/main" id="{00000000-0008-0000-0500-00007A020000}"/>
            </a:ext>
          </a:extLst>
        </xdr:cNvPr>
        <xdr:cNvSpPr txBox="1">
          <a:spLocks noChangeArrowheads="1"/>
        </xdr:cNvSpPr>
      </xdr:nvSpPr>
      <xdr:spPr bwMode="auto">
        <a:xfrm>
          <a:off x="12790343"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127</xdr:row>
      <xdr:rowOff>0</xdr:rowOff>
    </xdr:from>
    <xdr:ext cx="95250" cy="213632"/>
    <xdr:sp macro="" textlink="">
      <xdr:nvSpPr>
        <xdr:cNvPr id="635" name="Text Box 15">
          <a:extLst>
            <a:ext uri="{FF2B5EF4-FFF2-40B4-BE49-F238E27FC236}">
              <a16:creationId xmlns:a16="http://schemas.microsoft.com/office/drawing/2014/main" id="{00000000-0008-0000-0500-00007B020000}"/>
            </a:ext>
          </a:extLst>
        </xdr:cNvPr>
        <xdr:cNvSpPr txBox="1">
          <a:spLocks noChangeArrowheads="1"/>
        </xdr:cNvSpPr>
      </xdr:nvSpPr>
      <xdr:spPr bwMode="auto">
        <a:xfrm>
          <a:off x="12790343"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127</xdr:row>
      <xdr:rowOff>0</xdr:rowOff>
    </xdr:from>
    <xdr:ext cx="95250" cy="213632"/>
    <xdr:sp macro="" textlink="">
      <xdr:nvSpPr>
        <xdr:cNvPr id="636" name="Text Box 15">
          <a:extLst>
            <a:ext uri="{FF2B5EF4-FFF2-40B4-BE49-F238E27FC236}">
              <a16:creationId xmlns:a16="http://schemas.microsoft.com/office/drawing/2014/main" id="{00000000-0008-0000-0500-00007C020000}"/>
            </a:ext>
          </a:extLst>
        </xdr:cNvPr>
        <xdr:cNvSpPr txBox="1">
          <a:spLocks noChangeArrowheads="1"/>
        </xdr:cNvSpPr>
      </xdr:nvSpPr>
      <xdr:spPr bwMode="auto">
        <a:xfrm>
          <a:off x="12790343"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127</xdr:row>
      <xdr:rowOff>0</xdr:rowOff>
    </xdr:from>
    <xdr:ext cx="95250" cy="213632"/>
    <xdr:sp macro="" textlink="">
      <xdr:nvSpPr>
        <xdr:cNvPr id="637" name="Text Box 15">
          <a:extLst>
            <a:ext uri="{FF2B5EF4-FFF2-40B4-BE49-F238E27FC236}">
              <a16:creationId xmlns:a16="http://schemas.microsoft.com/office/drawing/2014/main" id="{00000000-0008-0000-0500-00007D020000}"/>
            </a:ext>
          </a:extLst>
        </xdr:cNvPr>
        <xdr:cNvSpPr txBox="1">
          <a:spLocks noChangeArrowheads="1"/>
        </xdr:cNvSpPr>
      </xdr:nvSpPr>
      <xdr:spPr bwMode="auto">
        <a:xfrm>
          <a:off x="12790343"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127</xdr:row>
      <xdr:rowOff>0</xdr:rowOff>
    </xdr:from>
    <xdr:ext cx="95250" cy="213632"/>
    <xdr:sp macro="" textlink="">
      <xdr:nvSpPr>
        <xdr:cNvPr id="638" name="Text Box 15">
          <a:extLst>
            <a:ext uri="{FF2B5EF4-FFF2-40B4-BE49-F238E27FC236}">
              <a16:creationId xmlns:a16="http://schemas.microsoft.com/office/drawing/2014/main" id="{00000000-0008-0000-0500-00007E020000}"/>
            </a:ext>
          </a:extLst>
        </xdr:cNvPr>
        <xdr:cNvSpPr txBox="1">
          <a:spLocks noChangeArrowheads="1"/>
        </xdr:cNvSpPr>
      </xdr:nvSpPr>
      <xdr:spPr bwMode="auto">
        <a:xfrm>
          <a:off x="12790343"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127</xdr:row>
      <xdr:rowOff>0</xdr:rowOff>
    </xdr:from>
    <xdr:ext cx="95250" cy="213632"/>
    <xdr:sp macro="" textlink="">
      <xdr:nvSpPr>
        <xdr:cNvPr id="639" name="Text Box 15">
          <a:extLst>
            <a:ext uri="{FF2B5EF4-FFF2-40B4-BE49-F238E27FC236}">
              <a16:creationId xmlns:a16="http://schemas.microsoft.com/office/drawing/2014/main" id="{00000000-0008-0000-0500-00007F020000}"/>
            </a:ext>
          </a:extLst>
        </xdr:cNvPr>
        <xdr:cNvSpPr txBox="1">
          <a:spLocks noChangeArrowheads="1"/>
        </xdr:cNvSpPr>
      </xdr:nvSpPr>
      <xdr:spPr bwMode="auto">
        <a:xfrm>
          <a:off x="12790343"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127</xdr:row>
      <xdr:rowOff>0</xdr:rowOff>
    </xdr:from>
    <xdr:ext cx="95250" cy="213632"/>
    <xdr:sp macro="" textlink="">
      <xdr:nvSpPr>
        <xdr:cNvPr id="640" name="Text Box 15">
          <a:extLst>
            <a:ext uri="{FF2B5EF4-FFF2-40B4-BE49-F238E27FC236}">
              <a16:creationId xmlns:a16="http://schemas.microsoft.com/office/drawing/2014/main" id="{00000000-0008-0000-0500-000080020000}"/>
            </a:ext>
          </a:extLst>
        </xdr:cNvPr>
        <xdr:cNvSpPr txBox="1">
          <a:spLocks noChangeArrowheads="1"/>
        </xdr:cNvSpPr>
      </xdr:nvSpPr>
      <xdr:spPr bwMode="auto">
        <a:xfrm>
          <a:off x="12790343"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213632"/>
    <xdr:sp macro="" textlink="">
      <xdr:nvSpPr>
        <xdr:cNvPr id="641" name="Text Box 15">
          <a:extLst>
            <a:ext uri="{FF2B5EF4-FFF2-40B4-BE49-F238E27FC236}">
              <a16:creationId xmlns:a16="http://schemas.microsoft.com/office/drawing/2014/main" id="{00000000-0008-0000-0500-000081020000}"/>
            </a:ext>
          </a:extLst>
        </xdr:cNvPr>
        <xdr:cNvSpPr txBox="1">
          <a:spLocks noChangeArrowheads="1"/>
        </xdr:cNvSpPr>
      </xdr:nvSpPr>
      <xdr:spPr bwMode="auto">
        <a:xfrm>
          <a:off x="9374909" y="12870007"/>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213632"/>
    <xdr:sp macro="" textlink="">
      <xdr:nvSpPr>
        <xdr:cNvPr id="642" name="Text Box 15">
          <a:extLst>
            <a:ext uri="{FF2B5EF4-FFF2-40B4-BE49-F238E27FC236}">
              <a16:creationId xmlns:a16="http://schemas.microsoft.com/office/drawing/2014/main" id="{00000000-0008-0000-0500-000082020000}"/>
            </a:ext>
          </a:extLst>
        </xdr:cNvPr>
        <xdr:cNvSpPr txBox="1">
          <a:spLocks noChangeArrowheads="1"/>
        </xdr:cNvSpPr>
      </xdr:nvSpPr>
      <xdr:spPr bwMode="auto">
        <a:xfrm>
          <a:off x="9374909" y="12870007"/>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127</xdr:row>
      <xdr:rowOff>0</xdr:rowOff>
    </xdr:from>
    <xdr:ext cx="95250" cy="213632"/>
    <xdr:sp macro="" textlink="">
      <xdr:nvSpPr>
        <xdr:cNvPr id="643" name="Text Box 15">
          <a:extLst>
            <a:ext uri="{FF2B5EF4-FFF2-40B4-BE49-F238E27FC236}">
              <a16:creationId xmlns:a16="http://schemas.microsoft.com/office/drawing/2014/main" id="{00000000-0008-0000-0500-000083020000}"/>
            </a:ext>
          </a:extLst>
        </xdr:cNvPr>
        <xdr:cNvSpPr txBox="1">
          <a:spLocks noChangeArrowheads="1"/>
        </xdr:cNvSpPr>
      </xdr:nvSpPr>
      <xdr:spPr bwMode="auto">
        <a:xfrm>
          <a:off x="12790343" y="12870007"/>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127</xdr:row>
      <xdr:rowOff>0</xdr:rowOff>
    </xdr:from>
    <xdr:ext cx="95250" cy="213632"/>
    <xdr:sp macro="" textlink="">
      <xdr:nvSpPr>
        <xdr:cNvPr id="644" name="Text Box 15">
          <a:extLst>
            <a:ext uri="{FF2B5EF4-FFF2-40B4-BE49-F238E27FC236}">
              <a16:creationId xmlns:a16="http://schemas.microsoft.com/office/drawing/2014/main" id="{00000000-0008-0000-0500-000084020000}"/>
            </a:ext>
          </a:extLst>
        </xdr:cNvPr>
        <xdr:cNvSpPr txBox="1">
          <a:spLocks noChangeArrowheads="1"/>
        </xdr:cNvSpPr>
      </xdr:nvSpPr>
      <xdr:spPr bwMode="auto">
        <a:xfrm>
          <a:off x="12790343" y="12870007"/>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213632"/>
    <xdr:sp macro="" textlink="">
      <xdr:nvSpPr>
        <xdr:cNvPr id="645" name="Text Box 15">
          <a:extLst>
            <a:ext uri="{FF2B5EF4-FFF2-40B4-BE49-F238E27FC236}">
              <a16:creationId xmlns:a16="http://schemas.microsoft.com/office/drawing/2014/main" id="{00000000-0008-0000-0500-000085020000}"/>
            </a:ext>
          </a:extLst>
        </xdr:cNvPr>
        <xdr:cNvSpPr txBox="1">
          <a:spLocks noChangeArrowheads="1"/>
        </xdr:cNvSpPr>
      </xdr:nvSpPr>
      <xdr:spPr bwMode="auto">
        <a:xfrm>
          <a:off x="9374909"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213632"/>
    <xdr:sp macro="" textlink="">
      <xdr:nvSpPr>
        <xdr:cNvPr id="646" name="Text Box 15">
          <a:extLst>
            <a:ext uri="{FF2B5EF4-FFF2-40B4-BE49-F238E27FC236}">
              <a16:creationId xmlns:a16="http://schemas.microsoft.com/office/drawing/2014/main" id="{00000000-0008-0000-0500-000086020000}"/>
            </a:ext>
          </a:extLst>
        </xdr:cNvPr>
        <xdr:cNvSpPr txBox="1">
          <a:spLocks noChangeArrowheads="1"/>
        </xdr:cNvSpPr>
      </xdr:nvSpPr>
      <xdr:spPr bwMode="auto">
        <a:xfrm>
          <a:off x="9374909"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213632"/>
    <xdr:sp macro="" textlink="">
      <xdr:nvSpPr>
        <xdr:cNvPr id="647" name="Text Box 15">
          <a:extLst>
            <a:ext uri="{FF2B5EF4-FFF2-40B4-BE49-F238E27FC236}">
              <a16:creationId xmlns:a16="http://schemas.microsoft.com/office/drawing/2014/main" id="{00000000-0008-0000-0500-000087020000}"/>
            </a:ext>
          </a:extLst>
        </xdr:cNvPr>
        <xdr:cNvSpPr txBox="1">
          <a:spLocks noChangeArrowheads="1"/>
        </xdr:cNvSpPr>
      </xdr:nvSpPr>
      <xdr:spPr bwMode="auto">
        <a:xfrm>
          <a:off x="9374909"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213632"/>
    <xdr:sp macro="" textlink="">
      <xdr:nvSpPr>
        <xdr:cNvPr id="648" name="Text Box 15">
          <a:extLst>
            <a:ext uri="{FF2B5EF4-FFF2-40B4-BE49-F238E27FC236}">
              <a16:creationId xmlns:a16="http://schemas.microsoft.com/office/drawing/2014/main" id="{00000000-0008-0000-0500-000088020000}"/>
            </a:ext>
          </a:extLst>
        </xdr:cNvPr>
        <xdr:cNvSpPr txBox="1">
          <a:spLocks noChangeArrowheads="1"/>
        </xdr:cNvSpPr>
      </xdr:nvSpPr>
      <xdr:spPr bwMode="auto">
        <a:xfrm>
          <a:off x="9374909"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213632"/>
    <xdr:sp macro="" textlink="">
      <xdr:nvSpPr>
        <xdr:cNvPr id="649" name="Text Box 15">
          <a:extLst>
            <a:ext uri="{FF2B5EF4-FFF2-40B4-BE49-F238E27FC236}">
              <a16:creationId xmlns:a16="http://schemas.microsoft.com/office/drawing/2014/main" id="{00000000-0008-0000-0500-000089020000}"/>
            </a:ext>
          </a:extLst>
        </xdr:cNvPr>
        <xdr:cNvSpPr txBox="1">
          <a:spLocks noChangeArrowheads="1"/>
        </xdr:cNvSpPr>
      </xdr:nvSpPr>
      <xdr:spPr bwMode="auto">
        <a:xfrm>
          <a:off x="9374909"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213632"/>
    <xdr:sp macro="" textlink="">
      <xdr:nvSpPr>
        <xdr:cNvPr id="650" name="Text Box 15">
          <a:extLst>
            <a:ext uri="{FF2B5EF4-FFF2-40B4-BE49-F238E27FC236}">
              <a16:creationId xmlns:a16="http://schemas.microsoft.com/office/drawing/2014/main" id="{00000000-0008-0000-0500-00008A020000}"/>
            </a:ext>
          </a:extLst>
        </xdr:cNvPr>
        <xdr:cNvSpPr txBox="1">
          <a:spLocks noChangeArrowheads="1"/>
        </xdr:cNvSpPr>
      </xdr:nvSpPr>
      <xdr:spPr bwMode="auto">
        <a:xfrm>
          <a:off x="9374909"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213632"/>
    <xdr:sp macro="" textlink="">
      <xdr:nvSpPr>
        <xdr:cNvPr id="651" name="Text Box 15">
          <a:extLst>
            <a:ext uri="{FF2B5EF4-FFF2-40B4-BE49-F238E27FC236}">
              <a16:creationId xmlns:a16="http://schemas.microsoft.com/office/drawing/2014/main" id="{00000000-0008-0000-0500-00008B020000}"/>
            </a:ext>
          </a:extLst>
        </xdr:cNvPr>
        <xdr:cNvSpPr txBox="1">
          <a:spLocks noChangeArrowheads="1"/>
        </xdr:cNvSpPr>
      </xdr:nvSpPr>
      <xdr:spPr bwMode="auto">
        <a:xfrm>
          <a:off x="9374909"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127</xdr:row>
      <xdr:rowOff>0</xdr:rowOff>
    </xdr:from>
    <xdr:ext cx="95250" cy="213632"/>
    <xdr:sp macro="" textlink="">
      <xdr:nvSpPr>
        <xdr:cNvPr id="652" name="Text Box 15">
          <a:extLst>
            <a:ext uri="{FF2B5EF4-FFF2-40B4-BE49-F238E27FC236}">
              <a16:creationId xmlns:a16="http://schemas.microsoft.com/office/drawing/2014/main" id="{00000000-0008-0000-0500-00008C020000}"/>
            </a:ext>
          </a:extLst>
        </xdr:cNvPr>
        <xdr:cNvSpPr txBox="1">
          <a:spLocks noChangeArrowheads="1"/>
        </xdr:cNvSpPr>
      </xdr:nvSpPr>
      <xdr:spPr bwMode="auto">
        <a:xfrm>
          <a:off x="12790343"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127</xdr:row>
      <xdr:rowOff>0</xdr:rowOff>
    </xdr:from>
    <xdr:ext cx="95250" cy="213632"/>
    <xdr:sp macro="" textlink="">
      <xdr:nvSpPr>
        <xdr:cNvPr id="653" name="Text Box 15">
          <a:extLst>
            <a:ext uri="{FF2B5EF4-FFF2-40B4-BE49-F238E27FC236}">
              <a16:creationId xmlns:a16="http://schemas.microsoft.com/office/drawing/2014/main" id="{00000000-0008-0000-0500-00008D020000}"/>
            </a:ext>
          </a:extLst>
        </xdr:cNvPr>
        <xdr:cNvSpPr txBox="1">
          <a:spLocks noChangeArrowheads="1"/>
        </xdr:cNvSpPr>
      </xdr:nvSpPr>
      <xdr:spPr bwMode="auto">
        <a:xfrm>
          <a:off x="12790343"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127</xdr:row>
      <xdr:rowOff>0</xdr:rowOff>
    </xdr:from>
    <xdr:ext cx="95250" cy="213632"/>
    <xdr:sp macro="" textlink="">
      <xdr:nvSpPr>
        <xdr:cNvPr id="654" name="Text Box 15">
          <a:extLst>
            <a:ext uri="{FF2B5EF4-FFF2-40B4-BE49-F238E27FC236}">
              <a16:creationId xmlns:a16="http://schemas.microsoft.com/office/drawing/2014/main" id="{00000000-0008-0000-0500-00008E020000}"/>
            </a:ext>
          </a:extLst>
        </xdr:cNvPr>
        <xdr:cNvSpPr txBox="1">
          <a:spLocks noChangeArrowheads="1"/>
        </xdr:cNvSpPr>
      </xdr:nvSpPr>
      <xdr:spPr bwMode="auto">
        <a:xfrm>
          <a:off x="12790343"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127</xdr:row>
      <xdr:rowOff>0</xdr:rowOff>
    </xdr:from>
    <xdr:ext cx="95250" cy="213632"/>
    <xdr:sp macro="" textlink="">
      <xdr:nvSpPr>
        <xdr:cNvPr id="655" name="Text Box 15">
          <a:extLst>
            <a:ext uri="{FF2B5EF4-FFF2-40B4-BE49-F238E27FC236}">
              <a16:creationId xmlns:a16="http://schemas.microsoft.com/office/drawing/2014/main" id="{00000000-0008-0000-0500-00008F020000}"/>
            </a:ext>
          </a:extLst>
        </xdr:cNvPr>
        <xdr:cNvSpPr txBox="1">
          <a:spLocks noChangeArrowheads="1"/>
        </xdr:cNvSpPr>
      </xdr:nvSpPr>
      <xdr:spPr bwMode="auto">
        <a:xfrm>
          <a:off x="12790343"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127</xdr:row>
      <xdr:rowOff>0</xdr:rowOff>
    </xdr:from>
    <xdr:ext cx="95250" cy="213632"/>
    <xdr:sp macro="" textlink="">
      <xdr:nvSpPr>
        <xdr:cNvPr id="656" name="Text Box 15">
          <a:extLst>
            <a:ext uri="{FF2B5EF4-FFF2-40B4-BE49-F238E27FC236}">
              <a16:creationId xmlns:a16="http://schemas.microsoft.com/office/drawing/2014/main" id="{00000000-0008-0000-0500-000090020000}"/>
            </a:ext>
          </a:extLst>
        </xdr:cNvPr>
        <xdr:cNvSpPr txBox="1">
          <a:spLocks noChangeArrowheads="1"/>
        </xdr:cNvSpPr>
      </xdr:nvSpPr>
      <xdr:spPr bwMode="auto">
        <a:xfrm>
          <a:off x="12790343"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127</xdr:row>
      <xdr:rowOff>0</xdr:rowOff>
    </xdr:from>
    <xdr:ext cx="95250" cy="213632"/>
    <xdr:sp macro="" textlink="">
      <xdr:nvSpPr>
        <xdr:cNvPr id="657" name="Text Box 15">
          <a:extLst>
            <a:ext uri="{FF2B5EF4-FFF2-40B4-BE49-F238E27FC236}">
              <a16:creationId xmlns:a16="http://schemas.microsoft.com/office/drawing/2014/main" id="{00000000-0008-0000-0500-000091020000}"/>
            </a:ext>
          </a:extLst>
        </xdr:cNvPr>
        <xdr:cNvSpPr txBox="1">
          <a:spLocks noChangeArrowheads="1"/>
        </xdr:cNvSpPr>
      </xdr:nvSpPr>
      <xdr:spPr bwMode="auto">
        <a:xfrm>
          <a:off x="12790343"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127</xdr:row>
      <xdr:rowOff>0</xdr:rowOff>
    </xdr:from>
    <xdr:ext cx="95250" cy="213632"/>
    <xdr:sp macro="" textlink="">
      <xdr:nvSpPr>
        <xdr:cNvPr id="658" name="Text Box 15">
          <a:extLst>
            <a:ext uri="{FF2B5EF4-FFF2-40B4-BE49-F238E27FC236}">
              <a16:creationId xmlns:a16="http://schemas.microsoft.com/office/drawing/2014/main" id="{00000000-0008-0000-0500-000092020000}"/>
            </a:ext>
          </a:extLst>
        </xdr:cNvPr>
        <xdr:cNvSpPr txBox="1">
          <a:spLocks noChangeArrowheads="1"/>
        </xdr:cNvSpPr>
      </xdr:nvSpPr>
      <xdr:spPr bwMode="auto">
        <a:xfrm>
          <a:off x="12790343"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213632"/>
    <xdr:sp macro="" textlink="">
      <xdr:nvSpPr>
        <xdr:cNvPr id="659" name="Text Box 15">
          <a:extLst>
            <a:ext uri="{FF2B5EF4-FFF2-40B4-BE49-F238E27FC236}">
              <a16:creationId xmlns:a16="http://schemas.microsoft.com/office/drawing/2014/main" id="{00000000-0008-0000-0500-000093020000}"/>
            </a:ext>
          </a:extLst>
        </xdr:cNvPr>
        <xdr:cNvSpPr txBox="1">
          <a:spLocks noChangeArrowheads="1"/>
        </xdr:cNvSpPr>
      </xdr:nvSpPr>
      <xdr:spPr bwMode="auto">
        <a:xfrm>
          <a:off x="9374909" y="12870007"/>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213632"/>
    <xdr:sp macro="" textlink="">
      <xdr:nvSpPr>
        <xdr:cNvPr id="660" name="Text Box 15">
          <a:extLst>
            <a:ext uri="{FF2B5EF4-FFF2-40B4-BE49-F238E27FC236}">
              <a16:creationId xmlns:a16="http://schemas.microsoft.com/office/drawing/2014/main" id="{00000000-0008-0000-0500-000094020000}"/>
            </a:ext>
          </a:extLst>
        </xdr:cNvPr>
        <xdr:cNvSpPr txBox="1">
          <a:spLocks noChangeArrowheads="1"/>
        </xdr:cNvSpPr>
      </xdr:nvSpPr>
      <xdr:spPr bwMode="auto">
        <a:xfrm>
          <a:off x="9374909" y="12870007"/>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127</xdr:row>
      <xdr:rowOff>0</xdr:rowOff>
    </xdr:from>
    <xdr:ext cx="95250" cy="213632"/>
    <xdr:sp macro="" textlink="">
      <xdr:nvSpPr>
        <xdr:cNvPr id="661" name="Text Box 15">
          <a:extLst>
            <a:ext uri="{FF2B5EF4-FFF2-40B4-BE49-F238E27FC236}">
              <a16:creationId xmlns:a16="http://schemas.microsoft.com/office/drawing/2014/main" id="{00000000-0008-0000-0500-000095020000}"/>
            </a:ext>
          </a:extLst>
        </xdr:cNvPr>
        <xdr:cNvSpPr txBox="1">
          <a:spLocks noChangeArrowheads="1"/>
        </xdr:cNvSpPr>
      </xdr:nvSpPr>
      <xdr:spPr bwMode="auto">
        <a:xfrm>
          <a:off x="12790343" y="12870007"/>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127</xdr:row>
      <xdr:rowOff>0</xdr:rowOff>
    </xdr:from>
    <xdr:ext cx="95250" cy="213632"/>
    <xdr:sp macro="" textlink="">
      <xdr:nvSpPr>
        <xdr:cNvPr id="662" name="Text Box 15">
          <a:extLst>
            <a:ext uri="{FF2B5EF4-FFF2-40B4-BE49-F238E27FC236}">
              <a16:creationId xmlns:a16="http://schemas.microsoft.com/office/drawing/2014/main" id="{00000000-0008-0000-0500-000096020000}"/>
            </a:ext>
          </a:extLst>
        </xdr:cNvPr>
        <xdr:cNvSpPr txBox="1">
          <a:spLocks noChangeArrowheads="1"/>
        </xdr:cNvSpPr>
      </xdr:nvSpPr>
      <xdr:spPr bwMode="auto">
        <a:xfrm>
          <a:off x="12790343" y="12870007"/>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213632"/>
    <xdr:sp macro="" textlink="">
      <xdr:nvSpPr>
        <xdr:cNvPr id="663" name="Text Box 15">
          <a:extLst>
            <a:ext uri="{FF2B5EF4-FFF2-40B4-BE49-F238E27FC236}">
              <a16:creationId xmlns:a16="http://schemas.microsoft.com/office/drawing/2014/main" id="{00000000-0008-0000-0500-000097020000}"/>
            </a:ext>
          </a:extLst>
        </xdr:cNvPr>
        <xdr:cNvSpPr txBox="1">
          <a:spLocks noChangeArrowheads="1"/>
        </xdr:cNvSpPr>
      </xdr:nvSpPr>
      <xdr:spPr bwMode="auto">
        <a:xfrm>
          <a:off x="9374909"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213632"/>
    <xdr:sp macro="" textlink="">
      <xdr:nvSpPr>
        <xdr:cNvPr id="664" name="Text Box 15">
          <a:extLst>
            <a:ext uri="{FF2B5EF4-FFF2-40B4-BE49-F238E27FC236}">
              <a16:creationId xmlns:a16="http://schemas.microsoft.com/office/drawing/2014/main" id="{00000000-0008-0000-0500-000098020000}"/>
            </a:ext>
          </a:extLst>
        </xdr:cNvPr>
        <xdr:cNvSpPr txBox="1">
          <a:spLocks noChangeArrowheads="1"/>
        </xdr:cNvSpPr>
      </xdr:nvSpPr>
      <xdr:spPr bwMode="auto">
        <a:xfrm>
          <a:off x="9374909"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213632"/>
    <xdr:sp macro="" textlink="">
      <xdr:nvSpPr>
        <xdr:cNvPr id="665" name="Text Box 15">
          <a:extLst>
            <a:ext uri="{FF2B5EF4-FFF2-40B4-BE49-F238E27FC236}">
              <a16:creationId xmlns:a16="http://schemas.microsoft.com/office/drawing/2014/main" id="{00000000-0008-0000-0500-000099020000}"/>
            </a:ext>
          </a:extLst>
        </xdr:cNvPr>
        <xdr:cNvSpPr txBox="1">
          <a:spLocks noChangeArrowheads="1"/>
        </xdr:cNvSpPr>
      </xdr:nvSpPr>
      <xdr:spPr bwMode="auto">
        <a:xfrm>
          <a:off x="9374909"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213632"/>
    <xdr:sp macro="" textlink="">
      <xdr:nvSpPr>
        <xdr:cNvPr id="666" name="Text Box 15">
          <a:extLst>
            <a:ext uri="{FF2B5EF4-FFF2-40B4-BE49-F238E27FC236}">
              <a16:creationId xmlns:a16="http://schemas.microsoft.com/office/drawing/2014/main" id="{00000000-0008-0000-0500-00009A020000}"/>
            </a:ext>
          </a:extLst>
        </xdr:cNvPr>
        <xdr:cNvSpPr txBox="1">
          <a:spLocks noChangeArrowheads="1"/>
        </xdr:cNvSpPr>
      </xdr:nvSpPr>
      <xdr:spPr bwMode="auto">
        <a:xfrm>
          <a:off x="9374909"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213632"/>
    <xdr:sp macro="" textlink="">
      <xdr:nvSpPr>
        <xdr:cNvPr id="667" name="Text Box 15">
          <a:extLst>
            <a:ext uri="{FF2B5EF4-FFF2-40B4-BE49-F238E27FC236}">
              <a16:creationId xmlns:a16="http://schemas.microsoft.com/office/drawing/2014/main" id="{00000000-0008-0000-0500-00009B020000}"/>
            </a:ext>
          </a:extLst>
        </xdr:cNvPr>
        <xdr:cNvSpPr txBox="1">
          <a:spLocks noChangeArrowheads="1"/>
        </xdr:cNvSpPr>
      </xdr:nvSpPr>
      <xdr:spPr bwMode="auto">
        <a:xfrm>
          <a:off x="9374909"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213632"/>
    <xdr:sp macro="" textlink="">
      <xdr:nvSpPr>
        <xdr:cNvPr id="668" name="Text Box 15">
          <a:extLst>
            <a:ext uri="{FF2B5EF4-FFF2-40B4-BE49-F238E27FC236}">
              <a16:creationId xmlns:a16="http://schemas.microsoft.com/office/drawing/2014/main" id="{00000000-0008-0000-0500-00009C020000}"/>
            </a:ext>
          </a:extLst>
        </xdr:cNvPr>
        <xdr:cNvSpPr txBox="1">
          <a:spLocks noChangeArrowheads="1"/>
        </xdr:cNvSpPr>
      </xdr:nvSpPr>
      <xdr:spPr bwMode="auto">
        <a:xfrm>
          <a:off x="9374909"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213632"/>
    <xdr:sp macro="" textlink="">
      <xdr:nvSpPr>
        <xdr:cNvPr id="669" name="Text Box 15">
          <a:extLst>
            <a:ext uri="{FF2B5EF4-FFF2-40B4-BE49-F238E27FC236}">
              <a16:creationId xmlns:a16="http://schemas.microsoft.com/office/drawing/2014/main" id="{00000000-0008-0000-0500-00009D020000}"/>
            </a:ext>
          </a:extLst>
        </xdr:cNvPr>
        <xdr:cNvSpPr txBox="1">
          <a:spLocks noChangeArrowheads="1"/>
        </xdr:cNvSpPr>
      </xdr:nvSpPr>
      <xdr:spPr bwMode="auto">
        <a:xfrm>
          <a:off x="9374909"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127</xdr:row>
      <xdr:rowOff>0</xdr:rowOff>
    </xdr:from>
    <xdr:ext cx="95250" cy="213632"/>
    <xdr:sp macro="" textlink="">
      <xdr:nvSpPr>
        <xdr:cNvPr id="670" name="Text Box 15">
          <a:extLst>
            <a:ext uri="{FF2B5EF4-FFF2-40B4-BE49-F238E27FC236}">
              <a16:creationId xmlns:a16="http://schemas.microsoft.com/office/drawing/2014/main" id="{00000000-0008-0000-0500-00009E020000}"/>
            </a:ext>
          </a:extLst>
        </xdr:cNvPr>
        <xdr:cNvSpPr txBox="1">
          <a:spLocks noChangeArrowheads="1"/>
        </xdr:cNvSpPr>
      </xdr:nvSpPr>
      <xdr:spPr bwMode="auto">
        <a:xfrm>
          <a:off x="12790343"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127</xdr:row>
      <xdr:rowOff>0</xdr:rowOff>
    </xdr:from>
    <xdr:ext cx="95250" cy="213632"/>
    <xdr:sp macro="" textlink="">
      <xdr:nvSpPr>
        <xdr:cNvPr id="671" name="Text Box 15">
          <a:extLst>
            <a:ext uri="{FF2B5EF4-FFF2-40B4-BE49-F238E27FC236}">
              <a16:creationId xmlns:a16="http://schemas.microsoft.com/office/drawing/2014/main" id="{00000000-0008-0000-0500-00009F020000}"/>
            </a:ext>
          </a:extLst>
        </xdr:cNvPr>
        <xdr:cNvSpPr txBox="1">
          <a:spLocks noChangeArrowheads="1"/>
        </xdr:cNvSpPr>
      </xdr:nvSpPr>
      <xdr:spPr bwMode="auto">
        <a:xfrm>
          <a:off x="12790343"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127</xdr:row>
      <xdr:rowOff>0</xdr:rowOff>
    </xdr:from>
    <xdr:ext cx="95250" cy="213632"/>
    <xdr:sp macro="" textlink="">
      <xdr:nvSpPr>
        <xdr:cNvPr id="672" name="Text Box 15">
          <a:extLst>
            <a:ext uri="{FF2B5EF4-FFF2-40B4-BE49-F238E27FC236}">
              <a16:creationId xmlns:a16="http://schemas.microsoft.com/office/drawing/2014/main" id="{00000000-0008-0000-0500-0000A0020000}"/>
            </a:ext>
          </a:extLst>
        </xdr:cNvPr>
        <xdr:cNvSpPr txBox="1">
          <a:spLocks noChangeArrowheads="1"/>
        </xdr:cNvSpPr>
      </xdr:nvSpPr>
      <xdr:spPr bwMode="auto">
        <a:xfrm>
          <a:off x="12790343"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127</xdr:row>
      <xdr:rowOff>0</xdr:rowOff>
    </xdr:from>
    <xdr:ext cx="95250" cy="213632"/>
    <xdr:sp macro="" textlink="">
      <xdr:nvSpPr>
        <xdr:cNvPr id="673" name="Text Box 15">
          <a:extLst>
            <a:ext uri="{FF2B5EF4-FFF2-40B4-BE49-F238E27FC236}">
              <a16:creationId xmlns:a16="http://schemas.microsoft.com/office/drawing/2014/main" id="{00000000-0008-0000-0500-0000A1020000}"/>
            </a:ext>
          </a:extLst>
        </xdr:cNvPr>
        <xdr:cNvSpPr txBox="1">
          <a:spLocks noChangeArrowheads="1"/>
        </xdr:cNvSpPr>
      </xdr:nvSpPr>
      <xdr:spPr bwMode="auto">
        <a:xfrm>
          <a:off x="12790343"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127</xdr:row>
      <xdr:rowOff>0</xdr:rowOff>
    </xdr:from>
    <xdr:ext cx="95250" cy="213632"/>
    <xdr:sp macro="" textlink="">
      <xdr:nvSpPr>
        <xdr:cNvPr id="674" name="Text Box 15">
          <a:extLst>
            <a:ext uri="{FF2B5EF4-FFF2-40B4-BE49-F238E27FC236}">
              <a16:creationId xmlns:a16="http://schemas.microsoft.com/office/drawing/2014/main" id="{00000000-0008-0000-0500-0000A2020000}"/>
            </a:ext>
          </a:extLst>
        </xdr:cNvPr>
        <xdr:cNvSpPr txBox="1">
          <a:spLocks noChangeArrowheads="1"/>
        </xdr:cNvSpPr>
      </xdr:nvSpPr>
      <xdr:spPr bwMode="auto">
        <a:xfrm>
          <a:off x="12790343"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127</xdr:row>
      <xdr:rowOff>0</xdr:rowOff>
    </xdr:from>
    <xdr:ext cx="95250" cy="213632"/>
    <xdr:sp macro="" textlink="">
      <xdr:nvSpPr>
        <xdr:cNvPr id="675" name="Text Box 15">
          <a:extLst>
            <a:ext uri="{FF2B5EF4-FFF2-40B4-BE49-F238E27FC236}">
              <a16:creationId xmlns:a16="http://schemas.microsoft.com/office/drawing/2014/main" id="{00000000-0008-0000-0500-0000A3020000}"/>
            </a:ext>
          </a:extLst>
        </xdr:cNvPr>
        <xdr:cNvSpPr txBox="1">
          <a:spLocks noChangeArrowheads="1"/>
        </xdr:cNvSpPr>
      </xdr:nvSpPr>
      <xdr:spPr bwMode="auto">
        <a:xfrm>
          <a:off x="12790343"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127</xdr:row>
      <xdr:rowOff>0</xdr:rowOff>
    </xdr:from>
    <xdr:ext cx="95250" cy="213632"/>
    <xdr:sp macro="" textlink="">
      <xdr:nvSpPr>
        <xdr:cNvPr id="676" name="Text Box 15">
          <a:extLst>
            <a:ext uri="{FF2B5EF4-FFF2-40B4-BE49-F238E27FC236}">
              <a16:creationId xmlns:a16="http://schemas.microsoft.com/office/drawing/2014/main" id="{00000000-0008-0000-0500-0000A4020000}"/>
            </a:ext>
          </a:extLst>
        </xdr:cNvPr>
        <xdr:cNvSpPr txBox="1">
          <a:spLocks noChangeArrowheads="1"/>
        </xdr:cNvSpPr>
      </xdr:nvSpPr>
      <xdr:spPr bwMode="auto">
        <a:xfrm>
          <a:off x="12790343"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213632"/>
    <xdr:sp macro="" textlink="">
      <xdr:nvSpPr>
        <xdr:cNvPr id="677" name="Text Box 15">
          <a:extLst>
            <a:ext uri="{FF2B5EF4-FFF2-40B4-BE49-F238E27FC236}">
              <a16:creationId xmlns:a16="http://schemas.microsoft.com/office/drawing/2014/main" id="{00000000-0008-0000-0500-0000A5020000}"/>
            </a:ext>
          </a:extLst>
        </xdr:cNvPr>
        <xdr:cNvSpPr txBox="1">
          <a:spLocks noChangeArrowheads="1"/>
        </xdr:cNvSpPr>
      </xdr:nvSpPr>
      <xdr:spPr bwMode="auto">
        <a:xfrm>
          <a:off x="9374909" y="12870007"/>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213632"/>
    <xdr:sp macro="" textlink="">
      <xdr:nvSpPr>
        <xdr:cNvPr id="678" name="Text Box 15">
          <a:extLst>
            <a:ext uri="{FF2B5EF4-FFF2-40B4-BE49-F238E27FC236}">
              <a16:creationId xmlns:a16="http://schemas.microsoft.com/office/drawing/2014/main" id="{00000000-0008-0000-0500-0000A6020000}"/>
            </a:ext>
          </a:extLst>
        </xdr:cNvPr>
        <xdr:cNvSpPr txBox="1">
          <a:spLocks noChangeArrowheads="1"/>
        </xdr:cNvSpPr>
      </xdr:nvSpPr>
      <xdr:spPr bwMode="auto">
        <a:xfrm>
          <a:off x="9374909" y="12870007"/>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127</xdr:row>
      <xdr:rowOff>0</xdr:rowOff>
    </xdr:from>
    <xdr:ext cx="95250" cy="213632"/>
    <xdr:sp macro="" textlink="">
      <xdr:nvSpPr>
        <xdr:cNvPr id="679" name="Text Box 15">
          <a:extLst>
            <a:ext uri="{FF2B5EF4-FFF2-40B4-BE49-F238E27FC236}">
              <a16:creationId xmlns:a16="http://schemas.microsoft.com/office/drawing/2014/main" id="{00000000-0008-0000-0500-0000A7020000}"/>
            </a:ext>
          </a:extLst>
        </xdr:cNvPr>
        <xdr:cNvSpPr txBox="1">
          <a:spLocks noChangeArrowheads="1"/>
        </xdr:cNvSpPr>
      </xdr:nvSpPr>
      <xdr:spPr bwMode="auto">
        <a:xfrm>
          <a:off x="12790343" y="12870007"/>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127</xdr:row>
      <xdr:rowOff>0</xdr:rowOff>
    </xdr:from>
    <xdr:ext cx="95250" cy="213632"/>
    <xdr:sp macro="" textlink="">
      <xdr:nvSpPr>
        <xdr:cNvPr id="680" name="Text Box 15">
          <a:extLst>
            <a:ext uri="{FF2B5EF4-FFF2-40B4-BE49-F238E27FC236}">
              <a16:creationId xmlns:a16="http://schemas.microsoft.com/office/drawing/2014/main" id="{00000000-0008-0000-0500-0000A8020000}"/>
            </a:ext>
          </a:extLst>
        </xdr:cNvPr>
        <xdr:cNvSpPr txBox="1">
          <a:spLocks noChangeArrowheads="1"/>
        </xdr:cNvSpPr>
      </xdr:nvSpPr>
      <xdr:spPr bwMode="auto">
        <a:xfrm>
          <a:off x="12790343" y="12870007"/>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213632"/>
    <xdr:sp macro="" textlink="">
      <xdr:nvSpPr>
        <xdr:cNvPr id="681" name="Text Box 15">
          <a:extLst>
            <a:ext uri="{FF2B5EF4-FFF2-40B4-BE49-F238E27FC236}">
              <a16:creationId xmlns:a16="http://schemas.microsoft.com/office/drawing/2014/main" id="{00000000-0008-0000-0500-0000A9020000}"/>
            </a:ext>
          </a:extLst>
        </xdr:cNvPr>
        <xdr:cNvSpPr txBox="1">
          <a:spLocks noChangeArrowheads="1"/>
        </xdr:cNvSpPr>
      </xdr:nvSpPr>
      <xdr:spPr bwMode="auto">
        <a:xfrm>
          <a:off x="9374909"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213632"/>
    <xdr:sp macro="" textlink="">
      <xdr:nvSpPr>
        <xdr:cNvPr id="682" name="Text Box 15">
          <a:extLst>
            <a:ext uri="{FF2B5EF4-FFF2-40B4-BE49-F238E27FC236}">
              <a16:creationId xmlns:a16="http://schemas.microsoft.com/office/drawing/2014/main" id="{00000000-0008-0000-0500-0000AA020000}"/>
            </a:ext>
          </a:extLst>
        </xdr:cNvPr>
        <xdr:cNvSpPr txBox="1">
          <a:spLocks noChangeArrowheads="1"/>
        </xdr:cNvSpPr>
      </xdr:nvSpPr>
      <xdr:spPr bwMode="auto">
        <a:xfrm>
          <a:off x="9374909"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213632"/>
    <xdr:sp macro="" textlink="">
      <xdr:nvSpPr>
        <xdr:cNvPr id="683" name="Text Box 15">
          <a:extLst>
            <a:ext uri="{FF2B5EF4-FFF2-40B4-BE49-F238E27FC236}">
              <a16:creationId xmlns:a16="http://schemas.microsoft.com/office/drawing/2014/main" id="{00000000-0008-0000-0500-0000AB020000}"/>
            </a:ext>
          </a:extLst>
        </xdr:cNvPr>
        <xdr:cNvSpPr txBox="1">
          <a:spLocks noChangeArrowheads="1"/>
        </xdr:cNvSpPr>
      </xdr:nvSpPr>
      <xdr:spPr bwMode="auto">
        <a:xfrm>
          <a:off x="9374909"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213632"/>
    <xdr:sp macro="" textlink="">
      <xdr:nvSpPr>
        <xdr:cNvPr id="684" name="Text Box 15">
          <a:extLst>
            <a:ext uri="{FF2B5EF4-FFF2-40B4-BE49-F238E27FC236}">
              <a16:creationId xmlns:a16="http://schemas.microsoft.com/office/drawing/2014/main" id="{00000000-0008-0000-0500-0000AC020000}"/>
            </a:ext>
          </a:extLst>
        </xdr:cNvPr>
        <xdr:cNvSpPr txBox="1">
          <a:spLocks noChangeArrowheads="1"/>
        </xdr:cNvSpPr>
      </xdr:nvSpPr>
      <xdr:spPr bwMode="auto">
        <a:xfrm>
          <a:off x="9374909"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213632"/>
    <xdr:sp macro="" textlink="">
      <xdr:nvSpPr>
        <xdr:cNvPr id="685" name="Text Box 15">
          <a:extLst>
            <a:ext uri="{FF2B5EF4-FFF2-40B4-BE49-F238E27FC236}">
              <a16:creationId xmlns:a16="http://schemas.microsoft.com/office/drawing/2014/main" id="{00000000-0008-0000-0500-0000AD020000}"/>
            </a:ext>
          </a:extLst>
        </xdr:cNvPr>
        <xdr:cNvSpPr txBox="1">
          <a:spLocks noChangeArrowheads="1"/>
        </xdr:cNvSpPr>
      </xdr:nvSpPr>
      <xdr:spPr bwMode="auto">
        <a:xfrm>
          <a:off x="9374909"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213632"/>
    <xdr:sp macro="" textlink="">
      <xdr:nvSpPr>
        <xdr:cNvPr id="686" name="Text Box 15">
          <a:extLst>
            <a:ext uri="{FF2B5EF4-FFF2-40B4-BE49-F238E27FC236}">
              <a16:creationId xmlns:a16="http://schemas.microsoft.com/office/drawing/2014/main" id="{00000000-0008-0000-0500-0000AE020000}"/>
            </a:ext>
          </a:extLst>
        </xdr:cNvPr>
        <xdr:cNvSpPr txBox="1">
          <a:spLocks noChangeArrowheads="1"/>
        </xdr:cNvSpPr>
      </xdr:nvSpPr>
      <xdr:spPr bwMode="auto">
        <a:xfrm>
          <a:off x="9374909"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213632"/>
    <xdr:sp macro="" textlink="">
      <xdr:nvSpPr>
        <xdr:cNvPr id="687" name="Text Box 15">
          <a:extLst>
            <a:ext uri="{FF2B5EF4-FFF2-40B4-BE49-F238E27FC236}">
              <a16:creationId xmlns:a16="http://schemas.microsoft.com/office/drawing/2014/main" id="{00000000-0008-0000-0500-0000AF020000}"/>
            </a:ext>
          </a:extLst>
        </xdr:cNvPr>
        <xdr:cNvSpPr txBox="1">
          <a:spLocks noChangeArrowheads="1"/>
        </xdr:cNvSpPr>
      </xdr:nvSpPr>
      <xdr:spPr bwMode="auto">
        <a:xfrm>
          <a:off x="9374909"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127</xdr:row>
      <xdr:rowOff>0</xdr:rowOff>
    </xdr:from>
    <xdr:ext cx="95250" cy="213632"/>
    <xdr:sp macro="" textlink="">
      <xdr:nvSpPr>
        <xdr:cNvPr id="688" name="Text Box 15">
          <a:extLst>
            <a:ext uri="{FF2B5EF4-FFF2-40B4-BE49-F238E27FC236}">
              <a16:creationId xmlns:a16="http://schemas.microsoft.com/office/drawing/2014/main" id="{00000000-0008-0000-0500-0000B0020000}"/>
            </a:ext>
          </a:extLst>
        </xdr:cNvPr>
        <xdr:cNvSpPr txBox="1">
          <a:spLocks noChangeArrowheads="1"/>
        </xdr:cNvSpPr>
      </xdr:nvSpPr>
      <xdr:spPr bwMode="auto">
        <a:xfrm>
          <a:off x="12790343"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127</xdr:row>
      <xdr:rowOff>0</xdr:rowOff>
    </xdr:from>
    <xdr:ext cx="95250" cy="213632"/>
    <xdr:sp macro="" textlink="">
      <xdr:nvSpPr>
        <xdr:cNvPr id="689" name="Text Box 15">
          <a:extLst>
            <a:ext uri="{FF2B5EF4-FFF2-40B4-BE49-F238E27FC236}">
              <a16:creationId xmlns:a16="http://schemas.microsoft.com/office/drawing/2014/main" id="{00000000-0008-0000-0500-0000B1020000}"/>
            </a:ext>
          </a:extLst>
        </xdr:cNvPr>
        <xdr:cNvSpPr txBox="1">
          <a:spLocks noChangeArrowheads="1"/>
        </xdr:cNvSpPr>
      </xdr:nvSpPr>
      <xdr:spPr bwMode="auto">
        <a:xfrm>
          <a:off x="12790343"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127</xdr:row>
      <xdr:rowOff>0</xdr:rowOff>
    </xdr:from>
    <xdr:ext cx="95250" cy="213632"/>
    <xdr:sp macro="" textlink="">
      <xdr:nvSpPr>
        <xdr:cNvPr id="690" name="Text Box 15">
          <a:extLst>
            <a:ext uri="{FF2B5EF4-FFF2-40B4-BE49-F238E27FC236}">
              <a16:creationId xmlns:a16="http://schemas.microsoft.com/office/drawing/2014/main" id="{00000000-0008-0000-0500-0000B2020000}"/>
            </a:ext>
          </a:extLst>
        </xdr:cNvPr>
        <xdr:cNvSpPr txBox="1">
          <a:spLocks noChangeArrowheads="1"/>
        </xdr:cNvSpPr>
      </xdr:nvSpPr>
      <xdr:spPr bwMode="auto">
        <a:xfrm>
          <a:off x="12790343"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127</xdr:row>
      <xdr:rowOff>0</xdr:rowOff>
    </xdr:from>
    <xdr:ext cx="95250" cy="213632"/>
    <xdr:sp macro="" textlink="">
      <xdr:nvSpPr>
        <xdr:cNvPr id="691" name="Text Box 15">
          <a:extLst>
            <a:ext uri="{FF2B5EF4-FFF2-40B4-BE49-F238E27FC236}">
              <a16:creationId xmlns:a16="http://schemas.microsoft.com/office/drawing/2014/main" id="{00000000-0008-0000-0500-0000B3020000}"/>
            </a:ext>
          </a:extLst>
        </xdr:cNvPr>
        <xdr:cNvSpPr txBox="1">
          <a:spLocks noChangeArrowheads="1"/>
        </xdr:cNvSpPr>
      </xdr:nvSpPr>
      <xdr:spPr bwMode="auto">
        <a:xfrm>
          <a:off x="12790343"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127</xdr:row>
      <xdr:rowOff>0</xdr:rowOff>
    </xdr:from>
    <xdr:ext cx="95250" cy="213632"/>
    <xdr:sp macro="" textlink="">
      <xdr:nvSpPr>
        <xdr:cNvPr id="692" name="Text Box 15">
          <a:extLst>
            <a:ext uri="{FF2B5EF4-FFF2-40B4-BE49-F238E27FC236}">
              <a16:creationId xmlns:a16="http://schemas.microsoft.com/office/drawing/2014/main" id="{00000000-0008-0000-0500-0000B4020000}"/>
            </a:ext>
          </a:extLst>
        </xdr:cNvPr>
        <xdr:cNvSpPr txBox="1">
          <a:spLocks noChangeArrowheads="1"/>
        </xdr:cNvSpPr>
      </xdr:nvSpPr>
      <xdr:spPr bwMode="auto">
        <a:xfrm>
          <a:off x="12790343"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127</xdr:row>
      <xdr:rowOff>0</xdr:rowOff>
    </xdr:from>
    <xdr:ext cx="95250" cy="213632"/>
    <xdr:sp macro="" textlink="">
      <xdr:nvSpPr>
        <xdr:cNvPr id="693" name="Text Box 15">
          <a:extLst>
            <a:ext uri="{FF2B5EF4-FFF2-40B4-BE49-F238E27FC236}">
              <a16:creationId xmlns:a16="http://schemas.microsoft.com/office/drawing/2014/main" id="{00000000-0008-0000-0500-0000B5020000}"/>
            </a:ext>
          </a:extLst>
        </xdr:cNvPr>
        <xdr:cNvSpPr txBox="1">
          <a:spLocks noChangeArrowheads="1"/>
        </xdr:cNvSpPr>
      </xdr:nvSpPr>
      <xdr:spPr bwMode="auto">
        <a:xfrm>
          <a:off x="12790343"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127</xdr:row>
      <xdr:rowOff>0</xdr:rowOff>
    </xdr:from>
    <xdr:ext cx="95250" cy="213632"/>
    <xdr:sp macro="" textlink="">
      <xdr:nvSpPr>
        <xdr:cNvPr id="694" name="Text Box 15">
          <a:extLst>
            <a:ext uri="{FF2B5EF4-FFF2-40B4-BE49-F238E27FC236}">
              <a16:creationId xmlns:a16="http://schemas.microsoft.com/office/drawing/2014/main" id="{00000000-0008-0000-0500-0000B6020000}"/>
            </a:ext>
          </a:extLst>
        </xdr:cNvPr>
        <xdr:cNvSpPr txBox="1">
          <a:spLocks noChangeArrowheads="1"/>
        </xdr:cNvSpPr>
      </xdr:nvSpPr>
      <xdr:spPr bwMode="auto">
        <a:xfrm>
          <a:off x="12790343" y="123651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213632"/>
    <xdr:sp macro="" textlink="">
      <xdr:nvSpPr>
        <xdr:cNvPr id="695" name="Text Box 15">
          <a:extLst>
            <a:ext uri="{FF2B5EF4-FFF2-40B4-BE49-F238E27FC236}">
              <a16:creationId xmlns:a16="http://schemas.microsoft.com/office/drawing/2014/main" id="{00000000-0008-0000-0500-0000B7020000}"/>
            </a:ext>
          </a:extLst>
        </xdr:cNvPr>
        <xdr:cNvSpPr txBox="1">
          <a:spLocks noChangeArrowheads="1"/>
        </xdr:cNvSpPr>
      </xdr:nvSpPr>
      <xdr:spPr bwMode="auto">
        <a:xfrm>
          <a:off x="9374909" y="12870007"/>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127</xdr:row>
      <xdr:rowOff>0</xdr:rowOff>
    </xdr:from>
    <xdr:ext cx="95250" cy="213632"/>
    <xdr:sp macro="" textlink="">
      <xdr:nvSpPr>
        <xdr:cNvPr id="697" name="Text Box 15">
          <a:extLst>
            <a:ext uri="{FF2B5EF4-FFF2-40B4-BE49-F238E27FC236}">
              <a16:creationId xmlns:a16="http://schemas.microsoft.com/office/drawing/2014/main" id="{00000000-0008-0000-0500-0000B9020000}"/>
            </a:ext>
          </a:extLst>
        </xdr:cNvPr>
        <xdr:cNvSpPr txBox="1">
          <a:spLocks noChangeArrowheads="1"/>
        </xdr:cNvSpPr>
      </xdr:nvSpPr>
      <xdr:spPr bwMode="auto">
        <a:xfrm>
          <a:off x="12790343" y="12870007"/>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127</xdr:row>
      <xdr:rowOff>0</xdr:rowOff>
    </xdr:from>
    <xdr:ext cx="95250" cy="213632"/>
    <xdr:sp macro="" textlink="">
      <xdr:nvSpPr>
        <xdr:cNvPr id="698" name="Text Box 15">
          <a:extLst>
            <a:ext uri="{FF2B5EF4-FFF2-40B4-BE49-F238E27FC236}">
              <a16:creationId xmlns:a16="http://schemas.microsoft.com/office/drawing/2014/main" id="{00000000-0008-0000-0500-0000BA020000}"/>
            </a:ext>
          </a:extLst>
        </xdr:cNvPr>
        <xdr:cNvSpPr txBox="1">
          <a:spLocks noChangeArrowheads="1"/>
        </xdr:cNvSpPr>
      </xdr:nvSpPr>
      <xdr:spPr bwMode="auto">
        <a:xfrm>
          <a:off x="12790343" y="12870007"/>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444331"/>
    <xdr:sp macro="" textlink="">
      <xdr:nvSpPr>
        <xdr:cNvPr id="696" name="Text Box 15">
          <a:extLst>
            <a:ext uri="{FF2B5EF4-FFF2-40B4-BE49-F238E27FC236}">
              <a16:creationId xmlns:a16="http://schemas.microsoft.com/office/drawing/2014/main" id="{00000000-0008-0000-0500-0000B8020000}"/>
            </a:ext>
          </a:extLst>
        </xdr:cNvPr>
        <xdr:cNvSpPr txBox="1">
          <a:spLocks noChangeArrowheads="1"/>
        </xdr:cNvSpPr>
      </xdr:nvSpPr>
      <xdr:spPr bwMode="auto">
        <a:xfrm>
          <a:off x="8980714" y="7036254"/>
          <a:ext cx="95250" cy="444331"/>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171450"/>
    <xdr:sp macro="" textlink="">
      <xdr:nvSpPr>
        <xdr:cNvPr id="699" name="Text Box 16">
          <a:extLst>
            <a:ext uri="{FF2B5EF4-FFF2-40B4-BE49-F238E27FC236}">
              <a16:creationId xmlns:a16="http://schemas.microsoft.com/office/drawing/2014/main" id="{00000000-0008-0000-0500-0000BB020000}"/>
            </a:ext>
          </a:extLst>
        </xdr:cNvPr>
        <xdr:cNvSpPr txBox="1">
          <a:spLocks noChangeArrowheads="1"/>
        </xdr:cNvSpPr>
      </xdr:nvSpPr>
      <xdr:spPr bwMode="auto">
        <a:xfrm>
          <a:off x="8980714" y="7307036"/>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171450"/>
    <xdr:sp macro="" textlink="">
      <xdr:nvSpPr>
        <xdr:cNvPr id="700" name="Text Box 17">
          <a:extLst>
            <a:ext uri="{FF2B5EF4-FFF2-40B4-BE49-F238E27FC236}">
              <a16:creationId xmlns:a16="http://schemas.microsoft.com/office/drawing/2014/main" id="{00000000-0008-0000-0500-0000BC020000}"/>
            </a:ext>
          </a:extLst>
        </xdr:cNvPr>
        <xdr:cNvSpPr txBox="1">
          <a:spLocks noChangeArrowheads="1"/>
        </xdr:cNvSpPr>
      </xdr:nvSpPr>
      <xdr:spPr bwMode="auto">
        <a:xfrm>
          <a:off x="8980714" y="7307036"/>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171450"/>
    <xdr:sp macro="" textlink="">
      <xdr:nvSpPr>
        <xdr:cNvPr id="701" name="Text Box 18">
          <a:extLst>
            <a:ext uri="{FF2B5EF4-FFF2-40B4-BE49-F238E27FC236}">
              <a16:creationId xmlns:a16="http://schemas.microsoft.com/office/drawing/2014/main" id="{00000000-0008-0000-0500-0000BD020000}"/>
            </a:ext>
          </a:extLst>
        </xdr:cNvPr>
        <xdr:cNvSpPr txBox="1">
          <a:spLocks noChangeArrowheads="1"/>
        </xdr:cNvSpPr>
      </xdr:nvSpPr>
      <xdr:spPr bwMode="auto">
        <a:xfrm>
          <a:off x="8980714" y="7307036"/>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171450"/>
    <xdr:sp macro="" textlink="">
      <xdr:nvSpPr>
        <xdr:cNvPr id="702" name="Text Box 19">
          <a:extLst>
            <a:ext uri="{FF2B5EF4-FFF2-40B4-BE49-F238E27FC236}">
              <a16:creationId xmlns:a16="http://schemas.microsoft.com/office/drawing/2014/main" id="{00000000-0008-0000-0500-0000BE020000}"/>
            </a:ext>
          </a:extLst>
        </xdr:cNvPr>
        <xdr:cNvSpPr txBox="1">
          <a:spLocks noChangeArrowheads="1"/>
        </xdr:cNvSpPr>
      </xdr:nvSpPr>
      <xdr:spPr bwMode="auto">
        <a:xfrm>
          <a:off x="8980714" y="7307036"/>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213632"/>
    <xdr:sp macro="" textlink="">
      <xdr:nvSpPr>
        <xdr:cNvPr id="703" name="Text Box 15">
          <a:extLst>
            <a:ext uri="{FF2B5EF4-FFF2-40B4-BE49-F238E27FC236}">
              <a16:creationId xmlns:a16="http://schemas.microsoft.com/office/drawing/2014/main" id="{00000000-0008-0000-0500-0000BF020000}"/>
            </a:ext>
          </a:extLst>
        </xdr:cNvPr>
        <xdr:cNvSpPr txBox="1">
          <a:spLocks noChangeArrowheads="1"/>
        </xdr:cNvSpPr>
      </xdr:nvSpPr>
      <xdr:spPr bwMode="auto">
        <a:xfrm>
          <a:off x="8980714" y="7811861"/>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213632"/>
    <xdr:sp macro="" textlink="">
      <xdr:nvSpPr>
        <xdr:cNvPr id="704" name="Text Box 15">
          <a:extLst>
            <a:ext uri="{FF2B5EF4-FFF2-40B4-BE49-F238E27FC236}">
              <a16:creationId xmlns:a16="http://schemas.microsoft.com/office/drawing/2014/main" id="{00000000-0008-0000-0500-0000C0020000}"/>
            </a:ext>
          </a:extLst>
        </xdr:cNvPr>
        <xdr:cNvSpPr txBox="1">
          <a:spLocks noChangeArrowheads="1"/>
        </xdr:cNvSpPr>
      </xdr:nvSpPr>
      <xdr:spPr bwMode="auto">
        <a:xfrm>
          <a:off x="8980714" y="1137693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213632"/>
    <xdr:sp macro="" textlink="">
      <xdr:nvSpPr>
        <xdr:cNvPr id="705" name="Text Box 15">
          <a:extLst>
            <a:ext uri="{FF2B5EF4-FFF2-40B4-BE49-F238E27FC236}">
              <a16:creationId xmlns:a16="http://schemas.microsoft.com/office/drawing/2014/main" id="{00000000-0008-0000-0500-0000C1020000}"/>
            </a:ext>
          </a:extLst>
        </xdr:cNvPr>
        <xdr:cNvSpPr txBox="1">
          <a:spLocks noChangeArrowheads="1"/>
        </xdr:cNvSpPr>
      </xdr:nvSpPr>
      <xdr:spPr bwMode="auto">
        <a:xfrm>
          <a:off x="8980714" y="1137693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213632"/>
    <xdr:sp macro="" textlink="">
      <xdr:nvSpPr>
        <xdr:cNvPr id="706" name="Text Box 15">
          <a:extLst>
            <a:ext uri="{FF2B5EF4-FFF2-40B4-BE49-F238E27FC236}">
              <a16:creationId xmlns:a16="http://schemas.microsoft.com/office/drawing/2014/main" id="{00000000-0008-0000-0500-0000C2020000}"/>
            </a:ext>
          </a:extLst>
        </xdr:cNvPr>
        <xdr:cNvSpPr txBox="1">
          <a:spLocks noChangeArrowheads="1"/>
        </xdr:cNvSpPr>
      </xdr:nvSpPr>
      <xdr:spPr bwMode="auto">
        <a:xfrm>
          <a:off x="8960145" y="1485235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213632"/>
    <xdr:sp macro="" textlink="">
      <xdr:nvSpPr>
        <xdr:cNvPr id="707" name="Text Box 15">
          <a:extLst>
            <a:ext uri="{FF2B5EF4-FFF2-40B4-BE49-F238E27FC236}">
              <a16:creationId xmlns:a16="http://schemas.microsoft.com/office/drawing/2014/main" id="{00000000-0008-0000-0500-0000C3020000}"/>
            </a:ext>
          </a:extLst>
        </xdr:cNvPr>
        <xdr:cNvSpPr txBox="1">
          <a:spLocks noChangeArrowheads="1"/>
        </xdr:cNvSpPr>
      </xdr:nvSpPr>
      <xdr:spPr bwMode="auto">
        <a:xfrm>
          <a:off x="8960145" y="1485235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213632"/>
    <xdr:sp macro="" textlink="">
      <xdr:nvSpPr>
        <xdr:cNvPr id="708" name="Text Box 15">
          <a:extLst>
            <a:ext uri="{FF2B5EF4-FFF2-40B4-BE49-F238E27FC236}">
              <a16:creationId xmlns:a16="http://schemas.microsoft.com/office/drawing/2014/main" id="{00000000-0008-0000-0500-0000C4020000}"/>
            </a:ext>
          </a:extLst>
        </xdr:cNvPr>
        <xdr:cNvSpPr txBox="1">
          <a:spLocks noChangeArrowheads="1"/>
        </xdr:cNvSpPr>
      </xdr:nvSpPr>
      <xdr:spPr bwMode="auto">
        <a:xfrm>
          <a:off x="8960145" y="1485235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213632"/>
    <xdr:sp macro="" textlink="">
      <xdr:nvSpPr>
        <xdr:cNvPr id="709" name="Text Box 15">
          <a:extLst>
            <a:ext uri="{FF2B5EF4-FFF2-40B4-BE49-F238E27FC236}">
              <a16:creationId xmlns:a16="http://schemas.microsoft.com/office/drawing/2014/main" id="{00000000-0008-0000-0500-0000C5020000}"/>
            </a:ext>
          </a:extLst>
        </xdr:cNvPr>
        <xdr:cNvSpPr txBox="1">
          <a:spLocks noChangeArrowheads="1"/>
        </xdr:cNvSpPr>
      </xdr:nvSpPr>
      <xdr:spPr bwMode="auto">
        <a:xfrm>
          <a:off x="8960145" y="1485235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213632"/>
    <xdr:sp macro="" textlink="">
      <xdr:nvSpPr>
        <xdr:cNvPr id="710" name="Text Box 15">
          <a:extLst>
            <a:ext uri="{FF2B5EF4-FFF2-40B4-BE49-F238E27FC236}">
              <a16:creationId xmlns:a16="http://schemas.microsoft.com/office/drawing/2014/main" id="{00000000-0008-0000-0500-0000C6020000}"/>
            </a:ext>
          </a:extLst>
        </xdr:cNvPr>
        <xdr:cNvSpPr txBox="1">
          <a:spLocks noChangeArrowheads="1"/>
        </xdr:cNvSpPr>
      </xdr:nvSpPr>
      <xdr:spPr bwMode="auto">
        <a:xfrm>
          <a:off x="8960145" y="1485235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213632"/>
    <xdr:sp macro="" textlink="">
      <xdr:nvSpPr>
        <xdr:cNvPr id="711" name="Text Box 15">
          <a:extLst>
            <a:ext uri="{FF2B5EF4-FFF2-40B4-BE49-F238E27FC236}">
              <a16:creationId xmlns:a16="http://schemas.microsoft.com/office/drawing/2014/main" id="{00000000-0008-0000-0500-0000C7020000}"/>
            </a:ext>
          </a:extLst>
        </xdr:cNvPr>
        <xdr:cNvSpPr txBox="1">
          <a:spLocks noChangeArrowheads="1"/>
        </xdr:cNvSpPr>
      </xdr:nvSpPr>
      <xdr:spPr bwMode="auto">
        <a:xfrm>
          <a:off x="8960145" y="1485235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213632"/>
    <xdr:sp macro="" textlink="">
      <xdr:nvSpPr>
        <xdr:cNvPr id="712" name="Text Box 15">
          <a:extLst>
            <a:ext uri="{FF2B5EF4-FFF2-40B4-BE49-F238E27FC236}">
              <a16:creationId xmlns:a16="http://schemas.microsoft.com/office/drawing/2014/main" id="{00000000-0008-0000-0500-0000C8020000}"/>
            </a:ext>
          </a:extLst>
        </xdr:cNvPr>
        <xdr:cNvSpPr txBox="1">
          <a:spLocks noChangeArrowheads="1"/>
        </xdr:cNvSpPr>
      </xdr:nvSpPr>
      <xdr:spPr bwMode="auto">
        <a:xfrm>
          <a:off x="8960145" y="1485235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213632"/>
    <xdr:sp macro="" textlink="">
      <xdr:nvSpPr>
        <xdr:cNvPr id="713" name="Text Box 15">
          <a:extLst>
            <a:ext uri="{FF2B5EF4-FFF2-40B4-BE49-F238E27FC236}">
              <a16:creationId xmlns:a16="http://schemas.microsoft.com/office/drawing/2014/main" id="{00000000-0008-0000-0500-0000C9020000}"/>
            </a:ext>
          </a:extLst>
        </xdr:cNvPr>
        <xdr:cNvSpPr txBox="1">
          <a:spLocks noChangeArrowheads="1"/>
        </xdr:cNvSpPr>
      </xdr:nvSpPr>
      <xdr:spPr bwMode="auto">
        <a:xfrm>
          <a:off x="8960145" y="15357180"/>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213632"/>
    <xdr:sp macro="" textlink="">
      <xdr:nvSpPr>
        <xdr:cNvPr id="714" name="Text Box 15">
          <a:extLst>
            <a:ext uri="{FF2B5EF4-FFF2-40B4-BE49-F238E27FC236}">
              <a16:creationId xmlns:a16="http://schemas.microsoft.com/office/drawing/2014/main" id="{00000000-0008-0000-0500-0000CA020000}"/>
            </a:ext>
          </a:extLst>
        </xdr:cNvPr>
        <xdr:cNvSpPr txBox="1">
          <a:spLocks noChangeArrowheads="1"/>
        </xdr:cNvSpPr>
      </xdr:nvSpPr>
      <xdr:spPr bwMode="auto">
        <a:xfrm>
          <a:off x="8960145" y="15357180"/>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213632"/>
    <xdr:sp macro="" textlink="">
      <xdr:nvSpPr>
        <xdr:cNvPr id="715" name="Text Box 15">
          <a:extLst>
            <a:ext uri="{FF2B5EF4-FFF2-40B4-BE49-F238E27FC236}">
              <a16:creationId xmlns:a16="http://schemas.microsoft.com/office/drawing/2014/main" id="{00000000-0008-0000-0500-0000CB020000}"/>
            </a:ext>
          </a:extLst>
        </xdr:cNvPr>
        <xdr:cNvSpPr txBox="1">
          <a:spLocks noChangeArrowheads="1"/>
        </xdr:cNvSpPr>
      </xdr:nvSpPr>
      <xdr:spPr bwMode="auto">
        <a:xfrm>
          <a:off x="8960145" y="15357180"/>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213632"/>
    <xdr:sp macro="" textlink="">
      <xdr:nvSpPr>
        <xdr:cNvPr id="716" name="Text Box 15">
          <a:extLst>
            <a:ext uri="{FF2B5EF4-FFF2-40B4-BE49-F238E27FC236}">
              <a16:creationId xmlns:a16="http://schemas.microsoft.com/office/drawing/2014/main" id="{00000000-0008-0000-0500-0000CC020000}"/>
            </a:ext>
          </a:extLst>
        </xdr:cNvPr>
        <xdr:cNvSpPr txBox="1">
          <a:spLocks noChangeArrowheads="1"/>
        </xdr:cNvSpPr>
      </xdr:nvSpPr>
      <xdr:spPr bwMode="auto">
        <a:xfrm>
          <a:off x="8960145" y="15357180"/>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8</xdr:row>
      <xdr:rowOff>504825</xdr:rowOff>
    </xdr:from>
    <xdr:ext cx="95250" cy="444014"/>
    <xdr:sp macro="" textlink="">
      <xdr:nvSpPr>
        <xdr:cNvPr id="717" name="Text Box 15">
          <a:extLst>
            <a:ext uri="{FF2B5EF4-FFF2-40B4-BE49-F238E27FC236}">
              <a16:creationId xmlns:a16="http://schemas.microsoft.com/office/drawing/2014/main" id="{00000000-0008-0000-0500-0000CD020000}"/>
            </a:ext>
          </a:extLst>
        </xdr:cNvPr>
        <xdr:cNvSpPr txBox="1">
          <a:spLocks noChangeArrowheads="1"/>
        </xdr:cNvSpPr>
      </xdr:nvSpPr>
      <xdr:spPr bwMode="auto">
        <a:xfrm>
          <a:off x="8960145" y="8578924"/>
          <a:ext cx="95250" cy="444014"/>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213632"/>
    <xdr:sp macro="" textlink="">
      <xdr:nvSpPr>
        <xdr:cNvPr id="718" name="Text Box 15">
          <a:extLst>
            <a:ext uri="{FF2B5EF4-FFF2-40B4-BE49-F238E27FC236}">
              <a16:creationId xmlns:a16="http://schemas.microsoft.com/office/drawing/2014/main" id="{00000000-0008-0000-0500-0000CE020000}"/>
            </a:ext>
          </a:extLst>
        </xdr:cNvPr>
        <xdr:cNvSpPr txBox="1">
          <a:spLocks noChangeArrowheads="1"/>
        </xdr:cNvSpPr>
      </xdr:nvSpPr>
      <xdr:spPr bwMode="auto">
        <a:xfrm>
          <a:off x="8960145" y="10428546"/>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213632"/>
    <xdr:sp macro="" textlink="">
      <xdr:nvSpPr>
        <xdr:cNvPr id="719" name="Text Box 15">
          <a:extLst>
            <a:ext uri="{FF2B5EF4-FFF2-40B4-BE49-F238E27FC236}">
              <a16:creationId xmlns:a16="http://schemas.microsoft.com/office/drawing/2014/main" id="{00000000-0008-0000-0500-0000CF020000}"/>
            </a:ext>
          </a:extLst>
        </xdr:cNvPr>
        <xdr:cNvSpPr txBox="1">
          <a:spLocks noChangeArrowheads="1"/>
        </xdr:cNvSpPr>
      </xdr:nvSpPr>
      <xdr:spPr bwMode="auto">
        <a:xfrm>
          <a:off x="8960145" y="11502877"/>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213632"/>
    <xdr:sp macro="" textlink="">
      <xdr:nvSpPr>
        <xdr:cNvPr id="720" name="Text Box 15">
          <a:extLst>
            <a:ext uri="{FF2B5EF4-FFF2-40B4-BE49-F238E27FC236}">
              <a16:creationId xmlns:a16="http://schemas.microsoft.com/office/drawing/2014/main" id="{00000000-0008-0000-0500-0000D0020000}"/>
            </a:ext>
          </a:extLst>
        </xdr:cNvPr>
        <xdr:cNvSpPr txBox="1">
          <a:spLocks noChangeArrowheads="1"/>
        </xdr:cNvSpPr>
      </xdr:nvSpPr>
      <xdr:spPr bwMode="auto">
        <a:xfrm>
          <a:off x="8960145" y="11502877"/>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213632"/>
    <xdr:sp macro="" textlink="">
      <xdr:nvSpPr>
        <xdr:cNvPr id="721" name="Text Box 15">
          <a:extLst>
            <a:ext uri="{FF2B5EF4-FFF2-40B4-BE49-F238E27FC236}">
              <a16:creationId xmlns:a16="http://schemas.microsoft.com/office/drawing/2014/main" id="{00000000-0008-0000-0500-0000D1020000}"/>
            </a:ext>
          </a:extLst>
        </xdr:cNvPr>
        <xdr:cNvSpPr txBox="1">
          <a:spLocks noChangeArrowheads="1"/>
        </xdr:cNvSpPr>
      </xdr:nvSpPr>
      <xdr:spPr bwMode="auto">
        <a:xfrm>
          <a:off x="8960145" y="1292055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213632"/>
    <xdr:sp macro="" textlink="">
      <xdr:nvSpPr>
        <xdr:cNvPr id="722" name="Text Box 15">
          <a:extLst>
            <a:ext uri="{FF2B5EF4-FFF2-40B4-BE49-F238E27FC236}">
              <a16:creationId xmlns:a16="http://schemas.microsoft.com/office/drawing/2014/main" id="{00000000-0008-0000-0500-0000D2020000}"/>
            </a:ext>
          </a:extLst>
        </xdr:cNvPr>
        <xdr:cNvSpPr txBox="1">
          <a:spLocks noChangeArrowheads="1"/>
        </xdr:cNvSpPr>
      </xdr:nvSpPr>
      <xdr:spPr bwMode="auto">
        <a:xfrm>
          <a:off x="8960145" y="1292055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213632"/>
    <xdr:sp macro="" textlink="">
      <xdr:nvSpPr>
        <xdr:cNvPr id="723" name="Text Box 15">
          <a:extLst>
            <a:ext uri="{FF2B5EF4-FFF2-40B4-BE49-F238E27FC236}">
              <a16:creationId xmlns:a16="http://schemas.microsoft.com/office/drawing/2014/main" id="{00000000-0008-0000-0500-0000D3020000}"/>
            </a:ext>
          </a:extLst>
        </xdr:cNvPr>
        <xdr:cNvSpPr txBox="1">
          <a:spLocks noChangeArrowheads="1"/>
        </xdr:cNvSpPr>
      </xdr:nvSpPr>
      <xdr:spPr bwMode="auto">
        <a:xfrm>
          <a:off x="8960145" y="14138866"/>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213632"/>
    <xdr:sp macro="" textlink="">
      <xdr:nvSpPr>
        <xdr:cNvPr id="724" name="Text Box 15">
          <a:extLst>
            <a:ext uri="{FF2B5EF4-FFF2-40B4-BE49-F238E27FC236}">
              <a16:creationId xmlns:a16="http://schemas.microsoft.com/office/drawing/2014/main" id="{00000000-0008-0000-0500-0000D4020000}"/>
            </a:ext>
          </a:extLst>
        </xdr:cNvPr>
        <xdr:cNvSpPr txBox="1">
          <a:spLocks noChangeArrowheads="1"/>
        </xdr:cNvSpPr>
      </xdr:nvSpPr>
      <xdr:spPr bwMode="auto">
        <a:xfrm>
          <a:off x="8960145" y="14138866"/>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213632"/>
    <xdr:sp macro="" textlink="">
      <xdr:nvSpPr>
        <xdr:cNvPr id="725" name="Text Box 15">
          <a:extLst>
            <a:ext uri="{FF2B5EF4-FFF2-40B4-BE49-F238E27FC236}">
              <a16:creationId xmlns:a16="http://schemas.microsoft.com/office/drawing/2014/main" id="{00000000-0008-0000-0500-0000D5020000}"/>
            </a:ext>
          </a:extLst>
        </xdr:cNvPr>
        <xdr:cNvSpPr txBox="1">
          <a:spLocks noChangeArrowheads="1"/>
        </xdr:cNvSpPr>
      </xdr:nvSpPr>
      <xdr:spPr bwMode="auto">
        <a:xfrm>
          <a:off x="8960145" y="1485235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213632"/>
    <xdr:sp macro="" textlink="">
      <xdr:nvSpPr>
        <xdr:cNvPr id="726" name="Text Box 15">
          <a:extLst>
            <a:ext uri="{FF2B5EF4-FFF2-40B4-BE49-F238E27FC236}">
              <a16:creationId xmlns:a16="http://schemas.microsoft.com/office/drawing/2014/main" id="{00000000-0008-0000-0500-0000D6020000}"/>
            </a:ext>
          </a:extLst>
        </xdr:cNvPr>
        <xdr:cNvSpPr txBox="1">
          <a:spLocks noChangeArrowheads="1"/>
        </xdr:cNvSpPr>
      </xdr:nvSpPr>
      <xdr:spPr bwMode="auto">
        <a:xfrm>
          <a:off x="8960145" y="1485235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213632"/>
    <xdr:sp macro="" textlink="">
      <xdr:nvSpPr>
        <xdr:cNvPr id="727" name="Text Box 15">
          <a:extLst>
            <a:ext uri="{FF2B5EF4-FFF2-40B4-BE49-F238E27FC236}">
              <a16:creationId xmlns:a16="http://schemas.microsoft.com/office/drawing/2014/main" id="{00000000-0008-0000-0500-0000D7020000}"/>
            </a:ext>
          </a:extLst>
        </xdr:cNvPr>
        <xdr:cNvSpPr txBox="1">
          <a:spLocks noChangeArrowheads="1"/>
        </xdr:cNvSpPr>
      </xdr:nvSpPr>
      <xdr:spPr bwMode="auto">
        <a:xfrm>
          <a:off x="8960145" y="1485235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213632"/>
    <xdr:sp macro="" textlink="">
      <xdr:nvSpPr>
        <xdr:cNvPr id="728" name="Text Box 15">
          <a:extLst>
            <a:ext uri="{FF2B5EF4-FFF2-40B4-BE49-F238E27FC236}">
              <a16:creationId xmlns:a16="http://schemas.microsoft.com/office/drawing/2014/main" id="{00000000-0008-0000-0500-0000D8020000}"/>
            </a:ext>
          </a:extLst>
        </xdr:cNvPr>
        <xdr:cNvSpPr txBox="1">
          <a:spLocks noChangeArrowheads="1"/>
        </xdr:cNvSpPr>
      </xdr:nvSpPr>
      <xdr:spPr bwMode="auto">
        <a:xfrm>
          <a:off x="8960145" y="1485235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213632"/>
    <xdr:sp macro="" textlink="">
      <xdr:nvSpPr>
        <xdr:cNvPr id="729" name="Text Box 15">
          <a:extLst>
            <a:ext uri="{FF2B5EF4-FFF2-40B4-BE49-F238E27FC236}">
              <a16:creationId xmlns:a16="http://schemas.microsoft.com/office/drawing/2014/main" id="{00000000-0008-0000-0500-0000D9020000}"/>
            </a:ext>
          </a:extLst>
        </xdr:cNvPr>
        <xdr:cNvSpPr txBox="1">
          <a:spLocks noChangeArrowheads="1"/>
        </xdr:cNvSpPr>
      </xdr:nvSpPr>
      <xdr:spPr bwMode="auto">
        <a:xfrm>
          <a:off x="8960145" y="1485235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213632"/>
    <xdr:sp macro="" textlink="">
      <xdr:nvSpPr>
        <xdr:cNvPr id="730" name="Text Box 15">
          <a:extLst>
            <a:ext uri="{FF2B5EF4-FFF2-40B4-BE49-F238E27FC236}">
              <a16:creationId xmlns:a16="http://schemas.microsoft.com/office/drawing/2014/main" id="{00000000-0008-0000-0500-0000DA020000}"/>
            </a:ext>
          </a:extLst>
        </xdr:cNvPr>
        <xdr:cNvSpPr txBox="1">
          <a:spLocks noChangeArrowheads="1"/>
        </xdr:cNvSpPr>
      </xdr:nvSpPr>
      <xdr:spPr bwMode="auto">
        <a:xfrm>
          <a:off x="8960145" y="1485235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213632"/>
    <xdr:sp macro="" textlink="">
      <xdr:nvSpPr>
        <xdr:cNvPr id="731" name="Text Box 15">
          <a:extLst>
            <a:ext uri="{FF2B5EF4-FFF2-40B4-BE49-F238E27FC236}">
              <a16:creationId xmlns:a16="http://schemas.microsoft.com/office/drawing/2014/main" id="{00000000-0008-0000-0500-0000DB020000}"/>
            </a:ext>
          </a:extLst>
        </xdr:cNvPr>
        <xdr:cNvSpPr txBox="1">
          <a:spLocks noChangeArrowheads="1"/>
        </xdr:cNvSpPr>
      </xdr:nvSpPr>
      <xdr:spPr bwMode="auto">
        <a:xfrm>
          <a:off x="8960145" y="1485235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xdr:row>
      <xdr:rowOff>0</xdr:rowOff>
    </xdr:from>
    <xdr:ext cx="95250" cy="171450"/>
    <xdr:sp macro="" textlink="">
      <xdr:nvSpPr>
        <xdr:cNvPr id="732" name="Text Box 16">
          <a:extLst>
            <a:ext uri="{FF2B5EF4-FFF2-40B4-BE49-F238E27FC236}">
              <a16:creationId xmlns:a16="http://schemas.microsoft.com/office/drawing/2014/main" id="{00000000-0008-0000-0500-0000DC020000}"/>
            </a:ext>
          </a:extLst>
        </xdr:cNvPr>
        <xdr:cNvSpPr txBox="1">
          <a:spLocks noChangeArrowheads="1"/>
        </xdr:cNvSpPr>
      </xdr:nvSpPr>
      <xdr:spPr bwMode="auto">
        <a:xfrm>
          <a:off x="8960145" y="8849390"/>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xdr:row>
      <xdr:rowOff>0</xdr:rowOff>
    </xdr:from>
    <xdr:ext cx="95250" cy="171450"/>
    <xdr:sp macro="" textlink="">
      <xdr:nvSpPr>
        <xdr:cNvPr id="733" name="Text Box 17">
          <a:extLst>
            <a:ext uri="{FF2B5EF4-FFF2-40B4-BE49-F238E27FC236}">
              <a16:creationId xmlns:a16="http://schemas.microsoft.com/office/drawing/2014/main" id="{00000000-0008-0000-0500-0000DD020000}"/>
            </a:ext>
          </a:extLst>
        </xdr:cNvPr>
        <xdr:cNvSpPr txBox="1">
          <a:spLocks noChangeArrowheads="1"/>
        </xdr:cNvSpPr>
      </xdr:nvSpPr>
      <xdr:spPr bwMode="auto">
        <a:xfrm>
          <a:off x="8960145" y="8849390"/>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xdr:row>
      <xdr:rowOff>0</xdr:rowOff>
    </xdr:from>
    <xdr:ext cx="95250" cy="171450"/>
    <xdr:sp macro="" textlink="">
      <xdr:nvSpPr>
        <xdr:cNvPr id="734" name="Text Box 18">
          <a:extLst>
            <a:ext uri="{FF2B5EF4-FFF2-40B4-BE49-F238E27FC236}">
              <a16:creationId xmlns:a16="http://schemas.microsoft.com/office/drawing/2014/main" id="{00000000-0008-0000-0500-0000DE020000}"/>
            </a:ext>
          </a:extLst>
        </xdr:cNvPr>
        <xdr:cNvSpPr txBox="1">
          <a:spLocks noChangeArrowheads="1"/>
        </xdr:cNvSpPr>
      </xdr:nvSpPr>
      <xdr:spPr bwMode="auto">
        <a:xfrm>
          <a:off x="8960145" y="8849390"/>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xdr:row>
      <xdr:rowOff>0</xdr:rowOff>
    </xdr:from>
    <xdr:ext cx="95250" cy="171450"/>
    <xdr:sp macro="" textlink="">
      <xdr:nvSpPr>
        <xdr:cNvPr id="735" name="Text Box 19">
          <a:extLst>
            <a:ext uri="{FF2B5EF4-FFF2-40B4-BE49-F238E27FC236}">
              <a16:creationId xmlns:a16="http://schemas.microsoft.com/office/drawing/2014/main" id="{00000000-0008-0000-0500-0000DF020000}"/>
            </a:ext>
          </a:extLst>
        </xdr:cNvPr>
        <xdr:cNvSpPr txBox="1">
          <a:spLocks noChangeArrowheads="1"/>
        </xdr:cNvSpPr>
      </xdr:nvSpPr>
      <xdr:spPr bwMode="auto">
        <a:xfrm>
          <a:off x="8960145" y="8849390"/>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xdr:row>
      <xdr:rowOff>504825</xdr:rowOff>
    </xdr:from>
    <xdr:ext cx="95250" cy="213632"/>
    <xdr:sp macro="" textlink="">
      <xdr:nvSpPr>
        <xdr:cNvPr id="736" name="Text Box 15">
          <a:extLst>
            <a:ext uri="{FF2B5EF4-FFF2-40B4-BE49-F238E27FC236}">
              <a16:creationId xmlns:a16="http://schemas.microsoft.com/office/drawing/2014/main" id="{00000000-0008-0000-0500-0000E0020000}"/>
            </a:ext>
          </a:extLst>
        </xdr:cNvPr>
        <xdr:cNvSpPr txBox="1">
          <a:spLocks noChangeArrowheads="1"/>
        </xdr:cNvSpPr>
      </xdr:nvSpPr>
      <xdr:spPr bwMode="auto">
        <a:xfrm>
          <a:off x="8960145" y="935421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171450"/>
    <xdr:sp macro="" textlink="">
      <xdr:nvSpPr>
        <xdr:cNvPr id="737" name="Text Box 16">
          <a:extLst>
            <a:ext uri="{FF2B5EF4-FFF2-40B4-BE49-F238E27FC236}">
              <a16:creationId xmlns:a16="http://schemas.microsoft.com/office/drawing/2014/main" id="{00000000-0008-0000-0500-0000E1020000}"/>
            </a:ext>
          </a:extLst>
        </xdr:cNvPr>
        <xdr:cNvSpPr txBox="1">
          <a:spLocks noChangeArrowheads="1"/>
        </xdr:cNvSpPr>
      </xdr:nvSpPr>
      <xdr:spPr bwMode="auto">
        <a:xfrm>
          <a:off x="8960145" y="9923721"/>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171450"/>
    <xdr:sp macro="" textlink="">
      <xdr:nvSpPr>
        <xdr:cNvPr id="738" name="Text Box 17">
          <a:extLst>
            <a:ext uri="{FF2B5EF4-FFF2-40B4-BE49-F238E27FC236}">
              <a16:creationId xmlns:a16="http://schemas.microsoft.com/office/drawing/2014/main" id="{00000000-0008-0000-0500-0000E2020000}"/>
            </a:ext>
          </a:extLst>
        </xdr:cNvPr>
        <xdr:cNvSpPr txBox="1">
          <a:spLocks noChangeArrowheads="1"/>
        </xdr:cNvSpPr>
      </xdr:nvSpPr>
      <xdr:spPr bwMode="auto">
        <a:xfrm>
          <a:off x="8960145" y="9923721"/>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171450"/>
    <xdr:sp macro="" textlink="">
      <xdr:nvSpPr>
        <xdr:cNvPr id="739" name="Text Box 18">
          <a:extLst>
            <a:ext uri="{FF2B5EF4-FFF2-40B4-BE49-F238E27FC236}">
              <a16:creationId xmlns:a16="http://schemas.microsoft.com/office/drawing/2014/main" id="{00000000-0008-0000-0500-0000E3020000}"/>
            </a:ext>
          </a:extLst>
        </xdr:cNvPr>
        <xdr:cNvSpPr txBox="1">
          <a:spLocks noChangeArrowheads="1"/>
        </xdr:cNvSpPr>
      </xdr:nvSpPr>
      <xdr:spPr bwMode="auto">
        <a:xfrm>
          <a:off x="8960145" y="9923721"/>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171450"/>
    <xdr:sp macro="" textlink="">
      <xdr:nvSpPr>
        <xdr:cNvPr id="740" name="Text Box 19">
          <a:extLst>
            <a:ext uri="{FF2B5EF4-FFF2-40B4-BE49-F238E27FC236}">
              <a16:creationId xmlns:a16="http://schemas.microsoft.com/office/drawing/2014/main" id="{00000000-0008-0000-0500-0000E4020000}"/>
            </a:ext>
          </a:extLst>
        </xdr:cNvPr>
        <xdr:cNvSpPr txBox="1">
          <a:spLocks noChangeArrowheads="1"/>
        </xdr:cNvSpPr>
      </xdr:nvSpPr>
      <xdr:spPr bwMode="auto">
        <a:xfrm>
          <a:off x="8960145" y="9923721"/>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213632"/>
    <xdr:sp macro="" textlink="">
      <xdr:nvSpPr>
        <xdr:cNvPr id="741" name="Text Box 15">
          <a:extLst>
            <a:ext uri="{FF2B5EF4-FFF2-40B4-BE49-F238E27FC236}">
              <a16:creationId xmlns:a16="http://schemas.microsoft.com/office/drawing/2014/main" id="{00000000-0008-0000-0500-0000E5020000}"/>
            </a:ext>
          </a:extLst>
        </xdr:cNvPr>
        <xdr:cNvSpPr txBox="1">
          <a:spLocks noChangeArrowheads="1"/>
        </xdr:cNvSpPr>
      </xdr:nvSpPr>
      <xdr:spPr bwMode="auto">
        <a:xfrm>
          <a:off x="8960145" y="10428546"/>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213632"/>
    <xdr:sp macro="" textlink="">
      <xdr:nvSpPr>
        <xdr:cNvPr id="742" name="Text Box 15">
          <a:extLst>
            <a:ext uri="{FF2B5EF4-FFF2-40B4-BE49-F238E27FC236}">
              <a16:creationId xmlns:a16="http://schemas.microsoft.com/office/drawing/2014/main" id="{00000000-0008-0000-0500-0000E6020000}"/>
            </a:ext>
          </a:extLst>
        </xdr:cNvPr>
        <xdr:cNvSpPr txBox="1">
          <a:spLocks noChangeArrowheads="1"/>
        </xdr:cNvSpPr>
      </xdr:nvSpPr>
      <xdr:spPr bwMode="auto">
        <a:xfrm>
          <a:off x="8960145" y="15357180"/>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213632"/>
    <xdr:sp macro="" textlink="">
      <xdr:nvSpPr>
        <xdr:cNvPr id="743" name="Text Box 15">
          <a:extLst>
            <a:ext uri="{FF2B5EF4-FFF2-40B4-BE49-F238E27FC236}">
              <a16:creationId xmlns:a16="http://schemas.microsoft.com/office/drawing/2014/main" id="{00000000-0008-0000-0500-0000E7020000}"/>
            </a:ext>
          </a:extLst>
        </xdr:cNvPr>
        <xdr:cNvSpPr txBox="1">
          <a:spLocks noChangeArrowheads="1"/>
        </xdr:cNvSpPr>
      </xdr:nvSpPr>
      <xdr:spPr bwMode="auto">
        <a:xfrm>
          <a:off x="8960145" y="15357180"/>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xdr:row>
      <xdr:rowOff>504825</xdr:rowOff>
    </xdr:from>
    <xdr:ext cx="95250" cy="444331"/>
    <xdr:sp macro="" textlink="">
      <xdr:nvSpPr>
        <xdr:cNvPr id="744" name="Text Box 15">
          <a:extLst>
            <a:ext uri="{FF2B5EF4-FFF2-40B4-BE49-F238E27FC236}">
              <a16:creationId xmlns:a16="http://schemas.microsoft.com/office/drawing/2014/main" id="{00000000-0008-0000-0500-0000E8020000}"/>
            </a:ext>
          </a:extLst>
        </xdr:cNvPr>
        <xdr:cNvSpPr txBox="1">
          <a:spLocks noChangeArrowheads="1"/>
        </xdr:cNvSpPr>
      </xdr:nvSpPr>
      <xdr:spPr bwMode="auto">
        <a:xfrm>
          <a:off x="8960145" y="9354215"/>
          <a:ext cx="95250" cy="444331"/>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171450"/>
    <xdr:sp macro="" textlink="">
      <xdr:nvSpPr>
        <xdr:cNvPr id="745" name="Text Box 16">
          <a:extLst>
            <a:ext uri="{FF2B5EF4-FFF2-40B4-BE49-F238E27FC236}">
              <a16:creationId xmlns:a16="http://schemas.microsoft.com/office/drawing/2014/main" id="{00000000-0008-0000-0500-0000E9020000}"/>
            </a:ext>
          </a:extLst>
        </xdr:cNvPr>
        <xdr:cNvSpPr txBox="1">
          <a:spLocks noChangeArrowheads="1"/>
        </xdr:cNvSpPr>
      </xdr:nvSpPr>
      <xdr:spPr bwMode="auto">
        <a:xfrm>
          <a:off x="8960145" y="9923721"/>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171450"/>
    <xdr:sp macro="" textlink="">
      <xdr:nvSpPr>
        <xdr:cNvPr id="746" name="Text Box 17">
          <a:extLst>
            <a:ext uri="{FF2B5EF4-FFF2-40B4-BE49-F238E27FC236}">
              <a16:creationId xmlns:a16="http://schemas.microsoft.com/office/drawing/2014/main" id="{00000000-0008-0000-0500-0000EA020000}"/>
            </a:ext>
          </a:extLst>
        </xdr:cNvPr>
        <xdr:cNvSpPr txBox="1">
          <a:spLocks noChangeArrowheads="1"/>
        </xdr:cNvSpPr>
      </xdr:nvSpPr>
      <xdr:spPr bwMode="auto">
        <a:xfrm>
          <a:off x="8960145" y="9923721"/>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171450"/>
    <xdr:sp macro="" textlink="">
      <xdr:nvSpPr>
        <xdr:cNvPr id="747" name="Text Box 18">
          <a:extLst>
            <a:ext uri="{FF2B5EF4-FFF2-40B4-BE49-F238E27FC236}">
              <a16:creationId xmlns:a16="http://schemas.microsoft.com/office/drawing/2014/main" id="{00000000-0008-0000-0500-0000EB020000}"/>
            </a:ext>
          </a:extLst>
        </xdr:cNvPr>
        <xdr:cNvSpPr txBox="1">
          <a:spLocks noChangeArrowheads="1"/>
        </xdr:cNvSpPr>
      </xdr:nvSpPr>
      <xdr:spPr bwMode="auto">
        <a:xfrm>
          <a:off x="8960145" y="9923721"/>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171450"/>
    <xdr:sp macro="" textlink="">
      <xdr:nvSpPr>
        <xdr:cNvPr id="748" name="Text Box 19">
          <a:extLst>
            <a:ext uri="{FF2B5EF4-FFF2-40B4-BE49-F238E27FC236}">
              <a16:creationId xmlns:a16="http://schemas.microsoft.com/office/drawing/2014/main" id="{00000000-0008-0000-0500-0000EC020000}"/>
            </a:ext>
          </a:extLst>
        </xdr:cNvPr>
        <xdr:cNvSpPr txBox="1">
          <a:spLocks noChangeArrowheads="1"/>
        </xdr:cNvSpPr>
      </xdr:nvSpPr>
      <xdr:spPr bwMode="auto">
        <a:xfrm>
          <a:off x="8960145" y="9923721"/>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213632"/>
    <xdr:sp macro="" textlink="">
      <xdr:nvSpPr>
        <xdr:cNvPr id="749" name="Text Box 15">
          <a:extLst>
            <a:ext uri="{FF2B5EF4-FFF2-40B4-BE49-F238E27FC236}">
              <a16:creationId xmlns:a16="http://schemas.microsoft.com/office/drawing/2014/main" id="{00000000-0008-0000-0500-0000ED020000}"/>
            </a:ext>
          </a:extLst>
        </xdr:cNvPr>
        <xdr:cNvSpPr txBox="1">
          <a:spLocks noChangeArrowheads="1"/>
        </xdr:cNvSpPr>
      </xdr:nvSpPr>
      <xdr:spPr bwMode="auto">
        <a:xfrm>
          <a:off x="8960145" y="10428546"/>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213632"/>
    <xdr:sp macro="" textlink="">
      <xdr:nvSpPr>
        <xdr:cNvPr id="750" name="Text Box 15">
          <a:extLst>
            <a:ext uri="{FF2B5EF4-FFF2-40B4-BE49-F238E27FC236}">
              <a16:creationId xmlns:a16="http://schemas.microsoft.com/office/drawing/2014/main" id="{00000000-0008-0000-0500-0000EE020000}"/>
            </a:ext>
          </a:extLst>
        </xdr:cNvPr>
        <xdr:cNvSpPr txBox="1">
          <a:spLocks noChangeArrowheads="1"/>
        </xdr:cNvSpPr>
      </xdr:nvSpPr>
      <xdr:spPr bwMode="auto">
        <a:xfrm>
          <a:off x="8960145" y="15357180"/>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213632"/>
    <xdr:sp macro="" textlink="">
      <xdr:nvSpPr>
        <xdr:cNvPr id="751" name="Text Box 15">
          <a:extLst>
            <a:ext uri="{FF2B5EF4-FFF2-40B4-BE49-F238E27FC236}">
              <a16:creationId xmlns:a16="http://schemas.microsoft.com/office/drawing/2014/main" id="{00000000-0008-0000-0500-0000EF020000}"/>
            </a:ext>
          </a:extLst>
        </xdr:cNvPr>
        <xdr:cNvSpPr txBox="1">
          <a:spLocks noChangeArrowheads="1"/>
        </xdr:cNvSpPr>
      </xdr:nvSpPr>
      <xdr:spPr bwMode="auto">
        <a:xfrm>
          <a:off x="8960145" y="15357180"/>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213632"/>
    <xdr:sp macro="" textlink="">
      <xdr:nvSpPr>
        <xdr:cNvPr id="752" name="Text Box 15">
          <a:extLst>
            <a:ext uri="{FF2B5EF4-FFF2-40B4-BE49-F238E27FC236}">
              <a16:creationId xmlns:a16="http://schemas.microsoft.com/office/drawing/2014/main" id="{00000000-0008-0000-0500-0000F0020000}"/>
            </a:ext>
          </a:extLst>
        </xdr:cNvPr>
        <xdr:cNvSpPr txBox="1">
          <a:spLocks noChangeArrowheads="1"/>
        </xdr:cNvSpPr>
      </xdr:nvSpPr>
      <xdr:spPr bwMode="auto">
        <a:xfrm>
          <a:off x="8960145" y="12415727"/>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213632"/>
    <xdr:sp macro="" textlink="">
      <xdr:nvSpPr>
        <xdr:cNvPr id="753" name="Text Box 15">
          <a:extLst>
            <a:ext uri="{FF2B5EF4-FFF2-40B4-BE49-F238E27FC236}">
              <a16:creationId xmlns:a16="http://schemas.microsoft.com/office/drawing/2014/main" id="{00000000-0008-0000-0500-0000F1020000}"/>
            </a:ext>
          </a:extLst>
        </xdr:cNvPr>
        <xdr:cNvSpPr txBox="1">
          <a:spLocks noChangeArrowheads="1"/>
        </xdr:cNvSpPr>
      </xdr:nvSpPr>
      <xdr:spPr bwMode="auto">
        <a:xfrm>
          <a:off x="8960145" y="12415727"/>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213632"/>
    <xdr:sp macro="" textlink="">
      <xdr:nvSpPr>
        <xdr:cNvPr id="754" name="Text Box 15">
          <a:extLst>
            <a:ext uri="{FF2B5EF4-FFF2-40B4-BE49-F238E27FC236}">
              <a16:creationId xmlns:a16="http://schemas.microsoft.com/office/drawing/2014/main" id="{00000000-0008-0000-0500-0000F2020000}"/>
            </a:ext>
          </a:extLst>
        </xdr:cNvPr>
        <xdr:cNvSpPr txBox="1">
          <a:spLocks noChangeArrowheads="1"/>
        </xdr:cNvSpPr>
      </xdr:nvSpPr>
      <xdr:spPr bwMode="auto">
        <a:xfrm>
          <a:off x="8960145" y="12415727"/>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213632"/>
    <xdr:sp macro="" textlink="">
      <xdr:nvSpPr>
        <xdr:cNvPr id="755" name="Text Box 15">
          <a:extLst>
            <a:ext uri="{FF2B5EF4-FFF2-40B4-BE49-F238E27FC236}">
              <a16:creationId xmlns:a16="http://schemas.microsoft.com/office/drawing/2014/main" id="{00000000-0008-0000-0500-0000F3020000}"/>
            </a:ext>
          </a:extLst>
        </xdr:cNvPr>
        <xdr:cNvSpPr txBox="1">
          <a:spLocks noChangeArrowheads="1"/>
        </xdr:cNvSpPr>
      </xdr:nvSpPr>
      <xdr:spPr bwMode="auto">
        <a:xfrm>
          <a:off x="8960145" y="12415727"/>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213632"/>
    <xdr:sp macro="" textlink="">
      <xdr:nvSpPr>
        <xdr:cNvPr id="756" name="Text Box 15">
          <a:extLst>
            <a:ext uri="{FF2B5EF4-FFF2-40B4-BE49-F238E27FC236}">
              <a16:creationId xmlns:a16="http://schemas.microsoft.com/office/drawing/2014/main" id="{00000000-0008-0000-0500-0000F4020000}"/>
            </a:ext>
          </a:extLst>
        </xdr:cNvPr>
        <xdr:cNvSpPr txBox="1">
          <a:spLocks noChangeArrowheads="1"/>
        </xdr:cNvSpPr>
      </xdr:nvSpPr>
      <xdr:spPr bwMode="auto">
        <a:xfrm>
          <a:off x="8960145" y="12415727"/>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213632"/>
    <xdr:sp macro="" textlink="">
      <xdr:nvSpPr>
        <xdr:cNvPr id="757" name="Text Box 15">
          <a:extLst>
            <a:ext uri="{FF2B5EF4-FFF2-40B4-BE49-F238E27FC236}">
              <a16:creationId xmlns:a16="http://schemas.microsoft.com/office/drawing/2014/main" id="{00000000-0008-0000-0500-0000F5020000}"/>
            </a:ext>
          </a:extLst>
        </xdr:cNvPr>
        <xdr:cNvSpPr txBox="1">
          <a:spLocks noChangeArrowheads="1"/>
        </xdr:cNvSpPr>
      </xdr:nvSpPr>
      <xdr:spPr bwMode="auto">
        <a:xfrm>
          <a:off x="8960145" y="12415727"/>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213632"/>
    <xdr:sp macro="" textlink="">
      <xdr:nvSpPr>
        <xdr:cNvPr id="758" name="Text Box 15">
          <a:extLst>
            <a:ext uri="{FF2B5EF4-FFF2-40B4-BE49-F238E27FC236}">
              <a16:creationId xmlns:a16="http://schemas.microsoft.com/office/drawing/2014/main" id="{00000000-0008-0000-0500-0000F6020000}"/>
            </a:ext>
          </a:extLst>
        </xdr:cNvPr>
        <xdr:cNvSpPr txBox="1">
          <a:spLocks noChangeArrowheads="1"/>
        </xdr:cNvSpPr>
      </xdr:nvSpPr>
      <xdr:spPr bwMode="auto">
        <a:xfrm>
          <a:off x="8960145" y="12415727"/>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213632"/>
    <xdr:sp macro="" textlink="">
      <xdr:nvSpPr>
        <xdr:cNvPr id="759" name="Text Box 15">
          <a:extLst>
            <a:ext uri="{FF2B5EF4-FFF2-40B4-BE49-F238E27FC236}">
              <a16:creationId xmlns:a16="http://schemas.microsoft.com/office/drawing/2014/main" id="{00000000-0008-0000-0500-0000F7020000}"/>
            </a:ext>
          </a:extLst>
        </xdr:cNvPr>
        <xdr:cNvSpPr txBox="1">
          <a:spLocks noChangeArrowheads="1"/>
        </xdr:cNvSpPr>
      </xdr:nvSpPr>
      <xdr:spPr bwMode="auto">
        <a:xfrm>
          <a:off x="8960145" y="1292055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213632"/>
    <xdr:sp macro="" textlink="">
      <xdr:nvSpPr>
        <xdr:cNvPr id="760" name="Text Box 15">
          <a:extLst>
            <a:ext uri="{FF2B5EF4-FFF2-40B4-BE49-F238E27FC236}">
              <a16:creationId xmlns:a16="http://schemas.microsoft.com/office/drawing/2014/main" id="{00000000-0008-0000-0500-0000F8020000}"/>
            </a:ext>
          </a:extLst>
        </xdr:cNvPr>
        <xdr:cNvSpPr txBox="1">
          <a:spLocks noChangeArrowheads="1"/>
        </xdr:cNvSpPr>
      </xdr:nvSpPr>
      <xdr:spPr bwMode="auto">
        <a:xfrm>
          <a:off x="8960145" y="1292055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213632"/>
    <xdr:sp macro="" textlink="">
      <xdr:nvSpPr>
        <xdr:cNvPr id="761" name="Text Box 15">
          <a:extLst>
            <a:ext uri="{FF2B5EF4-FFF2-40B4-BE49-F238E27FC236}">
              <a16:creationId xmlns:a16="http://schemas.microsoft.com/office/drawing/2014/main" id="{00000000-0008-0000-0500-0000F9020000}"/>
            </a:ext>
          </a:extLst>
        </xdr:cNvPr>
        <xdr:cNvSpPr txBox="1">
          <a:spLocks noChangeArrowheads="1"/>
        </xdr:cNvSpPr>
      </xdr:nvSpPr>
      <xdr:spPr bwMode="auto">
        <a:xfrm>
          <a:off x="8960145" y="1292055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213632"/>
    <xdr:sp macro="" textlink="">
      <xdr:nvSpPr>
        <xdr:cNvPr id="762" name="Text Box 15">
          <a:extLst>
            <a:ext uri="{FF2B5EF4-FFF2-40B4-BE49-F238E27FC236}">
              <a16:creationId xmlns:a16="http://schemas.microsoft.com/office/drawing/2014/main" id="{00000000-0008-0000-0500-0000FA020000}"/>
            </a:ext>
          </a:extLst>
        </xdr:cNvPr>
        <xdr:cNvSpPr txBox="1">
          <a:spLocks noChangeArrowheads="1"/>
        </xdr:cNvSpPr>
      </xdr:nvSpPr>
      <xdr:spPr bwMode="auto">
        <a:xfrm>
          <a:off x="8960145" y="1292055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127</xdr:row>
      <xdr:rowOff>0</xdr:rowOff>
    </xdr:from>
    <xdr:ext cx="95250" cy="213632"/>
    <xdr:sp macro="" textlink="">
      <xdr:nvSpPr>
        <xdr:cNvPr id="764" name="Text Box 15">
          <a:extLst>
            <a:ext uri="{FF2B5EF4-FFF2-40B4-BE49-F238E27FC236}">
              <a16:creationId xmlns:a16="http://schemas.microsoft.com/office/drawing/2014/main" id="{00000000-0008-0000-0500-0000FC020000}"/>
            </a:ext>
          </a:extLst>
        </xdr:cNvPr>
        <xdr:cNvSpPr txBox="1">
          <a:spLocks noChangeArrowheads="1"/>
        </xdr:cNvSpPr>
      </xdr:nvSpPr>
      <xdr:spPr bwMode="auto">
        <a:xfrm>
          <a:off x="12826188" y="10428546"/>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127</xdr:row>
      <xdr:rowOff>0</xdr:rowOff>
    </xdr:from>
    <xdr:ext cx="95250" cy="213632"/>
    <xdr:sp macro="" textlink="">
      <xdr:nvSpPr>
        <xdr:cNvPr id="765" name="Text Box 15">
          <a:extLst>
            <a:ext uri="{FF2B5EF4-FFF2-40B4-BE49-F238E27FC236}">
              <a16:creationId xmlns:a16="http://schemas.microsoft.com/office/drawing/2014/main" id="{00000000-0008-0000-0500-0000FD020000}"/>
            </a:ext>
          </a:extLst>
        </xdr:cNvPr>
        <xdr:cNvSpPr txBox="1">
          <a:spLocks noChangeArrowheads="1"/>
        </xdr:cNvSpPr>
      </xdr:nvSpPr>
      <xdr:spPr bwMode="auto">
        <a:xfrm>
          <a:off x="12826188" y="11502877"/>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127</xdr:row>
      <xdr:rowOff>0</xdr:rowOff>
    </xdr:from>
    <xdr:ext cx="95250" cy="213632"/>
    <xdr:sp macro="" textlink="">
      <xdr:nvSpPr>
        <xdr:cNvPr id="766" name="Text Box 15">
          <a:extLst>
            <a:ext uri="{FF2B5EF4-FFF2-40B4-BE49-F238E27FC236}">
              <a16:creationId xmlns:a16="http://schemas.microsoft.com/office/drawing/2014/main" id="{00000000-0008-0000-0500-0000FE020000}"/>
            </a:ext>
          </a:extLst>
        </xdr:cNvPr>
        <xdr:cNvSpPr txBox="1">
          <a:spLocks noChangeArrowheads="1"/>
        </xdr:cNvSpPr>
      </xdr:nvSpPr>
      <xdr:spPr bwMode="auto">
        <a:xfrm>
          <a:off x="12826188" y="11502877"/>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127</xdr:row>
      <xdr:rowOff>0</xdr:rowOff>
    </xdr:from>
    <xdr:ext cx="95250" cy="213632"/>
    <xdr:sp macro="" textlink="">
      <xdr:nvSpPr>
        <xdr:cNvPr id="767" name="Text Box 15">
          <a:extLst>
            <a:ext uri="{FF2B5EF4-FFF2-40B4-BE49-F238E27FC236}">
              <a16:creationId xmlns:a16="http://schemas.microsoft.com/office/drawing/2014/main" id="{00000000-0008-0000-0500-0000FF020000}"/>
            </a:ext>
          </a:extLst>
        </xdr:cNvPr>
        <xdr:cNvSpPr txBox="1">
          <a:spLocks noChangeArrowheads="1"/>
        </xdr:cNvSpPr>
      </xdr:nvSpPr>
      <xdr:spPr bwMode="auto">
        <a:xfrm>
          <a:off x="12826188" y="1292055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127</xdr:row>
      <xdr:rowOff>0</xdr:rowOff>
    </xdr:from>
    <xdr:ext cx="95250" cy="213632"/>
    <xdr:sp macro="" textlink="">
      <xdr:nvSpPr>
        <xdr:cNvPr id="768" name="Text Box 15">
          <a:extLst>
            <a:ext uri="{FF2B5EF4-FFF2-40B4-BE49-F238E27FC236}">
              <a16:creationId xmlns:a16="http://schemas.microsoft.com/office/drawing/2014/main" id="{00000000-0008-0000-0500-000000030000}"/>
            </a:ext>
          </a:extLst>
        </xdr:cNvPr>
        <xdr:cNvSpPr txBox="1">
          <a:spLocks noChangeArrowheads="1"/>
        </xdr:cNvSpPr>
      </xdr:nvSpPr>
      <xdr:spPr bwMode="auto">
        <a:xfrm>
          <a:off x="12826188" y="1292055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127</xdr:row>
      <xdr:rowOff>0</xdr:rowOff>
    </xdr:from>
    <xdr:ext cx="95250" cy="213632"/>
    <xdr:sp macro="" textlink="">
      <xdr:nvSpPr>
        <xdr:cNvPr id="769" name="Text Box 15">
          <a:extLst>
            <a:ext uri="{FF2B5EF4-FFF2-40B4-BE49-F238E27FC236}">
              <a16:creationId xmlns:a16="http://schemas.microsoft.com/office/drawing/2014/main" id="{00000000-0008-0000-0500-000001030000}"/>
            </a:ext>
          </a:extLst>
        </xdr:cNvPr>
        <xdr:cNvSpPr txBox="1">
          <a:spLocks noChangeArrowheads="1"/>
        </xdr:cNvSpPr>
      </xdr:nvSpPr>
      <xdr:spPr bwMode="auto">
        <a:xfrm>
          <a:off x="12826188" y="14138866"/>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127</xdr:row>
      <xdr:rowOff>0</xdr:rowOff>
    </xdr:from>
    <xdr:ext cx="95250" cy="213632"/>
    <xdr:sp macro="" textlink="">
      <xdr:nvSpPr>
        <xdr:cNvPr id="770" name="Text Box 15">
          <a:extLst>
            <a:ext uri="{FF2B5EF4-FFF2-40B4-BE49-F238E27FC236}">
              <a16:creationId xmlns:a16="http://schemas.microsoft.com/office/drawing/2014/main" id="{00000000-0008-0000-0500-000002030000}"/>
            </a:ext>
          </a:extLst>
        </xdr:cNvPr>
        <xdr:cNvSpPr txBox="1">
          <a:spLocks noChangeArrowheads="1"/>
        </xdr:cNvSpPr>
      </xdr:nvSpPr>
      <xdr:spPr bwMode="auto">
        <a:xfrm>
          <a:off x="12826188" y="14138866"/>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127</xdr:row>
      <xdr:rowOff>0</xdr:rowOff>
    </xdr:from>
    <xdr:ext cx="95250" cy="213632"/>
    <xdr:sp macro="" textlink="">
      <xdr:nvSpPr>
        <xdr:cNvPr id="771" name="Text Box 15">
          <a:extLst>
            <a:ext uri="{FF2B5EF4-FFF2-40B4-BE49-F238E27FC236}">
              <a16:creationId xmlns:a16="http://schemas.microsoft.com/office/drawing/2014/main" id="{00000000-0008-0000-0500-000003030000}"/>
            </a:ext>
          </a:extLst>
        </xdr:cNvPr>
        <xdr:cNvSpPr txBox="1">
          <a:spLocks noChangeArrowheads="1"/>
        </xdr:cNvSpPr>
      </xdr:nvSpPr>
      <xdr:spPr bwMode="auto">
        <a:xfrm>
          <a:off x="12826188" y="1485235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127</xdr:row>
      <xdr:rowOff>0</xdr:rowOff>
    </xdr:from>
    <xdr:ext cx="95250" cy="213632"/>
    <xdr:sp macro="" textlink="">
      <xdr:nvSpPr>
        <xdr:cNvPr id="772" name="Text Box 15">
          <a:extLst>
            <a:ext uri="{FF2B5EF4-FFF2-40B4-BE49-F238E27FC236}">
              <a16:creationId xmlns:a16="http://schemas.microsoft.com/office/drawing/2014/main" id="{00000000-0008-0000-0500-000004030000}"/>
            </a:ext>
          </a:extLst>
        </xdr:cNvPr>
        <xdr:cNvSpPr txBox="1">
          <a:spLocks noChangeArrowheads="1"/>
        </xdr:cNvSpPr>
      </xdr:nvSpPr>
      <xdr:spPr bwMode="auto">
        <a:xfrm>
          <a:off x="12826188" y="1485235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127</xdr:row>
      <xdr:rowOff>0</xdr:rowOff>
    </xdr:from>
    <xdr:ext cx="95250" cy="213632"/>
    <xdr:sp macro="" textlink="">
      <xdr:nvSpPr>
        <xdr:cNvPr id="773" name="Text Box 15">
          <a:extLst>
            <a:ext uri="{FF2B5EF4-FFF2-40B4-BE49-F238E27FC236}">
              <a16:creationId xmlns:a16="http://schemas.microsoft.com/office/drawing/2014/main" id="{00000000-0008-0000-0500-000005030000}"/>
            </a:ext>
          </a:extLst>
        </xdr:cNvPr>
        <xdr:cNvSpPr txBox="1">
          <a:spLocks noChangeArrowheads="1"/>
        </xdr:cNvSpPr>
      </xdr:nvSpPr>
      <xdr:spPr bwMode="auto">
        <a:xfrm>
          <a:off x="12826188" y="1485235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127</xdr:row>
      <xdr:rowOff>0</xdr:rowOff>
    </xdr:from>
    <xdr:ext cx="95250" cy="213632"/>
    <xdr:sp macro="" textlink="">
      <xdr:nvSpPr>
        <xdr:cNvPr id="774" name="Text Box 15">
          <a:extLst>
            <a:ext uri="{FF2B5EF4-FFF2-40B4-BE49-F238E27FC236}">
              <a16:creationId xmlns:a16="http://schemas.microsoft.com/office/drawing/2014/main" id="{00000000-0008-0000-0500-000006030000}"/>
            </a:ext>
          </a:extLst>
        </xdr:cNvPr>
        <xdr:cNvSpPr txBox="1">
          <a:spLocks noChangeArrowheads="1"/>
        </xdr:cNvSpPr>
      </xdr:nvSpPr>
      <xdr:spPr bwMode="auto">
        <a:xfrm>
          <a:off x="12826188" y="1485235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127</xdr:row>
      <xdr:rowOff>0</xdr:rowOff>
    </xdr:from>
    <xdr:ext cx="95250" cy="213632"/>
    <xdr:sp macro="" textlink="">
      <xdr:nvSpPr>
        <xdr:cNvPr id="775" name="Text Box 15">
          <a:extLst>
            <a:ext uri="{FF2B5EF4-FFF2-40B4-BE49-F238E27FC236}">
              <a16:creationId xmlns:a16="http://schemas.microsoft.com/office/drawing/2014/main" id="{00000000-0008-0000-0500-000007030000}"/>
            </a:ext>
          </a:extLst>
        </xdr:cNvPr>
        <xdr:cNvSpPr txBox="1">
          <a:spLocks noChangeArrowheads="1"/>
        </xdr:cNvSpPr>
      </xdr:nvSpPr>
      <xdr:spPr bwMode="auto">
        <a:xfrm>
          <a:off x="12826188" y="1485235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127</xdr:row>
      <xdr:rowOff>0</xdr:rowOff>
    </xdr:from>
    <xdr:ext cx="95250" cy="213632"/>
    <xdr:sp macro="" textlink="">
      <xdr:nvSpPr>
        <xdr:cNvPr id="776" name="Text Box 15">
          <a:extLst>
            <a:ext uri="{FF2B5EF4-FFF2-40B4-BE49-F238E27FC236}">
              <a16:creationId xmlns:a16="http://schemas.microsoft.com/office/drawing/2014/main" id="{00000000-0008-0000-0500-000008030000}"/>
            </a:ext>
          </a:extLst>
        </xdr:cNvPr>
        <xdr:cNvSpPr txBox="1">
          <a:spLocks noChangeArrowheads="1"/>
        </xdr:cNvSpPr>
      </xdr:nvSpPr>
      <xdr:spPr bwMode="auto">
        <a:xfrm>
          <a:off x="12826188" y="1485235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127</xdr:row>
      <xdr:rowOff>0</xdr:rowOff>
    </xdr:from>
    <xdr:ext cx="95250" cy="213632"/>
    <xdr:sp macro="" textlink="">
      <xdr:nvSpPr>
        <xdr:cNvPr id="777" name="Text Box 15">
          <a:extLst>
            <a:ext uri="{FF2B5EF4-FFF2-40B4-BE49-F238E27FC236}">
              <a16:creationId xmlns:a16="http://schemas.microsoft.com/office/drawing/2014/main" id="{00000000-0008-0000-0500-000009030000}"/>
            </a:ext>
          </a:extLst>
        </xdr:cNvPr>
        <xdr:cNvSpPr txBox="1">
          <a:spLocks noChangeArrowheads="1"/>
        </xdr:cNvSpPr>
      </xdr:nvSpPr>
      <xdr:spPr bwMode="auto">
        <a:xfrm>
          <a:off x="12826188" y="1485235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xdr:row>
      <xdr:rowOff>0</xdr:rowOff>
    </xdr:from>
    <xdr:ext cx="95250" cy="171450"/>
    <xdr:sp macro="" textlink="">
      <xdr:nvSpPr>
        <xdr:cNvPr id="778" name="Text Box 16">
          <a:extLst>
            <a:ext uri="{FF2B5EF4-FFF2-40B4-BE49-F238E27FC236}">
              <a16:creationId xmlns:a16="http://schemas.microsoft.com/office/drawing/2014/main" id="{00000000-0008-0000-0500-00000A030000}"/>
            </a:ext>
          </a:extLst>
        </xdr:cNvPr>
        <xdr:cNvSpPr txBox="1">
          <a:spLocks noChangeArrowheads="1"/>
        </xdr:cNvSpPr>
      </xdr:nvSpPr>
      <xdr:spPr bwMode="auto">
        <a:xfrm>
          <a:off x="12826188" y="8849390"/>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xdr:row>
      <xdr:rowOff>0</xdr:rowOff>
    </xdr:from>
    <xdr:ext cx="95250" cy="171450"/>
    <xdr:sp macro="" textlink="">
      <xdr:nvSpPr>
        <xdr:cNvPr id="779" name="Text Box 17">
          <a:extLst>
            <a:ext uri="{FF2B5EF4-FFF2-40B4-BE49-F238E27FC236}">
              <a16:creationId xmlns:a16="http://schemas.microsoft.com/office/drawing/2014/main" id="{00000000-0008-0000-0500-00000B030000}"/>
            </a:ext>
          </a:extLst>
        </xdr:cNvPr>
        <xdr:cNvSpPr txBox="1">
          <a:spLocks noChangeArrowheads="1"/>
        </xdr:cNvSpPr>
      </xdr:nvSpPr>
      <xdr:spPr bwMode="auto">
        <a:xfrm>
          <a:off x="12826188" y="8849390"/>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1046162</xdr:colOff>
      <xdr:row>12</xdr:row>
      <xdr:rowOff>15875</xdr:rowOff>
    </xdr:from>
    <xdr:ext cx="95250" cy="171450"/>
    <xdr:sp macro="" textlink="">
      <xdr:nvSpPr>
        <xdr:cNvPr id="780" name="Text Box 18">
          <a:extLst>
            <a:ext uri="{FF2B5EF4-FFF2-40B4-BE49-F238E27FC236}">
              <a16:creationId xmlns:a16="http://schemas.microsoft.com/office/drawing/2014/main" id="{00000000-0008-0000-0500-00000C030000}"/>
            </a:ext>
          </a:extLst>
        </xdr:cNvPr>
        <xdr:cNvSpPr txBox="1">
          <a:spLocks noChangeArrowheads="1"/>
        </xdr:cNvSpPr>
      </xdr:nvSpPr>
      <xdr:spPr bwMode="auto">
        <a:xfrm>
          <a:off x="12800012" y="414972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xdr:row>
      <xdr:rowOff>504825</xdr:rowOff>
    </xdr:from>
    <xdr:ext cx="95250" cy="213632"/>
    <xdr:sp macro="" textlink="">
      <xdr:nvSpPr>
        <xdr:cNvPr id="782" name="Text Box 15">
          <a:extLst>
            <a:ext uri="{FF2B5EF4-FFF2-40B4-BE49-F238E27FC236}">
              <a16:creationId xmlns:a16="http://schemas.microsoft.com/office/drawing/2014/main" id="{00000000-0008-0000-0500-00000E030000}"/>
            </a:ext>
          </a:extLst>
        </xdr:cNvPr>
        <xdr:cNvSpPr txBox="1">
          <a:spLocks noChangeArrowheads="1"/>
        </xdr:cNvSpPr>
      </xdr:nvSpPr>
      <xdr:spPr bwMode="auto">
        <a:xfrm>
          <a:off x="12826188" y="935421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127</xdr:row>
      <xdr:rowOff>0</xdr:rowOff>
    </xdr:from>
    <xdr:ext cx="95250" cy="171450"/>
    <xdr:sp macro="" textlink="">
      <xdr:nvSpPr>
        <xdr:cNvPr id="783" name="Text Box 16">
          <a:extLst>
            <a:ext uri="{FF2B5EF4-FFF2-40B4-BE49-F238E27FC236}">
              <a16:creationId xmlns:a16="http://schemas.microsoft.com/office/drawing/2014/main" id="{00000000-0008-0000-0500-00000F030000}"/>
            </a:ext>
          </a:extLst>
        </xdr:cNvPr>
        <xdr:cNvSpPr txBox="1">
          <a:spLocks noChangeArrowheads="1"/>
        </xdr:cNvSpPr>
      </xdr:nvSpPr>
      <xdr:spPr bwMode="auto">
        <a:xfrm>
          <a:off x="12826188" y="9923721"/>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127</xdr:row>
      <xdr:rowOff>0</xdr:rowOff>
    </xdr:from>
    <xdr:ext cx="95250" cy="171450"/>
    <xdr:sp macro="" textlink="">
      <xdr:nvSpPr>
        <xdr:cNvPr id="784" name="Text Box 17">
          <a:extLst>
            <a:ext uri="{FF2B5EF4-FFF2-40B4-BE49-F238E27FC236}">
              <a16:creationId xmlns:a16="http://schemas.microsoft.com/office/drawing/2014/main" id="{00000000-0008-0000-0500-000010030000}"/>
            </a:ext>
          </a:extLst>
        </xdr:cNvPr>
        <xdr:cNvSpPr txBox="1">
          <a:spLocks noChangeArrowheads="1"/>
        </xdr:cNvSpPr>
      </xdr:nvSpPr>
      <xdr:spPr bwMode="auto">
        <a:xfrm>
          <a:off x="12826188" y="9923721"/>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127</xdr:row>
      <xdr:rowOff>0</xdr:rowOff>
    </xdr:from>
    <xdr:ext cx="95250" cy="171450"/>
    <xdr:sp macro="" textlink="">
      <xdr:nvSpPr>
        <xdr:cNvPr id="785" name="Text Box 18">
          <a:extLst>
            <a:ext uri="{FF2B5EF4-FFF2-40B4-BE49-F238E27FC236}">
              <a16:creationId xmlns:a16="http://schemas.microsoft.com/office/drawing/2014/main" id="{00000000-0008-0000-0500-000011030000}"/>
            </a:ext>
          </a:extLst>
        </xdr:cNvPr>
        <xdr:cNvSpPr txBox="1">
          <a:spLocks noChangeArrowheads="1"/>
        </xdr:cNvSpPr>
      </xdr:nvSpPr>
      <xdr:spPr bwMode="auto">
        <a:xfrm>
          <a:off x="12826188" y="9923721"/>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127</xdr:row>
      <xdr:rowOff>0</xdr:rowOff>
    </xdr:from>
    <xdr:ext cx="95250" cy="171450"/>
    <xdr:sp macro="" textlink="">
      <xdr:nvSpPr>
        <xdr:cNvPr id="786" name="Text Box 19">
          <a:extLst>
            <a:ext uri="{FF2B5EF4-FFF2-40B4-BE49-F238E27FC236}">
              <a16:creationId xmlns:a16="http://schemas.microsoft.com/office/drawing/2014/main" id="{00000000-0008-0000-0500-000012030000}"/>
            </a:ext>
          </a:extLst>
        </xdr:cNvPr>
        <xdr:cNvSpPr txBox="1">
          <a:spLocks noChangeArrowheads="1"/>
        </xdr:cNvSpPr>
      </xdr:nvSpPr>
      <xdr:spPr bwMode="auto">
        <a:xfrm>
          <a:off x="12826188" y="9923721"/>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127</xdr:row>
      <xdr:rowOff>0</xdr:rowOff>
    </xdr:from>
    <xdr:ext cx="95250" cy="213632"/>
    <xdr:sp macro="" textlink="">
      <xdr:nvSpPr>
        <xdr:cNvPr id="787" name="Text Box 15">
          <a:extLst>
            <a:ext uri="{FF2B5EF4-FFF2-40B4-BE49-F238E27FC236}">
              <a16:creationId xmlns:a16="http://schemas.microsoft.com/office/drawing/2014/main" id="{00000000-0008-0000-0500-000013030000}"/>
            </a:ext>
          </a:extLst>
        </xdr:cNvPr>
        <xdr:cNvSpPr txBox="1">
          <a:spLocks noChangeArrowheads="1"/>
        </xdr:cNvSpPr>
      </xdr:nvSpPr>
      <xdr:spPr bwMode="auto">
        <a:xfrm>
          <a:off x="12826188" y="10428546"/>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127</xdr:row>
      <xdr:rowOff>0</xdr:rowOff>
    </xdr:from>
    <xdr:ext cx="95250" cy="213632"/>
    <xdr:sp macro="" textlink="">
      <xdr:nvSpPr>
        <xdr:cNvPr id="788" name="Text Box 15">
          <a:extLst>
            <a:ext uri="{FF2B5EF4-FFF2-40B4-BE49-F238E27FC236}">
              <a16:creationId xmlns:a16="http://schemas.microsoft.com/office/drawing/2014/main" id="{00000000-0008-0000-0500-000014030000}"/>
            </a:ext>
          </a:extLst>
        </xdr:cNvPr>
        <xdr:cNvSpPr txBox="1">
          <a:spLocks noChangeArrowheads="1"/>
        </xdr:cNvSpPr>
      </xdr:nvSpPr>
      <xdr:spPr bwMode="auto">
        <a:xfrm>
          <a:off x="12826188" y="15357180"/>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127</xdr:row>
      <xdr:rowOff>0</xdr:rowOff>
    </xdr:from>
    <xdr:ext cx="95250" cy="213632"/>
    <xdr:sp macro="" textlink="">
      <xdr:nvSpPr>
        <xdr:cNvPr id="789" name="Text Box 15">
          <a:extLst>
            <a:ext uri="{FF2B5EF4-FFF2-40B4-BE49-F238E27FC236}">
              <a16:creationId xmlns:a16="http://schemas.microsoft.com/office/drawing/2014/main" id="{00000000-0008-0000-0500-000015030000}"/>
            </a:ext>
          </a:extLst>
        </xdr:cNvPr>
        <xdr:cNvSpPr txBox="1">
          <a:spLocks noChangeArrowheads="1"/>
        </xdr:cNvSpPr>
      </xdr:nvSpPr>
      <xdr:spPr bwMode="auto">
        <a:xfrm>
          <a:off x="12826188" y="15357180"/>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213632"/>
    <xdr:sp macro="" textlink="">
      <xdr:nvSpPr>
        <xdr:cNvPr id="792" name="Text Box 15">
          <a:extLst>
            <a:ext uri="{FF2B5EF4-FFF2-40B4-BE49-F238E27FC236}">
              <a16:creationId xmlns:a16="http://schemas.microsoft.com/office/drawing/2014/main" id="{00000000-0008-0000-0500-000018030000}"/>
            </a:ext>
          </a:extLst>
        </xdr:cNvPr>
        <xdr:cNvSpPr txBox="1">
          <a:spLocks noChangeArrowheads="1"/>
        </xdr:cNvSpPr>
      </xdr:nvSpPr>
      <xdr:spPr bwMode="auto">
        <a:xfrm>
          <a:off x="8953500" y="11677650"/>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213632"/>
    <xdr:sp macro="" textlink="">
      <xdr:nvSpPr>
        <xdr:cNvPr id="793" name="Text Box 15">
          <a:extLst>
            <a:ext uri="{FF2B5EF4-FFF2-40B4-BE49-F238E27FC236}">
              <a16:creationId xmlns:a16="http://schemas.microsoft.com/office/drawing/2014/main" id="{00000000-0008-0000-0500-000019030000}"/>
            </a:ext>
          </a:extLst>
        </xdr:cNvPr>
        <xdr:cNvSpPr txBox="1">
          <a:spLocks noChangeArrowheads="1"/>
        </xdr:cNvSpPr>
      </xdr:nvSpPr>
      <xdr:spPr bwMode="auto">
        <a:xfrm>
          <a:off x="8953500" y="11677650"/>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213632"/>
    <xdr:sp macro="" textlink="">
      <xdr:nvSpPr>
        <xdr:cNvPr id="794" name="Text Box 15">
          <a:extLst>
            <a:ext uri="{FF2B5EF4-FFF2-40B4-BE49-F238E27FC236}">
              <a16:creationId xmlns:a16="http://schemas.microsoft.com/office/drawing/2014/main" id="{00000000-0008-0000-0500-00001A030000}"/>
            </a:ext>
          </a:extLst>
        </xdr:cNvPr>
        <xdr:cNvSpPr txBox="1">
          <a:spLocks noChangeArrowheads="1"/>
        </xdr:cNvSpPr>
      </xdr:nvSpPr>
      <xdr:spPr bwMode="auto">
        <a:xfrm>
          <a:off x="8953500" y="11677650"/>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213632"/>
    <xdr:sp macro="" textlink="">
      <xdr:nvSpPr>
        <xdr:cNvPr id="795" name="Text Box 15">
          <a:extLst>
            <a:ext uri="{FF2B5EF4-FFF2-40B4-BE49-F238E27FC236}">
              <a16:creationId xmlns:a16="http://schemas.microsoft.com/office/drawing/2014/main" id="{00000000-0008-0000-0500-00001B030000}"/>
            </a:ext>
          </a:extLst>
        </xdr:cNvPr>
        <xdr:cNvSpPr txBox="1">
          <a:spLocks noChangeArrowheads="1"/>
        </xdr:cNvSpPr>
      </xdr:nvSpPr>
      <xdr:spPr bwMode="auto">
        <a:xfrm>
          <a:off x="8953500" y="11677650"/>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213632"/>
    <xdr:sp macro="" textlink="">
      <xdr:nvSpPr>
        <xdr:cNvPr id="796" name="Text Box 15">
          <a:extLst>
            <a:ext uri="{FF2B5EF4-FFF2-40B4-BE49-F238E27FC236}">
              <a16:creationId xmlns:a16="http://schemas.microsoft.com/office/drawing/2014/main" id="{00000000-0008-0000-0500-00001C030000}"/>
            </a:ext>
          </a:extLst>
        </xdr:cNvPr>
        <xdr:cNvSpPr txBox="1">
          <a:spLocks noChangeArrowheads="1"/>
        </xdr:cNvSpPr>
      </xdr:nvSpPr>
      <xdr:spPr bwMode="auto">
        <a:xfrm>
          <a:off x="8953500" y="111728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213632"/>
    <xdr:sp macro="" textlink="">
      <xdr:nvSpPr>
        <xdr:cNvPr id="797" name="Text Box 15">
          <a:extLst>
            <a:ext uri="{FF2B5EF4-FFF2-40B4-BE49-F238E27FC236}">
              <a16:creationId xmlns:a16="http://schemas.microsoft.com/office/drawing/2014/main" id="{00000000-0008-0000-0500-00001D030000}"/>
            </a:ext>
          </a:extLst>
        </xdr:cNvPr>
        <xdr:cNvSpPr txBox="1">
          <a:spLocks noChangeArrowheads="1"/>
        </xdr:cNvSpPr>
      </xdr:nvSpPr>
      <xdr:spPr bwMode="auto">
        <a:xfrm>
          <a:off x="8953500" y="111728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213632"/>
    <xdr:sp macro="" textlink="">
      <xdr:nvSpPr>
        <xdr:cNvPr id="798" name="Text Box 15">
          <a:extLst>
            <a:ext uri="{FF2B5EF4-FFF2-40B4-BE49-F238E27FC236}">
              <a16:creationId xmlns:a16="http://schemas.microsoft.com/office/drawing/2014/main" id="{00000000-0008-0000-0500-00001E030000}"/>
            </a:ext>
          </a:extLst>
        </xdr:cNvPr>
        <xdr:cNvSpPr txBox="1">
          <a:spLocks noChangeArrowheads="1"/>
        </xdr:cNvSpPr>
      </xdr:nvSpPr>
      <xdr:spPr bwMode="auto">
        <a:xfrm>
          <a:off x="8953500" y="111728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213632"/>
    <xdr:sp macro="" textlink="">
      <xdr:nvSpPr>
        <xdr:cNvPr id="799" name="Text Box 15">
          <a:extLst>
            <a:ext uri="{FF2B5EF4-FFF2-40B4-BE49-F238E27FC236}">
              <a16:creationId xmlns:a16="http://schemas.microsoft.com/office/drawing/2014/main" id="{00000000-0008-0000-0500-00001F030000}"/>
            </a:ext>
          </a:extLst>
        </xdr:cNvPr>
        <xdr:cNvSpPr txBox="1">
          <a:spLocks noChangeArrowheads="1"/>
        </xdr:cNvSpPr>
      </xdr:nvSpPr>
      <xdr:spPr bwMode="auto">
        <a:xfrm>
          <a:off x="8953500" y="111728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213632"/>
    <xdr:sp macro="" textlink="">
      <xdr:nvSpPr>
        <xdr:cNvPr id="800" name="Text Box 15">
          <a:extLst>
            <a:ext uri="{FF2B5EF4-FFF2-40B4-BE49-F238E27FC236}">
              <a16:creationId xmlns:a16="http://schemas.microsoft.com/office/drawing/2014/main" id="{00000000-0008-0000-0500-000020030000}"/>
            </a:ext>
          </a:extLst>
        </xdr:cNvPr>
        <xdr:cNvSpPr txBox="1">
          <a:spLocks noChangeArrowheads="1"/>
        </xdr:cNvSpPr>
      </xdr:nvSpPr>
      <xdr:spPr bwMode="auto">
        <a:xfrm>
          <a:off x="8953500" y="111728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213632"/>
    <xdr:sp macro="" textlink="">
      <xdr:nvSpPr>
        <xdr:cNvPr id="801" name="Text Box 15">
          <a:extLst>
            <a:ext uri="{FF2B5EF4-FFF2-40B4-BE49-F238E27FC236}">
              <a16:creationId xmlns:a16="http://schemas.microsoft.com/office/drawing/2014/main" id="{00000000-0008-0000-0500-000021030000}"/>
            </a:ext>
          </a:extLst>
        </xdr:cNvPr>
        <xdr:cNvSpPr txBox="1">
          <a:spLocks noChangeArrowheads="1"/>
        </xdr:cNvSpPr>
      </xdr:nvSpPr>
      <xdr:spPr bwMode="auto">
        <a:xfrm>
          <a:off x="8953500" y="111728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213632"/>
    <xdr:sp macro="" textlink="">
      <xdr:nvSpPr>
        <xdr:cNvPr id="802" name="Text Box 15">
          <a:extLst>
            <a:ext uri="{FF2B5EF4-FFF2-40B4-BE49-F238E27FC236}">
              <a16:creationId xmlns:a16="http://schemas.microsoft.com/office/drawing/2014/main" id="{00000000-0008-0000-0500-000022030000}"/>
            </a:ext>
          </a:extLst>
        </xdr:cNvPr>
        <xdr:cNvSpPr txBox="1">
          <a:spLocks noChangeArrowheads="1"/>
        </xdr:cNvSpPr>
      </xdr:nvSpPr>
      <xdr:spPr bwMode="auto">
        <a:xfrm>
          <a:off x="8953500" y="111728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213632"/>
    <xdr:sp macro="" textlink="">
      <xdr:nvSpPr>
        <xdr:cNvPr id="803" name="Text Box 15">
          <a:extLst>
            <a:ext uri="{FF2B5EF4-FFF2-40B4-BE49-F238E27FC236}">
              <a16:creationId xmlns:a16="http://schemas.microsoft.com/office/drawing/2014/main" id="{00000000-0008-0000-0500-000023030000}"/>
            </a:ext>
          </a:extLst>
        </xdr:cNvPr>
        <xdr:cNvSpPr txBox="1">
          <a:spLocks noChangeArrowheads="1"/>
        </xdr:cNvSpPr>
      </xdr:nvSpPr>
      <xdr:spPr bwMode="auto">
        <a:xfrm>
          <a:off x="8953500" y="11677650"/>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213632"/>
    <xdr:sp macro="" textlink="">
      <xdr:nvSpPr>
        <xdr:cNvPr id="804" name="Text Box 15">
          <a:extLst>
            <a:ext uri="{FF2B5EF4-FFF2-40B4-BE49-F238E27FC236}">
              <a16:creationId xmlns:a16="http://schemas.microsoft.com/office/drawing/2014/main" id="{00000000-0008-0000-0500-000024030000}"/>
            </a:ext>
          </a:extLst>
        </xdr:cNvPr>
        <xdr:cNvSpPr txBox="1">
          <a:spLocks noChangeArrowheads="1"/>
        </xdr:cNvSpPr>
      </xdr:nvSpPr>
      <xdr:spPr bwMode="auto">
        <a:xfrm>
          <a:off x="8953500" y="11677650"/>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213632"/>
    <xdr:sp macro="" textlink="">
      <xdr:nvSpPr>
        <xdr:cNvPr id="805" name="Text Box 15">
          <a:extLst>
            <a:ext uri="{FF2B5EF4-FFF2-40B4-BE49-F238E27FC236}">
              <a16:creationId xmlns:a16="http://schemas.microsoft.com/office/drawing/2014/main" id="{00000000-0008-0000-0500-000025030000}"/>
            </a:ext>
          </a:extLst>
        </xdr:cNvPr>
        <xdr:cNvSpPr txBox="1">
          <a:spLocks noChangeArrowheads="1"/>
        </xdr:cNvSpPr>
      </xdr:nvSpPr>
      <xdr:spPr bwMode="auto">
        <a:xfrm>
          <a:off x="8953500" y="11677650"/>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213632"/>
    <xdr:sp macro="" textlink="">
      <xdr:nvSpPr>
        <xdr:cNvPr id="806" name="Text Box 15">
          <a:extLst>
            <a:ext uri="{FF2B5EF4-FFF2-40B4-BE49-F238E27FC236}">
              <a16:creationId xmlns:a16="http://schemas.microsoft.com/office/drawing/2014/main" id="{00000000-0008-0000-0500-000026030000}"/>
            </a:ext>
          </a:extLst>
        </xdr:cNvPr>
        <xdr:cNvSpPr txBox="1">
          <a:spLocks noChangeArrowheads="1"/>
        </xdr:cNvSpPr>
      </xdr:nvSpPr>
      <xdr:spPr bwMode="auto">
        <a:xfrm>
          <a:off x="8953500" y="11677650"/>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213632"/>
    <xdr:sp macro="" textlink="">
      <xdr:nvSpPr>
        <xdr:cNvPr id="807" name="Text Box 15">
          <a:extLst>
            <a:ext uri="{FF2B5EF4-FFF2-40B4-BE49-F238E27FC236}">
              <a16:creationId xmlns:a16="http://schemas.microsoft.com/office/drawing/2014/main" id="{00000000-0008-0000-0500-000027030000}"/>
            </a:ext>
          </a:extLst>
        </xdr:cNvPr>
        <xdr:cNvSpPr txBox="1">
          <a:spLocks noChangeArrowheads="1"/>
        </xdr:cNvSpPr>
      </xdr:nvSpPr>
      <xdr:spPr bwMode="auto">
        <a:xfrm>
          <a:off x="8942294" y="13447619"/>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213632"/>
    <xdr:sp macro="" textlink="">
      <xdr:nvSpPr>
        <xdr:cNvPr id="808" name="Text Box 15">
          <a:extLst>
            <a:ext uri="{FF2B5EF4-FFF2-40B4-BE49-F238E27FC236}">
              <a16:creationId xmlns:a16="http://schemas.microsoft.com/office/drawing/2014/main" id="{00000000-0008-0000-0500-000028030000}"/>
            </a:ext>
          </a:extLst>
        </xdr:cNvPr>
        <xdr:cNvSpPr txBox="1">
          <a:spLocks noChangeArrowheads="1"/>
        </xdr:cNvSpPr>
      </xdr:nvSpPr>
      <xdr:spPr bwMode="auto">
        <a:xfrm>
          <a:off x="8942294" y="13447619"/>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213632"/>
    <xdr:sp macro="" textlink="">
      <xdr:nvSpPr>
        <xdr:cNvPr id="809" name="Text Box 15">
          <a:extLst>
            <a:ext uri="{FF2B5EF4-FFF2-40B4-BE49-F238E27FC236}">
              <a16:creationId xmlns:a16="http://schemas.microsoft.com/office/drawing/2014/main" id="{00000000-0008-0000-0500-000029030000}"/>
            </a:ext>
          </a:extLst>
        </xdr:cNvPr>
        <xdr:cNvSpPr txBox="1">
          <a:spLocks noChangeArrowheads="1"/>
        </xdr:cNvSpPr>
      </xdr:nvSpPr>
      <xdr:spPr bwMode="auto">
        <a:xfrm>
          <a:off x="8942294" y="14669060"/>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213632"/>
    <xdr:sp macro="" textlink="">
      <xdr:nvSpPr>
        <xdr:cNvPr id="810" name="Text Box 15">
          <a:extLst>
            <a:ext uri="{FF2B5EF4-FFF2-40B4-BE49-F238E27FC236}">
              <a16:creationId xmlns:a16="http://schemas.microsoft.com/office/drawing/2014/main" id="{00000000-0008-0000-0500-00002A030000}"/>
            </a:ext>
          </a:extLst>
        </xdr:cNvPr>
        <xdr:cNvSpPr txBox="1">
          <a:spLocks noChangeArrowheads="1"/>
        </xdr:cNvSpPr>
      </xdr:nvSpPr>
      <xdr:spPr bwMode="auto">
        <a:xfrm>
          <a:off x="8942294" y="14669060"/>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213632"/>
    <xdr:sp macro="" textlink="">
      <xdr:nvSpPr>
        <xdr:cNvPr id="811" name="Text Box 15">
          <a:extLst>
            <a:ext uri="{FF2B5EF4-FFF2-40B4-BE49-F238E27FC236}">
              <a16:creationId xmlns:a16="http://schemas.microsoft.com/office/drawing/2014/main" id="{00000000-0008-0000-0500-00002B030000}"/>
            </a:ext>
          </a:extLst>
        </xdr:cNvPr>
        <xdr:cNvSpPr txBox="1">
          <a:spLocks noChangeArrowheads="1"/>
        </xdr:cNvSpPr>
      </xdr:nvSpPr>
      <xdr:spPr bwMode="auto">
        <a:xfrm>
          <a:off x="8942294" y="12942794"/>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213632"/>
    <xdr:sp macro="" textlink="">
      <xdr:nvSpPr>
        <xdr:cNvPr id="812" name="Text Box 15">
          <a:extLst>
            <a:ext uri="{FF2B5EF4-FFF2-40B4-BE49-F238E27FC236}">
              <a16:creationId xmlns:a16="http://schemas.microsoft.com/office/drawing/2014/main" id="{00000000-0008-0000-0500-00002C030000}"/>
            </a:ext>
          </a:extLst>
        </xdr:cNvPr>
        <xdr:cNvSpPr txBox="1">
          <a:spLocks noChangeArrowheads="1"/>
        </xdr:cNvSpPr>
      </xdr:nvSpPr>
      <xdr:spPr bwMode="auto">
        <a:xfrm>
          <a:off x="8942294" y="12942794"/>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213632"/>
    <xdr:sp macro="" textlink="">
      <xdr:nvSpPr>
        <xdr:cNvPr id="813" name="Text Box 15">
          <a:extLst>
            <a:ext uri="{FF2B5EF4-FFF2-40B4-BE49-F238E27FC236}">
              <a16:creationId xmlns:a16="http://schemas.microsoft.com/office/drawing/2014/main" id="{00000000-0008-0000-0500-00002D030000}"/>
            </a:ext>
          </a:extLst>
        </xdr:cNvPr>
        <xdr:cNvSpPr txBox="1">
          <a:spLocks noChangeArrowheads="1"/>
        </xdr:cNvSpPr>
      </xdr:nvSpPr>
      <xdr:spPr bwMode="auto">
        <a:xfrm>
          <a:off x="8942294" y="12942794"/>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213632"/>
    <xdr:sp macro="" textlink="">
      <xdr:nvSpPr>
        <xdr:cNvPr id="814" name="Text Box 15">
          <a:extLst>
            <a:ext uri="{FF2B5EF4-FFF2-40B4-BE49-F238E27FC236}">
              <a16:creationId xmlns:a16="http://schemas.microsoft.com/office/drawing/2014/main" id="{00000000-0008-0000-0500-00002E030000}"/>
            </a:ext>
          </a:extLst>
        </xdr:cNvPr>
        <xdr:cNvSpPr txBox="1">
          <a:spLocks noChangeArrowheads="1"/>
        </xdr:cNvSpPr>
      </xdr:nvSpPr>
      <xdr:spPr bwMode="auto">
        <a:xfrm>
          <a:off x="8942294" y="12942794"/>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213632"/>
    <xdr:sp macro="" textlink="">
      <xdr:nvSpPr>
        <xdr:cNvPr id="815" name="Text Box 15">
          <a:extLst>
            <a:ext uri="{FF2B5EF4-FFF2-40B4-BE49-F238E27FC236}">
              <a16:creationId xmlns:a16="http://schemas.microsoft.com/office/drawing/2014/main" id="{00000000-0008-0000-0500-00002F030000}"/>
            </a:ext>
          </a:extLst>
        </xdr:cNvPr>
        <xdr:cNvSpPr txBox="1">
          <a:spLocks noChangeArrowheads="1"/>
        </xdr:cNvSpPr>
      </xdr:nvSpPr>
      <xdr:spPr bwMode="auto">
        <a:xfrm>
          <a:off x="8942294" y="12942794"/>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213632"/>
    <xdr:sp macro="" textlink="">
      <xdr:nvSpPr>
        <xdr:cNvPr id="816" name="Text Box 15">
          <a:extLst>
            <a:ext uri="{FF2B5EF4-FFF2-40B4-BE49-F238E27FC236}">
              <a16:creationId xmlns:a16="http://schemas.microsoft.com/office/drawing/2014/main" id="{00000000-0008-0000-0500-000030030000}"/>
            </a:ext>
          </a:extLst>
        </xdr:cNvPr>
        <xdr:cNvSpPr txBox="1">
          <a:spLocks noChangeArrowheads="1"/>
        </xdr:cNvSpPr>
      </xdr:nvSpPr>
      <xdr:spPr bwMode="auto">
        <a:xfrm>
          <a:off x="8942294" y="12942794"/>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213632"/>
    <xdr:sp macro="" textlink="">
      <xdr:nvSpPr>
        <xdr:cNvPr id="817" name="Text Box 15">
          <a:extLst>
            <a:ext uri="{FF2B5EF4-FFF2-40B4-BE49-F238E27FC236}">
              <a16:creationId xmlns:a16="http://schemas.microsoft.com/office/drawing/2014/main" id="{00000000-0008-0000-0500-000031030000}"/>
            </a:ext>
          </a:extLst>
        </xdr:cNvPr>
        <xdr:cNvSpPr txBox="1">
          <a:spLocks noChangeArrowheads="1"/>
        </xdr:cNvSpPr>
      </xdr:nvSpPr>
      <xdr:spPr bwMode="auto">
        <a:xfrm>
          <a:off x="8942294" y="12942794"/>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213632"/>
    <xdr:sp macro="" textlink="">
      <xdr:nvSpPr>
        <xdr:cNvPr id="818" name="Text Box 15">
          <a:extLst>
            <a:ext uri="{FF2B5EF4-FFF2-40B4-BE49-F238E27FC236}">
              <a16:creationId xmlns:a16="http://schemas.microsoft.com/office/drawing/2014/main" id="{00000000-0008-0000-0500-000032030000}"/>
            </a:ext>
          </a:extLst>
        </xdr:cNvPr>
        <xdr:cNvSpPr txBox="1">
          <a:spLocks noChangeArrowheads="1"/>
        </xdr:cNvSpPr>
      </xdr:nvSpPr>
      <xdr:spPr bwMode="auto">
        <a:xfrm>
          <a:off x="8942294" y="13447619"/>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213632"/>
    <xdr:sp macro="" textlink="">
      <xdr:nvSpPr>
        <xdr:cNvPr id="819" name="Text Box 15">
          <a:extLst>
            <a:ext uri="{FF2B5EF4-FFF2-40B4-BE49-F238E27FC236}">
              <a16:creationId xmlns:a16="http://schemas.microsoft.com/office/drawing/2014/main" id="{00000000-0008-0000-0500-000033030000}"/>
            </a:ext>
          </a:extLst>
        </xdr:cNvPr>
        <xdr:cNvSpPr txBox="1">
          <a:spLocks noChangeArrowheads="1"/>
        </xdr:cNvSpPr>
      </xdr:nvSpPr>
      <xdr:spPr bwMode="auto">
        <a:xfrm>
          <a:off x="8942294" y="13447619"/>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213632"/>
    <xdr:sp macro="" textlink="">
      <xdr:nvSpPr>
        <xdr:cNvPr id="820" name="Text Box 15">
          <a:extLst>
            <a:ext uri="{FF2B5EF4-FFF2-40B4-BE49-F238E27FC236}">
              <a16:creationId xmlns:a16="http://schemas.microsoft.com/office/drawing/2014/main" id="{00000000-0008-0000-0500-000034030000}"/>
            </a:ext>
          </a:extLst>
        </xdr:cNvPr>
        <xdr:cNvSpPr txBox="1">
          <a:spLocks noChangeArrowheads="1"/>
        </xdr:cNvSpPr>
      </xdr:nvSpPr>
      <xdr:spPr bwMode="auto">
        <a:xfrm>
          <a:off x="8942294" y="13447619"/>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213632"/>
    <xdr:sp macro="" textlink="">
      <xdr:nvSpPr>
        <xdr:cNvPr id="821" name="Text Box 15">
          <a:extLst>
            <a:ext uri="{FF2B5EF4-FFF2-40B4-BE49-F238E27FC236}">
              <a16:creationId xmlns:a16="http://schemas.microsoft.com/office/drawing/2014/main" id="{00000000-0008-0000-0500-000035030000}"/>
            </a:ext>
          </a:extLst>
        </xdr:cNvPr>
        <xdr:cNvSpPr txBox="1">
          <a:spLocks noChangeArrowheads="1"/>
        </xdr:cNvSpPr>
      </xdr:nvSpPr>
      <xdr:spPr bwMode="auto">
        <a:xfrm>
          <a:off x="8942294" y="13447619"/>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213632"/>
    <xdr:sp macro="" textlink="">
      <xdr:nvSpPr>
        <xdr:cNvPr id="822" name="Text Box 15">
          <a:extLst>
            <a:ext uri="{FF2B5EF4-FFF2-40B4-BE49-F238E27FC236}">
              <a16:creationId xmlns:a16="http://schemas.microsoft.com/office/drawing/2014/main" id="{00000000-0008-0000-0500-000036030000}"/>
            </a:ext>
          </a:extLst>
        </xdr:cNvPr>
        <xdr:cNvSpPr txBox="1">
          <a:spLocks noChangeArrowheads="1"/>
        </xdr:cNvSpPr>
      </xdr:nvSpPr>
      <xdr:spPr bwMode="auto">
        <a:xfrm>
          <a:off x="8942294" y="13447619"/>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213632"/>
    <xdr:sp macro="" textlink="">
      <xdr:nvSpPr>
        <xdr:cNvPr id="823" name="Text Box 15">
          <a:extLst>
            <a:ext uri="{FF2B5EF4-FFF2-40B4-BE49-F238E27FC236}">
              <a16:creationId xmlns:a16="http://schemas.microsoft.com/office/drawing/2014/main" id="{00000000-0008-0000-0500-000037030000}"/>
            </a:ext>
          </a:extLst>
        </xdr:cNvPr>
        <xdr:cNvSpPr txBox="1">
          <a:spLocks noChangeArrowheads="1"/>
        </xdr:cNvSpPr>
      </xdr:nvSpPr>
      <xdr:spPr bwMode="auto">
        <a:xfrm>
          <a:off x="8942294" y="13447619"/>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213632"/>
    <xdr:sp macro="" textlink="">
      <xdr:nvSpPr>
        <xdr:cNvPr id="824" name="Text Box 15">
          <a:extLst>
            <a:ext uri="{FF2B5EF4-FFF2-40B4-BE49-F238E27FC236}">
              <a16:creationId xmlns:a16="http://schemas.microsoft.com/office/drawing/2014/main" id="{00000000-0008-0000-0500-000038030000}"/>
            </a:ext>
          </a:extLst>
        </xdr:cNvPr>
        <xdr:cNvSpPr txBox="1">
          <a:spLocks noChangeArrowheads="1"/>
        </xdr:cNvSpPr>
      </xdr:nvSpPr>
      <xdr:spPr bwMode="auto">
        <a:xfrm>
          <a:off x="8942294" y="1416423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213632"/>
    <xdr:sp macro="" textlink="">
      <xdr:nvSpPr>
        <xdr:cNvPr id="825" name="Text Box 15">
          <a:extLst>
            <a:ext uri="{FF2B5EF4-FFF2-40B4-BE49-F238E27FC236}">
              <a16:creationId xmlns:a16="http://schemas.microsoft.com/office/drawing/2014/main" id="{00000000-0008-0000-0500-000039030000}"/>
            </a:ext>
          </a:extLst>
        </xdr:cNvPr>
        <xdr:cNvSpPr txBox="1">
          <a:spLocks noChangeArrowheads="1"/>
        </xdr:cNvSpPr>
      </xdr:nvSpPr>
      <xdr:spPr bwMode="auto">
        <a:xfrm>
          <a:off x="8942294" y="1416423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213632"/>
    <xdr:sp macro="" textlink="">
      <xdr:nvSpPr>
        <xdr:cNvPr id="826" name="Text Box 15">
          <a:extLst>
            <a:ext uri="{FF2B5EF4-FFF2-40B4-BE49-F238E27FC236}">
              <a16:creationId xmlns:a16="http://schemas.microsoft.com/office/drawing/2014/main" id="{00000000-0008-0000-0500-00003A030000}"/>
            </a:ext>
          </a:extLst>
        </xdr:cNvPr>
        <xdr:cNvSpPr txBox="1">
          <a:spLocks noChangeArrowheads="1"/>
        </xdr:cNvSpPr>
      </xdr:nvSpPr>
      <xdr:spPr bwMode="auto">
        <a:xfrm>
          <a:off x="8942294" y="1416423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213632"/>
    <xdr:sp macro="" textlink="">
      <xdr:nvSpPr>
        <xdr:cNvPr id="827" name="Text Box 15">
          <a:extLst>
            <a:ext uri="{FF2B5EF4-FFF2-40B4-BE49-F238E27FC236}">
              <a16:creationId xmlns:a16="http://schemas.microsoft.com/office/drawing/2014/main" id="{00000000-0008-0000-0500-00003B030000}"/>
            </a:ext>
          </a:extLst>
        </xdr:cNvPr>
        <xdr:cNvSpPr txBox="1">
          <a:spLocks noChangeArrowheads="1"/>
        </xdr:cNvSpPr>
      </xdr:nvSpPr>
      <xdr:spPr bwMode="auto">
        <a:xfrm>
          <a:off x="8942294" y="1416423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213632"/>
    <xdr:sp macro="" textlink="">
      <xdr:nvSpPr>
        <xdr:cNvPr id="828" name="Text Box 15">
          <a:extLst>
            <a:ext uri="{FF2B5EF4-FFF2-40B4-BE49-F238E27FC236}">
              <a16:creationId xmlns:a16="http://schemas.microsoft.com/office/drawing/2014/main" id="{00000000-0008-0000-0500-00003C030000}"/>
            </a:ext>
          </a:extLst>
        </xdr:cNvPr>
        <xdr:cNvSpPr txBox="1">
          <a:spLocks noChangeArrowheads="1"/>
        </xdr:cNvSpPr>
      </xdr:nvSpPr>
      <xdr:spPr bwMode="auto">
        <a:xfrm>
          <a:off x="8942294" y="1416423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213632"/>
    <xdr:sp macro="" textlink="">
      <xdr:nvSpPr>
        <xdr:cNvPr id="829" name="Text Box 15">
          <a:extLst>
            <a:ext uri="{FF2B5EF4-FFF2-40B4-BE49-F238E27FC236}">
              <a16:creationId xmlns:a16="http://schemas.microsoft.com/office/drawing/2014/main" id="{00000000-0008-0000-0500-00003D030000}"/>
            </a:ext>
          </a:extLst>
        </xdr:cNvPr>
        <xdr:cNvSpPr txBox="1">
          <a:spLocks noChangeArrowheads="1"/>
        </xdr:cNvSpPr>
      </xdr:nvSpPr>
      <xdr:spPr bwMode="auto">
        <a:xfrm>
          <a:off x="8942294" y="1416423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213632"/>
    <xdr:sp macro="" textlink="">
      <xdr:nvSpPr>
        <xdr:cNvPr id="830" name="Text Box 15">
          <a:extLst>
            <a:ext uri="{FF2B5EF4-FFF2-40B4-BE49-F238E27FC236}">
              <a16:creationId xmlns:a16="http://schemas.microsoft.com/office/drawing/2014/main" id="{00000000-0008-0000-0500-00003E030000}"/>
            </a:ext>
          </a:extLst>
        </xdr:cNvPr>
        <xdr:cNvSpPr txBox="1">
          <a:spLocks noChangeArrowheads="1"/>
        </xdr:cNvSpPr>
      </xdr:nvSpPr>
      <xdr:spPr bwMode="auto">
        <a:xfrm>
          <a:off x="8942294" y="1416423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213632"/>
    <xdr:sp macro="" textlink="">
      <xdr:nvSpPr>
        <xdr:cNvPr id="831" name="Text Box 15">
          <a:extLst>
            <a:ext uri="{FF2B5EF4-FFF2-40B4-BE49-F238E27FC236}">
              <a16:creationId xmlns:a16="http://schemas.microsoft.com/office/drawing/2014/main" id="{00000000-0008-0000-0500-00003F030000}"/>
            </a:ext>
          </a:extLst>
        </xdr:cNvPr>
        <xdr:cNvSpPr txBox="1">
          <a:spLocks noChangeArrowheads="1"/>
        </xdr:cNvSpPr>
      </xdr:nvSpPr>
      <xdr:spPr bwMode="auto">
        <a:xfrm>
          <a:off x="8942294" y="14669060"/>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213632"/>
    <xdr:sp macro="" textlink="">
      <xdr:nvSpPr>
        <xdr:cNvPr id="832" name="Text Box 15">
          <a:extLst>
            <a:ext uri="{FF2B5EF4-FFF2-40B4-BE49-F238E27FC236}">
              <a16:creationId xmlns:a16="http://schemas.microsoft.com/office/drawing/2014/main" id="{00000000-0008-0000-0500-000040030000}"/>
            </a:ext>
          </a:extLst>
        </xdr:cNvPr>
        <xdr:cNvSpPr txBox="1">
          <a:spLocks noChangeArrowheads="1"/>
        </xdr:cNvSpPr>
      </xdr:nvSpPr>
      <xdr:spPr bwMode="auto">
        <a:xfrm>
          <a:off x="8942294" y="14669060"/>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213632"/>
    <xdr:sp macro="" textlink="">
      <xdr:nvSpPr>
        <xdr:cNvPr id="833" name="Text Box 15">
          <a:extLst>
            <a:ext uri="{FF2B5EF4-FFF2-40B4-BE49-F238E27FC236}">
              <a16:creationId xmlns:a16="http://schemas.microsoft.com/office/drawing/2014/main" id="{00000000-0008-0000-0500-000041030000}"/>
            </a:ext>
          </a:extLst>
        </xdr:cNvPr>
        <xdr:cNvSpPr txBox="1">
          <a:spLocks noChangeArrowheads="1"/>
        </xdr:cNvSpPr>
      </xdr:nvSpPr>
      <xdr:spPr bwMode="auto">
        <a:xfrm>
          <a:off x="8942294" y="14669060"/>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213632"/>
    <xdr:sp macro="" textlink="">
      <xdr:nvSpPr>
        <xdr:cNvPr id="834" name="Text Box 15">
          <a:extLst>
            <a:ext uri="{FF2B5EF4-FFF2-40B4-BE49-F238E27FC236}">
              <a16:creationId xmlns:a16="http://schemas.microsoft.com/office/drawing/2014/main" id="{00000000-0008-0000-0500-000042030000}"/>
            </a:ext>
          </a:extLst>
        </xdr:cNvPr>
        <xdr:cNvSpPr txBox="1">
          <a:spLocks noChangeArrowheads="1"/>
        </xdr:cNvSpPr>
      </xdr:nvSpPr>
      <xdr:spPr bwMode="auto">
        <a:xfrm>
          <a:off x="8942294" y="14669060"/>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xdr:row>
      <xdr:rowOff>0</xdr:rowOff>
    </xdr:from>
    <xdr:ext cx="95250" cy="171450"/>
    <xdr:sp macro="" textlink="">
      <xdr:nvSpPr>
        <xdr:cNvPr id="836" name="Text Box 16">
          <a:extLst>
            <a:ext uri="{FF2B5EF4-FFF2-40B4-BE49-F238E27FC236}">
              <a16:creationId xmlns:a16="http://schemas.microsoft.com/office/drawing/2014/main" id="{00000000-0008-0000-0500-000044030000}"/>
            </a:ext>
          </a:extLst>
        </xdr:cNvPr>
        <xdr:cNvSpPr txBox="1">
          <a:spLocks noChangeArrowheads="1"/>
        </xdr:cNvSpPr>
      </xdr:nvSpPr>
      <xdr:spPr bwMode="auto">
        <a:xfrm>
          <a:off x="6655254" y="3955143"/>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xdr:row>
      <xdr:rowOff>0</xdr:rowOff>
    </xdr:from>
    <xdr:ext cx="95250" cy="171450"/>
    <xdr:sp macro="" textlink="">
      <xdr:nvSpPr>
        <xdr:cNvPr id="837" name="Text Box 17">
          <a:extLst>
            <a:ext uri="{FF2B5EF4-FFF2-40B4-BE49-F238E27FC236}">
              <a16:creationId xmlns:a16="http://schemas.microsoft.com/office/drawing/2014/main" id="{00000000-0008-0000-0500-000045030000}"/>
            </a:ext>
          </a:extLst>
        </xdr:cNvPr>
        <xdr:cNvSpPr txBox="1">
          <a:spLocks noChangeArrowheads="1"/>
        </xdr:cNvSpPr>
      </xdr:nvSpPr>
      <xdr:spPr bwMode="auto">
        <a:xfrm>
          <a:off x="6655254" y="3955143"/>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xdr:row>
      <xdr:rowOff>0</xdr:rowOff>
    </xdr:from>
    <xdr:ext cx="95250" cy="171450"/>
    <xdr:sp macro="" textlink="">
      <xdr:nvSpPr>
        <xdr:cNvPr id="838" name="Text Box 18">
          <a:extLst>
            <a:ext uri="{FF2B5EF4-FFF2-40B4-BE49-F238E27FC236}">
              <a16:creationId xmlns:a16="http://schemas.microsoft.com/office/drawing/2014/main" id="{00000000-0008-0000-0500-000046030000}"/>
            </a:ext>
          </a:extLst>
        </xdr:cNvPr>
        <xdr:cNvSpPr txBox="1">
          <a:spLocks noChangeArrowheads="1"/>
        </xdr:cNvSpPr>
      </xdr:nvSpPr>
      <xdr:spPr bwMode="auto">
        <a:xfrm>
          <a:off x="6655254" y="3955143"/>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xdr:row>
      <xdr:rowOff>0</xdr:rowOff>
    </xdr:from>
    <xdr:ext cx="95250" cy="171450"/>
    <xdr:sp macro="" textlink="">
      <xdr:nvSpPr>
        <xdr:cNvPr id="839" name="Text Box 19">
          <a:extLst>
            <a:ext uri="{FF2B5EF4-FFF2-40B4-BE49-F238E27FC236}">
              <a16:creationId xmlns:a16="http://schemas.microsoft.com/office/drawing/2014/main" id="{00000000-0008-0000-0500-000047030000}"/>
            </a:ext>
          </a:extLst>
        </xdr:cNvPr>
        <xdr:cNvSpPr txBox="1">
          <a:spLocks noChangeArrowheads="1"/>
        </xdr:cNvSpPr>
      </xdr:nvSpPr>
      <xdr:spPr bwMode="auto">
        <a:xfrm>
          <a:off x="6655254" y="3955143"/>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127</xdr:row>
      <xdr:rowOff>0</xdr:rowOff>
    </xdr:from>
    <xdr:ext cx="95250" cy="213632"/>
    <xdr:sp macro="" textlink="">
      <xdr:nvSpPr>
        <xdr:cNvPr id="841" name="Text Box 15">
          <a:extLst>
            <a:ext uri="{FF2B5EF4-FFF2-40B4-BE49-F238E27FC236}">
              <a16:creationId xmlns:a16="http://schemas.microsoft.com/office/drawing/2014/main" id="{00000000-0008-0000-0500-000049030000}"/>
            </a:ext>
          </a:extLst>
        </xdr:cNvPr>
        <xdr:cNvSpPr txBox="1">
          <a:spLocks noChangeArrowheads="1"/>
        </xdr:cNvSpPr>
      </xdr:nvSpPr>
      <xdr:spPr bwMode="auto">
        <a:xfrm>
          <a:off x="6655254" y="5031468"/>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127</xdr:row>
      <xdr:rowOff>0</xdr:rowOff>
    </xdr:from>
    <xdr:ext cx="95250" cy="213632"/>
    <xdr:sp macro="" textlink="">
      <xdr:nvSpPr>
        <xdr:cNvPr id="842" name="Text Box 15">
          <a:extLst>
            <a:ext uri="{FF2B5EF4-FFF2-40B4-BE49-F238E27FC236}">
              <a16:creationId xmlns:a16="http://schemas.microsoft.com/office/drawing/2014/main" id="{00000000-0008-0000-0500-00004A030000}"/>
            </a:ext>
          </a:extLst>
        </xdr:cNvPr>
        <xdr:cNvSpPr txBox="1">
          <a:spLocks noChangeArrowheads="1"/>
        </xdr:cNvSpPr>
      </xdr:nvSpPr>
      <xdr:spPr bwMode="auto">
        <a:xfrm>
          <a:off x="6655254" y="5221968"/>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127</xdr:row>
      <xdr:rowOff>0</xdr:rowOff>
    </xdr:from>
    <xdr:ext cx="95250" cy="213632"/>
    <xdr:sp macro="" textlink="">
      <xdr:nvSpPr>
        <xdr:cNvPr id="843" name="Text Box 15">
          <a:extLst>
            <a:ext uri="{FF2B5EF4-FFF2-40B4-BE49-F238E27FC236}">
              <a16:creationId xmlns:a16="http://schemas.microsoft.com/office/drawing/2014/main" id="{00000000-0008-0000-0500-00004B030000}"/>
            </a:ext>
          </a:extLst>
        </xdr:cNvPr>
        <xdr:cNvSpPr txBox="1">
          <a:spLocks noChangeArrowheads="1"/>
        </xdr:cNvSpPr>
      </xdr:nvSpPr>
      <xdr:spPr bwMode="auto">
        <a:xfrm>
          <a:off x="6655254" y="5221968"/>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127</xdr:row>
      <xdr:rowOff>0</xdr:rowOff>
    </xdr:from>
    <xdr:ext cx="95250" cy="213632"/>
    <xdr:sp macro="" textlink="">
      <xdr:nvSpPr>
        <xdr:cNvPr id="844" name="Text Box 15">
          <a:extLst>
            <a:ext uri="{FF2B5EF4-FFF2-40B4-BE49-F238E27FC236}">
              <a16:creationId xmlns:a16="http://schemas.microsoft.com/office/drawing/2014/main" id="{00000000-0008-0000-0500-00004C030000}"/>
            </a:ext>
          </a:extLst>
        </xdr:cNvPr>
        <xdr:cNvSpPr txBox="1">
          <a:spLocks noChangeArrowheads="1"/>
        </xdr:cNvSpPr>
      </xdr:nvSpPr>
      <xdr:spPr bwMode="auto">
        <a:xfrm>
          <a:off x="6655254" y="5412468"/>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127</xdr:row>
      <xdr:rowOff>0</xdr:rowOff>
    </xdr:from>
    <xdr:ext cx="95250" cy="213632"/>
    <xdr:sp macro="" textlink="">
      <xdr:nvSpPr>
        <xdr:cNvPr id="845" name="Text Box 15">
          <a:extLst>
            <a:ext uri="{FF2B5EF4-FFF2-40B4-BE49-F238E27FC236}">
              <a16:creationId xmlns:a16="http://schemas.microsoft.com/office/drawing/2014/main" id="{00000000-0008-0000-0500-00004D030000}"/>
            </a:ext>
          </a:extLst>
        </xdr:cNvPr>
        <xdr:cNvSpPr txBox="1">
          <a:spLocks noChangeArrowheads="1"/>
        </xdr:cNvSpPr>
      </xdr:nvSpPr>
      <xdr:spPr bwMode="auto">
        <a:xfrm>
          <a:off x="6655254" y="5412468"/>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127</xdr:row>
      <xdr:rowOff>0</xdr:rowOff>
    </xdr:from>
    <xdr:ext cx="95250" cy="213632"/>
    <xdr:sp macro="" textlink="">
      <xdr:nvSpPr>
        <xdr:cNvPr id="846" name="Text Box 15">
          <a:extLst>
            <a:ext uri="{FF2B5EF4-FFF2-40B4-BE49-F238E27FC236}">
              <a16:creationId xmlns:a16="http://schemas.microsoft.com/office/drawing/2014/main" id="{00000000-0008-0000-0500-00004E030000}"/>
            </a:ext>
          </a:extLst>
        </xdr:cNvPr>
        <xdr:cNvSpPr txBox="1">
          <a:spLocks noChangeArrowheads="1"/>
        </xdr:cNvSpPr>
      </xdr:nvSpPr>
      <xdr:spPr bwMode="auto">
        <a:xfrm>
          <a:off x="6655254" y="5602968"/>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127</xdr:row>
      <xdr:rowOff>0</xdr:rowOff>
    </xdr:from>
    <xdr:ext cx="95250" cy="213632"/>
    <xdr:sp macro="" textlink="">
      <xdr:nvSpPr>
        <xdr:cNvPr id="847" name="Text Box 15">
          <a:extLst>
            <a:ext uri="{FF2B5EF4-FFF2-40B4-BE49-F238E27FC236}">
              <a16:creationId xmlns:a16="http://schemas.microsoft.com/office/drawing/2014/main" id="{00000000-0008-0000-0500-00004F030000}"/>
            </a:ext>
          </a:extLst>
        </xdr:cNvPr>
        <xdr:cNvSpPr txBox="1">
          <a:spLocks noChangeArrowheads="1"/>
        </xdr:cNvSpPr>
      </xdr:nvSpPr>
      <xdr:spPr bwMode="auto">
        <a:xfrm>
          <a:off x="6655254" y="5602968"/>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127</xdr:row>
      <xdr:rowOff>0</xdr:rowOff>
    </xdr:from>
    <xdr:ext cx="95250" cy="213632"/>
    <xdr:sp macro="" textlink="">
      <xdr:nvSpPr>
        <xdr:cNvPr id="848" name="Text Box 15">
          <a:extLst>
            <a:ext uri="{FF2B5EF4-FFF2-40B4-BE49-F238E27FC236}">
              <a16:creationId xmlns:a16="http://schemas.microsoft.com/office/drawing/2014/main" id="{00000000-0008-0000-0500-000050030000}"/>
            </a:ext>
          </a:extLst>
        </xdr:cNvPr>
        <xdr:cNvSpPr txBox="1">
          <a:spLocks noChangeArrowheads="1"/>
        </xdr:cNvSpPr>
      </xdr:nvSpPr>
      <xdr:spPr bwMode="auto">
        <a:xfrm>
          <a:off x="6655254" y="5606143"/>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127</xdr:row>
      <xdr:rowOff>0</xdr:rowOff>
    </xdr:from>
    <xdr:ext cx="95250" cy="213632"/>
    <xdr:sp macro="" textlink="">
      <xdr:nvSpPr>
        <xdr:cNvPr id="849" name="Text Box 15">
          <a:extLst>
            <a:ext uri="{FF2B5EF4-FFF2-40B4-BE49-F238E27FC236}">
              <a16:creationId xmlns:a16="http://schemas.microsoft.com/office/drawing/2014/main" id="{00000000-0008-0000-0500-000051030000}"/>
            </a:ext>
          </a:extLst>
        </xdr:cNvPr>
        <xdr:cNvSpPr txBox="1">
          <a:spLocks noChangeArrowheads="1"/>
        </xdr:cNvSpPr>
      </xdr:nvSpPr>
      <xdr:spPr bwMode="auto">
        <a:xfrm>
          <a:off x="6655254" y="5606143"/>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127</xdr:row>
      <xdr:rowOff>0</xdr:rowOff>
    </xdr:from>
    <xdr:ext cx="95250" cy="213632"/>
    <xdr:sp macro="" textlink="">
      <xdr:nvSpPr>
        <xdr:cNvPr id="850" name="Text Box 15">
          <a:extLst>
            <a:ext uri="{FF2B5EF4-FFF2-40B4-BE49-F238E27FC236}">
              <a16:creationId xmlns:a16="http://schemas.microsoft.com/office/drawing/2014/main" id="{00000000-0008-0000-0500-000052030000}"/>
            </a:ext>
          </a:extLst>
        </xdr:cNvPr>
        <xdr:cNvSpPr txBox="1">
          <a:spLocks noChangeArrowheads="1"/>
        </xdr:cNvSpPr>
      </xdr:nvSpPr>
      <xdr:spPr bwMode="auto">
        <a:xfrm>
          <a:off x="6655254" y="5606143"/>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127</xdr:row>
      <xdr:rowOff>0</xdr:rowOff>
    </xdr:from>
    <xdr:ext cx="95250" cy="213632"/>
    <xdr:sp macro="" textlink="">
      <xdr:nvSpPr>
        <xdr:cNvPr id="851" name="Text Box 15">
          <a:extLst>
            <a:ext uri="{FF2B5EF4-FFF2-40B4-BE49-F238E27FC236}">
              <a16:creationId xmlns:a16="http://schemas.microsoft.com/office/drawing/2014/main" id="{00000000-0008-0000-0500-000053030000}"/>
            </a:ext>
          </a:extLst>
        </xdr:cNvPr>
        <xdr:cNvSpPr txBox="1">
          <a:spLocks noChangeArrowheads="1"/>
        </xdr:cNvSpPr>
      </xdr:nvSpPr>
      <xdr:spPr bwMode="auto">
        <a:xfrm>
          <a:off x="6655254" y="5606143"/>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127</xdr:row>
      <xdr:rowOff>0</xdr:rowOff>
    </xdr:from>
    <xdr:ext cx="95250" cy="213632"/>
    <xdr:sp macro="" textlink="">
      <xdr:nvSpPr>
        <xdr:cNvPr id="852" name="Text Box 15">
          <a:extLst>
            <a:ext uri="{FF2B5EF4-FFF2-40B4-BE49-F238E27FC236}">
              <a16:creationId xmlns:a16="http://schemas.microsoft.com/office/drawing/2014/main" id="{00000000-0008-0000-0500-000054030000}"/>
            </a:ext>
          </a:extLst>
        </xdr:cNvPr>
        <xdr:cNvSpPr txBox="1">
          <a:spLocks noChangeArrowheads="1"/>
        </xdr:cNvSpPr>
      </xdr:nvSpPr>
      <xdr:spPr bwMode="auto">
        <a:xfrm>
          <a:off x="6655254" y="5606143"/>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127</xdr:row>
      <xdr:rowOff>0</xdr:rowOff>
    </xdr:from>
    <xdr:ext cx="95250" cy="213632"/>
    <xdr:sp macro="" textlink="">
      <xdr:nvSpPr>
        <xdr:cNvPr id="853" name="Text Box 15">
          <a:extLst>
            <a:ext uri="{FF2B5EF4-FFF2-40B4-BE49-F238E27FC236}">
              <a16:creationId xmlns:a16="http://schemas.microsoft.com/office/drawing/2014/main" id="{00000000-0008-0000-0500-000055030000}"/>
            </a:ext>
          </a:extLst>
        </xdr:cNvPr>
        <xdr:cNvSpPr txBox="1">
          <a:spLocks noChangeArrowheads="1"/>
        </xdr:cNvSpPr>
      </xdr:nvSpPr>
      <xdr:spPr bwMode="auto">
        <a:xfrm>
          <a:off x="6655254" y="5606143"/>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127</xdr:row>
      <xdr:rowOff>0</xdr:rowOff>
    </xdr:from>
    <xdr:ext cx="95250" cy="213632"/>
    <xdr:sp macro="" textlink="">
      <xdr:nvSpPr>
        <xdr:cNvPr id="854" name="Text Box 15">
          <a:extLst>
            <a:ext uri="{FF2B5EF4-FFF2-40B4-BE49-F238E27FC236}">
              <a16:creationId xmlns:a16="http://schemas.microsoft.com/office/drawing/2014/main" id="{00000000-0008-0000-0500-000056030000}"/>
            </a:ext>
          </a:extLst>
        </xdr:cNvPr>
        <xdr:cNvSpPr txBox="1">
          <a:spLocks noChangeArrowheads="1"/>
        </xdr:cNvSpPr>
      </xdr:nvSpPr>
      <xdr:spPr bwMode="auto">
        <a:xfrm>
          <a:off x="6655254" y="5606143"/>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127</xdr:row>
      <xdr:rowOff>0</xdr:rowOff>
    </xdr:from>
    <xdr:ext cx="95250" cy="171450"/>
    <xdr:sp macro="" textlink="">
      <xdr:nvSpPr>
        <xdr:cNvPr id="855" name="Text Box 16">
          <a:extLst>
            <a:ext uri="{FF2B5EF4-FFF2-40B4-BE49-F238E27FC236}">
              <a16:creationId xmlns:a16="http://schemas.microsoft.com/office/drawing/2014/main" id="{00000000-0008-0000-0500-000057030000}"/>
            </a:ext>
          </a:extLst>
        </xdr:cNvPr>
        <xdr:cNvSpPr txBox="1">
          <a:spLocks noChangeArrowheads="1"/>
        </xdr:cNvSpPr>
      </xdr:nvSpPr>
      <xdr:spPr bwMode="auto">
        <a:xfrm>
          <a:off x="6655254" y="4308929"/>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127</xdr:row>
      <xdr:rowOff>0</xdr:rowOff>
    </xdr:from>
    <xdr:ext cx="95250" cy="171450"/>
    <xdr:sp macro="" textlink="">
      <xdr:nvSpPr>
        <xdr:cNvPr id="856" name="Text Box 17">
          <a:extLst>
            <a:ext uri="{FF2B5EF4-FFF2-40B4-BE49-F238E27FC236}">
              <a16:creationId xmlns:a16="http://schemas.microsoft.com/office/drawing/2014/main" id="{00000000-0008-0000-0500-000058030000}"/>
            </a:ext>
          </a:extLst>
        </xdr:cNvPr>
        <xdr:cNvSpPr txBox="1">
          <a:spLocks noChangeArrowheads="1"/>
        </xdr:cNvSpPr>
      </xdr:nvSpPr>
      <xdr:spPr bwMode="auto">
        <a:xfrm>
          <a:off x="6655254" y="4308929"/>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127</xdr:row>
      <xdr:rowOff>0</xdr:rowOff>
    </xdr:from>
    <xdr:ext cx="95250" cy="171450"/>
    <xdr:sp macro="" textlink="">
      <xdr:nvSpPr>
        <xdr:cNvPr id="857" name="Text Box 18">
          <a:extLst>
            <a:ext uri="{FF2B5EF4-FFF2-40B4-BE49-F238E27FC236}">
              <a16:creationId xmlns:a16="http://schemas.microsoft.com/office/drawing/2014/main" id="{00000000-0008-0000-0500-000059030000}"/>
            </a:ext>
          </a:extLst>
        </xdr:cNvPr>
        <xdr:cNvSpPr txBox="1">
          <a:spLocks noChangeArrowheads="1"/>
        </xdr:cNvSpPr>
      </xdr:nvSpPr>
      <xdr:spPr bwMode="auto">
        <a:xfrm>
          <a:off x="6655254" y="4308929"/>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127</xdr:row>
      <xdr:rowOff>0</xdr:rowOff>
    </xdr:from>
    <xdr:ext cx="95250" cy="171450"/>
    <xdr:sp macro="" textlink="">
      <xdr:nvSpPr>
        <xdr:cNvPr id="858" name="Text Box 19">
          <a:extLst>
            <a:ext uri="{FF2B5EF4-FFF2-40B4-BE49-F238E27FC236}">
              <a16:creationId xmlns:a16="http://schemas.microsoft.com/office/drawing/2014/main" id="{00000000-0008-0000-0500-00005A030000}"/>
            </a:ext>
          </a:extLst>
        </xdr:cNvPr>
        <xdr:cNvSpPr txBox="1">
          <a:spLocks noChangeArrowheads="1"/>
        </xdr:cNvSpPr>
      </xdr:nvSpPr>
      <xdr:spPr bwMode="auto">
        <a:xfrm>
          <a:off x="6655254" y="4308929"/>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127</xdr:row>
      <xdr:rowOff>0</xdr:rowOff>
    </xdr:from>
    <xdr:ext cx="95250" cy="213632"/>
    <xdr:sp macro="" textlink="">
      <xdr:nvSpPr>
        <xdr:cNvPr id="859" name="Text Box 15">
          <a:extLst>
            <a:ext uri="{FF2B5EF4-FFF2-40B4-BE49-F238E27FC236}">
              <a16:creationId xmlns:a16="http://schemas.microsoft.com/office/drawing/2014/main" id="{00000000-0008-0000-0500-00005B030000}"/>
            </a:ext>
          </a:extLst>
        </xdr:cNvPr>
        <xdr:cNvSpPr txBox="1">
          <a:spLocks noChangeArrowheads="1"/>
        </xdr:cNvSpPr>
      </xdr:nvSpPr>
      <xdr:spPr bwMode="auto">
        <a:xfrm>
          <a:off x="6655254" y="4813754"/>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127</xdr:row>
      <xdr:rowOff>0</xdr:rowOff>
    </xdr:from>
    <xdr:ext cx="95250" cy="171450"/>
    <xdr:sp macro="" textlink="">
      <xdr:nvSpPr>
        <xdr:cNvPr id="860" name="Text Box 16">
          <a:extLst>
            <a:ext uri="{FF2B5EF4-FFF2-40B4-BE49-F238E27FC236}">
              <a16:creationId xmlns:a16="http://schemas.microsoft.com/office/drawing/2014/main" id="{00000000-0008-0000-0500-00005C030000}"/>
            </a:ext>
          </a:extLst>
        </xdr:cNvPr>
        <xdr:cNvSpPr txBox="1">
          <a:spLocks noChangeArrowheads="1"/>
        </xdr:cNvSpPr>
      </xdr:nvSpPr>
      <xdr:spPr bwMode="auto">
        <a:xfrm>
          <a:off x="6655254" y="4844143"/>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127</xdr:row>
      <xdr:rowOff>0</xdr:rowOff>
    </xdr:from>
    <xdr:ext cx="95250" cy="171450"/>
    <xdr:sp macro="" textlink="">
      <xdr:nvSpPr>
        <xdr:cNvPr id="861" name="Text Box 17">
          <a:extLst>
            <a:ext uri="{FF2B5EF4-FFF2-40B4-BE49-F238E27FC236}">
              <a16:creationId xmlns:a16="http://schemas.microsoft.com/office/drawing/2014/main" id="{00000000-0008-0000-0500-00005D030000}"/>
            </a:ext>
          </a:extLst>
        </xdr:cNvPr>
        <xdr:cNvSpPr txBox="1">
          <a:spLocks noChangeArrowheads="1"/>
        </xdr:cNvSpPr>
      </xdr:nvSpPr>
      <xdr:spPr bwMode="auto">
        <a:xfrm>
          <a:off x="6655254" y="4844143"/>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127</xdr:row>
      <xdr:rowOff>0</xdr:rowOff>
    </xdr:from>
    <xdr:ext cx="95250" cy="171450"/>
    <xdr:sp macro="" textlink="">
      <xdr:nvSpPr>
        <xdr:cNvPr id="862" name="Text Box 18">
          <a:extLst>
            <a:ext uri="{FF2B5EF4-FFF2-40B4-BE49-F238E27FC236}">
              <a16:creationId xmlns:a16="http://schemas.microsoft.com/office/drawing/2014/main" id="{00000000-0008-0000-0500-00005E030000}"/>
            </a:ext>
          </a:extLst>
        </xdr:cNvPr>
        <xdr:cNvSpPr txBox="1">
          <a:spLocks noChangeArrowheads="1"/>
        </xdr:cNvSpPr>
      </xdr:nvSpPr>
      <xdr:spPr bwMode="auto">
        <a:xfrm>
          <a:off x="6655254" y="4844143"/>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127</xdr:row>
      <xdr:rowOff>0</xdr:rowOff>
    </xdr:from>
    <xdr:ext cx="95250" cy="171450"/>
    <xdr:sp macro="" textlink="">
      <xdr:nvSpPr>
        <xdr:cNvPr id="863" name="Text Box 19">
          <a:extLst>
            <a:ext uri="{FF2B5EF4-FFF2-40B4-BE49-F238E27FC236}">
              <a16:creationId xmlns:a16="http://schemas.microsoft.com/office/drawing/2014/main" id="{00000000-0008-0000-0500-00005F030000}"/>
            </a:ext>
          </a:extLst>
        </xdr:cNvPr>
        <xdr:cNvSpPr txBox="1">
          <a:spLocks noChangeArrowheads="1"/>
        </xdr:cNvSpPr>
      </xdr:nvSpPr>
      <xdr:spPr bwMode="auto">
        <a:xfrm>
          <a:off x="6655254" y="4844143"/>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127</xdr:row>
      <xdr:rowOff>0</xdr:rowOff>
    </xdr:from>
    <xdr:ext cx="95250" cy="213632"/>
    <xdr:sp macro="" textlink="">
      <xdr:nvSpPr>
        <xdr:cNvPr id="864" name="Text Box 15">
          <a:extLst>
            <a:ext uri="{FF2B5EF4-FFF2-40B4-BE49-F238E27FC236}">
              <a16:creationId xmlns:a16="http://schemas.microsoft.com/office/drawing/2014/main" id="{00000000-0008-0000-0500-000060030000}"/>
            </a:ext>
          </a:extLst>
        </xdr:cNvPr>
        <xdr:cNvSpPr txBox="1">
          <a:spLocks noChangeArrowheads="1"/>
        </xdr:cNvSpPr>
      </xdr:nvSpPr>
      <xdr:spPr bwMode="auto">
        <a:xfrm>
          <a:off x="6655254" y="5031468"/>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127</xdr:row>
      <xdr:rowOff>0</xdr:rowOff>
    </xdr:from>
    <xdr:ext cx="95250" cy="213632"/>
    <xdr:sp macro="" textlink="">
      <xdr:nvSpPr>
        <xdr:cNvPr id="865" name="Text Box 15">
          <a:extLst>
            <a:ext uri="{FF2B5EF4-FFF2-40B4-BE49-F238E27FC236}">
              <a16:creationId xmlns:a16="http://schemas.microsoft.com/office/drawing/2014/main" id="{00000000-0008-0000-0500-000061030000}"/>
            </a:ext>
          </a:extLst>
        </xdr:cNvPr>
        <xdr:cNvSpPr txBox="1">
          <a:spLocks noChangeArrowheads="1"/>
        </xdr:cNvSpPr>
      </xdr:nvSpPr>
      <xdr:spPr bwMode="auto">
        <a:xfrm>
          <a:off x="6655254" y="5793468"/>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127</xdr:row>
      <xdr:rowOff>0</xdr:rowOff>
    </xdr:from>
    <xdr:ext cx="95250" cy="213632"/>
    <xdr:sp macro="" textlink="">
      <xdr:nvSpPr>
        <xdr:cNvPr id="866" name="Text Box 15">
          <a:extLst>
            <a:ext uri="{FF2B5EF4-FFF2-40B4-BE49-F238E27FC236}">
              <a16:creationId xmlns:a16="http://schemas.microsoft.com/office/drawing/2014/main" id="{00000000-0008-0000-0500-000062030000}"/>
            </a:ext>
          </a:extLst>
        </xdr:cNvPr>
        <xdr:cNvSpPr txBox="1">
          <a:spLocks noChangeArrowheads="1"/>
        </xdr:cNvSpPr>
      </xdr:nvSpPr>
      <xdr:spPr bwMode="auto">
        <a:xfrm>
          <a:off x="6655254" y="5793468"/>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127</xdr:row>
      <xdr:rowOff>0</xdr:rowOff>
    </xdr:from>
    <xdr:ext cx="95250" cy="213632"/>
    <xdr:sp macro="" textlink="">
      <xdr:nvSpPr>
        <xdr:cNvPr id="867" name="Text Box 15">
          <a:extLst>
            <a:ext uri="{FF2B5EF4-FFF2-40B4-BE49-F238E27FC236}">
              <a16:creationId xmlns:a16="http://schemas.microsoft.com/office/drawing/2014/main" id="{00000000-0008-0000-0500-000063030000}"/>
            </a:ext>
          </a:extLst>
        </xdr:cNvPr>
        <xdr:cNvSpPr txBox="1">
          <a:spLocks noChangeArrowheads="1"/>
        </xdr:cNvSpPr>
      </xdr:nvSpPr>
      <xdr:spPr bwMode="auto">
        <a:xfrm>
          <a:off x="6655254" y="5796643"/>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127</xdr:row>
      <xdr:rowOff>0</xdr:rowOff>
    </xdr:from>
    <xdr:ext cx="95250" cy="213632"/>
    <xdr:sp macro="" textlink="">
      <xdr:nvSpPr>
        <xdr:cNvPr id="868" name="Text Box 15">
          <a:extLst>
            <a:ext uri="{FF2B5EF4-FFF2-40B4-BE49-F238E27FC236}">
              <a16:creationId xmlns:a16="http://schemas.microsoft.com/office/drawing/2014/main" id="{00000000-0008-0000-0500-000064030000}"/>
            </a:ext>
          </a:extLst>
        </xdr:cNvPr>
        <xdr:cNvSpPr txBox="1">
          <a:spLocks noChangeArrowheads="1"/>
        </xdr:cNvSpPr>
      </xdr:nvSpPr>
      <xdr:spPr bwMode="auto">
        <a:xfrm>
          <a:off x="6655254" y="5796643"/>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127</xdr:row>
      <xdr:rowOff>0</xdr:rowOff>
    </xdr:from>
    <xdr:ext cx="95250" cy="213632"/>
    <xdr:sp macro="" textlink="">
      <xdr:nvSpPr>
        <xdr:cNvPr id="869" name="Text Box 15">
          <a:extLst>
            <a:ext uri="{FF2B5EF4-FFF2-40B4-BE49-F238E27FC236}">
              <a16:creationId xmlns:a16="http://schemas.microsoft.com/office/drawing/2014/main" id="{00000000-0008-0000-0500-000065030000}"/>
            </a:ext>
          </a:extLst>
        </xdr:cNvPr>
        <xdr:cNvSpPr txBox="1">
          <a:spLocks noChangeArrowheads="1"/>
        </xdr:cNvSpPr>
      </xdr:nvSpPr>
      <xdr:spPr bwMode="auto">
        <a:xfrm>
          <a:off x="6655254" y="5796643"/>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127</xdr:row>
      <xdr:rowOff>0</xdr:rowOff>
    </xdr:from>
    <xdr:ext cx="95250" cy="213632"/>
    <xdr:sp macro="" textlink="">
      <xdr:nvSpPr>
        <xdr:cNvPr id="870" name="Text Box 15">
          <a:extLst>
            <a:ext uri="{FF2B5EF4-FFF2-40B4-BE49-F238E27FC236}">
              <a16:creationId xmlns:a16="http://schemas.microsoft.com/office/drawing/2014/main" id="{00000000-0008-0000-0500-000066030000}"/>
            </a:ext>
          </a:extLst>
        </xdr:cNvPr>
        <xdr:cNvSpPr txBox="1">
          <a:spLocks noChangeArrowheads="1"/>
        </xdr:cNvSpPr>
      </xdr:nvSpPr>
      <xdr:spPr bwMode="auto">
        <a:xfrm>
          <a:off x="6655254" y="5796643"/>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127</xdr:row>
      <xdr:rowOff>0</xdr:rowOff>
    </xdr:from>
    <xdr:ext cx="95250" cy="213632"/>
    <xdr:sp macro="" textlink="">
      <xdr:nvSpPr>
        <xdr:cNvPr id="871" name="Text Box 15">
          <a:extLst>
            <a:ext uri="{FF2B5EF4-FFF2-40B4-BE49-F238E27FC236}">
              <a16:creationId xmlns:a16="http://schemas.microsoft.com/office/drawing/2014/main" id="{00000000-0008-0000-0500-000067030000}"/>
            </a:ext>
          </a:extLst>
        </xdr:cNvPr>
        <xdr:cNvSpPr txBox="1">
          <a:spLocks noChangeArrowheads="1"/>
        </xdr:cNvSpPr>
      </xdr:nvSpPr>
      <xdr:spPr bwMode="auto">
        <a:xfrm>
          <a:off x="6655254" y="5796643"/>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127</xdr:row>
      <xdr:rowOff>0</xdr:rowOff>
    </xdr:from>
    <xdr:ext cx="95250" cy="213632"/>
    <xdr:sp macro="" textlink="">
      <xdr:nvSpPr>
        <xdr:cNvPr id="872" name="Text Box 15">
          <a:extLst>
            <a:ext uri="{FF2B5EF4-FFF2-40B4-BE49-F238E27FC236}">
              <a16:creationId xmlns:a16="http://schemas.microsoft.com/office/drawing/2014/main" id="{00000000-0008-0000-0500-000068030000}"/>
            </a:ext>
          </a:extLst>
        </xdr:cNvPr>
        <xdr:cNvSpPr txBox="1">
          <a:spLocks noChangeArrowheads="1"/>
        </xdr:cNvSpPr>
      </xdr:nvSpPr>
      <xdr:spPr bwMode="auto">
        <a:xfrm>
          <a:off x="6655254" y="5796643"/>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127</xdr:row>
      <xdr:rowOff>0</xdr:rowOff>
    </xdr:from>
    <xdr:ext cx="95250" cy="213632"/>
    <xdr:sp macro="" textlink="">
      <xdr:nvSpPr>
        <xdr:cNvPr id="873" name="Text Box 15">
          <a:extLst>
            <a:ext uri="{FF2B5EF4-FFF2-40B4-BE49-F238E27FC236}">
              <a16:creationId xmlns:a16="http://schemas.microsoft.com/office/drawing/2014/main" id="{00000000-0008-0000-0500-000069030000}"/>
            </a:ext>
          </a:extLst>
        </xdr:cNvPr>
        <xdr:cNvSpPr txBox="1">
          <a:spLocks noChangeArrowheads="1"/>
        </xdr:cNvSpPr>
      </xdr:nvSpPr>
      <xdr:spPr bwMode="auto">
        <a:xfrm>
          <a:off x="6655254" y="5796643"/>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127</xdr:row>
      <xdr:rowOff>0</xdr:rowOff>
    </xdr:from>
    <xdr:ext cx="95250" cy="213632"/>
    <xdr:sp macro="" textlink="">
      <xdr:nvSpPr>
        <xdr:cNvPr id="874" name="Text Box 15">
          <a:extLst>
            <a:ext uri="{FF2B5EF4-FFF2-40B4-BE49-F238E27FC236}">
              <a16:creationId xmlns:a16="http://schemas.microsoft.com/office/drawing/2014/main" id="{00000000-0008-0000-0500-00006A030000}"/>
            </a:ext>
          </a:extLst>
        </xdr:cNvPr>
        <xdr:cNvSpPr txBox="1">
          <a:spLocks noChangeArrowheads="1"/>
        </xdr:cNvSpPr>
      </xdr:nvSpPr>
      <xdr:spPr bwMode="auto">
        <a:xfrm>
          <a:off x="6655254" y="5983968"/>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127</xdr:row>
      <xdr:rowOff>0</xdr:rowOff>
    </xdr:from>
    <xdr:ext cx="95250" cy="213632"/>
    <xdr:sp macro="" textlink="">
      <xdr:nvSpPr>
        <xdr:cNvPr id="875" name="Text Box 15">
          <a:extLst>
            <a:ext uri="{FF2B5EF4-FFF2-40B4-BE49-F238E27FC236}">
              <a16:creationId xmlns:a16="http://schemas.microsoft.com/office/drawing/2014/main" id="{00000000-0008-0000-0500-00006B030000}"/>
            </a:ext>
          </a:extLst>
        </xdr:cNvPr>
        <xdr:cNvSpPr txBox="1">
          <a:spLocks noChangeArrowheads="1"/>
        </xdr:cNvSpPr>
      </xdr:nvSpPr>
      <xdr:spPr bwMode="auto">
        <a:xfrm>
          <a:off x="6655254" y="5983968"/>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127</xdr:row>
      <xdr:rowOff>0</xdr:rowOff>
    </xdr:from>
    <xdr:ext cx="95250" cy="213632"/>
    <xdr:sp macro="" textlink="">
      <xdr:nvSpPr>
        <xdr:cNvPr id="876" name="Text Box 15">
          <a:extLst>
            <a:ext uri="{FF2B5EF4-FFF2-40B4-BE49-F238E27FC236}">
              <a16:creationId xmlns:a16="http://schemas.microsoft.com/office/drawing/2014/main" id="{00000000-0008-0000-0500-00006C030000}"/>
            </a:ext>
          </a:extLst>
        </xdr:cNvPr>
        <xdr:cNvSpPr txBox="1">
          <a:spLocks noChangeArrowheads="1"/>
        </xdr:cNvSpPr>
      </xdr:nvSpPr>
      <xdr:spPr bwMode="auto">
        <a:xfrm>
          <a:off x="6655254" y="5987143"/>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127</xdr:row>
      <xdr:rowOff>0</xdr:rowOff>
    </xdr:from>
    <xdr:ext cx="95250" cy="213632"/>
    <xdr:sp macro="" textlink="">
      <xdr:nvSpPr>
        <xdr:cNvPr id="877" name="Text Box 15">
          <a:extLst>
            <a:ext uri="{FF2B5EF4-FFF2-40B4-BE49-F238E27FC236}">
              <a16:creationId xmlns:a16="http://schemas.microsoft.com/office/drawing/2014/main" id="{00000000-0008-0000-0500-00006D030000}"/>
            </a:ext>
          </a:extLst>
        </xdr:cNvPr>
        <xdr:cNvSpPr txBox="1">
          <a:spLocks noChangeArrowheads="1"/>
        </xdr:cNvSpPr>
      </xdr:nvSpPr>
      <xdr:spPr bwMode="auto">
        <a:xfrm>
          <a:off x="6655254" y="5987143"/>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127</xdr:row>
      <xdr:rowOff>0</xdr:rowOff>
    </xdr:from>
    <xdr:ext cx="95250" cy="213632"/>
    <xdr:sp macro="" textlink="">
      <xdr:nvSpPr>
        <xdr:cNvPr id="878" name="Text Box 15">
          <a:extLst>
            <a:ext uri="{FF2B5EF4-FFF2-40B4-BE49-F238E27FC236}">
              <a16:creationId xmlns:a16="http://schemas.microsoft.com/office/drawing/2014/main" id="{00000000-0008-0000-0500-00006E030000}"/>
            </a:ext>
          </a:extLst>
        </xdr:cNvPr>
        <xdr:cNvSpPr txBox="1">
          <a:spLocks noChangeArrowheads="1"/>
        </xdr:cNvSpPr>
      </xdr:nvSpPr>
      <xdr:spPr bwMode="auto">
        <a:xfrm>
          <a:off x="6655254" y="5987143"/>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127</xdr:row>
      <xdr:rowOff>0</xdr:rowOff>
    </xdr:from>
    <xdr:ext cx="95250" cy="213632"/>
    <xdr:sp macro="" textlink="">
      <xdr:nvSpPr>
        <xdr:cNvPr id="879" name="Text Box 15">
          <a:extLst>
            <a:ext uri="{FF2B5EF4-FFF2-40B4-BE49-F238E27FC236}">
              <a16:creationId xmlns:a16="http://schemas.microsoft.com/office/drawing/2014/main" id="{00000000-0008-0000-0500-00006F030000}"/>
            </a:ext>
          </a:extLst>
        </xdr:cNvPr>
        <xdr:cNvSpPr txBox="1">
          <a:spLocks noChangeArrowheads="1"/>
        </xdr:cNvSpPr>
      </xdr:nvSpPr>
      <xdr:spPr bwMode="auto">
        <a:xfrm>
          <a:off x="6655254" y="5987143"/>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127</xdr:row>
      <xdr:rowOff>0</xdr:rowOff>
    </xdr:from>
    <xdr:ext cx="95250" cy="213632"/>
    <xdr:sp macro="" textlink="">
      <xdr:nvSpPr>
        <xdr:cNvPr id="880" name="Text Box 15">
          <a:extLst>
            <a:ext uri="{FF2B5EF4-FFF2-40B4-BE49-F238E27FC236}">
              <a16:creationId xmlns:a16="http://schemas.microsoft.com/office/drawing/2014/main" id="{00000000-0008-0000-0500-000070030000}"/>
            </a:ext>
          </a:extLst>
        </xdr:cNvPr>
        <xdr:cNvSpPr txBox="1">
          <a:spLocks noChangeArrowheads="1"/>
        </xdr:cNvSpPr>
      </xdr:nvSpPr>
      <xdr:spPr bwMode="auto">
        <a:xfrm>
          <a:off x="6655254" y="5987143"/>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127</xdr:row>
      <xdr:rowOff>0</xdr:rowOff>
    </xdr:from>
    <xdr:ext cx="95250" cy="213632"/>
    <xdr:sp macro="" textlink="">
      <xdr:nvSpPr>
        <xdr:cNvPr id="881" name="Text Box 15">
          <a:extLst>
            <a:ext uri="{FF2B5EF4-FFF2-40B4-BE49-F238E27FC236}">
              <a16:creationId xmlns:a16="http://schemas.microsoft.com/office/drawing/2014/main" id="{00000000-0008-0000-0500-000071030000}"/>
            </a:ext>
          </a:extLst>
        </xdr:cNvPr>
        <xdr:cNvSpPr txBox="1">
          <a:spLocks noChangeArrowheads="1"/>
        </xdr:cNvSpPr>
      </xdr:nvSpPr>
      <xdr:spPr bwMode="auto">
        <a:xfrm>
          <a:off x="6655254" y="5987143"/>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127</xdr:row>
      <xdr:rowOff>0</xdr:rowOff>
    </xdr:from>
    <xdr:ext cx="95250" cy="213632"/>
    <xdr:sp macro="" textlink="">
      <xdr:nvSpPr>
        <xdr:cNvPr id="882" name="Text Box 15">
          <a:extLst>
            <a:ext uri="{FF2B5EF4-FFF2-40B4-BE49-F238E27FC236}">
              <a16:creationId xmlns:a16="http://schemas.microsoft.com/office/drawing/2014/main" id="{00000000-0008-0000-0500-000072030000}"/>
            </a:ext>
          </a:extLst>
        </xdr:cNvPr>
        <xdr:cNvSpPr txBox="1">
          <a:spLocks noChangeArrowheads="1"/>
        </xdr:cNvSpPr>
      </xdr:nvSpPr>
      <xdr:spPr bwMode="auto">
        <a:xfrm>
          <a:off x="6655254" y="5987143"/>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127</xdr:row>
      <xdr:rowOff>0</xdr:rowOff>
    </xdr:from>
    <xdr:ext cx="95250" cy="213632"/>
    <xdr:sp macro="" textlink="">
      <xdr:nvSpPr>
        <xdr:cNvPr id="883" name="Text Box 15">
          <a:extLst>
            <a:ext uri="{FF2B5EF4-FFF2-40B4-BE49-F238E27FC236}">
              <a16:creationId xmlns:a16="http://schemas.microsoft.com/office/drawing/2014/main" id="{00000000-0008-0000-0500-000073030000}"/>
            </a:ext>
          </a:extLst>
        </xdr:cNvPr>
        <xdr:cNvSpPr txBox="1">
          <a:spLocks noChangeArrowheads="1"/>
        </xdr:cNvSpPr>
      </xdr:nvSpPr>
      <xdr:spPr bwMode="auto">
        <a:xfrm>
          <a:off x="6655254" y="6174468"/>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127</xdr:row>
      <xdr:rowOff>0</xdr:rowOff>
    </xdr:from>
    <xdr:ext cx="95250" cy="213632"/>
    <xdr:sp macro="" textlink="">
      <xdr:nvSpPr>
        <xdr:cNvPr id="884" name="Text Box 15">
          <a:extLst>
            <a:ext uri="{FF2B5EF4-FFF2-40B4-BE49-F238E27FC236}">
              <a16:creationId xmlns:a16="http://schemas.microsoft.com/office/drawing/2014/main" id="{00000000-0008-0000-0500-000074030000}"/>
            </a:ext>
          </a:extLst>
        </xdr:cNvPr>
        <xdr:cNvSpPr txBox="1">
          <a:spLocks noChangeArrowheads="1"/>
        </xdr:cNvSpPr>
      </xdr:nvSpPr>
      <xdr:spPr bwMode="auto">
        <a:xfrm>
          <a:off x="6655254" y="6174468"/>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127</xdr:row>
      <xdr:rowOff>0</xdr:rowOff>
    </xdr:from>
    <xdr:ext cx="95250" cy="213632"/>
    <xdr:sp macro="" textlink="">
      <xdr:nvSpPr>
        <xdr:cNvPr id="885" name="Text Box 15">
          <a:extLst>
            <a:ext uri="{FF2B5EF4-FFF2-40B4-BE49-F238E27FC236}">
              <a16:creationId xmlns:a16="http://schemas.microsoft.com/office/drawing/2014/main" id="{00000000-0008-0000-0500-000075030000}"/>
            </a:ext>
          </a:extLst>
        </xdr:cNvPr>
        <xdr:cNvSpPr txBox="1">
          <a:spLocks noChangeArrowheads="1"/>
        </xdr:cNvSpPr>
      </xdr:nvSpPr>
      <xdr:spPr bwMode="auto">
        <a:xfrm>
          <a:off x="6655254" y="6177643"/>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127</xdr:row>
      <xdr:rowOff>0</xdr:rowOff>
    </xdr:from>
    <xdr:ext cx="95250" cy="213632"/>
    <xdr:sp macro="" textlink="">
      <xdr:nvSpPr>
        <xdr:cNvPr id="886" name="Text Box 15">
          <a:extLst>
            <a:ext uri="{FF2B5EF4-FFF2-40B4-BE49-F238E27FC236}">
              <a16:creationId xmlns:a16="http://schemas.microsoft.com/office/drawing/2014/main" id="{00000000-0008-0000-0500-000076030000}"/>
            </a:ext>
          </a:extLst>
        </xdr:cNvPr>
        <xdr:cNvSpPr txBox="1">
          <a:spLocks noChangeArrowheads="1"/>
        </xdr:cNvSpPr>
      </xdr:nvSpPr>
      <xdr:spPr bwMode="auto">
        <a:xfrm>
          <a:off x="6655254" y="6177643"/>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127</xdr:row>
      <xdr:rowOff>0</xdr:rowOff>
    </xdr:from>
    <xdr:ext cx="95250" cy="213632"/>
    <xdr:sp macro="" textlink="">
      <xdr:nvSpPr>
        <xdr:cNvPr id="887" name="Text Box 15">
          <a:extLst>
            <a:ext uri="{FF2B5EF4-FFF2-40B4-BE49-F238E27FC236}">
              <a16:creationId xmlns:a16="http://schemas.microsoft.com/office/drawing/2014/main" id="{00000000-0008-0000-0500-000077030000}"/>
            </a:ext>
          </a:extLst>
        </xdr:cNvPr>
        <xdr:cNvSpPr txBox="1">
          <a:spLocks noChangeArrowheads="1"/>
        </xdr:cNvSpPr>
      </xdr:nvSpPr>
      <xdr:spPr bwMode="auto">
        <a:xfrm>
          <a:off x="6655254" y="6177643"/>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127</xdr:row>
      <xdr:rowOff>0</xdr:rowOff>
    </xdr:from>
    <xdr:ext cx="95250" cy="213632"/>
    <xdr:sp macro="" textlink="">
      <xdr:nvSpPr>
        <xdr:cNvPr id="888" name="Text Box 15">
          <a:extLst>
            <a:ext uri="{FF2B5EF4-FFF2-40B4-BE49-F238E27FC236}">
              <a16:creationId xmlns:a16="http://schemas.microsoft.com/office/drawing/2014/main" id="{00000000-0008-0000-0500-000078030000}"/>
            </a:ext>
          </a:extLst>
        </xdr:cNvPr>
        <xdr:cNvSpPr txBox="1">
          <a:spLocks noChangeArrowheads="1"/>
        </xdr:cNvSpPr>
      </xdr:nvSpPr>
      <xdr:spPr bwMode="auto">
        <a:xfrm>
          <a:off x="6655254" y="6177643"/>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127</xdr:row>
      <xdr:rowOff>0</xdr:rowOff>
    </xdr:from>
    <xdr:ext cx="95250" cy="213632"/>
    <xdr:sp macro="" textlink="">
      <xdr:nvSpPr>
        <xdr:cNvPr id="889" name="Text Box 15">
          <a:extLst>
            <a:ext uri="{FF2B5EF4-FFF2-40B4-BE49-F238E27FC236}">
              <a16:creationId xmlns:a16="http://schemas.microsoft.com/office/drawing/2014/main" id="{00000000-0008-0000-0500-000079030000}"/>
            </a:ext>
          </a:extLst>
        </xdr:cNvPr>
        <xdr:cNvSpPr txBox="1">
          <a:spLocks noChangeArrowheads="1"/>
        </xdr:cNvSpPr>
      </xdr:nvSpPr>
      <xdr:spPr bwMode="auto">
        <a:xfrm>
          <a:off x="6655254" y="6177643"/>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127</xdr:row>
      <xdr:rowOff>0</xdr:rowOff>
    </xdr:from>
    <xdr:ext cx="95250" cy="213632"/>
    <xdr:sp macro="" textlink="">
      <xdr:nvSpPr>
        <xdr:cNvPr id="890" name="Text Box 15">
          <a:extLst>
            <a:ext uri="{FF2B5EF4-FFF2-40B4-BE49-F238E27FC236}">
              <a16:creationId xmlns:a16="http://schemas.microsoft.com/office/drawing/2014/main" id="{00000000-0008-0000-0500-00007A030000}"/>
            </a:ext>
          </a:extLst>
        </xdr:cNvPr>
        <xdr:cNvSpPr txBox="1">
          <a:spLocks noChangeArrowheads="1"/>
        </xdr:cNvSpPr>
      </xdr:nvSpPr>
      <xdr:spPr bwMode="auto">
        <a:xfrm>
          <a:off x="6655254" y="6177643"/>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127</xdr:row>
      <xdr:rowOff>0</xdr:rowOff>
    </xdr:from>
    <xdr:ext cx="95250" cy="213632"/>
    <xdr:sp macro="" textlink="">
      <xdr:nvSpPr>
        <xdr:cNvPr id="891" name="Text Box 15">
          <a:extLst>
            <a:ext uri="{FF2B5EF4-FFF2-40B4-BE49-F238E27FC236}">
              <a16:creationId xmlns:a16="http://schemas.microsoft.com/office/drawing/2014/main" id="{00000000-0008-0000-0500-00007B030000}"/>
            </a:ext>
          </a:extLst>
        </xdr:cNvPr>
        <xdr:cNvSpPr txBox="1">
          <a:spLocks noChangeArrowheads="1"/>
        </xdr:cNvSpPr>
      </xdr:nvSpPr>
      <xdr:spPr bwMode="auto">
        <a:xfrm>
          <a:off x="6655254" y="6177643"/>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127</xdr:row>
      <xdr:rowOff>0</xdr:rowOff>
    </xdr:from>
    <xdr:ext cx="95250" cy="213632"/>
    <xdr:sp macro="" textlink="">
      <xdr:nvSpPr>
        <xdr:cNvPr id="892" name="Text Box 15">
          <a:extLst>
            <a:ext uri="{FF2B5EF4-FFF2-40B4-BE49-F238E27FC236}">
              <a16:creationId xmlns:a16="http://schemas.microsoft.com/office/drawing/2014/main" id="{00000000-0008-0000-0500-00007C030000}"/>
            </a:ext>
          </a:extLst>
        </xdr:cNvPr>
        <xdr:cNvSpPr txBox="1">
          <a:spLocks noChangeArrowheads="1"/>
        </xdr:cNvSpPr>
      </xdr:nvSpPr>
      <xdr:spPr bwMode="auto">
        <a:xfrm>
          <a:off x="6655254" y="6364968"/>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127</xdr:row>
      <xdr:rowOff>0</xdr:rowOff>
    </xdr:from>
    <xdr:ext cx="95250" cy="213632"/>
    <xdr:sp macro="" textlink="">
      <xdr:nvSpPr>
        <xdr:cNvPr id="893" name="Text Box 15">
          <a:extLst>
            <a:ext uri="{FF2B5EF4-FFF2-40B4-BE49-F238E27FC236}">
              <a16:creationId xmlns:a16="http://schemas.microsoft.com/office/drawing/2014/main" id="{00000000-0008-0000-0500-00007D030000}"/>
            </a:ext>
          </a:extLst>
        </xdr:cNvPr>
        <xdr:cNvSpPr txBox="1">
          <a:spLocks noChangeArrowheads="1"/>
        </xdr:cNvSpPr>
      </xdr:nvSpPr>
      <xdr:spPr bwMode="auto">
        <a:xfrm>
          <a:off x="6655254" y="6364968"/>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127</xdr:row>
      <xdr:rowOff>0</xdr:rowOff>
    </xdr:from>
    <xdr:ext cx="95250" cy="213632"/>
    <xdr:sp macro="" textlink="">
      <xdr:nvSpPr>
        <xdr:cNvPr id="894" name="Text Box 15">
          <a:extLst>
            <a:ext uri="{FF2B5EF4-FFF2-40B4-BE49-F238E27FC236}">
              <a16:creationId xmlns:a16="http://schemas.microsoft.com/office/drawing/2014/main" id="{00000000-0008-0000-0500-00007E030000}"/>
            </a:ext>
          </a:extLst>
        </xdr:cNvPr>
        <xdr:cNvSpPr txBox="1">
          <a:spLocks noChangeArrowheads="1"/>
        </xdr:cNvSpPr>
      </xdr:nvSpPr>
      <xdr:spPr bwMode="auto">
        <a:xfrm>
          <a:off x="6655254" y="6368143"/>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127</xdr:row>
      <xdr:rowOff>0</xdr:rowOff>
    </xdr:from>
    <xdr:ext cx="95250" cy="213632"/>
    <xdr:sp macro="" textlink="">
      <xdr:nvSpPr>
        <xdr:cNvPr id="895" name="Text Box 15">
          <a:extLst>
            <a:ext uri="{FF2B5EF4-FFF2-40B4-BE49-F238E27FC236}">
              <a16:creationId xmlns:a16="http://schemas.microsoft.com/office/drawing/2014/main" id="{00000000-0008-0000-0500-00007F030000}"/>
            </a:ext>
          </a:extLst>
        </xdr:cNvPr>
        <xdr:cNvSpPr txBox="1">
          <a:spLocks noChangeArrowheads="1"/>
        </xdr:cNvSpPr>
      </xdr:nvSpPr>
      <xdr:spPr bwMode="auto">
        <a:xfrm>
          <a:off x="6655254" y="6368143"/>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127</xdr:row>
      <xdr:rowOff>0</xdr:rowOff>
    </xdr:from>
    <xdr:ext cx="95250" cy="213632"/>
    <xdr:sp macro="" textlink="">
      <xdr:nvSpPr>
        <xdr:cNvPr id="896" name="Text Box 15">
          <a:extLst>
            <a:ext uri="{FF2B5EF4-FFF2-40B4-BE49-F238E27FC236}">
              <a16:creationId xmlns:a16="http://schemas.microsoft.com/office/drawing/2014/main" id="{00000000-0008-0000-0500-000080030000}"/>
            </a:ext>
          </a:extLst>
        </xdr:cNvPr>
        <xdr:cNvSpPr txBox="1">
          <a:spLocks noChangeArrowheads="1"/>
        </xdr:cNvSpPr>
      </xdr:nvSpPr>
      <xdr:spPr bwMode="auto">
        <a:xfrm>
          <a:off x="6655254" y="6368143"/>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127</xdr:row>
      <xdr:rowOff>0</xdr:rowOff>
    </xdr:from>
    <xdr:ext cx="95250" cy="213632"/>
    <xdr:sp macro="" textlink="">
      <xdr:nvSpPr>
        <xdr:cNvPr id="897" name="Text Box 15">
          <a:extLst>
            <a:ext uri="{FF2B5EF4-FFF2-40B4-BE49-F238E27FC236}">
              <a16:creationId xmlns:a16="http://schemas.microsoft.com/office/drawing/2014/main" id="{00000000-0008-0000-0500-000081030000}"/>
            </a:ext>
          </a:extLst>
        </xdr:cNvPr>
        <xdr:cNvSpPr txBox="1">
          <a:spLocks noChangeArrowheads="1"/>
        </xdr:cNvSpPr>
      </xdr:nvSpPr>
      <xdr:spPr bwMode="auto">
        <a:xfrm>
          <a:off x="6655254" y="6368143"/>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127</xdr:row>
      <xdr:rowOff>0</xdr:rowOff>
    </xdr:from>
    <xdr:ext cx="95250" cy="213632"/>
    <xdr:sp macro="" textlink="">
      <xdr:nvSpPr>
        <xdr:cNvPr id="898" name="Text Box 15">
          <a:extLst>
            <a:ext uri="{FF2B5EF4-FFF2-40B4-BE49-F238E27FC236}">
              <a16:creationId xmlns:a16="http://schemas.microsoft.com/office/drawing/2014/main" id="{00000000-0008-0000-0500-000082030000}"/>
            </a:ext>
          </a:extLst>
        </xdr:cNvPr>
        <xdr:cNvSpPr txBox="1">
          <a:spLocks noChangeArrowheads="1"/>
        </xdr:cNvSpPr>
      </xdr:nvSpPr>
      <xdr:spPr bwMode="auto">
        <a:xfrm>
          <a:off x="6655254" y="6368143"/>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127</xdr:row>
      <xdr:rowOff>0</xdr:rowOff>
    </xdr:from>
    <xdr:ext cx="95250" cy="213632"/>
    <xdr:sp macro="" textlink="">
      <xdr:nvSpPr>
        <xdr:cNvPr id="899" name="Text Box 15">
          <a:extLst>
            <a:ext uri="{FF2B5EF4-FFF2-40B4-BE49-F238E27FC236}">
              <a16:creationId xmlns:a16="http://schemas.microsoft.com/office/drawing/2014/main" id="{00000000-0008-0000-0500-000083030000}"/>
            </a:ext>
          </a:extLst>
        </xdr:cNvPr>
        <xdr:cNvSpPr txBox="1">
          <a:spLocks noChangeArrowheads="1"/>
        </xdr:cNvSpPr>
      </xdr:nvSpPr>
      <xdr:spPr bwMode="auto">
        <a:xfrm>
          <a:off x="6655254" y="6368143"/>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127</xdr:row>
      <xdr:rowOff>0</xdr:rowOff>
    </xdr:from>
    <xdr:ext cx="95250" cy="213632"/>
    <xdr:sp macro="" textlink="">
      <xdr:nvSpPr>
        <xdr:cNvPr id="900" name="Text Box 15">
          <a:extLst>
            <a:ext uri="{FF2B5EF4-FFF2-40B4-BE49-F238E27FC236}">
              <a16:creationId xmlns:a16="http://schemas.microsoft.com/office/drawing/2014/main" id="{00000000-0008-0000-0500-000084030000}"/>
            </a:ext>
          </a:extLst>
        </xdr:cNvPr>
        <xdr:cNvSpPr txBox="1">
          <a:spLocks noChangeArrowheads="1"/>
        </xdr:cNvSpPr>
      </xdr:nvSpPr>
      <xdr:spPr bwMode="auto">
        <a:xfrm>
          <a:off x="6655254" y="6368143"/>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127</xdr:row>
      <xdr:rowOff>0</xdr:rowOff>
    </xdr:from>
    <xdr:ext cx="95250" cy="213632"/>
    <xdr:sp macro="" textlink="">
      <xdr:nvSpPr>
        <xdr:cNvPr id="901" name="Text Box 15">
          <a:extLst>
            <a:ext uri="{FF2B5EF4-FFF2-40B4-BE49-F238E27FC236}">
              <a16:creationId xmlns:a16="http://schemas.microsoft.com/office/drawing/2014/main" id="{00000000-0008-0000-0500-000085030000}"/>
            </a:ext>
          </a:extLst>
        </xdr:cNvPr>
        <xdr:cNvSpPr txBox="1">
          <a:spLocks noChangeArrowheads="1"/>
        </xdr:cNvSpPr>
      </xdr:nvSpPr>
      <xdr:spPr bwMode="auto">
        <a:xfrm>
          <a:off x="6655254" y="6555468"/>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127</xdr:row>
      <xdr:rowOff>0</xdr:rowOff>
    </xdr:from>
    <xdr:ext cx="95250" cy="213632"/>
    <xdr:sp macro="" textlink="">
      <xdr:nvSpPr>
        <xdr:cNvPr id="902" name="Text Box 15">
          <a:extLst>
            <a:ext uri="{FF2B5EF4-FFF2-40B4-BE49-F238E27FC236}">
              <a16:creationId xmlns:a16="http://schemas.microsoft.com/office/drawing/2014/main" id="{00000000-0008-0000-0500-000086030000}"/>
            </a:ext>
          </a:extLst>
        </xdr:cNvPr>
        <xdr:cNvSpPr txBox="1">
          <a:spLocks noChangeArrowheads="1"/>
        </xdr:cNvSpPr>
      </xdr:nvSpPr>
      <xdr:spPr bwMode="auto">
        <a:xfrm>
          <a:off x="6655254" y="6555468"/>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127</xdr:row>
      <xdr:rowOff>0</xdr:rowOff>
    </xdr:from>
    <xdr:ext cx="95250" cy="213632"/>
    <xdr:sp macro="" textlink="">
      <xdr:nvSpPr>
        <xdr:cNvPr id="903" name="Text Box 15">
          <a:extLst>
            <a:ext uri="{FF2B5EF4-FFF2-40B4-BE49-F238E27FC236}">
              <a16:creationId xmlns:a16="http://schemas.microsoft.com/office/drawing/2014/main" id="{00000000-0008-0000-0500-000087030000}"/>
            </a:ext>
          </a:extLst>
        </xdr:cNvPr>
        <xdr:cNvSpPr txBox="1">
          <a:spLocks noChangeArrowheads="1"/>
        </xdr:cNvSpPr>
      </xdr:nvSpPr>
      <xdr:spPr bwMode="auto">
        <a:xfrm>
          <a:off x="6655254" y="6558643"/>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127</xdr:row>
      <xdr:rowOff>0</xdr:rowOff>
    </xdr:from>
    <xdr:ext cx="95250" cy="213632"/>
    <xdr:sp macro="" textlink="">
      <xdr:nvSpPr>
        <xdr:cNvPr id="904" name="Text Box 15">
          <a:extLst>
            <a:ext uri="{FF2B5EF4-FFF2-40B4-BE49-F238E27FC236}">
              <a16:creationId xmlns:a16="http://schemas.microsoft.com/office/drawing/2014/main" id="{00000000-0008-0000-0500-000088030000}"/>
            </a:ext>
          </a:extLst>
        </xdr:cNvPr>
        <xdr:cNvSpPr txBox="1">
          <a:spLocks noChangeArrowheads="1"/>
        </xdr:cNvSpPr>
      </xdr:nvSpPr>
      <xdr:spPr bwMode="auto">
        <a:xfrm>
          <a:off x="6655254" y="6558643"/>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127</xdr:row>
      <xdr:rowOff>0</xdr:rowOff>
    </xdr:from>
    <xdr:ext cx="95250" cy="213632"/>
    <xdr:sp macro="" textlink="">
      <xdr:nvSpPr>
        <xdr:cNvPr id="905" name="Text Box 15">
          <a:extLst>
            <a:ext uri="{FF2B5EF4-FFF2-40B4-BE49-F238E27FC236}">
              <a16:creationId xmlns:a16="http://schemas.microsoft.com/office/drawing/2014/main" id="{00000000-0008-0000-0500-000089030000}"/>
            </a:ext>
          </a:extLst>
        </xdr:cNvPr>
        <xdr:cNvSpPr txBox="1">
          <a:spLocks noChangeArrowheads="1"/>
        </xdr:cNvSpPr>
      </xdr:nvSpPr>
      <xdr:spPr bwMode="auto">
        <a:xfrm>
          <a:off x="6655254" y="6558643"/>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127</xdr:row>
      <xdr:rowOff>0</xdr:rowOff>
    </xdr:from>
    <xdr:ext cx="95250" cy="213632"/>
    <xdr:sp macro="" textlink="">
      <xdr:nvSpPr>
        <xdr:cNvPr id="906" name="Text Box 15">
          <a:extLst>
            <a:ext uri="{FF2B5EF4-FFF2-40B4-BE49-F238E27FC236}">
              <a16:creationId xmlns:a16="http://schemas.microsoft.com/office/drawing/2014/main" id="{00000000-0008-0000-0500-00008A030000}"/>
            </a:ext>
          </a:extLst>
        </xdr:cNvPr>
        <xdr:cNvSpPr txBox="1">
          <a:spLocks noChangeArrowheads="1"/>
        </xdr:cNvSpPr>
      </xdr:nvSpPr>
      <xdr:spPr bwMode="auto">
        <a:xfrm>
          <a:off x="6655254" y="6558643"/>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127</xdr:row>
      <xdr:rowOff>0</xdr:rowOff>
    </xdr:from>
    <xdr:ext cx="95250" cy="213632"/>
    <xdr:sp macro="" textlink="">
      <xdr:nvSpPr>
        <xdr:cNvPr id="907" name="Text Box 15">
          <a:extLst>
            <a:ext uri="{FF2B5EF4-FFF2-40B4-BE49-F238E27FC236}">
              <a16:creationId xmlns:a16="http://schemas.microsoft.com/office/drawing/2014/main" id="{00000000-0008-0000-0500-00008B030000}"/>
            </a:ext>
          </a:extLst>
        </xdr:cNvPr>
        <xdr:cNvSpPr txBox="1">
          <a:spLocks noChangeArrowheads="1"/>
        </xdr:cNvSpPr>
      </xdr:nvSpPr>
      <xdr:spPr bwMode="auto">
        <a:xfrm>
          <a:off x="6655254" y="6558643"/>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127</xdr:row>
      <xdr:rowOff>0</xdr:rowOff>
    </xdr:from>
    <xdr:ext cx="95250" cy="213632"/>
    <xdr:sp macro="" textlink="">
      <xdr:nvSpPr>
        <xdr:cNvPr id="908" name="Text Box 15">
          <a:extLst>
            <a:ext uri="{FF2B5EF4-FFF2-40B4-BE49-F238E27FC236}">
              <a16:creationId xmlns:a16="http://schemas.microsoft.com/office/drawing/2014/main" id="{00000000-0008-0000-0500-00008C030000}"/>
            </a:ext>
          </a:extLst>
        </xdr:cNvPr>
        <xdr:cNvSpPr txBox="1">
          <a:spLocks noChangeArrowheads="1"/>
        </xdr:cNvSpPr>
      </xdr:nvSpPr>
      <xdr:spPr bwMode="auto">
        <a:xfrm>
          <a:off x="6655254" y="6558643"/>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127</xdr:row>
      <xdr:rowOff>0</xdr:rowOff>
    </xdr:from>
    <xdr:ext cx="95250" cy="213632"/>
    <xdr:sp macro="" textlink="">
      <xdr:nvSpPr>
        <xdr:cNvPr id="909" name="Text Box 15">
          <a:extLst>
            <a:ext uri="{FF2B5EF4-FFF2-40B4-BE49-F238E27FC236}">
              <a16:creationId xmlns:a16="http://schemas.microsoft.com/office/drawing/2014/main" id="{00000000-0008-0000-0500-00008D030000}"/>
            </a:ext>
          </a:extLst>
        </xdr:cNvPr>
        <xdr:cNvSpPr txBox="1">
          <a:spLocks noChangeArrowheads="1"/>
        </xdr:cNvSpPr>
      </xdr:nvSpPr>
      <xdr:spPr bwMode="auto">
        <a:xfrm>
          <a:off x="6655254" y="6558643"/>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127</xdr:row>
      <xdr:rowOff>0</xdr:rowOff>
    </xdr:from>
    <xdr:ext cx="95250" cy="213632"/>
    <xdr:sp macro="" textlink="">
      <xdr:nvSpPr>
        <xdr:cNvPr id="910" name="Text Box 15">
          <a:extLst>
            <a:ext uri="{FF2B5EF4-FFF2-40B4-BE49-F238E27FC236}">
              <a16:creationId xmlns:a16="http://schemas.microsoft.com/office/drawing/2014/main" id="{00000000-0008-0000-0500-00008E030000}"/>
            </a:ext>
          </a:extLst>
        </xdr:cNvPr>
        <xdr:cNvSpPr txBox="1">
          <a:spLocks noChangeArrowheads="1"/>
        </xdr:cNvSpPr>
      </xdr:nvSpPr>
      <xdr:spPr bwMode="auto">
        <a:xfrm>
          <a:off x="6655254" y="6745968"/>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127</xdr:row>
      <xdr:rowOff>0</xdr:rowOff>
    </xdr:from>
    <xdr:ext cx="95250" cy="213632"/>
    <xdr:sp macro="" textlink="">
      <xdr:nvSpPr>
        <xdr:cNvPr id="911" name="Text Box 15">
          <a:extLst>
            <a:ext uri="{FF2B5EF4-FFF2-40B4-BE49-F238E27FC236}">
              <a16:creationId xmlns:a16="http://schemas.microsoft.com/office/drawing/2014/main" id="{00000000-0008-0000-0500-00008F030000}"/>
            </a:ext>
          </a:extLst>
        </xdr:cNvPr>
        <xdr:cNvSpPr txBox="1">
          <a:spLocks noChangeArrowheads="1"/>
        </xdr:cNvSpPr>
      </xdr:nvSpPr>
      <xdr:spPr bwMode="auto">
        <a:xfrm>
          <a:off x="6655254" y="6745968"/>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127</xdr:row>
      <xdr:rowOff>0</xdr:rowOff>
    </xdr:from>
    <xdr:ext cx="95250" cy="213632"/>
    <xdr:sp macro="" textlink="">
      <xdr:nvSpPr>
        <xdr:cNvPr id="912" name="Text Box 15">
          <a:extLst>
            <a:ext uri="{FF2B5EF4-FFF2-40B4-BE49-F238E27FC236}">
              <a16:creationId xmlns:a16="http://schemas.microsoft.com/office/drawing/2014/main" id="{00000000-0008-0000-0500-000090030000}"/>
            </a:ext>
          </a:extLst>
        </xdr:cNvPr>
        <xdr:cNvSpPr txBox="1">
          <a:spLocks noChangeArrowheads="1"/>
        </xdr:cNvSpPr>
      </xdr:nvSpPr>
      <xdr:spPr bwMode="auto">
        <a:xfrm>
          <a:off x="6655254" y="6749143"/>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127</xdr:row>
      <xdr:rowOff>0</xdr:rowOff>
    </xdr:from>
    <xdr:ext cx="95250" cy="213632"/>
    <xdr:sp macro="" textlink="">
      <xdr:nvSpPr>
        <xdr:cNvPr id="913" name="Text Box 15">
          <a:extLst>
            <a:ext uri="{FF2B5EF4-FFF2-40B4-BE49-F238E27FC236}">
              <a16:creationId xmlns:a16="http://schemas.microsoft.com/office/drawing/2014/main" id="{00000000-0008-0000-0500-000091030000}"/>
            </a:ext>
          </a:extLst>
        </xdr:cNvPr>
        <xdr:cNvSpPr txBox="1">
          <a:spLocks noChangeArrowheads="1"/>
        </xdr:cNvSpPr>
      </xdr:nvSpPr>
      <xdr:spPr bwMode="auto">
        <a:xfrm>
          <a:off x="6655254" y="6749143"/>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127</xdr:row>
      <xdr:rowOff>0</xdr:rowOff>
    </xdr:from>
    <xdr:ext cx="95250" cy="213632"/>
    <xdr:sp macro="" textlink="">
      <xdr:nvSpPr>
        <xdr:cNvPr id="914" name="Text Box 15">
          <a:extLst>
            <a:ext uri="{FF2B5EF4-FFF2-40B4-BE49-F238E27FC236}">
              <a16:creationId xmlns:a16="http://schemas.microsoft.com/office/drawing/2014/main" id="{00000000-0008-0000-0500-000092030000}"/>
            </a:ext>
          </a:extLst>
        </xdr:cNvPr>
        <xdr:cNvSpPr txBox="1">
          <a:spLocks noChangeArrowheads="1"/>
        </xdr:cNvSpPr>
      </xdr:nvSpPr>
      <xdr:spPr bwMode="auto">
        <a:xfrm>
          <a:off x="6655254" y="6749143"/>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127</xdr:row>
      <xdr:rowOff>0</xdr:rowOff>
    </xdr:from>
    <xdr:ext cx="95250" cy="213632"/>
    <xdr:sp macro="" textlink="">
      <xdr:nvSpPr>
        <xdr:cNvPr id="915" name="Text Box 15">
          <a:extLst>
            <a:ext uri="{FF2B5EF4-FFF2-40B4-BE49-F238E27FC236}">
              <a16:creationId xmlns:a16="http://schemas.microsoft.com/office/drawing/2014/main" id="{00000000-0008-0000-0500-000093030000}"/>
            </a:ext>
          </a:extLst>
        </xdr:cNvPr>
        <xdr:cNvSpPr txBox="1">
          <a:spLocks noChangeArrowheads="1"/>
        </xdr:cNvSpPr>
      </xdr:nvSpPr>
      <xdr:spPr bwMode="auto">
        <a:xfrm>
          <a:off x="6655254" y="6749143"/>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127</xdr:row>
      <xdr:rowOff>0</xdr:rowOff>
    </xdr:from>
    <xdr:ext cx="95250" cy="213632"/>
    <xdr:sp macro="" textlink="">
      <xdr:nvSpPr>
        <xdr:cNvPr id="916" name="Text Box 15">
          <a:extLst>
            <a:ext uri="{FF2B5EF4-FFF2-40B4-BE49-F238E27FC236}">
              <a16:creationId xmlns:a16="http://schemas.microsoft.com/office/drawing/2014/main" id="{00000000-0008-0000-0500-000094030000}"/>
            </a:ext>
          </a:extLst>
        </xdr:cNvPr>
        <xdr:cNvSpPr txBox="1">
          <a:spLocks noChangeArrowheads="1"/>
        </xdr:cNvSpPr>
      </xdr:nvSpPr>
      <xdr:spPr bwMode="auto">
        <a:xfrm>
          <a:off x="6655254" y="6749143"/>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127</xdr:row>
      <xdr:rowOff>0</xdr:rowOff>
    </xdr:from>
    <xdr:ext cx="95250" cy="213632"/>
    <xdr:sp macro="" textlink="">
      <xdr:nvSpPr>
        <xdr:cNvPr id="917" name="Text Box 15">
          <a:extLst>
            <a:ext uri="{FF2B5EF4-FFF2-40B4-BE49-F238E27FC236}">
              <a16:creationId xmlns:a16="http://schemas.microsoft.com/office/drawing/2014/main" id="{00000000-0008-0000-0500-000095030000}"/>
            </a:ext>
          </a:extLst>
        </xdr:cNvPr>
        <xdr:cNvSpPr txBox="1">
          <a:spLocks noChangeArrowheads="1"/>
        </xdr:cNvSpPr>
      </xdr:nvSpPr>
      <xdr:spPr bwMode="auto">
        <a:xfrm>
          <a:off x="6655254" y="6749143"/>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127</xdr:row>
      <xdr:rowOff>0</xdr:rowOff>
    </xdr:from>
    <xdr:ext cx="95250" cy="213632"/>
    <xdr:sp macro="" textlink="">
      <xdr:nvSpPr>
        <xdr:cNvPr id="918" name="Text Box 15">
          <a:extLst>
            <a:ext uri="{FF2B5EF4-FFF2-40B4-BE49-F238E27FC236}">
              <a16:creationId xmlns:a16="http://schemas.microsoft.com/office/drawing/2014/main" id="{00000000-0008-0000-0500-000096030000}"/>
            </a:ext>
          </a:extLst>
        </xdr:cNvPr>
        <xdr:cNvSpPr txBox="1">
          <a:spLocks noChangeArrowheads="1"/>
        </xdr:cNvSpPr>
      </xdr:nvSpPr>
      <xdr:spPr bwMode="auto">
        <a:xfrm>
          <a:off x="6655254" y="6749143"/>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127</xdr:row>
      <xdr:rowOff>0</xdr:rowOff>
    </xdr:from>
    <xdr:ext cx="95250" cy="213632"/>
    <xdr:sp macro="" textlink="">
      <xdr:nvSpPr>
        <xdr:cNvPr id="919" name="Text Box 15">
          <a:extLst>
            <a:ext uri="{FF2B5EF4-FFF2-40B4-BE49-F238E27FC236}">
              <a16:creationId xmlns:a16="http://schemas.microsoft.com/office/drawing/2014/main" id="{00000000-0008-0000-0500-000097030000}"/>
            </a:ext>
          </a:extLst>
        </xdr:cNvPr>
        <xdr:cNvSpPr txBox="1">
          <a:spLocks noChangeArrowheads="1"/>
        </xdr:cNvSpPr>
      </xdr:nvSpPr>
      <xdr:spPr bwMode="auto">
        <a:xfrm>
          <a:off x="6655254" y="6936468"/>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127</xdr:row>
      <xdr:rowOff>0</xdr:rowOff>
    </xdr:from>
    <xdr:ext cx="95250" cy="213632"/>
    <xdr:sp macro="" textlink="">
      <xdr:nvSpPr>
        <xdr:cNvPr id="920" name="Text Box 15">
          <a:extLst>
            <a:ext uri="{FF2B5EF4-FFF2-40B4-BE49-F238E27FC236}">
              <a16:creationId xmlns:a16="http://schemas.microsoft.com/office/drawing/2014/main" id="{00000000-0008-0000-0500-000098030000}"/>
            </a:ext>
          </a:extLst>
        </xdr:cNvPr>
        <xdr:cNvSpPr txBox="1">
          <a:spLocks noChangeArrowheads="1"/>
        </xdr:cNvSpPr>
      </xdr:nvSpPr>
      <xdr:spPr bwMode="auto">
        <a:xfrm>
          <a:off x="6655254" y="6936468"/>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127</xdr:row>
      <xdr:rowOff>0</xdr:rowOff>
    </xdr:from>
    <xdr:ext cx="95250" cy="213632"/>
    <xdr:sp macro="" textlink="">
      <xdr:nvSpPr>
        <xdr:cNvPr id="921" name="Text Box 15">
          <a:extLst>
            <a:ext uri="{FF2B5EF4-FFF2-40B4-BE49-F238E27FC236}">
              <a16:creationId xmlns:a16="http://schemas.microsoft.com/office/drawing/2014/main" id="{00000000-0008-0000-0500-000099030000}"/>
            </a:ext>
          </a:extLst>
        </xdr:cNvPr>
        <xdr:cNvSpPr txBox="1">
          <a:spLocks noChangeArrowheads="1"/>
        </xdr:cNvSpPr>
      </xdr:nvSpPr>
      <xdr:spPr bwMode="auto">
        <a:xfrm>
          <a:off x="6655254" y="6939643"/>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127</xdr:row>
      <xdr:rowOff>0</xdr:rowOff>
    </xdr:from>
    <xdr:ext cx="95250" cy="213632"/>
    <xdr:sp macro="" textlink="">
      <xdr:nvSpPr>
        <xdr:cNvPr id="922" name="Text Box 15">
          <a:extLst>
            <a:ext uri="{FF2B5EF4-FFF2-40B4-BE49-F238E27FC236}">
              <a16:creationId xmlns:a16="http://schemas.microsoft.com/office/drawing/2014/main" id="{00000000-0008-0000-0500-00009A030000}"/>
            </a:ext>
          </a:extLst>
        </xdr:cNvPr>
        <xdr:cNvSpPr txBox="1">
          <a:spLocks noChangeArrowheads="1"/>
        </xdr:cNvSpPr>
      </xdr:nvSpPr>
      <xdr:spPr bwMode="auto">
        <a:xfrm>
          <a:off x="6655254" y="6939643"/>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127</xdr:row>
      <xdr:rowOff>0</xdr:rowOff>
    </xdr:from>
    <xdr:ext cx="95250" cy="213632"/>
    <xdr:sp macro="" textlink="">
      <xdr:nvSpPr>
        <xdr:cNvPr id="923" name="Text Box 15">
          <a:extLst>
            <a:ext uri="{FF2B5EF4-FFF2-40B4-BE49-F238E27FC236}">
              <a16:creationId xmlns:a16="http://schemas.microsoft.com/office/drawing/2014/main" id="{00000000-0008-0000-0500-00009B030000}"/>
            </a:ext>
          </a:extLst>
        </xdr:cNvPr>
        <xdr:cNvSpPr txBox="1">
          <a:spLocks noChangeArrowheads="1"/>
        </xdr:cNvSpPr>
      </xdr:nvSpPr>
      <xdr:spPr bwMode="auto">
        <a:xfrm>
          <a:off x="6655254" y="6939643"/>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127</xdr:row>
      <xdr:rowOff>0</xdr:rowOff>
    </xdr:from>
    <xdr:ext cx="95250" cy="213632"/>
    <xdr:sp macro="" textlink="">
      <xdr:nvSpPr>
        <xdr:cNvPr id="924" name="Text Box 15">
          <a:extLst>
            <a:ext uri="{FF2B5EF4-FFF2-40B4-BE49-F238E27FC236}">
              <a16:creationId xmlns:a16="http://schemas.microsoft.com/office/drawing/2014/main" id="{00000000-0008-0000-0500-00009C030000}"/>
            </a:ext>
          </a:extLst>
        </xdr:cNvPr>
        <xdr:cNvSpPr txBox="1">
          <a:spLocks noChangeArrowheads="1"/>
        </xdr:cNvSpPr>
      </xdr:nvSpPr>
      <xdr:spPr bwMode="auto">
        <a:xfrm>
          <a:off x="6655254" y="6939643"/>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127</xdr:row>
      <xdr:rowOff>0</xdr:rowOff>
    </xdr:from>
    <xdr:ext cx="95250" cy="213632"/>
    <xdr:sp macro="" textlink="">
      <xdr:nvSpPr>
        <xdr:cNvPr id="925" name="Text Box 15">
          <a:extLst>
            <a:ext uri="{FF2B5EF4-FFF2-40B4-BE49-F238E27FC236}">
              <a16:creationId xmlns:a16="http://schemas.microsoft.com/office/drawing/2014/main" id="{00000000-0008-0000-0500-00009D030000}"/>
            </a:ext>
          </a:extLst>
        </xdr:cNvPr>
        <xdr:cNvSpPr txBox="1">
          <a:spLocks noChangeArrowheads="1"/>
        </xdr:cNvSpPr>
      </xdr:nvSpPr>
      <xdr:spPr bwMode="auto">
        <a:xfrm>
          <a:off x="6655254" y="6939643"/>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127</xdr:row>
      <xdr:rowOff>0</xdr:rowOff>
    </xdr:from>
    <xdr:ext cx="95250" cy="213632"/>
    <xdr:sp macro="" textlink="">
      <xdr:nvSpPr>
        <xdr:cNvPr id="926" name="Text Box 15">
          <a:extLst>
            <a:ext uri="{FF2B5EF4-FFF2-40B4-BE49-F238E27FC236}">
              <a16:creationId xmlns:a16="http://schemas.microsoft.com/office/drawing/2014/main" id="{00000000-0008-0000-0500-00009E030000}"/>
            </a:ext>
          </a:extLst>
        </xdr:cNvPr>
        <xdr:cNvSpPr txBox="1">
          <a:spLocks noChangeArrowheads="1"/>
        </xdr:cNvSpPr>
      </xdr:nvSpPr>
      <xdr:spPr bwMode="auto">
        <a:xfrm>
          <a:off x="6655254" y="6939643"/>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127</xdr:row>
      <xdr:rowOff>0</xdr:rowOff>
    </xdr:from>
    <xdr:ext cx="95250" cy="213632"/>
    <xdr:sp macro="" textlink="">
      <xdr:nvSpPr>
        <xdr:cNvPr id="927" name="Text Box 15">
          <a:extLst>
            <a:ext uri="{FF2B5EF4-FFF2-40B4-BE49-F238E27FC236}">
              <a16:creationId xmlns:a16="http://schemas.microsoft.com/office/drawing/2014/main" id="{00000000-0008-0000-0500-00009F030000}"/>
            </a:ext>
          </a:extLst>
        </xdr:cNvPr>
        <xdr:cNvSpPr txBox="1">
          <a:spLocks noChangeArrowheads="1"/>
        </xdr:cNvSpPr>
      </xdr:nvSpPr>
      <xdr:spPr bwMode="auto">
        <a:xfrm>
          <a:off x="6655254" y="6939643"/>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127</xdr:row>
      <xdr:rowOff>0</xdr:rowOff>
    </xdr:from>
    <xdr:ext cx="95250" cy="213632"/>
    <xdr:sp macro="" textlink="">
      <xdr:nvSpPr>
        <xdr:cNvPr id="928" name="Text Box 15">
          <a:extLst>
            <a:ext uri="{FF2B5EF4-FFF2-40B4-BE49-F238E27FC236}">
              <a16:creationId xmlns:a16="http://schemas.microsoft.com/office/drawing/2014/main" id="{00000000-0008-0000-0500-0000A0030000}"/>
            </a:ext>
          </a:extLst>
        </xdr:cNvPr>
        <xdr:cNvSpPr txBox="1">
          <a:spLocks noChangeArrowheads="1"/>
        </xdr:cNvSpPr>
      </xdr:nvSpPr>
      <xdr:spPr bwMode="auto">
        <a:xfrm>
          <a:off x="6655254" y="7126968"/>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127</xdr:row>
      <xdr:rowOff>0</xdr:rowOff>
    </xdr:from>
    <xdr:ext cx="95250" cy="213632"/>
    <xdr:sp macro="" textlink="">
      <xdr:nvSpPr>
        <xdr:cNvPr id="929" name="Text Box 15">
          <a:extLst>
            <a:ext uri="{FF2B5EF4-FFF2-40B4-BE49-F238E27FC236}">
              <a16:creationId xmlns:a16="http://schemas.microsoft.com/office/drawing/2014/main" id="{00000000-0008-0000-0500-0000A1030000}"/>
            </a:ext>
          </a:extLst>
        </xdr:cNvPr>
        <xdr:cNvSpPr txBox="1">
          <a:spLocks noChangeArrowheads="1"/>
        </xdr:cNvSpPr>
      </xdr:nvSpPr>
      <xdr:spPr bwMode="auto">
        <a:xfrm>
          <a:off x="6655254" y="7126968"/>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127</xdr:row>
      <xdr:rowOff>0</xdr:rowOff>
    </xdr:from>
    <xdr:ext cx="95250" cy="213632"/>
    <xdr:sp macro="" textlink="">
      <xdr:nvSpPr>
        <xdr:cNvPr id="930" name="Text Box 15">
          <a:extLst>
            <a:ext uri="{FF2B5EF4-FFF2-40B4-BE49-F238E27FC236}">
              <a16:creationId xmlns:a16="http://schemas.microsoft.com/office/drawing/2014/main" id="{00000000-0008-0000-0500-0000A2030000}"/>
            </a:ext>
          </a:extLst>
        </xdr:cNvPr>
        <xdr:cNvSpPr txBox="1">
          <a:spLocks noChangeArrowheads="1"/>
        </xdr:cNvSpPr>
      </xdr:nvSpPr>
      <xdr:spPr bwMode="auto">
        <a:xfrm>
          <a:off x="6655254" y="7130143"/>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127</xdr:row>
      <xdr:rowOff>0</xdr:rowOff>
    </xdr:from>
    <xdr:ext cx="95250" cy="213632"/>
    <xdr:sp macro="" textlink="">
      <xdr:nvSpPr>
        <xdr:cNvPr id="931" name="Text Box 15">
          <a:extLst>
            <a:ext uri="{FF2B5EF4-FFF2-40B4-BE49-F238E27FC236}">
              <a16:creationId xmlns:a16="http://schemas.microsoft.com/office/drawing/2014/main" id="{00000000-0008-0000-0500-0000A3030000}"/>
            </a:ext>
          </a:extLst>
        </xdr:cNvPr>
        <xdr:cNvSpPr txBox="1">
          <a:spLocks noChangeArrowheads="1"/>
        </xdr:cNvSpPr>
      </xdr:nvSpPr>
      <xdr:spPr bwMode="auto">
        <a:xfrm>
          <a:off x="6655254" y="7130143"/>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127</xdr:row>
      <xdr:rowOff>0</xdr:rowOff>
    </xdr:from>
    <xdr:ext cx="95250" cy="213632"/>
    <xdr:sp macro="" textlink="">
      <xdr:nvSpPr>
        <xdr:cNvPr id="932" name="Text Box 15">
          <a:extLst>
            <a:ext uri="{FF2B5EF4-FFF2-40B4-BE49-F238E27FC236}">
              <a16:creationId xmlns:a16="http://schemas.microsoft.com/office/drawing/2014/main" id="{00000000-0008-0000-0500-0000A4030000}"/>
            </a:ext>
          </a:extLst>
        </xdr:cNvPr>
        <xdr:cNvSpPr txBox="1">
          <a:spLocks noChangeArrowheads="1"/>
        </xdr:cNvSpPr>
      </xdr:nvSpPr>
      <xdr:spPr bwMode="auto">
        <a:xfrm>
          <a:off x="6655254" y="7130143"/>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127</xdr:row>
      <xdr:rowOff>0</xdr:rowOff>
    </xdr:from>
    <xdr:ext cx="95250" cy="213632"/>
    <xdr:sp macro="" textlink="">
      <xdr:nvSpPr>
        <xdr:cNvPr id="933" name="Text Box 15">
          <a:extLst>
            <a:ext uri="{FF2B5EF4-FFF2-40B4-BE49-F238E27FC236}">
              <a16:creationId xmlns:a16="http://schemas.microsoft.com/office/drawing/2014/main" id="{00000000-0008-0000-0500-0000A5030000}"/>
            </a:ext>
          </a:extLst>
        </xdr:cNvPr>
        <xdr:cNvSpPr txBox="1">
          <a:spLocks noChangeArrowheads="1"/>
        </xdr:cNvSpPr>
      </xdr:nvSpPr>
      <xdr:spPr bwMode="auto">
        <a:xfrm>
          <a:off x="6655254" y="7130143"/>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127</xdr:row>
      <xdr:rowOff>0</xdr:rowOff>
    </xdr:from>
    <xdr:ext cx="95250" cy="213632"/>
    <xdr:sp macro="" textlink="">
      <xdr:nvSpPr>
        <xdr:cNvPr id="934" name="Text Box 15">
          <a:extLst>
            <a:ext uri="{FF2B5EF4-FFF2-40B4-BE49-F238E27FC236}">
              <a16:creationId xmlns:a16="http://schemas.microsoft.com/office/drawing/2014/main" id="{00000000-0008-0000-0500-0000A6030000}"/>
            </a:ext>
          </a:extLst>
        </xdr:cNvPr>
        <xdr:cNvSpPr txBox="1">
          <a:spLocks noChangeArrowheads="1"/>
        </xdr:cNvSpPr>
      </xdr:nvSpPr>
      <xdr:spPr bwMode="auto">
        <a:xfrm>
          <a:off x="6655254" y="7130143"/>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127</xdr:row>
      <xdr:rowOff>0</xdr:rowOff>
    </xdr:from>
    <xdr:ext cx="95250" cy="213632"/>
    <xdr:sp macro="" textlink="">
      <xdr:nvSpPr>
        <xdr:cNvPr id="935" name="Text Box 15">
          <a:extLst>
            <a:ext uri="{FF2B5EF4-FFF2-40B4-BE49-F238E27FC236}">
              <a16:creationId xmlns:a16="http://schemas.microsoft.com/office/drawing/2014/main" id="{00000000-0008-0000-0500-0000A7030000}"/>
            </a:ext>
          </a:extLst>
        </xdr:cNvPr>
        <xdr:cNvSpPr txBox="1">
          <a:spLocks noChangeArrowheads="1"/>
        </xdr:cNvSpPr>
      </xdr:nvSpPr>
      <xdr:spPr bwMode="auto">
        <a:xfrm>
          <a:off x="6655254" y="7130143"/>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127</xdr:row>
      <xdr:rowOff>0</xdr:rowOff>
    </xdr:from>
    <xdr:ext cx="95250" cy="213632"/>
    <xdr:sp macro="" textlink="">
      <xdr:nvSpPr>
        <xdr:cNvPr id="936" name="Text Box 15">
          <a:extLst>
            <a:ext uri="{FF2B5EF4-FFF2-40B4-BE49-F238E27FC236}">
              <a16:creationId xmlns:a16="http://schemas.microsoft.com/office/drawing/2014/main" id="{00000000-0008-0000-0500-0000A8030000}"/>
            </a:ext>
          </a:extLst>
        </xdr:cNvPr>
        <xdr:cNvSpPr txBox="1">
          <a:spLocks noChangeArrowheads="1"/>
        </xdr:cNvSpPr>
      </xdr:nvSpPr>
      <xdr:spPr bwMode="auto">
        <a:xfrm>
          <a:off x="6655254" y="7130143"/>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127</xdr:row>
      <xdr:rowOff>0</xdr:rowOff>
    </xdr:from>
    <xdr:ext cx="95250" cy="213632"/>
    <xdr:sp macro="" textlink="">
      <xdr:nvSpPr>
        <xdr:cNvPr id="937" name="Text Box 15">
          <a:extLst>
            <a:ext uri="{FF2B5EF4-FFF2-40B4-BE49-F238E27FC236}">
              <a16:creationId xmlns:a16="http://schemas.microsoft.com/office/drawing/2014/main" id="{00000000-0008-0000-0500-0000A9030000}"/>
            </a:ext>
          </a:extLst>
        </xdr:cNvPr>
        <xdr:cNvSpPr txBox="1">
          <a:spLocks noChangeArrowheads="1"/>
        </xdr:cNvSpPr>
      </xdr:nvSpPr>
      <xdr:spPr bwMode="auto">
        <a:xfrm>
          <a:off x="6655254" y="7317468"/>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127</xdr:row>
      <xdr:rowOff>0</xdr:rowOff>
    </xdr:from>
    <xdr:ext cx="95250" cy="213632"/>
    <xdr:sp macro="" textlink="">
      <xdr:nvSpPr>
        <xdr:cNvPr id="938" name="Text Box 15">
          <a:extLst>
            <a:ext uri="{FF2B5EF4-FFF2-40B4-BE49-F238E27FC236}">
              <a16:creationId xmlns:a16="http://schemas.microsoft.com/office/drawing/2014/main" id="{00000000-0008-0000-0500-0000AA030000}"/>
            </a:ext>
          </a:extLst>
        </xdr:cNvPr>
        <xdr:cNvSpPr txBox="1">
          <a:spLocks noChangeArrowheads="1"/>
        </xdr:cNvSpPr>
      </xdr:nvSpPr>
      <xdr:spPr bwMode="auto">
        <a:xfrm>
          <a:off x="6655254" y="7317468"/>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127</xdr:row>
      <xdr:rowOff>0</xdr:rowOff>
    </xdr:from>
    <xdr:ext cx="95250" cy="213632"/>
    <xdr:sp macro="" textlink="">
      <xdr:nvSpPr>
        <xdr:cNvPr id="939" name="Text Box 15">
          <a:extLst>
            <a:ext uri="{FF2B5EF4-FFF2-40B4-BE49-F238E27FC236}">
              <a16:creationId xmlns:a16="http://schemas.microsoft.com/office/drawing/2014/main" id="{00000000-0008-0000-0500-0000AB030000}"/>
            </a:ext>
          </a:extLst>
        </xdr:cNvPr>
        <xdr:cNvSpPr txBox="1">
          <a:spLocks noChangeArrowheads="1"/>
        </xdr:cNvSpPr>
      </xdr:nvSpPr>
      <xdr:spPr bwMode="auto">
        <a:xfrm>
          <a:off x="6655254" y="7320643"/>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127</xdr:row>
      <xdr:rowOff>0</xdr:rowOff>
    </xdr:from>
    <xdr:ext cx="95250" cy="213632"/>
    <xdr:sp macro="" textlink="">
      <xdr:nvSpPr>
        <xdr:cNvPr id="940" name="Text Box 15">
          <a:extLst>
            <a:ext uri="{FF2B5EF4-FFF2-40B4-BE49-F238E27FC236}">
              <a16:creationId xmlns:a16="http://schemas.microsoft.com/office/drawing/2014/main" id="{00000000-0008-0000-0500-0000AC030000}"/>
            </a:ext>
          </a:extLst>
        </xdr:cNvPr>
        <xdr:cNvSpPr txBox="1">
          <a:spLocks noChangeArrowheads="1"/>
        </xdr:cNvSpPr>
      </xdr:nvSpPr>
      <xdr:spPr bwMode="auto">
        <a:xfrm>
          <a:off x="6655254" y="7320643"/>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127</xdr:row>
      <xdr:rowOff>0</xdr:rowOff>
    </xdr:from>
    <xdr:ext cx="95250" cy="213632"/>
    <xdr:sp macro="" textlink="">
      <xdr:nvSpPr>
        <xdr:cNvPr id="941" name="Text Box 15">
          <a:extLst>
            <a:ext uri="{FF2B5EF4-FFF2-40B4-BE49-F238E27FC236}">
              <a16:creationId xmlns:a16="http://schemas.microsoft.com/office/drawing/2014/main" id="{00000000-0008-0000-0500-0000AD030000}"/>
            </a:ext>
          </a:extLst>
        </xdr:cNvPr>
        <xdr:cNvSpPr txBox="1">
          <a:spLocks noChangeArrowheads="1"/>
        </xdr:cNvSpPr>
      </xdr:nvSpPr>
      <xdr:spPr bwMode="auto">
        <a:xfrm>
          <a:off x="6655254" y="7320643"/>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127</xdr:row>
      <xdr:rowOff>0</xdr:rowOff>
    </xdr:from>
    <xdr:ext cx="95250" cy="213632"/>
    <xdr:sp macro="" textlink="">
      <xdr:nvSpPr>
        <xdr:cNvPr id="942" name="Text Box 15">
          <a:extLst>
            <a:ext uri="{FF2B5EF4-FFF2-40B4-BE49-F238E27FC236}">
              <a16:creationId xmlns:a16="http://schemas.microsoft.com/office/drawing/2014/main" id="{00000000-0008-0000-0500-0000AE030000}"/>
            </a:ext>
          </a:extLst>
        </xdr:cNvPr>
        <xdr:cNvSpPr txBox="1">
          <a:spLocks noChangeArrowheads="1"/>
        </xdr:cNvSpPr>
      </xdr:nvSpPr>
      <xdr:spPr bwMode="auto">
        <a:xfrm>
          <a:off x="6655254" y="7320643"/>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127</xdr:row>
      <xdr:rowOff>0</xdr:rowOff>
    </xdr:from>
    <xdr:ext cx="95250" cy="213632"/>
    <xdr:sp macro="" textlink="">
      <xdr:nvSpPr>
        <xdr:cNvPr id="943" name="Text Box 15">
          <a:extLst>
            <a:ext uri="{FF2B5EF4-FFF2-40B4-BE49-F238E27FC236}">
              <a16:creationId xmlns:a16="http://schemas.microsoft.com/office/drawing/2014/main" id="{00000000-0008-0000-0500-0000AF030000}"/>
            </a:ext>
          </a:extLst>
        </xdr:cNvPr>
        <xdr:cNvSpPr txBox="1">
          <a:spLocks noChangeArrowheads="1"/>
        </xdr:cNvSpPr>
      </xdr:nvSpPr>
      <xdr:spPr bwMode="auto">
        <a:xfrm>
          <a:off x="6655254" y="7320643"/>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127</xdr:row>
      <xdr:rowOff>0</xdr:rowOff>
    </xdr:from>
    <xdr:ext cx="95250" cy="213632"/>
    <xdr:sp macro="" textlink="">
      <xdr:nvSpPr>
        <xdr:cNvPr id="944" name="Text Box 15">
          <a:extLst>
            <a:ext uri="{FF2B5EF4-FFF2-40B4-BE49-F238E27FC236}">
              <a16:creationId xmlns:a16="http://schemas.microsoft.com/office/drawing/2014/main" id="{00000000-0008-0000-0500-0000B0030000}"/>
            </a:ext>
          </a:extLst>
        </xdr:cNvPr>
        <xdr:cNvSpPr txBox="1">
          <a:spLocks noChangeArrowheads="1"/>
        </xdr:cNvSpPr>
      </xdr:nvSpPr>
      <xdr:spPr bwMode="auto">
        <a:xfrm>
          <a:off x="6655254" y="7320643"/>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127</xdr:row>
      <xdr:rowOff>0</xdr:rowOff>
    </xdr:from>
    <xdr:ext cx="95250" cy="213632"/>
    <xdr:sp macro="" textlink="">
      <xdr:nvSpPr>
        <xdr:cNvPr id="945" name="Text Box 15">
          <a:extLst>
            <a:ext uri="{FF2B5EF4-FFF2-40B4-BE49-F238E27FC236}">
              <a16:creationId xmlns:a16="http://schemas.microsoft.com/office/drawing/2014/main" id="{00000000-0008-0000-0500-0000B1030000}"/>
            </a:ext>
          </a:extLst>
        </xdr:cNvPr>
        <xdr:cNvSpPr txBox="1">
          <a:spLocks noChangeArrowheads="1"/>
        </xdr:cNvSpPr>
      </xdr:nvSpPr>
      <xdr:spPr bwMode="auto">
        <a:xfrm>
          <a:off x="6655254" y="7320643"/>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127</xdr:row>
      <xdr:rowOff>0</xdr:rowOff>
    </xdr:from>
    <xdr:ext cx="95250" cy="213632"/>
    <xdr:sp macro="" textlink="">
      <xdr:nvSpPr>
        <xdr:cNvPr id="946" name="Text Box 15">
          <a:extLst>
            <a:ext uri="{FF2B5EF4-FFF2-40B4-BE49-F238E27FC236}">
              <a16:creationId xmlns:a16="http://schemas.microsoft.com/office/drawing/2014/main" id="{00000000-0008-0000-0500-0000B2030000}"/>
            </a:ext>
          </a:extLst>
        </xdr:cNvPr>
        <xdr:cNvSpPr txBox="1">
          <a:spLocks noChangeArrowheads="1"/>
        </xdr:cNvSpPr>
      </xdr:nvSpPr>
      <xdr:spPr bwMode="auto">
        <a:xfrm>
          <a:off x="6655254" y="7507968"/>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127</xdr:row>
      <xdr:rowOff>0</xdr:rowOff>
    </xdr:from>
    <xdr:ext cx="95250" cy="213632"/>
    <xdr:sp macro="" textlink="">
      <xdr:nvSpPr>
        <xdr:cNvPr id="947" name="Text Box 15">
          <a:extLst>
            <a:ext uri="{FF2B5EF4-FFF2-40B4-BE49-F238E27FC236}">
              <a16:creationId xmlns:a16="http://schemas.microsoft.com/office/drawing/2014/main" id="{00000000-0008-0000-0500-0000B3030000}"/>
            </a:ext>
          </a:extLst>
        </xdr:cNvPr>
        <xdr:cNvSpPr txBox="1">
          <a:spLocks noChangeArrowheads="1"/>
        </xdr:cNvSpPr>
      </xdr:nvSpPr>
      <xdr:spPr bwMode="auto">
        <a:xfrm>
          <a:off x="6655254" y="7507968"/>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127</xdr:row>
      <xdr:rowOff>0</xdr:rowOff>
    </xdr:from>
    <xdr:ext cx="95250" cy="213632"/>
    <xdr:sp macro="" textlink="">
      <xdr:nvSpPr>
        <xdr:cNvPr id="948" name="Text Box 15">
          <a:extLst>
            <a:ext uri="{FF2B5EF4-FFF2-40B4-BE49-F238E27FC236}">
              <a16:creationId xmlns:a16="http://schemas.microsoft.com/office/drawing/2014/main" id="{00000000-0008-0000-0500-0000B4030000}"/>
            </a:ext>
          </a:extLst>
        </xdr:cNvPr>
        <xdr:cNvSpPr txBox="1">
          <a:spLocks noChangeArrowheads="1"/>
        </xdr:cNvSpPr>
      </xdr:nvSpPr>
      <xdr:spPr bwMode="auto">
        <a:xfrm>
          <a:off x="6655254" y="7511143"/>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127</xdr:row>
      <xdr:rowOff>0</xdr:rowOff>
    </xdr:from>
    <xdr:ext cx="95250" cy="213632"/>
    <xdr:sp macro="" textlink="">
      <xdr:nvSpPr>
        <xdr:cNvPr id="949" name="Text Box 15">
          <a:extLst>
            <a:ext uri="{FF2B5EF4-FFF2-40B4-BE49-F238E27FC236}">
              <a16:creationId xmlns:a16="http://schemas.microsoft.com/office/drawing/2014/main" id="{00000000-0008-0000-0500-0000B5030000}"/>
            </a:ext>
          </a:extLst>
        </xdr:cNvPr>
        <xdr:cNvSpPr txBox="1">
          <a:spLocks noChangeArrowheads="1"/>
        </xdr:cNvSpPr>
      </xdr:nvSpPr>
      <xdr:spPr bwMode="auto">
        <a:xfrm>
          <a:off x="6655254" y="7511143"/>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127</xdr:row>
      <xdr:rowOff>0</xdr:rowOff>
    </xdr:from>
    <xdr:ext cx="95250" cy="213632"/>
    <xdr:sp macro="" textlink="">
      <xdr:nvSpPr>
        <xdr:cNvPr id="950" name="Text Box 15">
          <a:extLst>
            <a:ext uri="{FF2B5EF4-FFF2-40B4-BE49-F238E27FC236}">
              <a16:creationId xmlns:a16="http://schemas.microsoft.com/office/drawing/2014/main" id="{00000000-0008-0000-0500-0000B6030000}"/>
            </a:ext>
          </a:extLst>
        </xdr:cNvPr>
        <xdr:cNvSpPr txBox="1">
          <a:spLocks noChangeArrowheads="1"/>
        </xdr:cNvSpPr>
      </xdr:nvSpPr>
      <xdr:spPr bwMode="auto">
        <a:xfrm>
          <a:off x="6655254" y="7511143"/>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127</xdr:row>
      <xdr:rowOff>0</xdr:rowOff>
    </xdr:from>
    <xdr:ext cx="95250" cy="213632"/>
    <xdr:sp macro="" textlink="">
      <xdr:nvSpPr>
        <xdr:cNvPr id="951" name="Text Box 15">
          <a:extLst>
            <a:ext uri="{FF2B5EF4-FFF2-40B4-BE49-F238E27FC236}">
              <a16:creationId xmlns:a16="http://schemas.microsoft.com/office/drawing/2014/main" id="{00000000-0008-0000-0500-0000B7030000}"/>
            </a:ext>
          </a:extLst>
        </xdr:cNvPr>
        <xdr:cNvSpPr txBox="1">
          <a:spLocks noChangeArrowheads="1"/>
        </xdr:cNvSpPr>
      </xdr:nvSpPr>
      <xdr:spPr bwMode="auto">
        <a:xfrm>
          <a:off x="6655254" y="7511143"/>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127</xdr:row>
      <xdr:rowOff>0</xdr:rowOff>
    </xdr:from>
    <xdr:ext cx="95250" cy="213632"/>
    <xdr:sp macro="" textlink="">
      <xdr:nvSpPr>
        <xdr:cNvPr id="952" name="Text Box 15">
          <a:extLst>
            <a:ext uri="{FF2B5EF4-FFF2-40B4-BE49-F238E27FC236}">
              <a16:creationId xmlns:a16="http://schemas.microsoft.com/office/drawing/2014/main" id="{00000000-0008-0000-0500-0000B8030000}"/>
            </a:ext>
          </a:extLst>
        </xdr:cNvPr>
        <xdr:cNvSpPr txBox="1">
          <a:spLocks noChangeArrowheads="1"/>
        </xdr:cNvSpPr>
      </xdr:nvSpPr>
      <xdr:spPr bwMode="auto">
        <a:xfrm>
          <a:off x="6655254" y="7511143"/>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127</xdr:row>
      <xdr:rowOff>0</xdr:rowOff>
    </xdr:from>
    <xdr:ext cx="95250" cy="213632"/>
    <xdr:sp macro="" textlink="">
      <xdr:nvSpPr>
        <xdr:cNvPr id="953" name="Text Box 15">
          <a:extLst>
            <a:ext uri="{FF2B5EF4-FFF2-40B4-BE49-F238E27FC236}">
              <a16:creationId xmlns:a16="http://schemas.microsoft.com/office/drawing/2014/main" id="{00000000-0008-0000-0500-0000B9030000}"/>
            </a:ext>
          </a:extLst>
        </xdr:cNvPr>
        <xdr:cNvSpPr txBox="1">
          <a:spLocks noChangeArrowheads="1"/>
        </xdr:cNvSpPr>
      </xdr:nvSpPr>
      <xdr:spPr bwMode="auto">
        <a:xfrm>
          <a:off x="6655254" y="7511143"/>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127</xdr:row>
      <xdr:rowOff>0</xdr:rowOff>
    </xdr:from>
    <xdr:ext cx="95250" cy="213632"/>
    <xdr:sp macro="" textlink="">
      <xdr:nvSpPr>
        <xdr:cNvPr id="954" name="Text Box 15">
          <a:extLst>
            <a:ext uri="{FF2B5EF4-FFF2-40B4-BE49-F238E27FC236}">
              <a16:creationId xmlns:a16="http://schemas.microsoft.com/office/drawing/2014/main" id="{00000000-0008-0000-0500-0000BA030000}"/>
            </a:ext>
          </a:extLst>
        </xdr:cNvPr>
        <xdr:cNvSpPr txBox="1">
          <a:spLocks noChangeArrowheads="1"/>
        </xdr:cNvSpPr>
      </xdr:nvSpPr>
      <xdr:spPr bwMode="auto">
        <a:xfrm>
          <a:off x="6655254" y="7511143"/>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127</xdr:row>
      <xdr:rowOff>0</xdr:rowOff>
    </xdr:from>
    <xdr:ext cx="95250" cy="213632"/>
    <xdr:sp macro="" textlink="">
      <xdr:nvSpPr>
        <xdr:cNvPr id="955" name="Text Box 15">
          <a:extLst>
            <a:ext uri="{FF2B5EF4-FFF2-40B4-BE49-F238E27FC236}">
              <a16:creationId xmlns:a16="http://schemas.microsoft.com/office/drawing/2014/main" id="{00000000-0008-0000-0500-0000BB030000}"/>
            </a:ext>
          </a:extLst>
        </xdr:cNvPr>
        <xdr:cNvSpPr txBox="1">
          <a:spLocks noChangeArrowheads="1"/>
        </xdr:cNvSpPr>
      </xdr:nvSpPr>
      <xdr:spPr bwMode="auto">
        <a:xfrm>
          <a:off x="6655254" y="7698468"/>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127</xdr:row>
      <xdr:rowOff>0</xdr:rowOff>
    </xdr:from>
    <xdr:ext cx="95250" cy="213632"/>
    <xdr:sp macro="" textlink="">
      <xdr:nvSpPr>
        <xdr:cNvPr id="956" name="Text Box 15">
          <a:extLst>
            <a:ext uri="{FF2B5EF4-FFF2-40B4-BE49-F238E27FC236}">
              <a16:creationId xmlns:a16="http://schemas.microsoft.com/office/drawing/2014/main" id="{00000000-0008-0000-0500-0000BC030000}"/>
            </a:ext>
          </a:extLst>
        </xdr:cNvPr>
        <xdr:cNvSpPr txBox="1">
          <a:spLocks noChangeArrowheads="1"/>
        </xdr:cNvSpPr>
      </xdr:nvSpPr>
      <xdr:spPr bwMode="auto">
        <a:xfrm>
          <a:off x="6655254" y="7698468"/>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127</xdr:row>
      <xdr:rowOff>0</xdr:rowOff>
    </xdr:from>
    <xdr:ext cx="95250" cy="213632"/>
    <xdr:sp macro="" textlink="">
      <xdr:nvSpPr>
        <xdr:cNvPr id="957" name="Text Box 15">
          <a:extLst>
            <a:ext uri="{FF2B5EF4-FFF2-40B4-BE49-F238E27FC236}">
              <a16:creationId xmlns:a16="http://schemas.microsoft.com/office/drawing/2014/main" id="{00000000-0008-0000-0500-0000BD030000}"/>
            </a:ext>
          </a:extLst>
        </xdr:cNvPr>
        <xdr:cNvSpPr txBox="1">
          <a:spLocks noChangeArrowheads="1"/>
        </xdr:cNvSpPr>
      </xdr:nvSpPr>
      <xdr:spPr bwMode="auto">
        <a:xfrm>
          <a:off x="6655254" y="7701643"/>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127</xdr:row>
      <xdr:rowOff>0</xdr:rowOff>
    </xdr:from>
    <xdr:ext cx="95250" cy="213632"/>
    <xdr:sp macro="" textlink="">
      <xdr:nvSpPr>
        <xdr:cNvPr id="958" name="Text Box 15">
          <a:extLst>
            <a:ext uri="{FF2B5EF4-FFF2-40B4-BE49-F238E27FC236}">
              <a16:creationId xmlns:a16="http://schemas.microsoft.com/office/drawing/2014/main" id="{00000000-0008-0000-0500-0000BE030000}"/>
            </a:ext>
          </a:extLst>
        </xdr:cNvPr>
        <xdr:cNvSpPr txBox="1">
          <a:spLocks noChangeArrowheads="1"/>
        </xdr:cNvSpPr>
      </xdr:nvSpPr>
      <xdr:spPr bwMode="auto">
        <a:xfrm>
          <a:off x="6655254" y="7701643"/>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127</xdr:row>
      <xdr:rowOff>0</xdr:rowOff>
    </xdr:from>
    <xdr:ext cx="95250" cy="213632"/>
    <xdr:sp macro="" textlink="">
      <xdr:nvSpPr>
        <xdr:cNvPr id="959" name="Text Box 15">
          <a:extLst>
            <a:ext uri="{FF2B5EF4-FFF2-40B4-BE49-F238E27FC236}">
              <a16:creationId xmlns:a16="http://schemas.microsoft.com/office/drawing/2014/main" id="{00000000-0008-0000-0500-0000BF030000}"/>
            </a:ext>
          </a:extLst>
        </xdr:cNvPr>
        <xdr:cNvSpPr txBox="1">
          <a:spLocks noChangeArrowheads="1"/>
        </xdr:cNvSpPr>
      </xdr:nvSpPr>
      <xdr:spPr bwMode="auto">
        <a:xfrm>
          <a:off x="6655254" y="7701643"/>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127</xdr:row>
      <xdr:rowOff>0</xdr:rowOff>
    </xdr:from>
    <xdr:ext cx="95250" cy="213632"/>
    <xdr:sp macro="" textlink="">
      <xdr:nvSpPr>
        <xdr:cNvPr id="960" name="Text Box 15">
          <a:extLst>
            <a:ext uri="{FF2B5EF4-FFF2-40B4-BE49-F238E27FC236}">
              <a16:creationId xmlns:a16="http://schemas.microsoft.com/office/drawing/2014/main" id="{00000000-0008-0000-0500-0000C0030000}"/>
            </a:ext>
          </a:extLst>
        </xdr:cNvPr>
        <xdr:cNvSpPr txBox="1">
          <a:spLocks noChangeArrowheads="1"/>
        </xdr:cNvSpPr>
      </xdr:nvSpPr>
      <xdr:spPr bwMode="auto">
        <a:xfrm>
          <a:off x="6655254" y="7701643"/>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127</xdr:row>
      <xdr:rowOff>0</xdr:rowOff>
    </xdr:from>
    <xdr:ext cx="95250" cy="213632"/>
    <xdr:sp macro="" textlink="">
      <xdr:nvSpPr>
        <xdr:cNvPr id="961" name="Text Box 15">
          <a:extLst>
            <a:ext uri="{FF2B5EF4-FFF2-40B4-BE49-F238E27FC236}">
              <a16:creationId xmlns:a16="http://schemas.microsoft.com/office/drawing/2014/main" id="{00000000-0008-0000-0500-0000C1030000}"/>
            </a:ext>
          </a:extLst>
        </xdr:cNvPr>
        <xdr:cNvSpPr txBox="1">
          <a:spLocks noChangeArrowheads="1"/>
        </xdr:cNvSpPr>
      </xdr:nvSpPr>
      <xdr:spPr bwMode="auto">
        <a:xfrm>
          <a:off x="6655254" y="7701643"/>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127</xdr:row>
      <xdr:rowOff>0</xdr:rowOff>
    </xdr:from>
    <xdr:ext cx="95250" cy="213632"/>
    <xdr:sp macro="" textlink="">
      <xdr:nvSpPr>
        <xdr:cNvPr id="962" name="Text Box 15">
          <a:extLst>
            <a:ext uri="{FF2B5EF4-FFF2-40B4-BE49-F238E27FC236}">
              <a16:creationId xmlns:a16="http://schemas.microsoft.com/office/drawing/2014/main" id="{00000000-0008-0000-0500-0000C2030000}"/>
            </a:ext>
          </a:extLst>
        </xdr:cNvPr>
        <xdr:cNvSpPr txBox="1">
          <a:spLocks noChangeArrowheads="1"/>
        </xdr:cNvSpPr>
      </xdr:nvSpPr>
      <xdr:spPr bwMode="auto">
        <a:xfrm>
          <a:off x="6655254" y="7701643"/>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127</xdr:row>
      <xdr:rowOff>0</xdr:rowOff>
    </xdr:from>
    <xdr:ext cx="95250" cy="213632"/>
    <xdr:sp macro="" textlink="">
      <xdr:nvSpPr>
        <xdr:cNvPr id="963" name="Text Box 15">
          <a:extLst>
            <a:ext uri="{FF2B5EF4-FFF2-40B4-BE49-F238E27FC236}">
              <a16:creationId xmlns:a16="http://schemas.microsoft.com/office/drawing/2014/main" id="{00000000-0008-0000-0500-0000C3030000}"/>
            </a:ext>
          </a:extLst>
        </xdr:cNvPr>
        <xdr:cNvSpPr txBox="1">
          <a:spLocks noChangeArrowheads="1"/>
        </xdr:cNvSpPr>
      </xdr:nvSpPr>
      <xdr:spPr bwMode="auto">
        <a:xfrm>
          <a:off x="6655254" y="7701643"/>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127</xdr:row>
      <xdr:rowOff>0</xdr:rowOff>
    </xdr:from>
    <xdr:ext cx="95250" cy="213632"/>
    <xdr:sp macro="" textlink="">
      <xdr:nvSpPr>
        <xdr:cNvPr id="964" name="Text Box 15">
          <a:extLst>
            <a:ext uri="{FF2B5EF4-FFF2-40B4-BE49-F238E27FC236}">
              <a16:creationId xmlns:a16="http://schemas.microsoft.com/office/drawing/2014/main" id="{00000000-0008-0000-0500-0000C4030000}"/>
            </a:ext>
          </a:extLst>
        </xdr:cNvPr>
        <xdr:cNvSpPr txBox="1">
          <a:spLocks noChangeArrowheads="1"/>
        </xdr:cNvSpPr>
      </xdr:nvSpPr>
      <xdr:spPr bwMode="auto">
        <a:xfrm>
          <a:off x="6655254" y="7888968"/>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127</xdr:row>
      <xdr:rowOff>0</xdr:rowOff>
    </xdr:from>
    <xdr:ext cx="95250" cy="213632"/>
    <xdr:sp macro="" textlink="">
      <xdr:nvSpPr>
        <xdr:cNvPr id="965" name="Text Box 15">
          <a:extLst>
            <a:ext uri="{FF2B5EF4-FFF2-40B4-BE49-F238E27FC236}">
              <a16:creationId xmlns:a16="http://schemas.microsoft.com/office/drawing/2014/main" id="{00000000-0008-0000-0500-0000C5030000}"/>
            </a:ext>
          </a:extLst>
        </xdr:cNvPr>
        <xdr:cNvSpPr txBox="1">
          <a:spLocks noChangeArrowheads="1"/>
        </xdr:cNvSpPr>
      </xdr:nvSpPr>
      <xdr:spPr bwMode="auto">
        <a:xfrm>
          <a:off x="6655254" y="7888968"/>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127</xdr:row>
      <xdr:rowOff>0</xdr:rowOff>
    </xdr:from>
    <xdr:ext cx="95250" cy="213632"/>
    <xdr:sp macro="" textlink="">
      <xdr:nvSpPr>
        <xdr:cNvPr id="966" name="Text Box 15">
          <a:extLst>
            <a:ext uri="{FF2B5EF4-FFF2-40B4-BE49-F238E27FC236}">
              <a16:creationId xmlns:a16="http://schemas.microsoft.com/office/drawing/2014/main" id="{00000000-0008-0000-0500-0000C6030000}"/>
            </a:ext>
          </a:extLst>
        </xdr:cNvPr>
        <xdr:cNvSpPr txBox="1">
          <a:spLocks noChangeArrowheads="1"/>
        </xdr:cNvSpPr>
      </xdr:nvSpPr>
      <xdr:spPr bwMode="auto">
        <a:xfrm>
          <a:off x="6655254" y="7892143"/>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127</xdr:row>
      <xdr:rowOff>0</xdr:rowOff>
    </xdr:from>
    <xdr:ext cx="95250" cy="213632"/>
    <xdr:sp macro="" textlink="">
      <xdr:nvSpPr>
        <xdr:cNvPr id="967" name="Text Box 15">
          <a:extLst>
            <a:ext uri="{FF2B5EF4-FFF2-40B4-BE49-F238E27FC236}">
              <a16:creationId xmlns:a16="http://schemas.microsoft.com/office/drawing/2014/main" id="{00000000-0008-0000-0500-0000C7030000}"/>
            </a:ext>
          </a:extLst>
        </xdr:cNvPr>
        <xdr:cNvSpPr txBox="1">
          <a:spLocks noChangeArrowheads="1"/>
        </xdr:cNvSpPr>
      </xdr:nvSpPr>
      <xdr:spPr bwMode="auto">
        <a:xfrm>
          <a:off x="6655254" y="7892143"/>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127</xdr:row>
      <xdr:rowOff>0</xdr:rowOff>
    </xdr:from>
    <xdr:ext cx="95250" cy="213632"/>
    <xdr:sp macro="" textlink="">
      <xdr:nvSpPr>
        <xdr:cNvPr id="968" name="Text Box 15">
          <a:extLst>
            <a:ext uri="{FF2B5EF4-FFF2-40B4-BE49-F238E27FC236}">
              <a16:creationId xmlns:a16="http://schemas.microsoft.com/office/drawing/2014/main" id="{00000000-0008-0000-0500-0000C8030000}"/>
            </a:ext>
          </a:extLst>
        </xdr:cNvPr>
        <xdr:cNvSpPr txBox="1">
          <a:spLocks noChangeArrowheads="1"/>
        </xdr:cNvSpPr>
      </xdr:nvSpPr>
      <xdr:spPr bwMode="auto">
        <a:xfrm>
          <a:off x="6655254" y="7892143"/>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127</xdr:row>
      <xdr:rowOff>0</xdr:rowOff>
    </xdr:from>
    <xdr:ext cx="95250" cy="213632"/>
    <xdr:sp macro="" textlink="">
      <xdr:nvSpPr>
        <xdr:cNvPr id="969" name="Text Box 15">
          <a:extLst>
            <a:ext uri="{FF2B5EF4-FFF2-40B4-BE49-F238E27FC236}">
              <a16:creationId xmlns:a16="http://schemas.microsoft.com/office/drawing/2014/main" id="{00000000-0008-0000-0500-0000C9030000}"/>
            </a:ext>
          </a:extLst>
        </xdr:cNvPr>
        <xdr:cNvSpPr txBox="1">
          <a:spLocks noChangeArrowheads="1"/>
        </xdr:cNvSpPr>
      </xdr:nvSpPr>
      <xdr:spPr bwMode="auto">
        <a:xfrm>
          <a:off x="6655254" y="7892143"/>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127</xdr:row>
      <xdr:rowOff>0</xdr:rowOff>
    </xdr:from>
    <xdr:ext cx="95250" cy="213632"/>
    <xdr:sp macro="" textlink="">
      <xdr:nvSpPr>
        <xdr:cNvPr id="970" name="Text Box 15">
          <a:extLst>
            <a:ext uri="{FF2B5EF4-FFF2-40B4-BE49-F238E27FC236}">
              <a16:creationId xmlns:a16="http://schemas.microsoft.com/office/drawing/2014/main" id="{00000000-0008-0000-0500-0000CA030000}"/>
            </a:ext>
          </a:extLst>
        </xdr:cNvPr>
        <xdr:cNvSpPr txBox="1">
          <a:spLocks noChangeArrowheads="1"/>
        </xdr:cNvSpPr>
      </xdr:nvSpPr>
      <xdr:spPr bwMode="auto">
        <a:xfrm>
          <a:off x="6655254" y="7892143"/>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127</xdr:row>
      <xdr:rowOff>0</xdr:rowOff>
    </xdr:from>
    <xdr:ext cx="95250" cy="213632"/>
    <xdr:sp macro="" textlink="">
      <xdr:nvSpPr>
        <xdr:cNvPr id="971" name="Text Box 15">
          <a:extLst>
            <a:ext uri="{FF2B5EF4-FFF2-40B4-BE49-F238E27FC236}">
              <a16:creationId xmlns:a16="http://schemas.microsoft.com/office/drawing/2014/main" id="{00000000-0008-0000-0500-0000CB030000}"/>
            </a:ext>
          </a:extLst>
        </xdr:cNvPr>
        <xdr:cNvSpPr txBox="1">
          <a:spLocks noChangeArrowheads="1"/>
        </xdr:cNvSpPr>
      </xdr:nvSpPr>
      <xdr:spPr bwMode="auto">
        <a:xfrm>
          <a:off x="6655254" y="7892143"/>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127</xdr:row>
      <xdr:rowOff>0</xdr:rowOff>
    </xdr:from>
    <xdr:ext cx="95250" cy="213632"/>
    <xdr:sp macro="" textlink="">
      <xdr:nvSpPr>
        <xdr:cNvPr id="972" name="Text Box 15">
          <a:extLst>
            <a:ext uri="{FF2B5EF4-FFF2-40B4-BE49-F238E27FC236}">
              <a16:creationId xmlns:a16="http://schemas.microsoft.com/office/drawing/2014/main" id="{00000000-0008-0000-0500-0000CC030000}"/>
            </a:ext>
          </a:extLst>
        </xdr:cNvPr>
        <xdr:cNvSpPr txBox="1">
          <a:spLocks noChangeArrowheads="1"/>
        </xdr:cNvSpPr>
      </xdr:nvSpPr>
      <xdr:spPr bwMode="auto">
        <a:xfrm>
          <a:off x="6655254" y="7892143"/>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127</xdr:row>
      <xdr:rowOff>0</xdr:rowOff>
    </xdr:from>
    <xdr:ext cx="95250" cy="213632"/>
    <xdr:sp macro="" textlink="">
      <xdr:nvSpPr>
        <xdr:cNvPr id="973" name="Text Box 15">
          <a:extLst>
            <a:ext uri="{FF2B5EF4-FFF2-40B4-BE49-F238E27FC236}">
              <a16:creationId xmlns:a16="http://schemas.microsoft.com/office/drawing/2014/main" id="{00000000-0008-0000-0500-0000CD030000}"/>
            </a:ext>
          </a:extLst>
        </xdr:cNvPr>
        <xdr:cNvSpPr txBox="1">
          <a:spLocks noChangeArrowheads="1"/>
        </xdr:cNvSpPr>
      </xdr:nvSpPr>
      <xdr:spPr bwMode="auto">
        <a:xfrm>
          <a:off x="6655254" y="7892143"/>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127</xdr:row>
      <xdr:rowOff>0</xdr:rowOff>
    </xdr:from>
    <xdr:ext cx="95250" cy="213632"/>
    <xdr:sp macro="" textlink="">
      <xdr:nvSpPr>
        <xdr:cNvPr id="974" name="Text Box 15">
          <a:extLst>
            <a:ext uri="{FF2B5EF4-FFF2-40B4-BE49-F238E27FC236}">
              <a16:creationId xmlns:a16="http://schemas.microsoft.com/office/drawing/2014/main" id="{00000000-0008-0000-0500-0000CE030000}"/>
            </a:ext>
          </a:extLst>
        </xdr:cNvPr>
        <xdr:cNvSpPr txBox="1">
          <a:spLocks noChangeArrowheads="1"/>
        </xdr:cNvSpPr>
      </xdr:nvSpPr>
      <xdr:spPr bwMode="auto">
        <a:xfrm>
          <a:off x="6655254" y="7892143"/>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127</xdr:row>
      <xdr:rowOff>0</xdr:rowOff>
    </xdr:from>
    <xdr:ext cx="95250" cy="213632"/>
    <xdr:sp macro="" textlink="">
      <xdr:nvSpPr>
        <xdr:cNvPr id="975" name="Text Box 15">
          <a:extLst>
            <a:ext uri="{FF2B5EF4-FFF2-40B4-BE49-F238E27FC236}">
              <a16:creationId xmlns:a16="http://schemas.microsoft.com/office/drawing/2014/main" id="{00000000-0008-0000-0500-0000CF030000}"/>
            </a:ext>
          </a:extLst>
        </xdr:cNvPr>
        <xdr:cNvSpPr txBox="1">
          <a:spLocks noChangeArrowheads="1"/>
        </xdr:cNvSpPr>
      </xdr:nvSpPr>
      <xdr:spPr bwMode="auto">
        <a:xfrm>
          <a:off x="6655254" y="7892143"/>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127</xdr:row>
      <xdr:rowOff>0</xdr:rowOff>
    </xdr:from>
    <xdr:ext cx="95250" cy="213632"/>
    <xdr:sp macro="" textlink="">
      <xdr:nvSpPr>
        <xdr:cNvPr id="976" name="Text Box 15">
          <a:extLst>
            <a:ext uri="{FF2B5EF4-FFF2-40B4-BE49-F238E27FC236}">
              <a16:creationId xmlns:a16="http://schemas.microsoft.com/office/drawing/2014/main" id="{00000000-0008-0000-0500-0000D0030000}"/>
            </a:ext>
          </a:extLst>
        </xdr:cNvPr>
        <xdr:cNvSpPr txBox="1">
          <a:spLocks noChangeArrowheads="1"/>
        </xdr:cNvSpPr>
      </xdr:nvSpPr>
      <xdr:spPr bwMode="auto">
        <a:xfrm>
          <a:off x="6655254" y="7892143"/>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127</xdr:row>
      <xdr:rowOff>0</xdr:rowOff>
    </xdr:from>
    <xdr:ext cx="95250" cy="213632"/>
    <xdr:sp macro="" textlink="">
      <xdr:nvSpPr>
        <xdr:cNvPr id="977" name="Text Box 15">
          <a:extLst>
            <a:ext uri="{FF2B5EF4-FFF2-40B4-BE49-F238E27FC236}">
              <a16:creationId xmlns:a16="http://schemas.microsoft.com/office/drawing/2014/main" id="{00000000-0008-0000-0500-0000D1030000}"/>
            </a:ext>
          </a:extLst>
        </xdr:cNvPr>
        <xdr:cNvSpPr txBox="1">
          <a:spLocks noChangeArrowheads="1"/>
        </xdr:cNvSpPr>
      </xdr:nvSpPr>
      <xdr:spPr bwMode="auto">
        <a:xfrm>
          <a:off x="6655254" y="7892143"/>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127</xdr:row>
      <xdr:rowOff>0</xdr:rowOff>
    </xdr:from>
    <xdr:ext cx="95250" cy="213632"/>
    <xdr:sp macro="" textlink="">
      <xdr:nvSpPr>
        <xdr:cNvPr id="978" name="Text Box 15">
          <a:extLst>
            <a:ext uri="{FF2B5EF4-FFF2-40B4-BE49-F238E27FC236}">
              <a16:creationId xmlns:a16="http://schemas.microsoft.com/office/drawing/2014/main" id="{00000000-0008-0000-0500-0000D2030000}"/>
            </a:ext>
          </a:extLst>
        </xdr:cNvPr>
        <xdr:cNvSpPr txBox="1">
          <a:spLocks noChangeArrowheads="1"/>
        </xdr:cNvSpPr>
      </xdr:nvSpPr>
      <xdr:spPr bwMode="auto">
        <a:xfrm>
          <a:off x="6655254" y="7892143"/>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127</xdr:row>
      <xdr:rowOff>0</xdr:rowOff>
    </xdr:from>
    <xdr:ext cx="95250" cy="213632"/>
    <xdr:sp macro="" textlink="">
      <xdr:nvSpPr>
        <xdr:cNvPr id="979" name="Text Box 15">
          <a:extLst>
            <a:ext uri="{FF2B5EF4-FFF2-40B4-BE49-F238E27FC236}">
              <a16:creationId xmlns:a16="http://schemas.microsoft.com/office/drawing/2014/main" id="{00000000-0008-0000-0500-0000D3030000}"/>
            </a:ext>
          </a:extLst>
        </xdr:cNvPr>
        <xdr:cNvSpPr txBox="1">
          <a:spLocks noChangeArrowheads="1"/>
        </xdr:cNvSpPr>
      </xdr:nvSpPr>
      <xdr:spPr bwMode="auto">
        <a:xfrm>
          <a:off x="6655254" y="7892143"/>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127</xdr:row>
      <xdr:rowOff>0</xdr:rowOff>
    </xdr:from>
    <xdr:ext cx="95250" cy="213632"/>
    <xdr:sp macro="" textlink="">
      <xdr:nvSpPr>
        <xdr:cNvPr id="980" name="Text Box 15">
          <a:extLst>
            <a:ext uri="{FF2B5EF4-FFF2-40B4-BE49-F238E27FC236}">
              <a16:creationId xmlns:a16="http://schemas.microsoft.com/office/drawing/2014/main" id="{00000000-0008-0000-0500-0000D4030000}"/>
            </a:ext>
          </a:extLst>
        </xdr:cNvPr>
        <xdr:cNvSpPr txBox="1">
          <a:spLocks noChangeArrowheads="1"/>
        </xdr:cNvSpPr>
      </xdr:nvSpPr>
      <xdr:spPr bwMode="auto">
        <a:xfrm>
          <a:off x="6655254" y="7892143"/>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127</xdr:row>
      <xdr:rowOff>0</xdr:rowOff>
    </xdr:from>
    <xdr:ext cx="95250" cy="213632"/>
    <xdr:sp macro="" textlink="">
      <xdr:nvSpPr>
        <xdr:cNvPr id="981" name="Text Box 15">
          <a:extLst>
            <a:ext uri="{FF2B5EF4-FFF2-40B4-BE49-F238E27FC236}">
              <a16:creationId xmlns:a16="http://schemas.microsoft.com/office/drawing/2014/main" id="{00000000-0008-0000-0500-0000D5030000}"/>
            </a:ext>
          </a:extLst>
        </xdr:cNvPr>
        <xdr:cNvSpPr txBox="1">
          <a:spLocks noChangeArrowheads="1"/>
        </xdr:cNvSpPr>
      </xdr:nvSpPr>
      <xdr:spPr bwMode="auto">
        <a:xfrm>
          <a:off x="6655254" y="7892143"/>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127</xdr:row>
      <xdr:rowOff>0</xdr:rowOff>
    </xdr:from>
    <xdr:ext cx="95250" cy="213632"/>
    <xdr:sp macro="" textlink="">
      <xdr:nvSpPr>
        <xdr:cNvPr id="982" name="Text Box 15">
          <a:extLst>
            <a:ext uri="{FF2B5EF4-FFF2-40B4-BE49-F238E27FC236}">
              <a16:creationId xmlns:a16="http://schemas.microsoft.com/office/drawing/2014/main" id="{00000000-0008-0000-0500-0000D6030000}"/>
            </a:ext>
          </a:extLst>
        </xdr:cNvPr>
        <xdr:cNvSpPr txBox="1">
          <a:spLocks noChangeArrowheads="1"/>
        </xdr:cNvSpPr>
      </xdr:nvSpPr>
      <xdr:spPr bwMode="auto">
        <a:xfrm>
          <a:off x="6655254" y="7892143"/>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127</xdr:row>
      <xdr:rowOff>0</xdr:rowOff>
    </xdr:from>
    <xdr:ext cx="95250" cy="213632"/>
    <xdr:sp macro="" textlink="">
      <xdr:nvSpPr>
        <xdr:cNvPr id="983" name="Text Box 15">
          <a:extLst>
            <a:ext uri="{FF2B5EF4-FFF2-40B4-BE49-F238E27FC236}">
              <a16:creationId xmlns:a16="http://schemas.microsoft.com/office/drawing/2014/main" id="{00000000-0008-0000-0500-0000D7030000}"/>
            </a:ext>
          </a:extLst>
        </xdr:cNvPr>
        <xdr:cNvSpPr txBox="1">
          <a:spLocks noChangeArrowheads="1"/>
        </xdr:cNvSpPr>
      </xdr:nvSpPr>
      <xdr:spPr bwMode="auto">
        <a:xfrm>
          <a:off x="6655254" y="7892143"/>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127</xdr:row>
      <xdr:rowOff>0</xdr:rowOff>
    </xdr:from>
    <xdr:ext cx="95250" cy="213632"/>
    <xdr:sp macro="" textlink="">
      <xdr:nvSpPr>
        <xdr:cNvPr id="984" name="Text Box 15">
          <a:extLst>
            <a:ext uri="{FF2B5EF4-FFF2-40B4-BE49-F238E27FC236}">
              <a16:creationId xmlns:a16="http://schemas.microsoft.com/office/drawing/2014/main" id="{00000000-0008-0000-0500-0000D8030000}"/>
            </a:ext>
          </a:extLst>
        </xdr:cNvPr>
        <xdr:cNvSpPr txBox="1">
          <a:spLocks noChangeArrowheads="1"/>
        </xdr:cNvSpPr>
      </xdr:nvSpPr>
      <xdr:spPr bwMode="auto">
        <a:xfrm>
          <a:off x="6655254" y="7892143"/>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127</xdr:row>
      <xdr:rowOff>0</xdr:rowOff>
    </xdr:from>
    <xdr:ext cx="95250" cy="213632"/>
    <xdr:sp macro="" textlink="">
      <xdr:nvSpPr>
        <xdr:cNvPr id="985" name="Text Box 15">
          <a:extLst>
            <a:ext uri="{FF2B5EF4-FFF2-40B4-BE49-F238E27FC236}">
              <a16:creationId xmlns:a16="http://schemas.microsoft.com/office/drawing/2014/main" id="{00000000-0008-0000-0500-0000D9030000}"/>
            </a:ext>
          </a:extLst>
        </xdr:cNvPr>
        <xdr:cNvSpPr txBox="1">
          <a:spLocks noChangeArrowheads="1"/>
        </xdr:cNvSpPr>
      </xdr:nvSpPr>
      <xdr:spPr bwMode="auto">
        <a:xfrm>
          <a:off x="6655254" y="7892143"/>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127</xdr:row>
      <xdr:rowOff>0</xdr:rowOff>
    </xdr:from>
    <xdr:ext cx="95250" cy="213632"/>
    <xdr:sp macro="" textlink="">
      <xdr:nvSpPr>
        <xdr:cNvPr id="986" name="Text Box 15">
          <a:extLst>
            <a:ext uri="{FF2B5EF4-FFF2-40B4-BE49-F238E27FC236}">
              <a16:creationId xmlns:a16="http://schemas.microsoft.com/office/drawing/2014/main" id="{00000000-0008-0000-0500-0000DA030000}"/>
            </a:ext>
          </a:extLst>
        </xdr:cNvPr>
        <xdr:cNvSpPr txBox="1">
          <a:spLocks noChangeArrowheads="1"/>
        </xdr:cNvSpPr>
      </xdr:nvSpPr>
      <xdr:spPr bwMode="auto">
        <a:xfrm>
          <a:off x="6655254" y="7892143"/>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127</xdr:row>
      <xdr:rowOff>0</xdr:rowOff>
    </xdr:from>
    <xdr:ext cx="95250" cy="213632"/>
    <xdr:sp macro="" textlink="">
      <xdr:nvSpPr>
        <xdr:cNvPr id="987" name="Text Box 15">
          <a:extLst>
            <a:ext uri="{FF2B5EF4-FFF2-40B4-BE49-F238E27FC236}">
              <a16:creationId xmlns:a16="http://schemas.microsoft.com/office/drawing/2014/main" id="{00000000-0008-0000-0500-0000DB030000}"/>
            </a:ext>
          </a:extLst>
        </xdr:cNvPr>
        <xdr:cNvSpPr txBox="1">
          <a:spLocks noChangeArrowheads="1"/>
        </xdr:cNvSpPr>
      </xdr:nvSpPr>
      <xdr:spPr bwMode="auto">
        <a:xfrm>
          <a:off x="6655254" y="7892143"/>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127</xdr:row>
      <xdr:rowOff>0</xdr:rowOff>
    </xdr:from>
    <xdr:ext cx="95250" cy="213632"/>
    <xdr:sp macro="" textlink="">
      <xdr:nvSpPr>
        <xdr:cNvPr id="988" name="Text Box 15">
          <a:extLst>
            <a:ext uri="{FF2B5EF4-FFF2-40B4-BE49-F238E27FC236}">
              <a16:creationId xmlns:a16="http://schemas.microsoft.com/office/drawing/2014/main" id="{00000000-0008-0000-0500-0000DC030000}"/>
            </a:ext>
          </a:extLst>
        </xdr:cNvPr>
        <xdr:cNvSpPr txBox="1">
          <a:spLocks noChangeArrowheads="1"/>
        </xdr:cNvSpPr>
      </xdr:nvSpPr>
      <xdr:spPr bwMode="auto">
        <a:xfrm>
          <a:off x="6655254" y="7892143"/>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127</xdr:row>
      <xdr:rowOff>0</xdr:rowOff>
    </xdr:from>
    <xdr:ext cx="95250" cy="213632"/>
    <xdr:sp macro="" textlink="">
      <xdr:nvSpPr>
        <xdr:cNvPr id="989" name="Text Box 15">
          <a:extLst>
            <a:ext uri="{FF2B5EF4-FFF2-40B4-BE49-F238E27FC236}">
              <a16:creationId xmlns:a16="http://schemas.microsoft.com/office/drawing/2014/main" id="{00000000-0008-0000-0500-0000DD030000}"/>
            </a:ext>
          </a:extLst>
        </xdr:cNvPr>
        <xdr:cNvSpPr txBox="1">
          <a:spLocks noChangeArrowheads="1"/>
        </xdr:cNvSpPr>
      </xdr:nvSpPr>
      <xdr:spPr bwMode="auto">
        <a:xfrm>
          <a:off x="6655254" y="7892143"/>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127</xdr:row>
      <xdr:rowOff>0</xdr:rowOff>
    </xdr:from>
    <xdr:ext cx="95250" cy="213632"/>
    <xdr:sp macro="" textlink="">
      <xdr:nvSpPr>
        <xdr:cNvPr id="990" name="Text Box 15">
          <a:extLst>
            <a:ext uri="{FF2B5EF4-FFF2-40B4-BE49-F238E27FC236}">
              <a16:creationId xmlns:a16="http://schemas.microsoft.com/office/drawing/2014/main" id="{00000000-0008-0000-0500-0000DE030000}"/>
            </a:ext>
          </a:extLst>
        </xdr:cNvPr>
        <xdr:cNvSpPr txBox="1">
          <a:spLocks noChangeArrowheads="1"/>
        </xdr:cNvSpPr>
      </xdr:nvSpPr>
      <xdr:spPr bwMode="auto">
        <a:xfrm>
          <a:off x="6655254" y="7892143"/>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127</xdr:row>
      <xdr:rowOff>0</xdr:rowOff>
    </xdr:from>
    <xdr:ext cx="95250" cy="213632"/>
    <xdr:sp macro="" textlink="">
      <xdr:nvSpPr>
        <xdr:cNvPr id="991" name="Text Box 15">
          <a:extLst>
            <a:ext uri="{FF2B5EF4-FFF2-40B4-BE49-F238E27FC236}">
              <a16:creationId xmlns:a16="http://schemas.microsoft.com/office/drawing/2014/main" id="{00000000-0008-0000-0500-0000DF030000}"/>
            </a:ext>
          </a:extLst>
        </xdr:cNvPr>
        <xdr:cNvSpPr txBox="1">
          <a:spLocks noChangeArrowheads="1"/>
        </xdr:cNvSpPr>
      </xdr:nvSpPr>
      <xdr:spPr bwMode="auto">
        <a:xfrm>
          <a:off x="6655254" y="7892143"/>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127</xdr:row>
      <xdr:rowOff>0</xdr:rowOff>
    </xdr:from>
    <xdr:ext cx="95250" cy="213632"/>
    <xdr:sp macro="" textlink="">
      <xdr:nvSpPr>
        <xdr:cNvPr id="992" name="Text Box 15">
          <a:extLst>
            <a:ext uri="{FF2B5EF4-FFF2-40B4-BE49-F238E27FC236}">
              <a16:creationId xmlns:a16="http://schemas.microsoft.com/office/drawing/2014/main" id="{00000000-0008-0000-0500-0000E0030000}"/>
            </a:ext>
          </a:extLst>
        </xdr:cNvPr>
        <xdr:cNvSpPr txBox="1">
          <a:spLocks noChangeArrowheads="1"/>
        </xdr:cNvSpPr>
      </xdr:nvSpPr>
      <xdr:spPr bwMode="auto">
        <a:xfrm>
          <a:off x="6655254" y="7892143"/>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127</xdr:row>
      <xdr:rowOff>0</xdr:rowOff>
    </xdr:from>
    <xdr:ext cx="95250" cy="213632"/>
    <xdr:sp macro="" textlink="">
      <xdr:nvSpPr>
        <xdr:cNvPr id="993" name="Text Box 15">
          <a:extLst>
            <a:ext uri="{FF2B5EF4-FFF2-40B4-BE49-F238E27FC236}">
              <a16:creationId xmlns:a16="http://schemas.microsoft.com/office/drawing/2014/main" id="{00000000-0008-0000-0500-0000E1030000}"/>
            </a:ext>
          </a:extLst>
        </xdr:cNvPr>
        <xdr:cNvSpPr txBox="1">
          <a:spLocks noChangeArrowheads="1"/>
        </xdr:cNvSpPr>
      </xdr:nvSpPr>
      <xdr:spPr bwMode="auto">
        <a:xfrm>
          <a:off x="6655254" y="7892143"/>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127</xdr:row>
      <xdr:rowOff>0</xdr:rowOff>
    </xdr:from>
    <xdr:ext cx="95250" cy="213632"/>
    <xdr:sp macro="" textlink="">
      <xdr:nvSpPr>
        <xdr:cNvPr id="994" name="Text Box 15">
          <a:extLst>
            <a:ext uri="{FF2B5EF4-FFF2-40B4-BE49-F238E27FC236}">
              <a16:creationId xmlns:a16="http://schemas.microsoft.com/office/drawing/2014/main" id="{00000000-0008-0000-0500-0000E2030000}"/>
            </a:ext>
          </a:extLst>
        </xdr:cNvPr>
        <xdr:cNvSpPr txBox="1">
          <a:spLocks noChangeArrowheads="1"/>
        </xdr:cNvSpPr>
      </xdr:nvSpPr>
      <xdr:spPr bwMode="auto">
        <a:xfrm>
          <a:off x="6655254" y="7892143"/>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127</xdr:row>
      <xdr:rowOff>0</xdr:rowOff>
    </xdr:from>
    <xdr:ext cx="95250" cy="213632"/>
    <xdr:sp macro="" textlink="">
      <xdr:nvSpPr>
        <xdr:cNvPr id="995" name="Text Box 15">
          <a:extLst>
            <a:ext uri="{FF2B5EF4-FFF2-40B4-BE49-F238E27FC236}">
              <a16:creationId xmlns:a16="http://schemas.microsoft.com/office/drawing/2014/main" id="{00000000-0008-0000-0500-0000E3030000}"/>
            </a:ext>
          </a:extLst>
        </xdr:cNvPr>
        <xdr:cNvSpPr txBox="1">
          <a:spLocks noChangeArrowheads="1"/>
        </xdr:cNvSpPr>
      </xdr:nvSpPr>
      <xdr:spPr bwMode="auto">
        <a:xfrm>
          <a:off x="6655254" y="7892143"/>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127</xdr:row>
      <xdr:rowOff>0</xdr:rowOff>
    </xdr:from>
    <xdr:ext cx="95250" cy="213632"/>
    <xdr:sp macro="" textlink="">
      <xdr:nvSpPr>
        <xdr:cNvPr id="996" name="Text Box 15">
          <a:extLst>
            <a:ext uri="{FF2B5EF4-FFF2-40B4-BE49-F238E27FC236}">
              <a16:creationId xmlns:a16="http://schemas.microsoft.com/office/drawing/2014/main" id="{00000000-0008-0000-0500-0000E4030000}"/>
            </a:ext>
          </a:extLst>
        </xdr:cNvPr>
        <xdr:cNvSpPr txBox="1">
          <a:spLocks noChangeArrowheads="1"/>
        </xdr:cNvSpPr>
      </xdr:nvSpPr>
      <xdr:spPr bwMode="auto">
        <a:xfrm>
          <a:off x="6655254" y="7892143"/>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127</xdr:row>
      <xdr:rowOff>0</xdr:rowOff>
    </xdr:from>
    <xdr:ext cx="95250" cy="213632"/>
    <xdr:sp macro="" textlink="">
      <xdr:nvSpPr>
        <xdr:cNvPr id="997" name="Text Box 15">
          <a:extLst>
            <a:ext uri="{FF2B5EF4-FFF2-40B4-BE49-F238E27FC236}">
              <a16:creationId xmlns:a16="http://schemas.microsoft.com/office/drawing/2014/main" id="{00000000-0008-0000-0500-0000E5030000}"/>
            </a:ext>
          </a:extLst>
        </xdr:cNvPr>
        <xdr:cNvSpPr txBox="1">
          <a:spLocks noChangeArrowheads="1"/>
        </xdr:cNvSpPr>
      </xdr:nvSpPr>
      <xdr:spPr bwMode="auto">
        <a:xfrm>
          <a:off x="6655254" y="7892143"/>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127</xdr:row>
      <xdr:rowOff>0</xdr:rowOff>
    </xdr:from>
    <xdr:ext cx="95250" cy="213632"/>
    <xdr:sp macro="" textlink="">
      <xdr:nvSpPr>
        <xdr:cNvPr id="998" name="Text Box 15">
          <a:extLst>
            <a:ext uri="{FF2B5EF4-FFF2-40B4-BE49-F238E27FC236}">
              <a16:creationId xmlns:a16="http://schemas.microsoft.com/office/drawing/2014/main" id="{00000000-0008-0000-0500-0000E6030000}"/>
            </a:ext>
          </a:extLst>
        </xdr:cNvPr>
        <xdr:cNvSpPr txBox="1">
          <a:spLocks noChangeArrowheads="1"/>
        </xdr:cNvSpPr>
      </xdr:nvSpPr>
      <xdr:spPr bwMode="auto">
        <a:xfrm>
          <a:off x="6655254" y="7892143"/>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127</xdr:row>
      <xdr:rowOff>0</xdr:rowOff>
    </xdr:from>
    <xdr:ext cx="95250" cy="213632"/>
    <xdr:sp macro="" textlink="">
      <xdr:nvSpPr>
        <xdr:cNvPr id="999" name="Text Box 15">
          <a:extLst>
            <a:ext uri="{FF2B5EF4-FFF2-40B4-BE49-F238E27FC236}">
              <a16:creationId xmlns:a16="http://schemas.microsoft.com/office/drawing/2014/main" id="{00000000-0008-0000-0500-0000E7030000}"/>
            </a:ext>
          </a:extLst>
        </xdr:cNvPr>
        <xdr:cNvSpPr txBox="1">
          <a:spLocks noChangeArrowheads="1"/>
        </xdr:cNvSpPr>
      </xdr:nvSpPr>
      <xdr:spPr bwMode="auto">
        <a:xfrm>
          <a:off x="6655254" y="7892143"/>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127</xdr:row>
      <xdr:rowOff>0</xdr:rowOff>
    </xdr:from>
    <xdr:ext cx="95250" cy="213632"/>
    <xdr:sp macro="" textlink="">
      <xdr:nvSpPr>
        <xdr:cNvPr id="1000" name="Text Box 15">
          <a:extLst>
            <a:ext uri="{FF2B5EF4-FFF2-40B4-BE49-F238E27FC236}">
              <a16:creationId xmlns:a16="http://schemas.microsoft.com/office/drawing/2014/main" id="{00000000-0008-0000-0500-0000E8030000}"/>
            </a:ext>
          </a:extLst>
        </xdr:cNvPr>
        <xdr:cNvSpPr txBox="1">
          <a:spLocks noChangeArrowheads="1"/>
        </xdr:cNvSpPr>
      </xdr:nvSpPr>
      <xdr:spPr bwMode="auto">
        <a:xfrm>
          <a:off x="6655254" y="7892143"/>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127</xdr:row>
      <xdr:rowOff>0</xdr:rowOff>
    </xdr:from>
    <xdr:ext cx="95250" cy="213632"/>
    <xdr:sp macro="" textlink="">
      <xdr:nvSpPr>
        <xdr:cNvPr id="1001" name="Text Box 15">
          <a:extLst>
            <a:ext uri="{FF2B5EF4-FFF2-40B4-BE49-F238E27FC236}">
              <a16:creationId xmlns:a16="http://schemas.microsoft.com/office/drawing/2014/main" id="{00000000-0008-0000-0500-0000E9030000}"/>
            </a:ext>
          </a:extLst>
        </xdr:cNvPr>
        <xdr:cNvSpPr txBox="1">
          <a:spLocks noChangeArrowheads="1"/>
        </xdr:cNvSpPr>
      </xdr:nvSpPr>
      <xdr:spPr bwMode="auto">
        <a:xfrm>
          <a:off x="6655254" y="7892143"/>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127</xdr:row>
      <xdr:rowOff>0</xdr:rowOff>
    </xdr:from>
    <xdr:ext cx="95250" cy="213632"/>
    <xdr:sp macro="" textlink="">
      <xdr:nvSpPr>
        <xdr:cNvPr id="1002" name="Text Box 15">
          <a:extLst>
            <a:ext uri="{FF2B5EF4-FFF2-40B4-BE49-F238E27FC236}">
              <a16:creationId xmlns:a16="http://schemas.microsoft.com/office/drawing/2014/main" id="{00000000-0008-0000-0500-0000EA030000}"/>
            </a:ext>
          </a:extLst>
        </xdr:cNvPr>
        <xdr:cNvSpPr txBox="1">
          <a:spLocks noChangeArrowheads="1"/>
        </xdr:cNvSpPr>
      </xdr:nvSpPr>
      <xdr:spPr bwMode="auto">
        <a:xfrm>
          <a:off x="6655254" y="7892143"/>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127</xdr:row>
      <xdr:rowOff>0</xdr:rowOff>
    </xdr:from>
    <xdr:ext cx="95250" cy="213632"/>
    <xdr:sp macro="" textlink="">
      <xdr:nvSpPr>
        <xdr:cNvPr id="1003" name="Text Box 15">
          <a:extLst>
            <a:ext uri="{FF2B5EF4-FFF2-40B4-BE49-F238E27FC236}">
              <a16:creationId xmlns:a16="http://schemas.microsoft.com/office/drawing/2014/main" id="{00000000-0008-0000-0500-0000EB030000}"/>
            </a:ext>
          </a:extLst>
        </xdr:cNvPr>
        <xdr:cNvSpPr txBox="1">
          <a:spLocks noChangeArrowheads="1"/>
        </xdr:cNvSpPr>
      </xdr:nvSpPr>
      <xdr:spPr bwMode="auto">
        <a:xfrm>
          <a:off x="6655254" y="7892143"/>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127</xdr:row>
      <xdr:rowOff>0</xdr:rowOff>
    </xdr:from>
    <xdr:ext cx="95250" cy="213632"/>
    <xdr:sp macro="" textlink="">
      <xdr:nvSpPr>
        <xdr:cNvPr id="1004" name="Text Box 15">
          <a:extLst>
            <a:ext uri="{FF2B5EF4-FFF2-40B4-BE49-F238E27FC236}">
              <a16:creationId xmlns:a16="http://schemas.microsoft.com/office/drawing/2014/main" id="{00000000-0008-0000-0500-0000EC030000}"/>
            </a:ext>
          </a:extLst>
        </xdr:cNvPr>
        <xdr:cNvSpPr txBox="1">
          <a:spLocks noChangeArrowheads="1"/>
        </xdr:cNvSpPr>
      </xdr:nvSpPr>
      <xdr:spPr bwMode="auto">
        <a:xfrm>
          <a:off x="6655254" y="7892143"/>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127</xdr:row>
      <xdr:rowOff>0</xdr:rowOff>
    </xdr:from>
    <xdr:ext cx="95250" cy="213632"/>
    <xdr:sp macro="" textlink="">
      <xdr:nvSpPr>
        <xdr:cNvPr id="1005" name="Text Box 15">
          <a:extLst>
            <a:ext uri="{FF2B5EF4-FFF2-40B4-BE49-F238E27FC236}">
              <a16:creationId xmlns:a16="http://schemas.microsoft.com/office/drawing/2014/main" id="{00000000-0008-0000-0500-0000ED030000}"/>
            </a:ext>
          </a:extLst>
        </xdr:cNvPr>
        <xdr:cNvSpPr txBox="1">
          <a:spLocks noChangeArrowheads="1"/>
        </xdr:cNvSpPr>
      </xdr:nvSpPr>
      <xdr:spPr bwMode="auto">
        <a:xfrm>
          <a:off x="6655254" y="7892143"/>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127</xdr:row>
      <xdr:rowOff>0</xdr:rowOff>
    </xdr:from>
    <xdr:ext cx="95250" cy="213632"/>
    <xdr:sp macro="" textlink="">
      <xdr:nvSpPr>
        <xdr:cNvPr id="1006" name="Text Box 15">
          <a:extLst>
            <a:ext uri="{FF2B5EF4-FFF2-40B4-BE49-F238E27FC236}">
              <a16:creationId xmlns:a16="http://schemas.microsoft.com/office/drawing/2014/main" id="{00000000-0008-0000-0500-0000EE030000}"/>
            </a:ext>
          </a:extLst>
        </xdr:cNvPr>
        <xdr:cNvSpPr txBox="1">
          <a:spLocks noChangeArrowheads="1"/>
        </xdr:cNvSpPr>
      </xdr:nvSpPr>
      <xdr:spPr bwMode="auto">
        <a:xfrm>
          <a:off x="6655254" y="7892143"/>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127</xdr:row>
      <xdr:rowOff>0</xdr:rowOff>
    </xdr:from>
    <xdr:ext cx="95250" cy="213632"/>
    <xdr:sp macro="" textlink="">
      <xdr:nvSpPr>
        <xdr:cNvPr id="1007" name="Text Box 15">
          <a:extLst>
            <a:ext uri="{FF2B5EF4-FFF2-40B4-BE49-F238E27FC236}">
              <a16:creationId xmlns:a16="http://schemas.microsoft.com/office/drawing/2014/main" id="{00000000-0008-0000-0500-0000EF030000}"/>
            </a:ext>
          </a:extLst>
        </xdr:cNvPr>
        <xdr:cNvSpPr txBox="1">
          <a:spLocks noChangeArrowheads="1"/>
        </xdr:cNvSpPr>
      </xdr:nvSpPr>
      <xdr:spPr bwMode="auto">
        <a:xfrm>
          <a:off x="6655254" y="7892143"/>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127</xdr:row>
      <xdr:rowOff>0</xdr:rowOff>
    </xdr:from>
    <xdr:ext cx="95250" cy="213632"/>
    <xdr:sp macro="" textlink="">
      <xdr:nvSpPr>
        <xdr:cNvPr id="1008" name="Text Box 15">
          <a:extLst>
            <a:ext uri="{FF2B5EF4-FFF2-40B4-BE49-F238E27FC236}">
              <a16:creationId xmlns:a16="http://schemas.microsoft.com/office/drawing/2014/main" id="{00000000-0008-0000-0500-0000F0030000}"/>
            </a:ext>
          </a:extLst>
        </xdr:cNvPr>
        <xdr:cNvSpPr txBox="1">
          <a:spLocks noChangeArrowheads="1"/>
        </xdr:cNvSpPr>
      </xdr:nvSpPr>
      <xdr:spPr bwMode="auto">
        <a:xfrm>
          <a:off x="6655254" y="7892143"/>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127</xdr:row>
      <xdr:rowOff>0</xdr:rowOff>
    </xdr:from>
    <xdr:ext cx="95250" cy="213632"/>
    <xdr:sp macro="" textlink="">
      <xdr:nvSpPr>
        <xdr:cNvPr id="1009" name="Text Box 15">
          <a:extLst>
            <a:ext uri="{FF2B5EF4-FFF2-40B4-BE49-F238E27FC236}">
              <a16:creationId xmlns:a16="http://schemas.microsoft.com/office/drawing/2014/main" id="{00000000-0008-0000-0500-0000F1030000}"/>
            </a:ext>
          </a:extLst>
        </xdr:cNvPr>
        <xdr:cNvSpPr txBox="1">
          <a:spLocks noChangeArrowheads="1"/>
        </xdr:cNvSpPr>
      </xdr:nvSpPr>
      <xdr:spPr bwMode="auto">
        <a:xfrm>
          <a:off x="6655254" y="7892143"/>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127</xdr:row>
      <xdr:rowOff>0</xdr:rowOff>
    </xdr:from>
    <xdr:ext cx="95250" cy="213632"/>
    <xdr:sp macro="" textlink="">
      <xdr:nvSpPr>
        <xdr:cNvPr id="1010" name="Text Box 15">
          <a:extLst>
            <a:ext uri="{FF2B5EF4-FFF2-40B4-BE49-F238E27FC236}">
              <a16:creationId xmlns:a16="http://schemas.microsoft.com/office/drawing/2014/main" id="{00000000-0008-0000-0500-0000F2030000}"/>
            </a:ext>
          </a:extLst>
        </xdr:cNvPr>
        <xdr:cNvSpPr txBox="1">
          <a:spLocks noChangeArrowheads="1"/>
        </xdr:cNvSpPr>
      </xdr:nvSpPr>
      <xdr:spPr bwMode="auto">
        <a:xfrm>
          <a:off x="6655254" y="7892143"/>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127</xdr:row>
      <xdr:rowOff>0</xdr:rowOff>
    </xdr:from>
    <xdr:ext cx="95250" cy="213632"/>
    <xdr:sp macro="" textlink="">
      <xdr:nvSpPr>
        <xdr:cNvPr id="1011" name="Text Box 15">
          <a:extLst>
            <a:ext uri="{FF2B5EF4-FFF2-40B4-BE49-F238E27FC236}">
              <a16:creationId xmlns:a16="http://schemas.microsoft.com/office/drawing/2014/main" id="{00000000-0008-0000-0500-0000F3030000}"/>
            </a:ext>
          </a:extLst>
        </xdr:cNvPr>
        <xdr:cNvSpPr txBox="1">
          <a:spLocks noChangeArrowheads="1"/>
        </xdr:cNvSpPr>
      </xdr:nvSpPr>
      <xdr:spPr bwMode="auto">
        <a:xfrm>
          <a:off x="6655254" y="7892143"/>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127</xdr:row>
      <xdr:rowOff>0</xdr:rowOff>
    </xdr:from>
    <xdr:ext cx="95250" cy="213632"/>
    <xdr:sp macro="" textlink="">
      <xdr:nvSpPr>
        <xdr:cNvPr id="1012" name="Text Box 15">
          <a:extLst>
            <a:ext uri="{FF2B5EF4-FFF2-40B4-BE49-F238E27FC236}">
              <a16:creationId xmlns:a16="http://schemas.microsoft.com/office/drawing/2014/main" id="{00000000-0008-0000-0500-0000F4030000}"/>
            </a:ext>
          </a:extLst>
        </xdr:cNvPr>
        <xdr:cNvSpPr txBox="1">
          <a:spLocks noChangeArrowheads="1"/>
        </xdr:cNvSpPr>
      </xdr:nvSpPr>
      <xdr:spPr bwMode="auto">
        <a:xfrm>
          <a:off x="6655254" y="7892143"/>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127</xdr:row>
      <xdr:rowOff>0</xdr:rowOff>
    </xdr:from>
    <xdr:ext cx="95250" cy="213632"/>
    <xdr:sp macro="" textlink="">
      <xdr:nvSpPr>
        <xdr:cNvPr id="1013" name="Text Box 15">
          <a:extLst>
            <a:ext uri="{FF2B5EF4-FFF2-40B4-BE49-F238E27FC236}">
              <a16:creationId xmlns:a16="http://schemas.microsoft.com/office/drawing/2014/main" id="{00000000-0008-0000-0500-0000F5030000}"/>
            </a:ext>
          </a:extLst>
        </xdr:cNvPr>
        <xdr:cNvSpPr txBox="1">
          <a:spLocks noChangeArrowheads="1"/>
        </xdr:cNvSpPr>
      </xdr:nvSpPr>
      <xdr:spPr bwMode="auto">
        <a:xfrm>
          <a:off x="6655254" y="7892143"/>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127</xdr:row>
      <xdr:rowOff>0</xdr:rowOff>
    </xdr:from>
    <xdr:ext cx="95250" cy="213632"/>
    <xdr:sp macro="" textlink="">
      <xdr:nvSpPr>
        <xdr:cNvPr id="1014" name="Text Box 15">
          <a:extLst>
            <a:ext uri="{FF2B5EF4-FFF2-40B4-BE49-F238E27FC236}">
              <a16:creationId xmlns:a16="http://schemas.microsoft.com/office/drawing/2014/main" id="{00000000-0008-0000-0500-0000F6030000}"/>
            </a:ext>
          </a:extLst>
        </xdr:cNvPr>
        <xdr:cNvSpPr txBox="1">
          <a:spLocks noChangeArrowheads="1"/>
        </xdr:cNvSpPr>
      </xdr:nvSpPr>
      <xdr:spPr bwMode="auto">
        <a:xfrm>
          <a:off x="6655254" y="7892143"/>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127</xdr:row>
      <xdr:rowOff>0</xdr:rowOff>
    </xdr:from>
    <xdr:ext cx="95250" cy="213632"/>
    <xdr:sp macro="" textlink="">
      <xdr:nvSpPr>
        <xdr:cNvPr id="1015" name="Text Box 15">
          <a:extLst>
            <a:ext uri="{FF2B5EF4-FFF2-40B4-BE49-F238E27FC236}">
              <a16:creationId xmlns:a16="http://schemas.microsoft.com/office/drawing/2014/main" id="{00000000-0008-0000-0500-0000F7030000}"/>
            </a:ext>
          </a:extLst>
        </xdr:cNvPr>
        <xdr:cNvSpPr txBox="1">
          <a:spLocks noChangeArrowheads="1"/>
        </xdr:cNvSpPr>
      </xdr:nvSpPr>
      <xdr:spPr bwMode="auto">
        <a:xfrm>
          <a:off x="6655254" y="7892143"/>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127</xdr:row>
      <xdr:rowOff>0</xdr:rowOff>
    </xdr:from>
    <xdr:ext cx="95250" cy="213632"/>
    <xdr:sp macro="" textlink="">
      <xdr:nvSpPr>
        <xdr:cNvPr id="1016" name="Text Box 15">
          <a:extLst>
            <a:ext uri="{FF2B5EF4-FFF2-40B4-BE49-F238E27FC236}">
              <a16:creationId xmlns:a16="http://schemas.microsoft.com/office/drawing/2014/main" id="{00000000-0008-0000-0500-0000F8030000}"/>
            </a:ext>
          </a:extLst>
        </xdr:cNvPr>
        <xdr:cNvSpPr txBox="1">
          <a:spLocks noChangeArrowheads="1"/>
        </xdr:cNvSpPr>
      </xdr:nvSpPr>
      <xdr:spPr bwMode="auto">
        <a:xfrm>
          <a:off x="6655254" y="7892143"/>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127</xdr:row>
      <xdr:rowOff>0</xdr:rowOff>
    </xdr:from>
    <xdr:ext cx="95250" cy="213632"/>
    <xdr:sp macro="" textlink="">
      <xdr:nvSpPr>
        <xdr:cNvPr id="1017" name="Text Box 15">
          <a:extLst>
            <a:ext uri="{FF2B5EF4-FFF2-40B4-BE49-F238E27FC236}">
              <a16:creationId xmlns:a16="http://schemas.microsoft.com/office/drawing/2014/main" id="{00000000-0008-0000-0500-0000F9030000}"/>
            </a:ext>
          </a:extLst>
        </xdr:cNvPr>
        <xdr:cNvSpPr txBox="1">
          <a:spLocks noChangeArrowheads="1"/>
        </xdr:cNvSpPr>
      </xdr:nvSpPr>
      <xdr:spPr bwMode="auto">
        <a:xfrm>
          <a:off x="6655254" y="7892143"/>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127</xdr:row>
      <xdr:rowOff>0</xdr:rowOff>
    </xdr:from>
    <xdr:ext cx="95250" cy="213632"/>
    <xdr:sp macro="" textlink="">
      <xdr:nvSpPr>
        <xdr:cNvPr id="1018" name="Text Box 15">
          <a:extLst>
            <a:ext uri="{FF2B5EF4-FFF2-40B4-BE49-F238E27FC236}">
              <a16:creationId xmlns:a16="http://schemas.microsoft.com/office/drawing/2014/main" id="{00000000-0008-0000-0500-0000FA030000}"/>
            </a:ext>
          </a:extLst>
        </xdr:cNvPr>
        <xdr:cNvSpPr txBox="1">
          <a:spLocks noChangeArrowheads="1"/>
        </xdr:cNvSpPr>
      </xdr:nvSpPr>
      <xdr:spPr bwMode="auto">
        <a:xfrm>
          <a:off x="6655254" y="7892143"/>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127</xdr:row>
      <xdr:rowOff>0</xdr:rowOff>
    </xdr:from>
    <xdr:ext cx="95250" cy="213632"/>
    <xdr:sp macro="" textlink="">
      <xdr:nvSpPr>
        <xdr:cNvPr id="1019" name="Text Box 15">
          <a:extLst>
            <a:ext uri="{FF2B5EF4-FFF2-40B4-BE49-F238E27FC236}">
              <a16:creationId xmlns:a16="http://schemas.microsoft.com/office/drawing/2014/main" id="{00000000-0008-0000-0500-0000FB030000}"/>
            </a:ext>
          </a:extLst>
        </xdr:cNvPr>
        <xdr:cNvSpPr txBox="1">
          <a:spLocks noChangeArrowheads="1"/>
        </xdr:cNvSpPr>
      </xdr:nvSpPr>
      <xdr:spPr bwMode="auto">
        <a:xfrm>
          <a:off x="6655254" y="7892143"/>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127</xdr:row>
      <xdr:rowOff>0</xdr:rowOff>
    </xdr:from>
    <xdr:ext cx="95250" cy="213632"/>
    <xdr:sp macro="" textlink="">
      <xdr:nvSpPr>
        <xdr:cNvPr id="1020" name="Text Box 15">
          <a:extLst>
            <a:ext uri="{FF2B5EF4-FFF2-40B4-BE49-F238E27FC236}">
              <a16:creationId xmlns:a16="http://schemas.microsoft.com/office/drawing/2014/main" id="{00000000-0008-0000-0500-0000FC030000}"/>
            </a:ext>
          </a:extLst>
        </xdr:cNvPr>
        <xdr:cNvSpPr txBox="1">
          <a:spLocks noChangeArrowheads="1"/>
        </xdr:cNvSpPr>
      </xdr:nvSpPr>
      <xdr:spPr bwMode="auto">
        <a:xfrm>
          <a:off x="6655254" y="7892143"/>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127</xdr:row>
      <xdr:rowOff>0</xdr:rowOff>
    </xdr:from>
    <xdr:ext cx="95250" cy="213632"/>
    <xdr:sp macro="" textlink="">
      <xdr:nvSpPr>
        <xdr:cNvPr id="1021" name="Text Box 15">
          <a:extLst>
            <a:ext uri="{FF2B5EF4-FFF2-40B4-BE49-F238E27FC236}">
              <a16:creationId xmlns:a16="http://schemas.microsoft.com/office/drawing/2014/main" id="{00000000-0008-0000-0500-0000FD030000}"/>
            </a:ext>
          </a:extLst>
        </xdr:cNvPr>
        <xdr:cNvSpPr txBox="1">
          <a:spLocks noChangeArrowheads="1"/>
        </xdr:cNvSpPr>
      </xdr:nvSpPr>
      <xdr:spPr bwMode="auto">
        <a:xfrm>
          <a:off x="6655254" y="7892143"/>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127</xdr:row>
      <xdr:rowOff>0</xdr:rowOff>
    </xdr:from>
    <xdr:ext cx="95250" cy="213632"/>
    <xdr:sp macro="" textlink="">
      <xdr:nvSpPr>
        <xdr:cNvPr id="1022" name="Text Box 15">
          <a:extLst>
            <a:ext uri="{FF2B5EF4-FFF2-40B4-BE49-F238E27FC236}">
              <a16:creationId xmlns:a16="http://schemas.microsoft.com/office/drawing/2014/main" id="{00000000-0008-0000-0500-0000FE030000}"/>
            </a:ext>
          </a:extLst>
        </xdr:cNvPr>
        <xdr:cNvSpPr txBox="1">
          <a:spLocks noChangeArrowheads="1"/>
        </xdr:cNvSpPr>
      </xdr:nvSpPr>
      <xdr:spPr bwMode="auto">
        <a:xfrm>
          <a:off x="6655254" y="7892143"/>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127</xdr:row>
      <xdr:rowOff>0</xdr:rowOff>
    </xdr:from>
    <xdr:ext cx="95250" cy="213632"/>
    <xdr:sp macro="" textlink="">
      <xdr:nvSpPr>
        <xdr:cNvPr id="1023" name="Text Box 15">
          <a:extLst>
            <a:ext uri="{FF2B5EF4-FFF2-40B4-BE49-F238E27FC236}">
              <a16:creationId xmlns:a16="http://schemas.microsoft.com/office/drawing/2014/main" id="{00000000-0008-0000-0500-0000FF030000}"/>
            </a:ext>
          </a:extLst>
        </xdr:cNvPr>
        <xdr:cNvSpPr txBox="1">
          <a:spLocks noChangeArrowheads="1"/>
        </xdr:cNvSpPr>
      </xdr:nvSpPr>
      <xdr:spPr bwMode="auto">
        <a:xfrm>
          <a:off x="6655254" y="7892143"/>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127</xdr:row>
      <xdr:rowOff>0</xdr:rowOff>
    </xdr:from>
    <xdr:ext cx="95250" cy="213632"/>
    <xdr:sp macro="" textlink="">
      <xdr:nvSpPr>
        <xdr:cNvPr id="1024" name="Text Box 15">
          <a:extLst>
            <a:ext uri="{FF2B5EF4-FFF2-40B4-BE49-F238E27FC236}">
              <a16:creationId xmlns:a16="http://schemas.microsoft.com/office/drawing/2014/main" id="{00000000-0008-0000-0500-000000040000}"/>
            </a:ext>
          </a:extLst>
        </xdr:cNvPr>
        <xdr:cNvSpPr txBox="1">
          <a:spLocks noChangeArrowheads="1"/>
        </xdr:cNvSpPr>
      </xdr:nvSpPr>
      <xdr:spPr bwMode="auto">
        <a:xfrm>
          <a:off x="6655254" y="7892143"/>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127</xdr:row>
      <xdr:rowOff>0</xdr:rowOff>
    </xdr:from>
    <xdr:ext cx="95250" cy="213632"/>
    <xdr:sp macro="" textlink="">
      <xdr:nvSpPr>
        <xdr:cNvPr id="1025" name="Text Box 15">
          <a:extLst>
            <a:ext uri="{FF2B5EF4-FFF2-40B4-BE49-F238E27FC236}">
              <a16:creationId xmlns:a16="http://schemas.microsoft.com/office/drawing/2014/main" id="{00000000-0008-0000-0500-000001040000}"/>
            </a:ext>
          </a:extLst>
        </xdr:cNvPr>
        <xdr:cNvSpPr txBox="1">
          <a:spLocks noChangeArrowheads="1"/>
        </xdr:cNvSpPr>
      </xdr:nvSpPr>
      <xdr:spPr bwMode="auto">
        <a:xfrm>
          <a:off x="6655254" y="7892143"/>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127</xdr:row>
      <xdr:rowOff>0</xdr:rowOff>
    </xdr:from>
    <xdr:ext cx="95250" cy="213632"/>
    <xdr:sp macro="" textlink="">
      <xdr:nvSpPr>
        <xdr:cNvPr id="1026" name="Text Box 15">
          <a:extLst>
            <a:ext uri="{FF2B5EF4-FFF2-40B4-BE49-F238E27FC236}">
              <a16:creationId xmlns:a16="http://schemas.microsoft.com/office/drawing/2014/main" id="{00000000-0008-0000-0500-000002040000}"/>
            </a:ext>
          </a:extLst>
        </xdr:cNvPr>
        <xdr:cNvSpPr txBox="1">
          <a:spLocks noChangeArrowheads="1"/>
        </xdr:cNvSpPr>
      </xdr:nvSpPr>
      <xdr:spPr bwMode="auto">
        <a:xfrm>
          <a:off x="6655254" y="7892143"/>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127</xdr:row>
      <xdr:rowOff>0</xdr:rowOff>
    </xdr:from>
    <xdr:ext cx="95250" cy="213632"/>
    <xdr:sp macro="" textlink="">
      <xdr:nvSpPr>
        <xdr:cNvPr id="1027" name="Text Box 15">
          <a:extLst>
            <a:ext uri="{FF2B5EF4-FFF2-40B4-BE49-F238E27FC236}">
              <a16:creationId xmlns:a16="http://schemas.microsoft.com/office/drawing/2014/main" id="{00000000-0008-0000-0500-000003040000}"/>
            </a:ext>
          </a:extLst>
        </xdr:cNvPr>
        <xdr:cNvSpPr txBox="1">
          <a:spLocks noChangeArrowheads="1"/>
        </xdr:cNvSpPr>
      </xdr:nvSpPr>
      <xdr:spPr bwMode="auto">
        <a:xfrm>
          <a:off x="6655254" y="7892143"/>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127</xdr:row>
      <xdr:rowOff>0</xdr:rowOff>
    </xdr:from>
    <xdr:ext cx="95250" cy="213632"/>
    <xdr:sp macro="" textlink="">
      <xdr:nvSpPr>
        <xdr:cNvPr id="1028" name="Text Box 15">
          <a:extLst>
            <a:ext uri="{FF2B5EF4-FFF2-40B4-BE49-F238E27FC236}">
              <a16:creationId xmlns:a16="http://schemas.microsoft.com/office/drawing/2014/main" id="{00000000-0008-0000-0500-000004040000}"/>
            </a:ext>
          </a:extLst>
        </xdr:cNvPr>
        <xdr:cNvSpPr txBox="1">
          <a:spLocks noChangeArrowheads="1"/>
        </xdr:cNvSpPr>
      </xdr:nvSpPr>
      <xdr:spPr bwMode="auto">
        <a:xfrm>
          <a:off x="6655254" y="7892143"/>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127</xdr:row>
      <xdr:rowOff>0</xdr:rowOff>
    </xdr:from>
    <xdr:ext cx="95250" cy="213632"/>
    <xdr:sp macro="" textlink="">
      <xdr:nvSpPr>
        <xdr:cNvPr id="1029" name="Text Box 15">
          <a:extLst>
            <a:ext uri="{FF2B5EF4-FFF2-40B4-BE49-F238E27FC236}">
              <a16:creationId xmlns:a16="http://schemas.microsoft.com/office/drawing/2014/main" id="{00000000-0008-0000-0500-000005040000}"/>
            </a:ext>
          </a:extLst>
        </xdr:cNvPr>
        <xdr:cNvSpPr txBox="1">
          <a:spLocks noChangeArrowheads="1"/>
        </xdr:cNvSpPr>
      </xdr:nvSpPr>
      <xdr:spPr bwMode="auto">
        <a:xfrm>
          <a:off x="6655254" y="7892143"/>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127</xdr:row>
      <xdr:rowOff>0</xdr:rowOff>
    </xdr:from>
    <xdr:ext cx="95250" cy="213632"/>
    <xdr:sp macro="" textlink="">
      <xdr:nvSpPr>
        <xdr:cNvPr id="1030" name="Text Box 15">
          <a:extLst>
            <a:ext uri="{FF2B5EF4-FFF2-40B4-BE49-F238E27FC236}">
              <a16:creationId xmlns:a16="http://schemas.microsoft.com/office/drawing/2014/main" id="{00000000-0008-0000-0500-000006040000}"/>
            </a:ext>
          </a:extLst>
        </xdr:cNvPr>
        <xdr:cNvSpPr txBox="1">
          <a:spLocks noChangeArrowheads="1"/>
        </xdr:cNvSpPr>
      </xdr:nvSpPr>
      <xdr:spPr bwMode="auto">
        <a:xfrm>
          <a:off x="6655254" y="7892143"/>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127</xdr:row>
      <xdr:rowOff>0</xdr:rowOff>
    </xdr:from>
    <xdr:ext cx="95250" cy="213632"/>
    <xdr:sp macro="" textlink="">
      <xdr:nvSpPr>
        <xdr:cNvPr id="1031" name="Text Box 15">
          <a:extLst>
            <a:ext uri="{FF2B5EF4-FFF2-40B4-BE49-F238E27FC236}">
              <a16:creationId xmlns:a16="http://schemas.microsoft.com/office/drawing/2014/main" id="{00000000-0008-0000-0500-000007040000}"/>
            </a:ext>
          </a:extLst>
        </xdr:cNvPr>
        <xdr:cNvSpPr txBox="1">
          <a:spLocks noChangeArrowheads="1"/>
        </xdr:cNvSpPr>
      </xdr:nvSpPr>
      <xdr:spPr bwMode="auto">
        <a:xfrm>
          <a:off x="6655254" y="7892143"/>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127</xdr:row>
      <xdr:rowOff>0</xdr:rowOff>
    </xdr:from>
    <xdr:ext cx="95250" cy="213632"/>
    <xdr:sp macro="" textlink="">
      <xdr:nvSpPr>
        <xdr:cNvPr id="1032" name="Text Box 15">
          <a:extLst>
            <a:ext uri="{FF2B5EF4-FFF2-40B4-BE49-F238E27FC236}">
              <a16:creationId xmlns:a16="http://schemas.microsoft.com/office/drawing/2014/main" id="{00000000-0008-0000-0500-000008040000}"/>
            </a:ext>
          </a:extLst>
        </xdr:cNvPr>
        <xdr:cNvSpPr txBox="1">
          <a:spLocks noChangeArrowheads="1"/>
        </xdr:cNvSpPr>
      </xdr:nvSpPr>
      <xdr:spPr bwMode="auto">
        <a:xfrm>
          <a:off x="6655254" y="7892143"/>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127</xdr:row>
      <xdr:rowOff>0</xdr:rowOff>
    </xdr:from>
    <xdr:ext cx="95250" cy="213632"/>
    <xdr:sp macro="" textlink="">
      <xdr:nvSpPr>
        <xdr:cNvPr id="1033" name="Text Box 15">
          <a:extLst>
            <a:ext uri="{FF2B5EF4-FFF2-40B4-BE49-F238E27FC236}">
              <a16:creationId xmlns:a16="http://schemas.microsoft.com/office/drawing/2014/main" id="{00000000-0008-0000-0500-000009040000}"/>
            </a:ext>
          </a:extLst>
        </xdr:cNvPr>
        <xdr:cNvSpPr txBox="1">
          <a:spLocks noChangeArrowheads="1"/>
        </xdr:cNvSpPr>
      </xdr:nvSpPr>
      <xdr:spPr bwMode="auto">
        <a:xfrm>
          <a:off x="6655254" y="7892143"/>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127</xdr:row>
      <xdr:rowOff>0</xdr:rowOff>
    </xdr:from>
    <xdr:ext cx="95250" cy="213632"/>
    <xdr:sp macro="" textlink="">
      <xdr:nvSpPr>
        <xdr:cNvPr id="1034" name="Text Box 15">
          <a:extLst>
            <a:ext uri="{FF2B5EF4-FFF2-40B4-BE49-F238E27FC236}">
              <a16:creationId xmlns:a16="http://schemas.microsoft.com/office/drawing/2014/main" id="{00000000-0008-0000-0500-00000A040000}"/>
            </a:ext>
          </a:extLst>
        </xdr:cNvPr>
        <xdr:cNvSpPr txBox="1">
          <a:spLocks noChangeArrowheads="1"/>
        </xdr:cNvSpPr>
      </xdr:nvSpPr>
      <xdr:spPr bwMode="auto">
        <a:xfrm>
          <a:off x="6655254" y="7892143"/>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127</xdr:row>
      <xdr:rowOff>0</xdr:rowOff>
    </xdr:from>
    <xdr:ext cx="95250" cy="213632"/>
    <xdr:sp macro="" textlink="">
      <xdr:nvSpPr>
        <xdr:cNvPr id="1035" name="Text Box 15">
          <a:extLst>
            <a:ext uri="{FF2B5EF4-FFF2-40B4-BE49-F238E27FC236}">
              <a16:creationId xmlns:a16="http://schemas.microsoft.com/office/drawing/2014/main" id="{00000000-0008-0000-0500-00000B040000}"/>
            </a:ext>
          </a:extLst>
        </xdr:cNvPr>
        <xdr:cNvSpPr txBox="1">
          <a:spLocks noChangeArrowheads="1"/>
        </xdr:cNvSpPr>
      </xdr:nvSpPr>
      <xdr:spPr bwMode="auto">
        <a:xfrm>
          <a:off x="6655254" y="7892143"/>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127</xdr:row>
      <xdr:rowOff>0</xdr:rowOff>
    </xdr:from>
    <xdr:ext cx="95250" cy="213632"/>
    <xdr:sp macro="" textlink="">
      <xdr:nvSpPr>
        <xdr:cNvPr id="1036" name="Text Box 15">
          <a:extLst>
            <a:ext uri="{FF2B5EF4-FFF2-40B4-BE49-F238E27FC236}">
              <a16:creationId xmlns:a16="http://schemas.microsoft.com/office/drawing/2014/main" id="{00000000-0008-0000-0500-00000C040000}"/>
            </a:ext>
          </a:extLst>
        </xdr:cNvPr>
        <xdr:cNvSpPr txBox="1">
          <a:spLocks noChangeArrowheads="1"/>
        </xdr:cNvSpPr>
      </xdr:nvSpPr>
      <xdr:spPr bwMode="auto">
        <a:xfrm>
          <a:off x="6655254" y="7892143"/>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127</xdr:row>
      <xdr:rowOff>0</xdr:rowOff>
    </xdr:from>
    <xdr:ext cx="95250" cy="213632"/>
    <xdr:sp macro="" textlink="">
      <xdr:nvSpPr>
        <xdr:cNvPr id="1037" name="Text Box 15">
          <a:extLst>
            <a:ext uri="{FF2B5EF4-FFF2-40B4-BE49-F238E27FC236}">
              <a16:creationId xmlns:a16="http://schemas.microsoft.com/office/drawing/2014/main" id="{00000000-0008-0000-0500-00000D040000}"/>
            </a:ext>
          </a:extLst>
        </xdr:cNvPr>
        <xdr:cNvSpPr txBox="1">
          <a:spLocks noChangeArrowheads="1"/>
        </xdr:cNvSpPr>
      </xdr:nvSpPr>
      <xdr:spPr bwMode="auto">
        <a:xfrm>
          <a:off x="6655254" y="7892143"/>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127</xdr:row>
      <xdr:rowOff>0</xdr:rowOff>
    </xdr:from>
    <xdr:ext cx="95250" cy="213632"/>
    <xdr:sp macro="" textlink="">
      <xdr:nvSpPr>
        <xdr:cNvPr id="1038" name="Text Box 15">
          <a:extLst>
            <a:ext uri="{FF2B5EF4-FFF2-40B4-BE49-F238E27FC236}">
              <a16:creationId xmlns:a16="http://schemas.microsoft.com/office/drawing/2014/main" id="{00000000-0008-0000-0500-00000E040000}"/>
            </a:ext>
          </a:extLst>
        </xdr:cNvPr>
        <xdr:cNvSpPr txBox="1">
          <a:spLocks noChangeArrowheads="1"/>
        </xdr:cNvSpPr>
      </xdr:nvSpPr>
      <xdr:spPr bwMode="auto">
        <a:xfrm>
          <a:off x="6655254" y="7892143"/>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127</xdr:row>
      <xdr:rowOff>0</xdr:rowOff>
    </xdr:from>
    <xdr:ext cx="95250" cy="213632"/>
    <xdr:sp macro="" textlink="">
      <xdr:nvSpPr>
        <xdr:cNvPr id="1039" name="Text Box 15">
          <a:extLst>
            <a:ext uri="{FF2B5EF4-FFF2-40B4-BE49-F238E27FC236}">
              <a16:creationId xmlns:a16="http://schemas.microsoft.com/office/drawing/2014/main" id="{00000000-0008-0000-0500-00000F040000}"/>
            </a:ext>
          </a:extLst>
        </xdr:cNvPr>
        <xdr:cNvSpPr txBox="1">
          <a:spLocks noChangeArrowheads="1"/>
        </xdr:cNvSpPr>
      </xdr:nvSpPr>
      <xdr:spPr bwMode="auto">
        <a:xfrm>
          <a:off x="6655254" y="7892143"/>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127</xdr:row>
      <xdr:rowOff>0</xdr:rowOff>
    </xdr:from>
    <xdr:ext cx="95250" cy="213632"/>
    <xdr:sp macro="" textlink="">
      <xdr:nvSpPr>
        <xdr:cNvPr id="1040" name="Text Box 15">
          <a:extLst>
            <a:ext uri="{FF2B5EF4-FFF2-40B4-BE49-F238E27FC236}">
              <a16:creationId xmlns:a16="http://schemas.microsoft.com/office/drawing/2014/main" id="{00000000-0008-0000-0500-000010040000}"/>
            </a:ext>
          </a:extLst>
        </xdr:cNvPr>
        <xdr:cNvSpPr txBox="1">
          <a:spLocks noChangeArrowheads="1"/>
        </xdr:cNvSpPr>
      </xdr:nvSpPr>
      <xdr:spPr bwMode="auto">
        <a:xfrm>
          <a:off x="6655254" y="7892143"/>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127</xdr:row>
      <xdr:rowOff>0</xdr:rowOff>
    </xdr:from>
    <xdr:ext cx="95250" cy="213632"/>
    <xdr:sp macro="" textlink="">
      <xdr:nvSpPr>
        <xdr:cNvPr id="1041" name="Text Box 15">
          <a:extLst>
            <a:ext uri="{FF2B5EF4-FFF2-40B4-BE49-F238E27FC236}">
              <a16:creationId xmlns:a16="http://schemas.microsoft.com/office/drawing/2014/main" id="{00000000-0008-0000-0500-000011040000}"/>
            </a:ext>
          </a:extLst>
        </xdr:cNvPr>
        <xdr:cNvSpPr txBox="1">
          <a:spLocks noChangeArrowheads="1"/>
        </xdr:cNvSpPr>
      </xdr:nvSpPr>
      <xdr:spPr bwMode="auto">
        <a:xfrm>
          <a:off x="6655254" y="7892143"/>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127</xdr:row>
      <xdr:rowOff>0</xdr:rowOff>
    </xdr:from>
    <xdr:ext cx="95250" cy="213632"/>
    <xdr:sp macro="" textlink="">
      <xdr:nvSpPr>
        <xdr:cNvPr id="1042" name="Text Box 15">
          <a:extLst>
            <a:ext uri="{FF2B5EF4-FFF2-40B4-BE49-F238E27FC236}">
              <a16:creationId xmlns:a16="http://schemas.microsoft.com/office/drawing/2014/main" id="{00000000-0008-0000-0500-000012040000}"/>
            </a:ext>
          </a:extLst>
        </xdr:cNvPr>
        <xdr:cNvSpPr txBox="1">
          <a:spLocks noChangeArrowheads="1"/>
        </xdr:cNvSpPr>
      </xdr:nvSpPr>
      <xdr:spPr bwMode="auto">
        <a:xfrm>
          <a:off x="6655254" y="7892143"/>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127</xdr:row>
      <xdr:rowOff>0</xdr:rowOff>
    </xdr:from>
    <xdr:ext cx="95250" cy="213632"/>
    <xdr:sp macro="" textlink="">
      <xdr:nvSpPr>
        <xdr:cNvPr id="1043" name="Text Box 15">
          <a:extLst>
            <a:ext uri="{FF2B5EF4-FFF2-40B4-BE49-F238E27FC236}">
              <a16:creationId xmlns:a16="http://schemas.microsoft.com/office/drawing/2014/main" id="{00000000-0008-0000-0500-000013040000}"/>
            </a:ext>
          </a:extLst>
        </xdr:cNvPr>
        <xdr:cNvSpPr txBox="1">
          <a:spLocks noChangeArrowheads="1"/>
        </xdr:cNvSpPr>
      </xdr:nvSpPr>
      <xdr:spPr bwMode="auto">
        <a:xfrm>
          <a:off x="6655254" y="7892143"/>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127</xdr:row>
      <xdr:rowOff>0</xdr:rowOff>
    </xdr:from>
    <xdr:ext cx="95250" cy="213632"/>
    <xdr:sp macro="" textlink="">
      <xdr:nvSpPr>
        <xdr:cNvPr id="1044" name="Text Box 15">
          <a:extLst>
            <a:ext uri="{FF2B5EF4-FFF2-40B4-BE49-F238E27FC236}">
              <a16:creationId xmlns:a16="http://schemas.microsoft.com/office/drawing/2014/main" id="{00000000-0008-0000-0500-000014040000}"/>
            </a:ext>
          </a:extLst>
        </xdr:cNvPr>
        <xdr:cNvSpPr txBox="1">
          <a:spLocks noChangeArrowheads="1"/>
        </xdr:cNvSpPr>
      </xdr:nvSpPr>
      <xdr:spPr bwMode="auto">
        <a:xfrm>
          <a:off x="6655254" y="7892143"/>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127</xdr:row>
      <xdr:rowOff>0</xdr:rowOff>
    </xdr:from>
    <xdr:ext cx="95250" cy="213632"/>
    <xdr:sp macro="" textlink="">
      <xdr:nvSpPr>
        <xdr:cNvPr id="1045" name="Text Box 15">
          <a:extLst>
            <a:ext uri="{FF2B5EF4-FFF2-40B4-BE49-F238E27FC236}">
              <a16:creationId xmlns:a16="http://schemas.microsoft.com/office/drawing/2014/main" id="{00000000-0008-0000-0500-000015040000}"/>
            </a:ext>
          </a:extLst>
        </xdr:cNvPr>
        <xdr:cNvSpPr txBox="1">
          <a:spLocks noChangeArrowheads="1"/>
        </xdr:cNvSpPr>
      </xdr:nvSpPr>
      <xdr:spPr bwMode="auto">
        <a:xfrm>
          <a:off x="6655254" y="7892143"/>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127</xdr:row>
      <xdr:rowOff>0</xdr:rowOff>
    </xdr:from>
    <xdr:ext cx="95250" cy="213632"/>
    <xdr:sp macro="" textlink="">
      <xdr:nvSpPr>
        <xdr:cNvPr id="1046" name="Text Box 15">
          <a:extLst>
            <a:ext uri="{FF2B5EF4-FFF2-40B4-BE49-F238E27FC236}">
              <a16:creationId xmlns:a16="http://schemas.microsoft.com/office/drawing/2014/main" id="{00000000-0008-0000-0500-000016040000}"/>
            </a:ext>
          </a:extLst>
        </xdr:cNvPr>
        <xdr:cNvSpPr txBox="1">
          <a:spLocks noChangeArrowheads="1"/>
        </xdr:cNvSpPr>
      </xdr:nvSpPr>
      <xdr:spPr bwMode="auto">
        <a:xfrm>
          <a:off x="6655254" y="7892143"/>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127</xdr:row>
      <xdr:rowOff>0</xdr:rowOff>
    </xdr:from>
    <xdr:ext cx="95250" cy="213632"/>
    <xdr:sp macro="" textlink="">
      <xdr:nvSpPr>
        <xdr:cNvPr id="1047" name="Text Box 15">
          <a:extLst>
            <a:ext uri="{FF2B5EF4-FFF2-40B4-BE49-F238E27FC236}">
              <a16:creationId xmlns:a16="http://schemas.microsoft.com/office/drawing/2014/main" id="{00000000-0008-0000-0500-000017040000}"/>
            </a:ext>
          </a:extLst>
        </xdr:cNvPr>
        <xdr:cNvSpPr txBox="1">
          <a:spLocks noChangeArrowheads="1"/>
        </xdr:cNvSpPr>
      </xdr:nvSpPr>
      <xdr:spPr bwMode="auto">
        <a:xfrm>
          <a:off x="6655254" y="7892143"/>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127</xdr:row>
      <xdr:rowOff>0</xdr:rowOff>
    </xdr:from>
    <xdr:ext cx="95250" cy="213632"/>
    <xdr:sp macro="" textlink="">
      <xdr:nvSpPr>
        <xdr:cNvPr id="1048" name="Text Box 15">
          <a:extLst>
            <a:ext uri="{FF2B5EF4-FFF2-40B4-BE49-F238E27FC236}">
              <a16:creationId xmlns:a16="http://schemas.microsoft.com/office/drawing/2014/main" id="{00000000-0008-0000-0500-000018040000}"/>
            </a:ext>
          </a:extLst>
        </xdr:cNvPr>
        <xdr:cNvSpPr txBox="1">
          <a:spLocks noChangeArrowheads="1"/>
        </xdr:cNvSpPr>
      </xdr:nvSpPr>
      <xdr:spPr bwMode="auto">
        <a:xfrm>
          <a:off x="6655254" y="7892143"/>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127</xdr:row>
      <xdr:rowOff>0</xdr:rowOff>
    </xdr:from>
    <xdr:ext cx="95250" cy="213632"/>
    <xdr:sp macro="" textlink="">
      <xdr:nvSpPr>
        <xdr:cNvPr id="1049" name="Text Box 15">
          <a:extLst>
            <a:ext uri="{FF2B5EF4-FFF2-40B4-BE49-F238E27FC236}">
              <a16:creationId xmlns:a16="http://schemas.microsoft.com/office/drawing/2014/main" id="{00000000-0008-0000-0500-000019040000}"/>
            </a:ext>
          </a:extLst>
        </xdr:cNvPr>
        <xdr:cNvSpPr txBox="1">
          <a:spLocks noChangeArrowheads="1"/>
        </xdr:cNvSpPr>
      </xdr:nvSpPr>
      <xdr:spPr bwMode="auto">
        <a:xfrm>
          <a:off x="6655254" y="7892143"/>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127</xdr:row>
      <xdr:rowOff>0</xdr:rowOff>
    </xdr:from>
    <xdr:ext cx="95250" cy="213632"/>
    <xdr:sp macro="" textlink="">
      <xdr:nvSpPr>
        <xdr:cNvPr id="1050" name="Text Box 15">
          <a:extLst>
            <a:ext uri="{FF2B5EF4-FFF2-40B4-BE49-F238E27FC236}">
              <a16:creationId xmlns:a16="http://schemas.microsoft.com/office/drawing/2014/main" id="{00000000-0008-0000-0500-00001A040000}"/>
            </a:ext>
          </a:extLst>
        </xdr:cNvPr>
        <xdr:cNvSpPr txBox="1">
          <a:spLocks noChangeArrowheads="1"/>
        </xdr:cNvSpPr>
      </xdr:nvSpPr>
      <xdr:spPr bwMode="auto">
        <a:xfrm>
          <a:off x="6655254" y="7892143"/>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127</xdr:row>
      <xdr:rowOff>0</xdr:rowOff>
    </xdr:from>
    <xdr:ext cx="95250" cy="213632"/>
    <xdr:sp macro="" textlink="">
      <xdr:nvSpPr>
        <xdr:cNvPr id="1051" name="Text Box 15">
          <a:extLst>
            <a:ext uri="{FF2B5EF4-FFF2-40B4-BE49-F238E27FC236}">
              <a16:creationId xmlns:a16="http://schemas.microsoft.com/office/drawing/2014/main" id="{00000000-0008-0000-0500-00001B040000}"/>
            </a:ext>
          </a:extLst>
        </xdr:cNvPr>
        <xdr:cNvSpPr txBox="1">
          <a:spLocks noChangeArrowheads="1"/>
        </xdr:cNvSpPr>
      </xdr:nvSpPr>
      <xdr:spPr bwMode="auto">
        <a:xfrm>
          <a:off x="6655254" y="7892143"/>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127</xdr:row>
      <xdr:rowOff>0</xdr:rowOff>
    </xdr:from>
    <xdr:ext cx="95250" cy="213632"/>
    <xdr:sp macro="" textlink="">
      <xdr:nvSpPr>
        <xdr:cNvPr id="1052" name="Text Box 15">
          <a:extLst>
            <a:ext uri="{FF2B5EF4-FFF2-40B4-BE49-F238E27FC236}">
              <a16:creationId xmlns:a16="http://schemas.microsoft.com/office/drawing/2014/main" id="{00000000-0008-0000-0500-00001C040000}"/>
            </a:ext>
          </a:extLst>
        </xdr:cNvPr>
        <xdr:cNvSpPr txBox="1">
          <a:spLocks noChangeArrowheads="1"/>
        </xdr:cNvSpPr>
      </xdr:nvSpPr>
      <xdr:spPr bwMode="auto">
        <a:xfrm>
          <a:off x="6655254" y="7892143"/>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127</xdr:row>
      <xdr:rowOff>0</xdr:rowOff>
    </xdr:from>
    <xdr:ext cx="95250" cy="213632"/>
    <xdr:sp macro="" textlink="">
      <xdr:nvSpPr>
        <xdr:cNvPr id="1053" name="Text Box 15">
          <a:extLst>
            <a:ext uri="{FF2B5EF4-FFF2-40B4-BE49-F238E27FC236}">
              <a16:creationId xmlns:a16="http://schemas.microsoft.com/office/drawing/2014/main" id="{00000000-0008-0000-0500-00001D040000}"/>
            </a:ext>
          </a:extLst>
        </xdr:cNvPr>
        <xdr:cNvSpPr txBox="1">
          <a:spLocks noChangeArrowheads="1"/>
        </xdr:cNvSpPr>
      </xdr:nvSpPr>
      <xdr:spPr bwMode="auto">
        <a:xfrm>
          <a:off x="6655254" y="7892143"/>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127</xdr:row>
      <xdr:rowOff>0</xdr:rowOff>
    </xdr:from>
    <xdr:ext cx="95250" cy="213632"/>
    <xdr:sp macro="" textlink="">
      <xdr:nvSpPr>
        <xdr:cNvPr id="1054" name="Text Box 15">
          <a:extLst>
            <a:ext uri="{FF2B5EF4-FFF2-40B4-BE49-F238E27FC236}">
              <a16:creationId xmlns:a16="http://schemas.microsoft.com/office/drawing/2014/main" id="{00000000-0008-0000-0500-00001E040000}"/>
            </a:ext>
          </a:extLst>
        </xdr:cNvPr>
        <xdr:cNvSpPr txBox="1">
          <a:spLocks noChangeArrowheads="1"/>
        </xdr:cNvSpPr>
      </xdr:nvSpPr>
      <xdr:spPr bwMode="auto">
        <a:xfrm>
          <a:off x="6655254" y="7892143"/>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127</xdr:row>
      <xdr:rowOff>0</xdr:rowOff>
    </xdr:from>
    <xdr:ext cx="95250" cy="213632"/>
    <xdr:sp macro="" textlink="">
      <xdr:nvSpPr>
        <xdr:cNvPr id="1055" name="Text Box 15">
          <a:extLst>
            <a:ext uri="{FF2B5EF4-FFF2-40B4-BE49-F238E27FC236}">
              <a16:creationId xmlns:a16="http://schemas.microsoft.com/office/drawing/2014/main" id="{00000000-0008-0000-0500-00001F040000}"/>
            </a:ext>
          </a:extLst>
        </xdr:cNvPr>
        <xdr:cNvSpPr txBox="1">
          <a:spLocks noChangeArrowheads="1"/>
        </xdr:cNvSpPr>
      </xdr:nvSpPr>
      <xdr:spPr bwMode="auto">
        <a:xfrm>
          <a:off x="6655254" y="7892143"/>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127</xdr:row>
      <xdr:rowOff>0</xdr:rowOff>
    </xdr:from>
    <xdr:ext cx="95250" cy="213632"/>
    <xdr:sp macro="" textlink="">
      <xdr:nvSpPr>
        <xdr:cNvPr id="1056" name="Text Box 15">
          <a:extLst>
            <a:ext uri="{FF2B5EF4-FFF2-40B4-BE49-F238E27FC236}">
              <a16:creationId xmlns:a16="http://schemas.microsoft.com/office/drawing/2014/main" id="{00000000-0008-0000-0500-000020040000}"/>
            </a:ext>
          </a:extLst>
        </xdr:cNvPr>
        <xdr:cNvSpPr txBox="1">
          <a:spLocks noChangeArrowheads="1"/>
        </xdr:cNvSpPr>
      </xdr:nvSpPr>
      <xdr:spPr bwMode="auto">
        <a:xfrm>
          <a:off x="6655254" y="7892143"/>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127</xdr:row>
      <xdr:rowOff>0</xdr:rowOff>
    </xdr:from>
    <xdr:ext cx="95250" cy="213632"/>
    <xdr:sp macro="" textlink="">
      <xdr:nvSpPr>
        <xdr:cNvPr id="1057" name="Text Box 15">
          <a:extLst>
            <a:ext uri="{FF2B5EF4-FFF2-40B4-BE49-F238E27FC236}">
              <a16:creationId xmlns:a16="http://schemas.microsoft.com/office/drawing/2014/main" id="{00000000-0008-0000-0500-000021040000}"/>
            </a:ext>
          </a:extLst>
        </xdr:cNvPr>
        <xdr:cNvSpPr txBox="1">
          <a:spLocks noChangeArrowheads="1"/>
        </xdr:cNvSpPr>
      </xdr:nvSpPr>
      <xdr:spPr bwMode="auto">
        <a:xfrm>
          <a:off x="6655254" y="7892143"/>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127</xdr:row>
      <xdr:rowOff>0</xdr:rowOff>
    </xdr:from>
    <xdr:ext cx="95250" cy="213632"/>
    <xdr:sp macro="" textlink="">
      <xdr:nvSpPr>
        <xdr:cNvPr id="1058" name="Text Box 15">
          <a:extLst>
            <a:ext uri="{FF2B5EF4-FFF2-40B4-BE49-F238E27FC236}">
              <a16:creationId xmlns:a16="http://schemas.microsoft.com/office/drawing/2014/main" id="{00000000-0008-0000-0500-000022040000}"/>
            </a:ext>
          </a:extLst>
        </xdr:cNvPr>
        <xdr:cNvSpPr txBox="1">
          <a:spLocks noChangeArrowheads="1"/>
        </xdr:cNvSpPr>
      </xdr:nvSpPr>
      <xdr:spPr bwMode="auto">
        <a:xfrm>
          <a:off x="6655254" y="7892143"/>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127</xdr:row>
      <xdr:rowOff>0</xdr:rowOff>
    </xdr:from>
    <xdr:ext cx="95250" cy="213632"/>
    <xdr:sp macro="" textlink="">
      <xdr:nvSpPr>
        <xdr:cNvPr id="1059" name="Text Box 15">
          <a:extLst>
            <a:ext uri="{FF2B5EF4-FFF2-40B4-BE49-F238E27FC236}">
              <a16:creationId xmlns:a16="http://schemas.microsoft.com/office/drawing/2014/main" id="{00000000-0008-0000-0500-000023040000}"/>
            </a:ext>
          </a:extLst>
        </xdr:cNvPr>
        <xdr:cNvSpPr txBox="1">
          <a:spLocks noChangeArrowheads="1"/>
        </xdr:cNvSpPr>
      </xdr:nvSpPr>
      <xdr:spPr bwMode="auto">
        <a:xfrm>
          <a:off x="6655254" y="7892143"/>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127</xdr:row>
      <xdr:rowOff>0</xdr:rowOff>
    </xdr:from>
    <xdr:ext cx="95250" cy="213632"/>
    <xdr:sp macro="" textlink="">
      <xdr:nvSpPr>
        <xdr:cNvPr id="1060" name="Text Box 15">
          <a:extLst>
            <a:ext uri="{FF2B5EF4-FFF2-40B4-BE49-F238E27FC236}">
              <a16:creationId xmlns:a16="http://schemas.microsoft.com/office/drawing/2014/main" id="{00000000-0008-0000-0500-000024040000}"/>
            </a:ext>
          </a:extLst>
        </xdr:cNvPr>
        <xdr:cNvSpPr txBox="1">
          <a:spLocks noChangeArrowheads="1"/>
        </xdr:cNvSpPr>
      </xdr:nvSpPr>
      <xdr:spPr bwMode="auto">
        <a:xfrm>
          <a:off x="6655254" y="7892143"/>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127</xdr:row>
      <xdr:rowOff>0</xdr:rowOff>
    </xdr:from>
    <xdr:ext cx="95250" cy="213632"/>
    <xdr:sp macro="" textlink="">
      <xdr:nvSpPr>
        <xdr:cNvPr id="1061" name="Text Box 15">
          <a:extLst>
            <a:ext uri="{FF2B5EF4-FFF2-40B4-BE49-F238E27FC236}">
              <a16:creationId xmlns:a16="http://schemas.microsoft.com/office/drawing/2014/main" id="{00000000-0008-0000-0500-000025040000}"/>
            </a:ext>
          </a:extLst>
        </xdr:cNvPr>
        <xdr:cNvSpPr txBox="1">
          <a:spLocks noChangeArrowheads="1"/>
        </xdr:cNvSpPr>
      </xdr:nvSpPr>
      <xdr:spPr bwMode="auto">
        <a:xfrm>
          <a:off x="6655254" y="7892143"/>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127</xdr:row>
      <xdr:rowOff>0</xdr:rowOff>
    </xdr:from>
    <xdr:ext cx="95250" cy="213632"/>
    <xdr:sp macro="" textlink="">
      <xdr:nvSpPr>
        <xdr:cNvPr id="1062" name="Text Box 15">
          <a:extLst>
            <a:ext uri="{FF2B5EF4-FFF2-40B4-BE49-F238E27FC236}">
              <a16:creationId xmlns:a16="http://schemas.microsoft.com/office/drawing/2014/main" id="{00000000-0008-0000-0500-000026040000}"/>
            </a:ext>
          </a:extLst>
        </xdr:cNvPr>
        <xdr:cNvSpPr txBox="1">
          <a:spLocks noChangeArrowheads="1"/>
        </xdr:cNvSpPr>
      </xdr:nvSpPr>
      <xdr:spPr bwMode="auto">
        <a:xfrm>
          <a:off x="6655254" y="7892143"/>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127</xdr:row>
      <xdr:rowOff>0</xdr:rowOff>
    </xdr:from>
    <xdr:ext cx="95250" cy="213632"/>
    <xdr:sp macro="" textlink="">
      <xdr:nvSpPr>
        <xdr:cNvPr id="1063" name="Text Box 15">
          <a:extLst>
            <a:ext uri="{FF2B5EF4-FFF2-40B4-BE49-F238E27FC236}">
              <a16:creationId xmlns:a16="http://schemas.microsoft.com/office/drawing/2014/main" id="{00000000-0008-0000-0500-000027040000}"/>
            </a:ext>
          </a:extLst>
        </xdr:cNvPr>
        <xdr:cNvSpPr txBox="1">
          <a:spLocks noChangeArrowheads="1"/>
        </xdr:cNvSpPr>
      </xdr:nvSpPr>
      <xdr:spPr bwMode="auto">
        <a:xfrm>
          <a:off x="6655254" y="7892143"/>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127</xdr:row>
      <xdr:rowOff>0</xdr:rowOff>
    </xdr:from>
    <xdr:ext cx="95250" cy="213632"/>
    <xdr:sp macro="" textlink="">
      <xdr:nvSpPr>
        <xdr:cNvPr id="1064" name="Text Box 15">
          <a:extLst>
            <a:ext uri="{FF2B5EF4-FFF2-40B4-BE49-F238E27FC236}">
              <a16:creationId xmlns:a16="http://schemas.microsoft.com/office/drawing/2014/main" id="{00000000-0008-0000-0500-000028040000}"/>
            </a:ext>
          </a:extLst>
        </xdr:cNvPr>
        <xdr:cNvSpPr txBox="1">
          <a:spLocks noChangeArrowheads="1"/>
        </xdr:cNvSpPr>
      </xdr:nvSpPr>
      <xdr:spPr bwMode="auto">
        <a:xfrm>
          <a:off x="6655254" y="7892143"/>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127</xdr:row>
      <xdr:rowOff>0</xdr:rowOff>
    </xdr:from>
    <xdr:ext cx="95250" cy="213632"/>
    <xdr:sp macro="" textlink="">
      <xdr:nvSpPr>
        <xdr:cNvPr id="1065" name="Text Box 15">
          <a:extLst>
            <a:ext uri="{FF2B5EF4-FFF2-40B4-BE49-F238E27FC236}">
              <a16:creationId xmlns:a16="http://schemas.microsoft.com/office/drawing/2014/main" id="{00000000-0008-0000-0500-000029040000}"/>
            </a:ext>
          </a:extLst>
        </xdr:cNvPr>
        <xdr:cNvSpPr txBox="1">
          <a:spLocks noChangeArrowheads="1"/>
        </xdr:cNvSpPr>
      </xdr:nvSpPr>
      <xdr:spPr bwMode="auto">
        <a:xfrm>
          <a:off x="6655254" y="7892143"/>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127</xdr:row>
      <xdr:rowOff>0</xdr:rowOff>
    </xdr:from>
    <xdr:ext cx="95250" cy="213632"/>
    <xdr:sp macro="" textlink="">
      <xdr:nvSpPr>
        <xdr:cNvPr id="1066" name="Text Box 15">
          <a:extLst>
            <a:ext uri="{FF2B5EF4-FFF2-40B4-BE49-F238E27FC236}">
              <a16:creationId xmlns:a16="http://schemas.microsoft.com/office/drawing/2014/main" id="{00000000-0008-0000-0500-00002A040000}"/>
            </a:ext>
          </a:extLst>
        </xdr:cNvPr>
        <xdr:cNvSpPr txBox="1">
          <a:spLocks noChangeArrowheads="1"/>
        </xdr:cNvSpPr>
      </xdr:nvSpPr>
      <xdr:spPr bwMode="auto">
        <a:xfrm>
          <a:off x="6655254" y="7892143"/>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127</xdr:row>
      <xdr:rowOff>0</xdr:rowOff>
    </xdr:from>
    <xdr:ext cx="95250" cy="213632"/>
    <xdr:sp macro="" textlink="">
      <xdr:nvSpPr>
        <xdr:cNvPr id="1067" name="Text Box 15">
          <a:extLst>
            <a:ext uri="{FF2B5EF4-FFF2-40B4-BE49-F238E27FC236}">
              <a16:creationId xmlns:a16="http://schemas.microsoft.com/office/drawing/2014/main" id="{00000000-0008-0000-0500-00002B040000}"/>
            </a:ext>
          </a:extLst>
        </xdr:cNvPr>
        <xdr:cNvSpPr txBox="1">
          <a:spLocks noChangeArrowheads="1"/>
        </xdr:cNvSpPr>
      </xdr:nvSpPr>
      <xdr:spPr bwMode="auto">
        <a:xfrm>
          <a:off x="6655254" y="7892143"/>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127</xdr:row>
      <xdr:rowOff>0</xdr:rowOff>
    </xdr:from>
    <xdr:ext cx="95250" cy="213632"/>
    <xdr:sp macro="" textlink="">
      <xdr:nvSpPr>
        <xdr:cNvPr id="1068" name="Text Box 15">
          <a:extLst>
            <a:ext uri="{FF2B5EF4-FFF2-40B4-BE49-F238E27FC236}">
              <a16:creationId xmlns:a16="http://schemas.microsoft.com/office/drawing/2014/main" id="{00000000-0008-0000-0500-00002C040000}"/>
            </a:ext>
          </a:extLst>
        </xdr:cNvPr>
        <xdr:cNvSpPr txBox="1">
          <a:spLocks noChangeArrowheads="1"/>
        </xdr:cNvSpPr>
      </xdr:nvSpPr>
      <xdr:spPr bwMode="auto">
        <a:xfrm>
          <a:off x="6655254" y="7892143"/>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127</xdr:row>
      <xdr:rowOff>0</xdr:rowOff>
    </xdr:from>
    <xdr:ext cx="95250" cy="213632"/>
    <xdr:sp macro="" textlink="">
      <xdr:nvSpPr>
        <xdr:cNvPr id="1069" name="Text Box 15">
          <a:extLst>
            <a:ext uri="{FF2B5EF4-FFF2-40B4-BE49-F238E27FC236}">
              <a16:creationId xmlns:a16="http://schemas.microsoft.com/office/drawing/2014/main" id="{00000000-0008-0000-0500-00002D040000}"/>
            </a:ext>
          </a:extLst>
        </xdr:cNvPr>
        <xdr:cNvSpPr txBox="1">
          <a:spLocks noChangeArrowheads="1"/>
        </xdr:cNvSpPr>
      </xdr:nvSpPr>
      <xdr:spPr bwMode="auto">
        <a:xfrm>
          <a:off x="6655254" y="7892143"/>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127</xdr:row>
      <xdr:rowOff>0</xdr:rowOff>
    </xdr:from>
    <xdr:ext cx="95250" cy="213632"/>
    <xdr:sp macro="" textlink="">
      <xdr:nvSpPr>
        <xdr:cNvPr id="1070" name="Text Box 15">
          <a:extLst>
            <a:ext uri="{FF2B5EF4-FFF2-40B4-BE49-F238E27FC236}">
              <a16:creationId xmlns:a16="http://schemas.microsoft.com/office/drawing/2014/main" id="{00000000-0008-0000-0500-00002E040000}"/>
            </a:ext>
          </a:extLst>
        </xdr:cNvPr>
        <xdr:cNvSpPr txBox="1">
          <a:spLocks noChangeArrowheads="1"/>
        </xdr:cNvSpPr>
      </xdr:nvSpPr>
      <xdr:spPr bwMode="auto">
        <a:xfrm>
          <a:off x="6655254" y="7892143"/>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127</xdr:row>
      <xdr:rowOff>0</xdr:rowOff>
    </xdr:from>
    <xdr:ext cx="95250" cy="213632"/>
    <xdr:sp macro="" textlink="">
      <xdr:nvSpPr>
        <xdr:cNvPr id="1071" name="Text Box 15">
          <a:extLst>
            <a:ext uri="{FF2B5EF4-FFF2-40B4-BE49-F238E27FC236}">
              <a16:creationId xmlns:a16="http://schemas.microsoft.com/office/drawing/2014/main" id="{00000000-0008-0000-0500-00002F040000}"/>
            </a:ext>
          </a:extLst>
        </xdr:cNvPr>
        <xdr:cNvSpPr txBox="1">
          <a:spLocks noChangeArrowheads="1"/>
        </xdr:cNvSpPr>
      </xdr:nvSpPr>
      <xdr:spPr bwMode="auto">
        <a:xfrm>
          <a:off x="6655254" y="7892143"/>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127</xdr:row>
      <xdr:rowOff>0</xdr:rowOff>
    </xdr:from>
    <xdr:ext cx="95250" cy="213632"/>
    <xdr:sp macro="" textlink="">
      <xdr:nvSpPr>
        <xdr:cNvPr id="1072" name="Text Box 15">
          <a:extLst>
            <a:ext uri="{FF2B5EF4-FFF2-40B4-BE49-F238E27FC236}">
              <a16:creationId xmlns:a16="http://schemas.microsoft.com/office/drawing/2014/main" id="{00000000-0008-0000-0500-000030040000}"/>
            </a:ext>
          </a:extLst>
        </xdr:cNvPr>
        <xdr:cNvSpPr txBox="1">
          <a:spLocks noChangeArrowheads="1"/>
        </xdr:cNvSpPr>
      </xdr:nvSpPr>
      <xdr:spPr bwMode="auto">
        <a:xfrm>
          <a:off x="6655254" y="7892143"/>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127</xdr:row>
      <xdr:rowOff>0</xdr:rowOff>
    </xdr:from>
    <xdr:ext cx="95250" cy="213632"/>
    <xdr:sp macro="" textlink="">
      <xdr:nvSpPr>
        <xdr:cNvPr id="1073" name="Text Box 15">
          <a:extLst>
            <a:ext uri="{FF2B5EF4-FFF2-40B4-BE49-F238E27FC236}">
              <a16:creationId xmlns:a16="http://schemas.microsoft.com/office/drawing/2014/main" id="{00000000-0008-0000-0500-000031040000}"/>
            </a:ext>
          </a:extLst>
        </xdr:cNvPr>
        <xdr:cNvSpPr txBox="1">
          <a:spLocks noChangeArrowheads="1"/>
        </xdr:cNvSpPr>
      </xdr:nvSpPr>
      <xdr:spPr bwMode="auto">
        <a:xfrm>
          <a:off x="6655254" y="7892143"/>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127</xdr:row>
      <xdr:rowOff>0</xdr:rowOff>
    </xdr:from>
    <xdr:ext cx="95250" cy="213632"/>
    <xdr:sp macro="" textlink="">
      <xdr:nvSpPr>
        <xdr:cNvPr id="1074" name="Text Box 15">
          <a:extLst>
            <a:ext uri="{FF2B5EF4-FFF2-40B4-BE49-F238E27FC236}">
              <a16:creationId xmlns:a16="http://schemas.microsoft.com/office/drawing/2014/main" id="{00000000-0008-0000-0500-000032040000}"/>
            </a:ext>
          </a:extLst>
        </xdr:cNvPr>
        <xdr:cNvSpPr txBox="1">
          <a:spLocks noChangeArrowheads="1"/>
        </xdr:cNvSpPr>
      </xdr:nvSpPr>
      <xdr:spPr bwMode="auto">
        <a:xfrm>
          <a:off x="6655254" y="7892143"/>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127</xdr:row>
      <xdr:rowOff>0</xdr:rowOff>
    </xdr:from>
    <xdr:ext cx="95250" cy="213632"/>
    <xdr:sp macro="" textlink="">
      <xdr:nvSpPr>
        <xdr:cNvPr id="1075" name="Text Box 15">
          <a:extLst>
            <a:ext uri="{FF2B5EF4-FFF2-40B4-BE49-F238E27FC236}">
              <a16:creationId xmlns:a16="http://schemas.microsoft.com/office/drawing/2014/main" id="{00000000-0008-0000-0500-000033040000}"/>
            </a:ext>
          </a:extLst>
        </xdr:cNvPr>
        <xdr:cNvSpPr txBox="1">
          <a:spLocks noChangeArrowheads="1"/>
        </xdr:cNvSpPr>
      </xdr:nvSpPr>
      <xdr:spPr bwMode="auto">
        <a:xfrm>
          <a:off x="6655254" y="7892143"/>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127</xdr:row>
      <xdr:rowOff>0</xdr:rowOff>
    </xdr:from>
    <xdr:ext cx="95250" cy="213632"/>
    <xdr:sp macro="" textlink="">
      <xdr:nvSpPr>
        <xdr:cNvPr id="1076" name="Text Box 15">
          <a:extLst>
            <a:ext uri="{FF2B5EF4-FFF2-40B4-BE49-F238E27FC236}">
              <a16:creationId xmlns:a16="http://schemas.microsoft.com/office/drawing/2014/main" id="{00000000-0008-0000-0500-000034040000}"/>
            </a:ext>
          </a:extLst>
        </xdr:cNvPr>
        <xdr:cNvSpPr txBox="1">
          <a:spLocks noChangeArrowheads="1"/>
        </xdr:cNvSpPr>
      </xdr:nvSpPr>
      <xdr:spPr bwMode="auto">
        <a:xfrm>
          <a:off x="6655254" y="7892143"/>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127</xdr:row>
      <xdr:rowOff>0</xdr:rowOff>
    </xdr:from>
    <xdr:ext cx="95250" cy="213632"/>
    <xdr:sp macro="" textlink="">
      <xdr:nvSpPr>
        <xdr:cNvPr id="1077" name="Text Box 15">
          <a:extLst>
            <a:ext uri="{FF2B5EF4-FFF2-40B4-BE49-F238E27FC236}">
              <a16:creationId xmlns:a16="http://schemas.microsoft.com/office/drawing/2014/main" id="{00000000-0008-0000-0500-000035040000}"/>
            </a:ext>
          </a:extLst>
        </xdr:cNvPr>
        <xdr:cNvSpPr txBox="1">
          <a:spLocks noChangeArrowheads="1"/>
        </xdr:cNvSpPr>
      </xdr:nvSpPr>
      <xdr:spPr bwMode="auto">
        <a:xfrm>
          <a:off x="6655254" y="7892143"/>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127</xdr:row>
      <xdr:rowOff>0</xdr:rowOff>
    </xdr:from>
    <xdr:ext cx="95250" cy="213632"/>
    <xdr:sp macro="" textlink="">
      <xdr:nvSpPr>
        <xdr:cNvPr id="1078" name="Text Box 15">
          <a:extLst>
            <a:ext uri="{FF2B5EF4-FFF2-40B4-BE49-F238E27FC236}">
              <a16:creationId xmlns:a16="http://schemas.microsoft.com/office/drawing/2014/main" id="{00000000-0008-0000-0500-000036040000}"/>
            </a:ext>
          </a:extLst>
        </xdr:cNvPr>
        <xdr:cNvSpPr txBox="1">
          <a:spLocks noChangeArrowheads="1"/>
        </xdr:cNvSpPr>
      </xdr:nvSpPr>
      <xdr:spPr bwMode="auto">
        <a:xfrm>
          <a:off x="6655254" y="7892143"/>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127</xdr:row>
      <xdr:rowOff>0</xdr:rowOff>
    </xdr:from>
    <xdr:ext cx="95250" cy="213632"/>
    <xdr:sp macro="" textlink="">
      <xdr:nvSpPr>
        <xdr:cNvPr id="1079" name="Text Box 15">
          <a:extLst>
            <a:ext uri="{FF2B5EF4-FFF2-40B4-BE49-F238E27FC236}">
              <a16:creationId xmlns:a16="http://schemas.microsoft.com/office/drawing/2014/main" id="{00000000-0008-0000-0500-000037040000}"/>
            </a:ext>
          </a:extLst>
        </xdr:cNvPr>
        <xdr:cNvSpPr txBox="1">
          <a:spLocks noChangeArrowheads="1"/>
        </xdr:cNvSpPr>
      </xdr:nvSpPr>
      <xdr:spPr bwMode="auto">
        <a:xfrm>
          <a:off x="6655254" y="7892143"/>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127</xdr:row>
      <xdr:rowOff>0</xdr:rowOff>
    </xdr:from>
    <xdr:ext cx="95250" cy="213632"/>
    <xdr:sp macro="" textlink="">
      <xdr:nvSpPr>
        <xdr:cNvPr id="1080" name="Text Box 15">
          <a:extLst>
            <a:ext uri="{FF2B5EF4-FFF2-40B4-BE49-F238E27FC236}">
              <a16:creationId xmlns:a16="http://schemas.microsoft.com/office/drawing/2014/main" id="{00000000-0008-0000-0500-000038040000}"/>
            </a:ext>
          </a:extLst>
        </xdr:cNvPr>
        <xdr:cNvSpPr txBox="1">
          <a:spLocks noChangeArrowheads="1"/>
        </xdr:cNvSpPr>
      </xdr:nvSpPr>
      <xdr:spPr bwMode="auto">
        <a:xfrm>
          <a:off x="6655254" y="7892143"/>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127</xdr:row>
      <xdr:rowOff>0</xdr:rowOff>
    </xdr:from>
    <xdr:ext cx="95250" cy="213632"/>
    <xdr:sp macro="" textlink="">
      <xdr:nvSpPr>
        <xdr:cNvPr id="1081" name="Text Box 15">
          <a:extLst>
            <a:ext uri="{FF2B5EF4-FFF2-40B4-BE49-F238E27FC236}">
              <a16:creationId xmlns:a16="http://schemas.microsoft.com/office/drawing/2014/main" id="{00000000-0008-0000-0500-000039040000}"/>
            </a:ext>
          </a:extLst>
        </xdr:cNvPr>
        <xdr:cNvSpPr txBox="1">
          <a:spLocks noChangeArrowheads="1"/>
        </xdr:cNvSpPr>
      </xdr:nvSpPr>
      <xdr:spPr bwMode="auto">
        <a:xfrm>
          <a:off x="6655254" y="7892143"/>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127</xdr:row>
      <xdr:rowOff>0</xdr:rowOff>
    </xdr:from>
    <xdr:ext cx="95250" cy="213632"/>
    <xdr:sp macro="" textlink="">
      <xdr:nvSpPr>
        <xdr:cNvPr id="1082" name="Text Box 15">
          <a:extLst>
            <a:ext uri="{FF2B5EF4-FFF2-40B4-BE49-F238E27FC236}">
              <a16:creationId xmlns:a16="http://schemas.microsoft.com/office/drawing/2014/main" id="{00000000-0008-0000-0500-00003A040000}"/>
            </a:ext>
          </a:extLst>
        </xdr:cNvPr>
        <xdr:cNvSpPr txBox="1">
          <a:spLocks noChangeArrowheads="1"/>
        </xdr:cNvSpPr>
      </xdr:nvSpPr>
      <xdr:spPr bwMode="auto">
        <a:xfrm>
          <a:off x="6655254" y="7892143"/>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127</xdr:row>
      <xdr:rowOff>0</xdr:rowOff>
    </xdr:from>
    <xdr:ext cx="95250" cy="213632"/>
    <xdr:sp macro="" textlink="">
      <xdr:nvSpPr>
        <xdr:cNvPr id="1083" name="Text Box 15">
          <a:extLst>
            <a:ext uri="{FF2B5EF4-FFF2-40B4-BE49-F238E27FC236}">
              <a16:creationId xmlns:a16="http://schemas.microsoft.com/office/drawing/2014/main" id="{00000000-0008-0000-0500-00003B040000}"/>
            </a:ext>
          </a:extLst>
        </xdr:cNvPr>
        <xdr:cNvSpPr txBox="1">
          <a:spLocks noChangeArrowheads="1"/>
        </xdr:cNvSpPr>
      </xdr:nvSpPr>
      <xdr:spPr bwMode="auto">
        <a:xfrm>
          <a:off x="6655254" y="7892143"/>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127</xdr:row>
      <xdr:rowOff>0</xdr:rowOff>
    </xdr:from>
    <xdr:ext cx="95250" cy="213632"/>
    <xdr:sp macro="" textlink="">
      <xdr:nvSpPr>
        <xdr:cNvPr id="1084" name="Text Box 15">
          <a:extLst>
            <a:ext uri="{FF2B5EF4-FFF2-40B4-BE49-F238E27FC236}">
              <a16:creationId xmlns:a16="http://schemas.microsoft.com/office/drawing/2014/main" id="{00000000-0008-0000-0500-00003C040000}"/>
            </a:ext>
          </a:extLst>
        </xdr:cNvPr>
        <xdr:cNvSpPr txBox="1">
          <a:spLocks noChangeArrowheads="1"/>
        </xdr:cNvSpPr>
      </xdr:nvSpPr>
      <xdr:spPr bwMode="auto">
        <a:xfrm>
          <a:off x="6655254" y="7892143"/>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127</xdr:row>
      <xdr:rowOff>0</xdr:rowOff>
    </xdr:from>
    <xdr:ext cx="95250" cy="213632"/>
    <xdr:sp macro="" textlink="">
      <xdr:nvSpPr>
        <xdr:cNvPr id="1085" name="Text Box 15">
          <a:extLst>
            <a:ext uri="{FF2B5EF4-FFF2-40B4-BE49-F238E27FC236}">
              <a16:creationId xmlns:a16="http://schemas.microsoft.com/office/drawing/2014/main" id="{00000000-0008-0000-0500-00003D040000}"/>
            </a:ext>
          </a:extLst>
        </xdr:cNvPr>
        <xdr:cNvSpPr txBox="1">
          <a:spLocks noChangeArrowheads="1"/>
        </xdr:cNvSpPr>
      </xdr:nvSpPr>
      <xdr:spPr bwMode="auto">
        <a:xfrm>
          <a:off x="6655254" y="7892143"/>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127</xdr:row>
      <xdr:rowOff>0</xdr:rowOff>
    </xdr:from>
    <xdr:ext cx="95250" cy="213632"/>
    <xdr:sp macro="" textlink="">
      <xdr:nvSpPr>
        <xdr:cNvPr id="1086" name="Text Box 15">
          <a:extLst>
            <a:ext uri="{FF2B5EF4-FFF2-40B4-BE49-F238E27FC236}">
              <a16:creationId xmlns:a16="http://schemas.microsoft.com/office/drawing/2014/main" id="{00000000-0008-0000-0500-00003E040000}"/>
            </a:ext>
          </a:extLst>
        </xdr:cNvPr>
        <xdr:cNvSpPr txBox="1">
          <a:spLocks noChangeArrowheads="1"/>
        </xdr:cNvSpPr>
      </xdr:nvSpPr>
      <xdr:spPr bwMode="auto">
        <a:xfrm>
          <a:off x="6655254" y="7892143"/>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127</xdr:row>
      <xdr:rowOff>0</xdr:rowOff>
    </xdr:from>
    <xdr:ext cx="95250" cy="213632"/>
    <xdr:sp macro="" textlink="">
      <xdr:nvSpPr>
        <xdr:cNvPr id="1087" name="Text Box 15">
          <a:extLst>
            <a:ext uri="{FF2B5EF4-FFF2-40B4-BE49-F238E27FC236}">
              <a16:creationId xmlns:a16="http://schemas.microsoft.com/office/drawing/2014/main" id="{00000000-0008-0000-0500-00003F040000}"/>
            </a:ext>
          </a:extLst>
        </xdr:cNvPr>
        <xdr:cNvSpPr txBox="1">
          <a:spLocks noChangeArrowheads="1"/>
        </xdr:cNvSpPr>
      </xdr:nvSpPr>
      <xdr:spPr bwMode="auto">
        <a:xfrm>
          <a:off x="6655254" y="7892143"/>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127</xdr:row>
      <xdr:rowOff>0</xdr:rowOff>
    </xdr:from>
    <xdr:ext cx="95250" cy="213632"/>
    <xdr:sp macro="" textlink="">
      <xdr:nvSpPr>
        <xdr:cNvPr id="1088" name="Text Box 15">
          <a:extLst>
            <a:ext uri="{FF2B5EF4-FFF2-40B4-BE49-F238E27FC236}">
              <a16:creationId xmlns:a16="http://schemas.microsoft.com/office/drawing/2014/main" id="{00000000-0008-0000-0500-000040040000}"/>
            </a:ext>
          </a:extLst>
        </xdr:cNvPr>
        <xdr:cNvSpPr txBox="1">
          <a:spLocks noChangeArrowheads="1"/>
        </xdr:cNvSpPr>
      </xdr:nvSpPr>
      <xdr:spPr bwMode="auto">
        <a:xfrm>
          <a:off x="6655254" y="7892143"/>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127</xdr:row>
      <xdr:rowOff>0</xdr:rowOff>
    </xdr:from>
    <xdr:ext cx="95250" cy="213632"/>
    <xdr:sp macro="" textlink="">
      <xdr:nvSpPr>
        <xdr:cNvPr id="1089" name="Text Box 15">
          <a:extLst>
            <a:ext uri="{FF2B5EF4-FFF2-40B4-BE49-F238E27FC236}">
              <a16:creationId xmlns:a16="http://schemas.microsoft.com/office/drawing/2014/main" id="{00000000-0008-0000-0500-000041040000}"/>
            </a:ext>
          </a:extLst>
        </xdr:cNvPr>
        <xdr:cNvSpPr txBox="1">
          <a:spLocks noChangeArrowheads="1"/>
        </xdr:cNvSpPr>
      </xdr:nvSpPr>
      <xdr:spPr bwMode="auto">
        <a:xfrm>
          <a:off x="6655254" y="7892143"/>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127</xdr:row>
      <xdr:rowOff>0</xdr:rowOff>
    </xdr:from>
    <xdr:ext cx="95250" cy="213632"/>
    <xdr:sp macro="" textlink="">
      <xdr:nvSpPr>
        <xdr:cNvPr id="1090" name="Text Box 15">
          <a:extLst>
            <a:ext uri="{FF2B5EF4-FFF2-40B4-BE49-F238E27FC236}">
              <a16:creationId xmlns:a16="http://schemas.microsoft.com/office/drawing/2014/main" id="{00000000-0008-0000-0500-000042040000}"/>
            </a:ext>
          </a:extLst>
        </xdr:cNvPr>
        <xdr:cNvSpPr txBox="1">
          <a:spLocks noChangeArrowheads="1"/>
        </xdr:cNvSpPr>
      </xdr:nvSpPr>
      <xdr:spPr bwMode="auto">
        <a:xfrm>
          <a:off x="6655254" y="7892143"/>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127</xdr:row>
      <xdr:rowOff>0</xdr:rowOff>
    </xdr:from>
    <xdr:ext cx="95250" cy="213632"/>
    <xdr:sp macro="" textlink="">
      <xdr:nvSpPr>
        <xdr:cNvPr id="1091" name="Text Box 15">
          <a:extLst>
            <a:ext uri="{FF2B5EF4-FFF2-40B4-BE49-F238E27FC236}">
              <a16:creationId xmlns:a16="http://schemas.microsoft.com/office/drawing/2014/main" id="{00000000-0008-0000-0500-000043040000}"/>
            </a:ext>
          </a:extLst>
        </xdr:cNvPr>
        <xdr:cNvSpPr txBox="1">
          <a:spLocks noChangeArrowheads="1"/>
        </xdr:cNvSpPr>
      </xdr:nvSpPr>
      <xdr:spPr bwMode="auto">
        <a:xfrm>
          <a:off x="6655254" y="7892143"/>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127</xdr:row>
      <xdr:rowOff>0</xdr:rowOff>
    </xdr:from>
    <xdr:ext cx="95250" cy="213632"/>
    <xdr:sp macro="" textlink="">
      <xdr:nvSpPr>
        <xdr:cNvPr id="1092" name="Text Box 15">
          <a:extLst>
            <a:ext uri="{FF2B5EF4-FFF2-40B4-BE49-F238E27FC236}">
              <a16:creationId xmlns:a16="http://schemas.microsoft.com/office/drawing/2014/main" id="{00000000-0008-0000-0500-000044040000}"/>
            </a:ext>
          </a:extLst>
        </xdr:cNvPr>
        <xdr:cNvSpPr txBox="1">
          <a:spLocks noChangeArrowheads="1"/>
        </xdr:cNvSpPr>
      </xdr:nvSpPr>
      <xdr:spPr bwMode="auto">
        <a:xfrm>
          <a:off x="6655254" y="7892143"/>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127</xdr:row>
      <xdr:rowOff>0</xdr:rowOff>
    </xdr:from>
    <xdr:ext cx="95250" cy="213632"/>
    <xdr:sp macro="" textlink="">
      <xdr:nvSpPr>
        <xdr:cNvPr id="1093" name="Text Box 15">
          <a:extLst>
            <a:ext uri="{FF2B5EF4-FFF2-40B4-BE49-F238E27FC236}">
              <a16:creationId xmlns:a16="http://schemas.microsoft.com/office/drawing/2014/main" id="{00000000-0008-0000-0500-000045040000}"/>
            </a:ext>
          </a:extLst>
        </xdr:cNvPr>
        <xdr:cNvSpPr txBox="1">
          <a:spLocks noChangeArrowheads="1"/>
        </xdr:cNvSpPr>
      </xdr:nvSpPr>
      <xdr:spPr bwMode="auto">
        <a:xfrm>
          <a:off x="6655254" y="7892143"/>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127</xdr:row>
      <xdr:rowOff>0</xdr:rowOff>
    </xdr:from>
    <xdr:ext cx="95250" cy="213632"/>
    <xdr:sp macro="" textlink="">
      <xdr:nvSpPr>
        <xdr:cNvPr id="1094" name="Text Box 15">
          <a:extLst>
            <a:ext uri="{FF2B5EF4-FFF2-40B4-BE49-F238E27FC236}">
              <a16:creationId xmlns:a16="http://schemas.microsoft.com/office/drawing/2014/main" id="{00000000-0008-0000-0500-000046040000}"/>
            </a:ext>
          </a:extLst>
        </xdr:cNvPr>
        <xdr:cNvSpPr txBox="1">
          <a:spLocks noChangeArrowheads="1"/>
        </xdr:cNvSpPr>
      </xdr:nvSpPr>
      <xdr:spPr bwMode="auto">
        <a:xfrm>
          <a:off x="6655254" y="7892143"/>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127</xdr:row>
      <xdr:rowOff>0</xdr:rowOff>
    </xdr:from>
    <xdr:ext cx="95250" cy="213632"/>
    <xdr:sp macro="" textlink="">
      <xdr:nvSpPr>
        <xdr:cNvPr id="1095" name="Text Box 15">
          <a:extLst>
            <a:ext uri="{FF2B5EF4-FFF2-40B4-BE49-F238E27FC236}">
              <a16:creationId xmlns:a16="http://schemas.microsoft.com/office/drawing/2014/main" id="{00000000-0008-0000-0500-000047040000}"/>
            </a:ext>
          </a:extLst>
        </xdr:cNvPr>
        <xdr:cNvSpPr txBox="1">
          <a:spLocks noChangeArrowheads="1"/>
        </xdr:cNvSpPr>
      </xdr:nvSpPr>
      <xdr:spPr bwMode="auto">
        <a:xfrm>
          <a:off x="6655254" y="7892143"/>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127</xdr:row>
      <xdr:rowOff>0</xdr:rowOff>
    </xdr:from>
    <xdr:ext cx="95250" cy="213632"/>
    <xdr:sp macro="" textlink="">
      <xdr:nvSpPr>
        <xdr:cNvPr id="1096" name="Text Box 15">
          <a:extLst>
            <a:ext uri="{FF2B5EF4-FFF2-40B4-BE49-F238E27FC236}">
              <a16:creationId xmlns:a16="http://schemas.microsoft.com/office/drawing/2014/main" id="{00000000-0008-0000-0500-000048040000}"/>
            </a:ext>
          </a:extLst>
        </xdr:cNvPr>
        <xdr:cNvSpPr txBox="1">
          <a:spLocks noChangeArrowheads="1"/>
        </xdr:cNvSpPr>
      </xdr:nvSpPr>
      <xdr:spPr bwMode="auto">
        <a:xfrm>
          <a:off x="6655254" y="7892143"/>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127</xdr:row>
      <xdr:rowOff>0</xdr:rowOff>
    </xdr:from>
    <xdr:ext cx="95250" cy="213632"/>
    <xdr:sp macro="" textlink="">
      <xdr:nvSpPr>
        <xdr:cNvPr id="1097" name="Text Box 15">
          <a:extLst>
            <a:ext uri="{FF2B5EF4-FFF2-40B4-BE49-F238E27FC236}">
              <a16:creationId xmlns:a16="http://schemas.microsoft.com/office/drawing/2014/main" id="{00000000-0008-0000-0500-000049040000}"/>
            </a:ext>
          </a:extLst>
        </xdr:cNvPr>
        <xdr:cNvSpPr txBox="1">
          <a:spLocks noChangeArrowheads="1"/>
        </xdr:cNvSpPr>
      </xdr:nvSpPr>
      <xdr:spPr bwMode="auto">
        <a:xfrm>
          <a:off x="6655254" y="7892143"/>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127</xdr:row>
      <xdr:rowOff>0</xdr:rowOff>
    </xdr:from>
    <xdr:ext cx="95250" cy="213632"/>
    <xdr:sp macro="" textlink="">
      <xdr:nvSpPr>
        <xdr:cNvPr id="1098" name="Text Box 15">
          <a:extLst>
            <a:ext uri="{FF2B5EF4-FFF2-40B4-BE49-F238E27FC236}">
              <a16:creationId xmlns:a16="http://schemas.microsoft.com/office/drawing/2014/main" id="{00000000-0008-0000-0500-00004A040000}"/>
            </a:ext>
          </a:extLst>
        </xdr:cNvPr>
        <xdr:cNvSpPr txBox="1">
          <a:spLocks noChangeArrowheads="1"/>
        </xdr:cNvSpPr>
      </xdr:nvSpPr>
      <xdr:spPr bwMode="auto">
        <a:xfrm>
          <a:off x="6655254" y="7892143"/>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127</xdr:row>
      <xdr:rowOff>0</xdr:rowOff>
    </xdr:from>
    <xdr:ext cx="95250" cy="213632"/>
    <xdr:sp macro="" textlink="">
      <xdr:nvSpPr>
        <xdr:cNvPr id="1099" name="Text Box 15">
          <a:extLst>
            <a:ext uri="{FF2B5EF4-FFF2-40B4-BE49-F238E27FC236}">
              <a16:creationId xmlns:a16="http://schemas.microsoft.com/office/drawing/2014/main" id="{00000000-0008-0000-0500-00004B040000}"/>
            </a:ext>
          </a:extLst>
        </xdr:cNvPr>
        <xdr:cNvSpPr txBox="1">
          <a:spLocks noChangeArrowheads="1"/>
        </xdr:cNvSpPr>
      </xdr:nvSpPr>
      <xdr:spPr bwMode="auto">
        <a:xfrm>
          <a:off x="6655254" y="7892143"/>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127</xdr:row>
      <xdr:rowOff>0</xdr:rowOff>
    </xdr:from>
    <xdr:ext cx="95250" cy="213632"/>
    <xdr:sp macro="" textlink="">
      <xdr:nvSpPr>
        <xdr:cNvPr id="1100" name="Text Box 15">
          <a:extLst>
            <a:ext uri="{FF2B5EF4-FFF2-40B4-BE49-F238E27FC236}">
              <a16:creationId xmlns:a16="http://schemas.microsoft.com/office/drawing/2014/main" id="{00000000-0008-0000-0500-00004C040000}"/>
            </a:ext>
          </a:extLst>
        </xdr:cNvPr>
        <xdr:cNvSpPr txBox="1">
          <a:spLocks noChangeArrowheads="1"/>
        </xdr:cNvSpPr>
      </xdr:nvSpPr>
      <xdr:spPr bwMode="auto">
        <a:xfrm>
          <a:off x="6655254" y="7892143"/>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127</xdr:row>
      <xdr:rowOff>0</xdr:rowOff>
    </xdr:from>
    <xdr:ext cx="95250" cy="213632"/>
    <xdr:sp macro="" textlink="">
      <xdr:nvSpPr>
        <xdr:cNvPr id="1101" name="Text Box 15">
          <a:extLst>
            <a:ext uri="{FF2B5EF4-FFF2-40B4-BE49-F238E27FC236}">
              <a16:creationId xmlns:a16="http://schemas.microsoft.com/office/drawing/2014/main" id="{00000000-0008-0000-0500-00004D040000}"/>
            </a:ext>
          </a:extLst>
        </xdr:cNvPr>
        <xdr:cNvSpPr txBox="1">
          <a:spLocks noChangeArrowheads="1"/>
        </xdr:cNvSpPr>
      </xdr:nvSpPr>
      <xdr:spPr bwMode="auto">
        <a:xfrm>
          <a:off x="6655254" y="7892143"/>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127</xdr:row>
      <xdr:rowOff>0</xdr:rowOff>
    </xdr:from>
    <xdr:ext cx="95250" cy="213632"/>
    <xdr:sp macro="" textlink="">
      <xdr:nvSpPr>
        <xdr:cNvPr id="1102" name="Text Box 15">
          <a:extLst>
            <a:ext uri="{FF2B5EF4-FFF2-40B4-BE49-F238E27FC236}">
              <a16:creationId xmlns:a16="http://schemas.microsoft.com/office/drawing/2014/main" id="{00000000-0008-0000-0500-00004E040000}"/>
            </a:ext>
          </a:extLst>
        </xdr:cNvPr>
        <xdr:cNvSpPr txBox="1">
          <a:spLocks noChangeArrowheads="1"/>
        </xdr:cNvSpPr>
      </xdr:nvSpPr>
      <xdr:spPr bwMode="auto">
        <a:xfrm>
          <a:off x="6655254" y="7892143"/>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127</xdr:row>
      <xdr:rowOff>0</xdr:rowOff>
    </xdr:from>
    <xdr:ext cx="95250" cy="213632"/>
    <xdr:sp macro="" textlink="">
      <xdr:nvSpPr>
        <xdr:cNvPr id="1103" name="Text Box 15">
          <a:extLst>
            <a:ext uri="{FF2B5EF4-FFF2-40B4-BE49-F238E27FC236}">
              <a16:creationId xmlns:a16="http://schemas.microsoft.com/office/drawing/2014/main" id="{00000000-0008-0000-0500-00004F040000}"/>
            </a:ext>
          </a:extLst>
        </xdr:cNvPr>
        <xdr:cNvSpPr txBox="1">
          <a:spLocks noChangeArrowheads="1"/>
        </xdr:cNvSpPr>
      </xdr:nvSpPr>
      <xdr:spPr bwMode="auto">
        <a:xfrm>
          <a:off x="6655254" y="7892143"/>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127</xdr:row>
      <xdr:rowOff>0</xdr:rowOff>
    </xdr:from>
    <xdr:ext cx="95250" cy="213632"/>
    <xdr:sp macro="" textlink="">
      <xdr:nvSpPr>
        <xdr:cNvPr id="1104" name="Text Box 15">
          <a:extLst>
            <a:ext uri="{FF2B5EF4-FFF2-40B4-BE49-F238E27FC236}">
              <a16:creationId xmlns:a16="http://schemas.microsoft.com/office/drawing/2014/main" id="{00000000-0008-0000-0500-000050040000}"/>
            </a:ext>
          </a:extLst>
        </xdr:cNvPr>
        <xdr:cNvSpPr txBox="1">
          <a:spLocks noChangeArrowheads="1"/>
        </xdr:cNvSpPr>
      </xdr:nvSpPr>
      <xdr:spPr bwMode="auto">
        <a:xfrm>
          <a:off x="6655254" y="7892143"/>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127</xdr:row>
      <xdr:rowOff>0</xdr:rowOff>
    </xdr:from>
    <xdr:ext cx="95250" cy="213632"/>
    <xdr:sp macro="" textlink="">
      <xdr:nvSpPr>
        <xdr:cNvPr id="1105" name="Text Box 15">
          <a:extLst>
            <a:ext uri="{FF2B5EF4-FFF2-40B4-BE49-F238E27FC236}">
              <a16:creationId xmlns:a16="http://schemas.microsoft.com/office/drawing/2014/main" id="{00000000-0008-0000-0500-000051040000}"/>
            </a:ext>
          </a:extLst>
        </xdr:cNvPr>
        <xdr:cNvSpPr txBox="1">
          <a:spLocks noChangeArrowheads="1"/>
        </xdr:cNvSpPr>
      </xdr:nvSpPr>
      <xdr:spPr bwMode="auto">
        <a:xfrm>
          <a:off x="6655254" y="7892143"/>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127</xdr:row>
      <xdr:rowOff>0</xdr:rowOff>
    </xdr:from>
    <xdr:ext cx="95250" cy="213632"/>
    <xdr:sp macro="" textlink="">
      <xdr:nvSpPr>
        <xdr:cNvPr id="1106" name="Text Box 15">
          <a:extLst>
            <a:ext uri="{FF2B5EF4-FFF2-40B4-BE49-F238E27FC236}">
              <a16:creationId xmlns:a16="http://schemas.microsoft.com/office/drawing/2014/main" id="{00000000-0008-0000-0500-000052040000}"/>
            </a:ext>
          </a:extLst>
        </xdr:cNvPr>
        <xdr:cNvSpPr txBox="1">
          <a:spLocks noChangeArrowheads="1"/>
        </xdr:cNvSpPr>
      </xdr:nvSpPr>
      <xdr:spPr bwMode="auto">
        <a:xfrm>
          <a:off x="6655254" y="7892143"/>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127</xdr:row>
      <xdr:rowOff>0</xdr:rowOff>
    </xdr:from>
    <xdr:ext cx="95250" cy="213632"/>
    <xdr:sp macro="" textlink="">
      <xdr:nvSpPr>
        <xdr:cNvPr id="1107" name="Text Box 15">
          <a:extLst>
            <a:ext uri="{FF2B5EF4-FFF2-40B4-BE49-F238E27FC236}">
              <a16:creationId xmlns:a16="http://schemas.microsoft.com/office/drawing/2014/main" id="{00000000-0008-0000-0500-000053040000}"/>
            </a:ext>
          </a:extLst>
        </xdr:cNvPr>
        <xdr:cNvSpPr txBox="1">
          <a:spLocks noChangeArrowheads="1"/>
        </xdr:cNvSpPr>
      </xdr:nvSpPr>
      <xdr:spPr bwMode="auto">
        <a:xfrm>
          <a:off x="6655254" y="7892143"/>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127</xdr:row>
      <xdr:rowOff>0</xdr:rowOff>
    </xdr:from>
    <xdr:ext cx="95250" cy="213632"/>
    <xdr:sp macro="" textlink="">
      <xdr:nvSpPr>
        <xdr:cNvPr id="1108" name="Text Box 15">
          <a:extLst>
            <a:ext uri="{FF2B5EF4-FFF2-40B4-BE49-F238E27FC236}">
              <a16:creationId xmlns:a16="http://schemas.microsoft.com/office/drawing/2014/main" id="{00000000-0008-0000-0500-000054040000}"/>
            </a:ext>
          </a:extLst>
        </xdr:cNvPr>
        <xdr:cNvSpPr txBox="1">
          <a:spLocks noChangeArrowheads="1"/>
        </xdr:cNvSpPr>
      </xdr:nvSpPr>
      <xdr:spPr bwMode="auto">
        <a:xfrm>
          <a:off x="6655254" y="7892143"/>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127</xdr:row>
      <xdr:rowOff>0</xdr:rowOff>
    </xdr:from>
    <xdr:ext cx="95250" cy="213632"/>
    <xdr:sp macro="" textlink="">
      <xdr:nvSpPr>
        <xdr:cNvPr id="1109" name="Text Box 15">
          <a:extLst>
            <a:ext uri="{FF2B5EF4-FFF2-40B4-BE49-F238E27FC236}">
              <a16:creationId xmlns:a16="http://schemas.microsoft.com/office/drawing/2014/main" id="{00000000-0008-0000-0500-000055040000}"/>
            </a:ext>
          </a:extLst>
        </xdr:cNvPr>
        <xdr:cNvSpPr txBox="1">
          <a:spLocks noChangeArrowheads="1"/>
        </xdr:cNvSpPr>
      </xdr:nvSpPr>
      <xdr:spPr bwMode="auto">
        <a:xfrm>
          <a:off x="6655254" y="7892143"/>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127</xdr:row>
      <xdr:rowOff>0</xdr:rowOff>
    </xdr:from>
    <xdr:ext cx="95250" cy="213632"/>
    <xdr:sp macro="" textlink="">
      <xdr:nvSpPr>
        <xdr:cNvPr id="1110" name="Text Box 15">
          <a:extLst>
            <a:ext uri="{FF2B5EF4-FFF2-40B4-BE49-F238E27FC236}">
              <a16:creationId xmlns:a16="http://schemas.microsoft.com/office/drawing/2014/main" id="{00000000-0008-0000-0500-000056040000}"/>
            </a:ext>
          </a:extLst>
        </xdr:cNvPr>
        <xdr:cNvSpPr txBox="1">
          <a:spLocks noChangeArrowheads="1"/>
        </xdr:cNvSpPr>
      </xdr:nvSpPr>
      <xdr:spPr bwMode="auto">
        <a:xfrm>
          <a:off x="6655254" y="7892143"/>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127</xdr:row>
      <xdr:rowOff>0</xdr:rowOff>
    </xdr:from>
    <xdr:ext cx="95250" cy="213632"/>
    <xdr:sp macro="" textlink="">
      <xdr:nvSpPr>
        <xdr:cNvPr id="1111" name="Text Box 15">
          <a:extLst>
            <a:ext uri="{FF2B5EF4-FFF2-40B4-BE49-F238E27FC236}">
              <a16:creationId xmlns:a16="http://schemas.microsoft.com/office/drawing/2014/main" id="{00000000-0008-0000-0500-000057040000}"/>
            </a:ext>
          </a:extLst>
        </xdr:cNvPr>
        <xdr:cNvSpPr txBox="1">
          <a:spLocks noChangeArrowheads="1"/>
        </xdr:cNvSpPr>
      </xdr:nvSpPr>
      <xdr:spPr bwMode="auto">
        <a:xfrm>
          <a:off x="6655254" y="7892143"/>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127</xdr:row>
      <xdr:rowOff>0</xdr:rowOff>
    </xdr:from>
    <xdr:ext cx="95250" cy="213632"/>
    <xdr:sp macro="" textlink="">
      <xdr:nvSpPr>
        <xdr:cNvPr id="1112" name="Text Box 15">
          <a:extLst>
            <a:ext uri="{FF2B5EF4-FFF2-40B4-BE49-F238E27FC236}">
              <a16:creationId xmlns:a16="http://schemas.microsoft.com/office/drawing/2014/main" id="{00000000-0008-0000-0500-000058040000}"/>
            </a:ext>
          </a:extLst>
        </xdr:cNvPr>
        <xdr:cNvSpPr txBox="1">
          <a:spLocks noChangeArrowheads="1"/>
        </xdr:cNvSpPr>
      </xdr:nvSpPr>
      <xdr:spPr bwMode="auto">
        <a:xfrm>
          <a:off x="6655254" y="7892143"/>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127</xdr:row>
      <xdr:rowOff>0</xdr:rowOff>
    </xdr:from>
    <xdr:ext cx="95250" cy="213632"/>
    <xdr:sp macro="" textlink="">
      <xdr:nvSpPr>
        <xdr:cNvPr id="1113" name="Text Box 15">
          <a:extLst>
            <a:ext uri="{FF2B5EF4-FFF2-40B4-BE49-F238E27FC236}">
              <a16:creationId xmlns:a16="http://schemas.microsoft.com/office/drawing/2014/main" id="{00000000-0008-0000-0500-000059040000}"/>
            </a:ext>
          </a:extLst>
        </xdr:cNvPr>
        <xdr:cNvSpPr txBox="1">
          <a:spLocks noChangeArrowheads="1"/>
        </xdr:cNvSpPr>
      </xdr:nvSpPr>
      <xdr:spPr bwMode="auto">
        <a:xfrm>
          <a:off x="6655254" y="7892143"/>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127</xdr:row>
      <xdr:rowOff>0</xdr:rowOff>
    </xdr:from>
    <xdr:ext cx="95250" cy="213632"/>
    <xdr:sp macro="" textlink="">
      <xdr:nvSpPr>
        <xdr:cNvPr id="1114" name="Text Box 15">
          <a:extLst>
            <a:ext uri="{FF2B5EF4-FFF2-40B4-BE49-F238E27FC236}">
              <a16:creationId xmlns:a16="http://schemas.microsoft.com/office/drawing/2014/main" id="{00000000-0008-0000-0500-00005A040000}"/>
            </a:ext>
          </a:extLst>
        </xdr:cNvPr>
        <xdr:cNvSpPr txBox="1">
          <a:spLocks noChangeArrowheads="1"/>
        </xdr:cNvSpPr>
      </xdr:nvSpPr>
      <xdr:spPr bwMode="auto">
        <a:xfrm>
          <a:off x="6655254" y="7892143"/>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127</xdr:row>
      <xdr:rowOff>0</xdr:rowOff>
    </xdr:from>
    <xdr:ext cx="95250" cy="213632"/>
    <xdr:sp macro="" textlink="">
      <xdr:nvSpPr>
        <xdr:cNvPr id="1115" name="Text Box 15">
          <a:extLst>
            <a:ext uri="{FF2B5EF4-FFF2-40B4-BE49-F238E27FC236}">
              <a16:creationId xmlns:a16="http://schemas.microsoft.com/office/drawing/2014/main" id="{00000000-0008-0000-0500-00005B040000}"/>
            </a:ext>
          </a:extLst>
        </xdr:cNvPr>
        <xdr:cNvSpPr txBox="1">
          <a:spLocks noChangeArrowheads="1"/>
        </xdr:cNvSpPr>
      </xdr:nvSpPr>
      <xdr:spPr bwMode="auto">
        <a:xfrm>
          <a:off x="6655254" y="7892143"/>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127</xdr:row>
      <xdr:rowOff>0</xdr:rowOff>
    </xdr:from>
    <xdr:ext cx="95250" cy="213632"/>
    <xdr:sp macro="" textlink="">
      <xdr:nvSpPr>
        <xdr:cNvPr id="1116" name="Text Box 15">
          <a:extLst>
            <a:ext uri="{FF2B5EF4-FFF2-40B4-BE49-F238E27FC236}">
              <a16:creationId xmlns:a16="http://schemas.microsoft.com/office/drawing/2014/main" id="{00000000-0008-0000-0500-00005C040000}"/>
            </a:ext>
          </a:extLst>
        </xdr:cNvPr>
        <xdr:cNvSpPr txBox="1">
          <a:spLocks noChangeArrowheads="1"/>
        </xdr:cNvSpPr>
      </xdr:nvSpPr>
      <xdr:spPr bwMode="auto">
        <a:xfrm>
          <a:off x="6655254" y="7892143"/>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127</xdr:row>
      <xdr:rowOff>0</xdr:rowOff>
    </xdr:from>
    <xdr:ext cx="95250" cy="213632"/>
    <xdr:sp macro="" textlink="">
      <xdr:nvSpPr>
        <xdr:cNvPr id="1117" name="Text Box 15">
          <a:extLst>
            <a:ext uri="{FF2B5EF4-FFF2-40B4-BE49-F238E27FC236}">
              <a16:creationId xmlns:a16="http://schemas.microsoft.com/office/drawing/2014/main" id="{00000000-0008-0000-0500-00005D040000}"/>
            </a:ext>
          </a:extLst>
        </xdr:cNvPr>
        <xdr:cNvSpPr txBox="1">
          <a:spLocks noChangeArrowheads="1"/>
        </xdr:cNvSpPr>
      </xdr:nvSpPr>
      <xdr:spPr bwMode="auto">
        <a:xfrm>
          <a:off x="6655254" y="7892143"/>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127</xdr:row>
      <xdr:rowOff>0</xdr:rowOff>
    </xdr:from>
    <xdr:ext cx="95250" cy="213632"/>
    <xdr:sp macro="" textlink="">
      <xdr:nvSpPr>
        <xdr:cNvPr id="1118" name="Text Box 15">
          <a:extLst>
            <a:ext uri="{FF2B5EF4-FFF2-40B4-BE49-F238E27FC236}">
              <a16:creationId xmlns:a16="http://schemas.microsoft.com/office/drawing/2014/main" id="{00000000-0008-0000-0500-00005E040000}"/>
            </a:ext>
          </a:extLst>
        </xdr:cNvPr>
        <xdr:cNvSpPr txBox="1">
          <a:spLocks noChangeArrowheads="1"/>
        </xdr:cNvSpPr>
      </xdr:nvSpPr>
      <xdr:spPr bwMode="auto">
        <a:xfrm>
          <a:off x="6655254" y="7892143"/>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127</xdr:row>
      <xdr:rowOff>0</xdr:rowOff>
    </xdr:from>
    <xdr:ext cx="95250" cy="213632"/>
    <xdr:sp macro="" textlink="">
      <xdr:nvSpPr>
        <xdr:cNvPr id="1119" name="Text Box 15">
          <a:extLst>
            <a:ext uri="{FF2B5EF4-FFF2-40B4-BE49-F238E27FC236}">
              <a16:creationId xmlns:a16="http://schemas.microsoft.com/office/drawing/2014/main" id="{00000000-0008-0000-0500-00005F040000}"/>
            </a:ext>
          </a:extLst>
        </xdr:cNvPr>
        <xdr:cNvSpPr txBox="1">
          <a:spLocks noChangeArrowheads="1"/>
        </xdr:cNvSpPr>
      </xdr:nvSpPr>
      <xdr:spPr bwMode="auto">
        <a:xfrm>
          <a:off x="6655254" y="7892143"/>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127</xdr:row>
      <xdr:rowOff>0</xdr:rowOff>
    </xdr:from>
    <xdr:ext cx="95250" cy="213632"/>
    <xdr:sp macro="" textlink="">
      <xdr:nvSpPr>
        <xdr:cNvPr id="1120" name="Text Box 15">
          <a:extLst>
            <a:ext uri="{FF2B5EF4-FFF2-40B4-BE49-F238E27FC236}">
              <a16:creationId xmlns:a16="http://schemas.microsoft.com/office/drawing/2014/main" id="{00000000-0008-0000-0500-000060040000}"/>
            </a:ext>
          </a:extLst>
        </xdr:cNvPr>
        <xdr:cNvSpPr txBox="1">
          <a:spLocks noChangeArrowheads="1"/>
        </xdr:cNvSpPr>
      </xdr:nvSpPr>
      <xdr:spPr bwMode="auto">
        <a:xfrm>
          <a:off x="6655254" y="7892143"/>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127</xdr:row>
      <xdr:rowOff>0</xdr:rowOff>
    </xdr:from>
    <xdr:ext cx="95250" cy="213632"/>
    <xdr:sp macro="" textlink="">
      <xdr:nvSpPr>
        <xdr:cNvPr id="1121" name="Text Box 15">
          <a:extLst>
            <a:ext uri="{FF2B5EF4-FFF2-40B4-BE49-F238E27FC236}">
              <a16:creationId xmlns:a16="http://schemas.microsoft.com/office/drawing/2014/main" id="{00000000-0008-0000-0500-000061040000}"/>
            </a:ext>
          </a:extLst>
        </xdr:cNvPr>
        <xdr:cNvSpPr txBox="1">
          <a:spLocks noChangeArrowheads="1"/>
        </xdr:cNvSpPr>
      </xdr:nvSpPr>
      <xdr:spPr bwMode="auto">
        <a:xfrm>
          <a:off x="6655254" y="7892143"/>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127</xdr:row>
      <xdr:rowOff>0</xdr:rowOff>
    </xdr:from>
    <xdr:ext cx="95250" cy="213632"/>
    <xdr:sp macro="" textlink="">
      <xdr:nvSpPr>
        <xdr:cNvPr id="1122" name="Text Box 15">
          <a:extLst>
            <a:ext uri="{FF2B5EF4-FFF2-40B4-BE49-F238E27FC236}">
              <a16:creationId xmlns:a16="http://schemas.microsoft.com/office/drawing/2014/main" id="{00000000-0008-0000-0500-000062040000}"/>
            </a:ext>
          </a:extLst>
        </xdr:cNvPr>
        <xdr:cNvSpPr txBox="1">
          <a:spLocks noChangeArrowheads="1"/>
        </xdr:cNvSpPr>
      </xdr:nvSpPr>
      <xdr:spPr bwMode="auto">
        <a:xfrm>
          <a:off x="6655254" y="7892143"/>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127</xdr:row>
      <xdr:rowOff>0</xdr:rowOff>
    </xdr:from>
    <xdr:ext cx="95250" cy="213632"/>
    <xdr:sp macro="" textlink="">
      <xdr:nvSpPr>
        <xdr:cNvPr id="1123" name="Text Box 15">
          <a:extLst>
            <a:ext uri="{FF2B5EF4-FFF2-40B4-BE49-F238E27FC236}">
              <a16:creationId xmlns:a16="http://schemas.microsoft.com/office/drawing/2014/main" id="{00000000-0008-0000-0500-000063040000}"/>
            </a:ext>
          </a:extLst>
        </xdr:cNvPr>
        <xdr:cNvSpPr txBox="1">
          <a:spLocks noChangeArrowheads="1"/>
        </xdr:cNvSpPr>
      </xdr:nvSpPr>
      <xdr:spPr bwMode="auto">
        <a:xfrm>
          <a:off x="6655254" y="7892143"/>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127</xdr:row>
      <xdr:rowOff>0</xdr:rowOff>
    </xdr:from>
    <xdr:ext cx="95250" cy="213632"/>
    <xdr:sp macro="" textlink="">
      <xdr:nvSpPr>
        <xdr:cNvPr id="1124" name="Text Box 15">
          <a:extLst>
            <a:ext uri="{FF2B5EF4-FFF2-40B4-BE49-F238E27FC236}">
              <a16:creationId xmlns:a16="http://schemas.microsoft.com/office/drawing/2014/main" id="{00000000-0008-0000-0500-000064040000}"/>
            </a:ext>
          </a:extLst>
        </xdr:cNvPr>
        <xdr:cNvSpPr txBox="1">
          <a:spLocks noChangeArrowheads="1"/>
        </xdr:cNvSpPr>
      </xdr:nvSpPr>
      <xdr:spPr bwMode="auto">
        <a:xfrm>
          <a:off x="6655254" y="7892143"/>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127</xdr:row>
      <xdr:rowOff>0</xdr:rowOff>
    </xdr:from>
    <xdr:ext cx="95250" cy="213632"/>
    <xdr:sp macro="" textlink="">
      <xdr:nvSpPr>
        <xdr:cNvPr id="1125" name="Text Box 15">
          <a:extLst>
            <a:ext uri="{FF2B5EF4-FFF2-40B4-BE49-F238E27FC236}">
              <a16:creationId xmlns:a16="http://schemas.microsoft.com/office/drawing/2014/main" id="{00000000-0008-0000-0500-000065040000}"/>
            </a:ext>
          </a:extLst>
        </xdr:cNvPr>
        <xdr:cNvSpPr txBox="1">
          <a:spLocks noChangeArrowheads="1"/>
        </xdr:cNvSpPr>
      </xdr:nvSpPr>
      <xdr:spPr bwMode="auto">
        <a:xfrm>
          <a:off x="6655254" y="7892143"/>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127</xdr:row>
      <xdr:rowOff>0</xdr:rowOff>
    </xdr:from>
    <xdr:ext cx="95250" cy="213632"/>
    <xdr:sp macro="" textlink="">
      <xdr:nvSpPr>
        <xdr:cNvPr id="1126" name="Text Box 15">
          <a:extLst>
            <a:ext uri="{FF2B5EF4-FFF2-40B4-BE49-F238E27FC236}">
              <a16:creationId xmlns:a16="http://schemas.microsoft.com/office/drawing/2014/main" id="{00000000-0008-0000-0500-000066040000}"/>
            </a:ext>
          </a:extLst>
        </xdr:cNvPr>
        <xdr:cNvSpPr txBox="1">
          <a:spLocks noChangeArrowheads="1"/>
        </xdr:cNvSpPr>
      </xdr:nvSpPr>
      <xdr:spPr bwMode="auto">
        <a:xfrm>
          <a:off x="6655254" y="7892143"/>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127</xdr:row>
      <xdr:rowOff>0</xdr:rowOff>
    </xdr:from>
    <xdr:ext cx="95250" cy="213632"/>
    <xdr:sp macro="" textlink="">
      <xdr:nvSpPr>
        <xdr:cNvPr id="1127" name="Text Box 15">
          <a:extLst>
            <a:ext uri="{FF2B5EF4-FFF2-40B4-BE49-F238E27FC236}">
              <a16:creationId xmlns:a16="http://schemas.microsoft.com/office/drawing/2014/main" id="{00000000-0008-0000-0500-000067040000}"/>
            </a:ext>
          </a:extLst>
        </xdr:cNvPr>
        <xdr:cNvSpPr txBox="1">
          <a:spLocks noChangeArrowheads="1"/>
        </xdr:cNvSpPr>
      </xdr:nvSpPr>
      <xdr:spPr bwMode="auto">
        <a:xfrm>
          <a:off x="6655254" y="7892143"/>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127</xdr:row>
      <xdr:rowOff>0</xdr:rowOff>
    </xdr:from>
    <xdr:ext cx="95250" cy="213632"/>
    <xdr:sp macro="" textlink="">
      <xdr:nvSpPr>
        <xdr:cNvPr id="1128" name="Text Box 15">
          <a:extLst>
            <a:ext uri="{FF2B5EF4-FFF2-40B4-BE49-F238E27FC236}">
              <a16:creationId xmlns:a16="http://schemas.microsoft.com/office/drawing/2014/main" id="{00000000-0008-0000-0500-000068040000}"/>
            </a:ext>
          </a:extLst>
        </xdr:cNvPr>
        <xdr:cNvSpPr txBox="1">
          <a:spLocks noChangeArrowheads="1"/>
        </xdr:cNvSpPr>
      </xdr:nvSpPr>
      <xdr:spPr bwMode="auto">
        <a:xfrm>
          <a:off x="6655254" y="7892143"/>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127</xdr:row>
      <xdr:rowOff>0</xdr:rowOff>
    </xdr:from>
    <xdr:ext cx="95250" cy="213632"/>
    <xdr:sp macro="" textlink="">
      <xdr:nvSpPr>
        <xdr:cNvPr id="1129" name="Text Box 15">
          <a:extLst>
            <a:ext uri="{FF2B5EF4-FFF2-40B4-BE49-F238E27FC236}">
              <a16:creationId xmlns:a16="http://schemas.microsoft.com/office/drawing/2014/main" id="{00000000-0008-0000-0500-000069040000}"/>
            </a:ext>
          </a:extLst>
        </xdr:cNvPr>
        <xdr:cNvSpPr txBox="1">
          <a:spLocks noChangeArrowheads="1"/>
        </xdr:cNvSpPr>
      </xdr:nvSpPr>
      <xdr:spPr bwMode="auto">
        <a:xfrm>
          <a:off x="6655254" y="7892143"/>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127</xdr:row>
      <xdr:rowOff>0</xdr:rowOff>
    </xdr:from>
    <xdr:ext cx="95250" cy="213632"/>
    <xdr:sp macro="" textlink="">
      <xdr:nvSpPr>
        <xdr:cNvPr id="1130" name="Text Box 15">
          <a:extLst>
            <a:ext uri="{FF2B5EF4-FFF2-40B4-BE49-F238E27FC236}">
              <a16:creationId xmlns:a16="http://schemas.microsoft.com/office/drawing/2014/main" id="{00000000-0008-0000-0500-00006A040000}"/>
            </a:ext>
          </a:extLst>
        </xdr:cNvPr>
        <xdr:cNvSpPr txBox="1">
          <a:spLocks noChangeArrowheads="1"/>
        </xdr:cNvSpPr>
      </xdr:nvSpPr>
      <xdr:spPr bwMode="auto">
        <a:xfrm>
          <a:off x="6655254" y="7892143"/>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127</xdr:row>
      <xdr:rowOff>0</xdr:rowOff>
    </xdr:from>
    <xdr:ext cx="95250" cy="213632"/>
    <xdr:sp macro="" textlink="">
      <xdr:nvSpPr>
        <xdr:cNvPr id="1131" name="Text Box 15">
          <a:extLst>
            <a:ext uri="{FF2B5EF4-FFF2-40B4-BE49-F238E27FC236}">
              <a16:creationId xmlns:a16="http://schemas.microsoft.com/office/drawing/2014/main" id="{00000000-0008-0000-0500-00006B040000}"/>
            </a:ext>
          </a:extLst>
        </xdr:cNvPr>
        <xdr:cNvSpPr txBox="1">
          <a:spLocks noChangeArrowheads="1"/>
        </xdr:cNvSpPr>
      </xdr:nvSpPr>
      <xdr:spPr bwMode="auto">
        <a:xfrm>
          <a:off x="6655254" y="7892143"/>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127</xdr:row>
      <xdr:rowOff>0</xdr:rowOff>
    </xdr:from>
    <xdr:ext cx="95250" cy="213632"/>
    <xdr:sp macro="" textlink="">
      <xdr:nvSpPr>
        <xdr:cNvPr id="1132" name="Text Box 15">
          <a:extLst>
            <a:ext uri="{FF2B5EF4-FFF2-40B4-BE49-F238E27FC236}">
              <a16:creationId xmlns:a16="http://schemas.microsoft.com/office/drawing/2014/main" id="{00000000-0008-0000-0500-00006C040000}"/>
            </a:ext>
          </a:extLst>
        </xdr:cNvPr>
        <xdr:cNvSpPr txBox="1">
          <a:spLocks noChangeArrowheads="1"/>
        </xdr:cNvSpPr>
      </xdr:nvSpPr>
      <xdr:spPr bwMode="auto">
        <a:xfrm>
          <a:off x="6655254" y="7892143"/>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127</xdr:row>
      <xdr:rowOff>0</xdr:rowOff>
    </xdr:from>
    <xdr:ext cx="95250" cy="213632"/>
    <xdr:sp macro="" textlink="">
      <xdr:nvSpPr>
        <xdr:cNvPr id="1133" name="Text Box 15">
          <a:extLst>
            <a:ext uri="{FF2B5EF4-FFF2-40B4-BE49-F238E27FC236}">
              <a16:creationId xmlns:a16="http://schemas.microsoft.com/office/drawing/2014/main" id="{00000000-0008-0000-0500-00006D040000}"/>
            </a:ext>
          </a:extLst>
        </xdr:cNvPr>
        <xdr:cNvSpPr txBox="1">
          <a:spLocks noChangeArrowheads="1"/>
        </xdr:cNvSpPr>
      </xdr:nvSpPr>
      <xdr:spPr bwMode="auto">
        <a:xfrm>
          <a:off x="6655254" y="7892143"/>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127</xdr:row>
      <xdr:rowOff>0</xdr:rowOff>
    </xdr:from>
    <xdr:ext cx="95250" cy="213632"/>
    <xdr:sp macro="" textlink="">
      <xdr:nvSpPr>
        <xdr:cNvPr id="1134" name="Text Box 15">
          <a:extLst>
            <a:ext uri="{FF2B5EF4-FFF2-40B4-BE49-F238E27FC236}">
              <a16:creationId xmlns:a16="http://schemas.microsoft.com/office/drawing/2014/main" id="{00000000-0008-0000-0500-00006E040000}"/>
            </a:ext>
          </a:extLst>
        </xdr:cNvPr>
        <xdr:cNvSpPr txBox="1">
          <a:spLocks noChangeArrowheads="1"/>
        </xdr:cNvSpPr>
      </xdr:nvSpPr>
      <xdr:spPr bwMode="auto">
        <a:xfrm>
          <a:off x="6655254" y="7892143"/>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127</xdr:row>
      <xdr:rowOff>0</xdr:rowOff>
    </xdr:from>
    <xdr:ext cx="95250" cy="213632"/>
    <xdr:sp macro="" textlink="">
      <xdr:nvSpPr>
        <xdr:cNvPr id="1135" name="Text Box 15">
          <a:extLst>
            <a:ext uri="{FF2B5EF4-FFF2-40B4-BE49-F238E27FC236}">
              <a16:creationId xmlns:a16="http://schemas.microsoft.com/office/drawing/2014/main" id="{00000000-0008-0000-0500-00006F040000}"/>
            </a:ext>
          </a:extLst>
        </xdr:cNvPr>
        <xdr:cNvSpPr txBox="1">
          <a:spLocks noChangeArrowheads="1"/>
        </xdr:cNvSpPr>
      </xdr:nvSpPr>
      <xdr:spPr bwMode="auto">
        <a:xfrm>
          <a:off x="6655254" y="7892143"/>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127</xdr:row>
      <xdr:rowOff>0</xdr:rowOff>
    </xdr:from>
    <xdr:ext cx="95250" cy="213632"/>
    <xdr:sp macro="" textlink="">
      <xdr:nvSpPr>
        <xdr:cNvPr id="1136" name="Text Box 15">
          <a:extLst>
            <a:ext uri="{FF2B5EF4-FFF2-40B4-BE49-F238E27FC236}">
              <a16:creationId xmlns:a16="http://schemas.microsoft.com/office/drawing/2014/main" id="{00000000-0008-0000-0500-000070040000}"/>
            </a:ext>
          </a:extLst>
        </xdr:cNvPr>
        <xdr:cNvSpPr txBox="1">
          <a:spLocks noChangeArrowheads="1"/>
        </xdr:cNvSpPr>
      </xdr:nvSpPr>
      <xdr:spPr bwMode="auto">
        <a:xfrm>
          <a:off x="6655254" y="7892143"/>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127</xdr:row>
      <xdr:rowOff>0</xdr:rowOff>
    </xdr:from>
    <xdr:ext cx="95250" cy="213632"/>
    <xdr:sp macro="" textlink="">
      <xdr:nvSpPr>
        <xdr:cNvPr id="1137" name="Text Box 15">
          <a:extLst>
            <a:ext uri="{FF2B5EF4-FFF2-40B4-BE49-F238E27FC236}">
              <a16:creationId xmlns:a16="http://schemas.microsoft.com/office/drawing/2014/main" id="{00000000-0008-0000-0500-000071040000}"/>
            </a:ext>
          </a:extLst>
        </xdr:cNvPr>
        <xdr:cNvSpPr txBox="1">
          <a:spLocks noChangeArrowheads="1"/>
        </xdr:cNvSpPr>
      </xdr:nvSpPr>
      <xdr:spPr bwMode="auto">
        <a:xfrm>
          <a:off x="6655254" y="7892143"/>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127</xdr:row>
      <xdr:rowOff>0</xdr:rowOff>
    </xdr:from>
    <xdr:ext cx="95250" cy="213632"/>
    <xdr:sp macro="" textlink="">
      <xdr:nvSpPr>
        <xdr:cNvPr id="1138" name="Text Box 15">
          <a:extLst>
            <a:ext uri="{FF2B5EF4-FFF2-40B4-BE49-F238E27FC236}">
              <a16:creationId xmlns:a16="http://schemas.microsoft.com/office/drawing/2014/main" id="{00000000-0008-0000-0500-000072040000}"/>
            </a:ext>
          </a:extLst>
        </xdr:cNvPr>
        <xdr:cNvSpPr txBox="1">
          <a:spLocks noChangeArrowheads="1"/>
        </xdr:cNvSpPr>
      </xdr:nvSpPr>
      <xdr:spPr bwMode="auto">
        <a:xfrm>
          <a:off x="6655254" y="7892143"/>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127</xdr:row>
      <xdr:rowOff>0</xdr:rowOff>
    </xdr:from>
    <xdr:ext cx="95250" cy="213632"/>
    <xdr:sp macro="" textlink="">
      <xdr:nvSpPr>
        <xdr:cNvPr id="1139" name="Text Box 15">
          <a:extLst>
            <a:ext uri="{FF2B5EF4-FFF2-40B4-BE49-F238E27FC236}">
              <a16:creationId xmlns:a16="http://schemas.microsoft.com/office/drawing/2014/main" id="{00000000-0008-0000-0500-000073040000}"/>
            </a:ext>
          </a:extLst>
        </xdr:cNvPr>
        <xdr:cNvSpPr txBox="1">
          <a:spLocks noChangeArrowheads="1"/>
        </xdr:cNvSpPr>
      </xdr:nvSpPr>
      <xdr:spPr bwMode="auto">
        <a:xfrm>
          <a:off x="6655254" y="7892143"/>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127</xdr:row>
      <xdr:rowOff>0</xdr:rowOff>
    </xdr:from>
    <xdr:ext cx="95250" cy="213632"/>
    <xdr:sp macro="" textlink="">
      <xdr:nvSpPr>
        <xdr:cNvPr id="1140" name="Text Box 15">
          <a:extLst>
            <a:ext uri="{FF2B5EF4-FFF2-40B4-BE49-F238E27FC236}">
              <a16:creationId xmlns:a16="http://schemas.microsoft.com/office/drawing/2014/main" id="{00000000-0008-0000-0500-000074040000}"/>
            </a:ext>
          </a:extLst>
        </xdr:cNvPr>
        <xdr:cNvSpPr txBox="1">
          <a:spLocks noChangeArrowheads="1"/>
        </xdr:cNvSpPr>
      </xdr:nvSpPr>
      <xdr:spPr bwMode="auto">
        <a:xfrm>
          <a:off x="6655254" y="7892143"/>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127</xdr:row>
      <xdr:rowOff>0</xdr:rowOff>
    </xdr:from>
    <xdr:ext cx="95250" cy="213632"/>
    <xdr:sp macro="" textlink="">
      <xdr:nvSpPr>
        <xdr:cNvPr id="1141" name="Text Box 15">
          <a:extLst>
            <a:ext uri="{FF2B5EF4-FFF2-40B4-BE49-F238E27FC236}">
              <a16:creationId xmlns:a16="http://schemas.microsoft.com/office/drawing/2014/main" id="{00000000-0008-0000-0500-000075040000}"/>
            </a:ext>
          </a:extLst>
        </xdr:cNvPr>
        <xdr:cNvSpPr txBox="1">
          <a:spLocks noChangeArrowheads="1"/>
        </xdr:cNvSpPr>
      </xdr:nvSpPr>
      <xdr:spPr bwMode="auto">
        <a:xfrm>
          <a:off x="6655254" y="7892143"/>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127</xdr:row>
      <xdr:rowOff>0</xdr:rowOff>
    </xdr:from>
    <xdr:ext cx="95250" cy="213632"/>
    <xdr:sp macro="" textlink="">
      <xdr:nvSpPr>
        <xdr:cNvPr id="1142" name="Text Box 15">
          <a:extLst>
            <a:ext uri="{FF2B5EF4-FFF2-40B4-BE49-F238E27FC236}">
              <a16:creationId xmlns:a16="http://schemas.microsoft.com/office/drawing/2014/main" id="{00000000-0008-0000-0500-000076040000}"/>
            </a:ext>
          </a:extLst>
        </xdr:cNvPr>
        <xdr:cNvSpPr txBox="1">
          <a:spLocks noChangeArrowheads="1"/>
        </xdr:cNvSpPr>
      </xdr:nvSpPr>
      <xdr:spPr bwMode="auto">
        <a:xfrm>
          <a:off x="6655254" y="7892143"/>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127</xdr:row>
      <xdr:rowOff>0</xdr:rowOff>
    </xdr:from>
    <xdr:ext cx="95250" cy="213632"/>
    <xdr:sp macro="" textlink="">
      <xdr:nvSpPr>
        <xdr:cNvPr id="1143" name="Text Box 15">
          <a:extLst>
            <a:ext uri="{FF2B5EF4-FFF2-40B4-BE49-F238E27FC236}">
              <a16:creationId xmlns:a16="http://schemas.microsoft.com/office/drawing/2014/main" id="{00000000-0008-0000-0500-000077040000}"/>
            </a:ext>
          </a:extLst>
        </xdr:cNvPr>
        <xdr:cNvSpPr txBox="1">
          <a:spLocks noChangeArrowheads="1"/>
        </xdr:cNvSpPr>
      </xdr:nvSpPr>
      <xdr:spPr bwMode="auto">
        <a:xfrm>
          <a:off x="6655254" y="7892143"/>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127</xdr:row>
      <xdr:rowOff>0</xdr:rowOff>
    </xdr:from>
    <xdr:ext cx="95250" cy="213632"/>
    <xdr:sp macro="" textlink="">
      <xdr:nvSpPr>
        <xdr:cNvPr id="1144" name="Text Box 15">
          <a:extLst>
            <a:ext uri="{FF2B5EF4-FFF2-40B4-BE49-F238E27FC236}">
              <a16:creationId xmlns:a16="http://schemas.microsoft.com/office/drawing/2014/main" id="{00000000-0008-0000-0500-000078040000}"/>
            </a:ext>
          </a:extLst>
        </xdr:cNvPr>
        <xdr:cNvSpPr txBox="1">
          <a:spLocks noChangeArrowheads="1"/>
        </xdr:cNvSpPr>
      </xdr:nvSpPr>
      <xdr:spPr bwMode="auto">
        <a:xfrm>
          <a:off x="6655254" y="7892143"/>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127</xdr:row>
      <xdr:rowOff>0</xdr:rowOff>
    </xdr:from>
    <xdr:ext cx="95250" cy="213632"/>
    <xdr:sp macro="" textlink="">
      <xdr:nvSpPr>
        <xdr:cNvPr id="1145" name="Text Box 15">
          <a:extLst>
            <a:ext uri="{FF2B5EF4-FFF2-40B4-BE49-F238E27FC236}">
              <a16:creationId xmlns:a16="http://schemas.microsoft.com/office/drawing/2014/main" id="{00000000-0008-0000-0500-000079040000}"/>
            </a:ext>
          </a:extLst>
        </xdr:cNvPr>
        <xdr:cNvSpPr txBox="1">
          <a:spLocks noChangeArrowheads="1"/>
        </xdr:cNvSpPr>
      </xdr:nvSpPr>
      <xdr:spPr bwMode="auto">
        <a:xfrm>
          <a:off x="6655254" y="7892143"/>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127</xdr:row>
      <xdr:rowOff>0</xdr:rowOff>
    </xdr:from>
    <xdr:ext cx="95250" cy="213632"/>
    <xdr:sp macro="" textlink="">
      <xdr:nvSpPr>
        <xdr:cNvPr id="1146" name="Text Box 15">
          <a:extLst>
            <a:ext uri="{FF2B5EF4-FFF2-40B4-BE49-F238E27FC236}">
              <a16:creationId xmlns:a16="http://schemas.microsoft.com/office/drawing/2014/main" id="{00000000-0008-0000-0500-00007A040000}"/>
            </a:ext>
          </a:extLst>
        </xdr:cNvPr>
        <xdr:cNvSpPr txBox="1">
          <a:spLocks noChangeArrowheads="1"/>
        </xdr:cNvSpPr>
      </xdr:nvSpPr>
      <xdr:spPr bwMode="auto">
        <a:xfrm>
          <a:off x="6655254" y="7892143"/>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127</xdr:row>
      <xdr:rowOff>0</xdr:rowOff>
    </xdr:from>
    <xdr:ext cx="95250" cy="213632"/>
    <xdr:sp macro="" textlink="">
      <xdr:nvSpPr>
        <xdr:cNvPr id="1147" name="Text Box 15">
          <a:extLst>
            <a:ext uri="{FF2B5EF4-FFF2-40B4-BE49-F238E27FC236}">
              <a16:creationId xmlns:a16="http://schemas.microsoft.com/office/drawing/2014/main" id="{00000000-0008-0000-0500-00007B040000}"/>
            </a:ext>
          </a:extLst>
        </xdr:cNvPr>
        <xdr:cNvSpPr txBox="1">
          <a:spLocks noChangeArrowheads="1"/>
        </xdr:cNvSpPr>
      </xdr:nvSpPr>
      <xdr:spPr bwMode="auto">
        <a:xfrm>
          <a:off x="6655254" y="7892143"/>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127</xdr:row>
      <xdr:rowOff>0</xdr:rowOff>
    </xdr:from>
    <xdr:ext cx="95250" cy="213632"/>
    <xdr:sp macro="" textlink="">
      <xdr:nvSpPr>
        <xdr:cNvPr id="1148" name="Text Box 15">
          <a:extLst>
            <a:ext uri="{FF2B5EF4-FFF2-40B4-BE49-F238E27FC236}">
              <a16:creationId xmlns:a16="http://schemas.microsoft.com/office/drawing/2014/main" id="{00000000-0008-0000-0500-00007C040000}"/>
            </a:ext>
          </a:extLst>
        </xdr:cNvPr>
        <xdr:cNvSpPr txBox="1">
          <a:spLocks noChangeArrowheads="1"/>
        </xdr:cNvSpPr>
      </xdr:nvSpPr>
      <xdr:spPr bwMode="auto">
        <a:xfrm>
          <a:off x="6655254" y="7892143"/>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127</xdr:row>
      <xdr:rowOff>0</xdr:rowOff>
    </xdr:from>
    <xdr:ext cx="95250" cy="213632"/>
    <xdr:sp macro="" textlink="">
      <xdr:nvSpPr>
        <xdr:cNvPr id="1149" name="Text Box 15">
          <a:extLst>
            <a:ext uri="{FF2B5EF4-FFF2-40B4-BE49-F238E27FC236}">
              <a16:creationId xmlns:a16="http://schemas.microsoft.com/office/drawing/2014/main" id="{00000000-0008-0000-0500-00007D040000}"/>
            </a:ext>
          </a:extLst>
        </xdr:cNvPr>
        <xdr:cNvSpPr txBox="1">
          <a:spLocks noChangeArrowheads="1"/>
        </xdr:cNvSpPr>
      </xdr:nvSpPr>
      <xdr:spPr bwMode="auto">
        <a:xfrm>
          <a:off x="6655254" y="7892143"/>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127</xdr:row>
      <xdr:rowOff>0</xdr:rowOff>
    </xdr:from>
    <xdr:ext cx="95250" cy="213632"/>
    <xdr:sp macro="" textlink="">
      <xdr:nvSpPr>
        <xdr:cNvPr id="1150" name="Text Box 15">
          <a:extLst>
            <a:ext uri="{FF2B5EF4-FFF2-40B4-BE49-F238E27FC236}">
              <a16:creationId xmlns:a16="http://schemas.microsoft.com/office/drawing/2014/main" id="{00000000-0008-0000-0500-00007E040000}"/>
            </a:ext>
          </a:extLst>
        </xdr:cNvPr>
        <xdr:cNvSpPr txBox="1">
          <a:spLocks noChangeArrowheads="1"/>
        </xdr:cNvSpPr>
      </xdr:nvSpPr>
      <xdr:spPr bwMode="auto">
        <a:xfrm>
          <a:off x="6655254" y="7892143"/>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127</xdr:row>
      <xdr:rowOff>0</xdr:rowOff>
    </xdr:from>
    <xdr:ext cx="95250" cy="213632"/>
    <xdr:sp macro="" textlink="">
      <xdr:nvSpPr>
        <xdr:cNvPr id="1151" name="Text Box 15">
          <a:extLst>
            <a:ext uri="{FF2B5EF4-FFF2-40B4-BE49-F238E27FC236}">
              <a16:creationId xmlns:a16="http://schemas.microsoft.com/office/drawing/2014/main" id="{00000000-0008-0000-0500-00007F040000}"/>
            </a:ext>
          </a:extLst>
        </xdr:cNvPr>
        <xdr:cNvSpPr txBox="1">
          <a:spLocks noChangeArrowheads="1"/>
        </xdr:cNvSpPr>
      </xdr:nvSpPr>
      <xdr:spPr bwMode="auto">
        <a:xfrm>
          <a:off x="6655254" y="7892143"/>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127</xdr:row>
      <xdr:rowOff>0</xdr:rowOff>
    </xdr:from>
    <xdr:ext cx="95250" cy="213632"/>
    <xdr:sp macro="" textlink="">
      <xdr:nvSpPr>
        <xdr:cNvPr id="1152" name="Text Box 15">
          <a:extLst>
            <a:ext uri="{FF2B5EF4-FFF2-40B4-BE49-F238E27FC236}">
              <a16:creationId xmlns:a16="http://schemas.microsoft.com/office/drawing/2014/main" id="{00000000-0008-0000-0500-000080040000}"/>
            </a:ext>
          </a:extLst>
        </xdr:cNvPr>
        <xdr:cNvSpPr txBox="1">
          <a:spLocks noChangeArrowheads="1"/>
        </xdr:cNvSpPr>
      </xdr:nvSpPr>
      <xdr:spPr bwMode="auto">
        <a:xfrm>
          <a:off x="6655254" y="7892143"/>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127</xdr:row>
      <xdr:rowOff>0</xdr:rowOff>
    </xdr:from>
    <xdr:ext cx="95250" cy="213632"/>
    <xdr:sp macro="" textlink="">
      <xdr:nvSpPr>
        <xdr:cNvPr id="1153" name="Text Box 15">
          <a:extLst>
            <a:ext uri="{FF2B5EF4-FFF2-40B4-BE49-F238E27FC236}">
              <a16:creationId xmlns:a16="http://schemas.microsoft.com/office/drawing/2014/main" id="{00000000-0008-0000-0500-000081040000}"/>
            </a:ext>
          </a:extLst>
        </xdr:cNvPr>
        <xdr:cNvSpPr txBox="1">
          <a:spLocks noChangeArrowheads="1"/>
        </xdr:cNvSpPr>
      </xdr:nvSpPr>
      <xdr:spPr bwMode="auto">
        <a:xfrm>
          <a:off x="6655254" y="7892143"/>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127</xdr:row>
      <xdr:rowOff>0</xdr:rowOff>
    </xdr:from>
    <xdr:ext cx="95250" cy="213632"/>
    <xdr:sp macro="" textlink="">
      <xdr:nvSpPr>
        <xdr:cNvPr id="1154" name="Text Box 15">
          <a:extLst>
            <a:ext uri="{FF2B5EF4-FFF2-40B4-BE49-F238E27FC236}">
              <a16:creationId xmlns:a16="http://schemas.microsoft.com/office/drawing/2014/main" id="{00000000-0008-0000-0500-000082040000}"/>
            </a:ext>
          </a:extLst>
        </xdr:cNvPr>
        <xdr:cNvSpPr txBox="1">
          <a:spLocks noChangeArrowheads="1"/>
        </xdr:cNvSpPr>
      </xdr:nvSpPr>
      <xdr:spPr bwMode="auto">
        <a:xfrm>
          <a:off x="6655254" y="7892143"/>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127</xdr:row>
      <xdr:rowOff>0</xdr:rowOff>
    </xdr:from>
    <xdr:ext cx="95250" cy="213632"/>
    <xdr:sp macro="" textlink="">
      <xdr:nvSpPr>
        <xdr:cNvPr id="1155" name="Text Box 15">
          <a:extLst>
            <a:ext uri="{FF2B5EF4-FFF2-40B4-BE49-F238E27FC236}">
              <a16:creationId xmlns:a16="http://schemas.microsoft.com/office/drawing/2014/main" id="{00000000-0008-0000-0500-000083040000}"/>
            </a:ext>
          </a:extLst>
        </xdr:cNvPr>
        <xdr:cNvSpPr txBox="1">
          <a:spLocks noChangeArrowheads="1"/>
        </xdr:cNvSpPr>
      </xdr:nvSpPr>
      <xdr:spPr bwMode="auto">
        <a:xfrm>
          <a:off x="6655254" y="7892143"/>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127</xdr:row>
      <xdr:rowOff>0</xdr:rowOff>
    </xdr:from>
    <xdr:ext cx="95250" cy="213632"/>
    <xdr:sp macro="" textlink="">
      <xdr:nvSpPr>
        <xdr:cNvPr id="1156" name="Text Box 15">
          <a:extLst>
            <a:ext uri="{FF2B5EF4-FFF2-40B4-BE49-F238E27FC236}">
              <a16:creationId xmlns:a16="http://schemas.microsoft.com/office/drawing/2014/main" id="{00000000-0008-0000-0500-000084040000}"/>
            </a:ext>
          </a:extLst>
        </xdr:cNvPr>
        <xdr:cNvSpPr txBox="1">
          <a:spLocks noChangeArrowheads="1"/>
        </xdr:cNvSpPr>
      </xdr:nvSpPr>
      <xdr:spPr bwMode="auto">
        <a:xfrm>
          <a:off x="6655254" y="7892143"/>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127</xdr:row>
      <xdr:rowOff>0</xdr:rowOff>
    </xdr:from>
    <xdr:ext cx="95250" cy="213632"/>
    <xdr:sp macro="" textlink="">
      <xdr:nvSpPr>
        <xdr:cNvPr id="1157" name="Text Box 15">
          <a:extLst>
            <a:ext uri="{FF2B5EF4-FFF2-40B4-BE49-F238E27FC236}">
              <a16:creationId xmlns:a16="http://schemas.microsoft.com/office/drawing/2014/main" id="{00000000-0008-0000-0500-000085040000}"/>
            </a:ext>
          </a:extLst>
        </xdr:cNvPr>
        <xdr:cNvSpPr txBox="1">
          <a:spLocks noChangeArrowheads="1"/>
        </xdr:cNvSpPr>
      </xdr:nvSpPr>
      <xdr:spPr bwMode="auto">
        <a:xfrm>
          <a:off x="6655254" y="7892143"/>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127</xdr:row>
      <xdr:rowOff>0</xdr:rowOff>
    </xdr:from>
    <xdr:ext cx="95250" cy="213632"/>
    <xdr:sp macro="" textlink="">
      <xdr:nvSpPr>
        <xdr:cNvPr id="1158" name="Text Box 15">
          <a:extLst>
            <a:ext uri="{FF2B5EF4-FFF2-40B4-BE49-F238E27FC236}">
              <a16:creationId xmlns:a16="http://schemas.microsoft.com/office/drawing/2014/main" id="{00000000-0008-0000-0500-000086040000}"/>
            </a:ext>
          </a:extLst>
        </xdr:cNvPr>
        <xdr:cNvSpPr txBox="1">
          <a:spLocks noChangeArrowheads="1"/>
        </xdr:cNvSpPr>
      </xdr:nvSpPr>
      <xdr:spPr bwMode="auto">
        <a:xfrm>
          <a:off x="6655254" y="7892143"/>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127</xdr:row>
      <xdr:rowOff>0</xdr:rowOff>
    </xdr:from>
    <xdr:ext cx="95250" cy="213632"/>
    <xdr:sp macro="" textlink="">
      <xdr:nvSpPr>
        <xdr:cNvPr id="1159" name="Text Box 15">
          <a:extLst>
            <a:ext uri="{FF2B5EF4-FFF2-40B4-BE49-F238E27FC236}">
              <a16:creationId xmlns:a16="http://schemas.microsoft.com/office/drawing/2014/main" id="{00000000-0008-0000-0500-000087040000}"/>
            </a:ext>
          </a:extLst>
        </xdr:cNvPr>
        <xdr:cNvSpPr txBox="1">
          <a:spLocks noChangeArrowheads="1"/>
        </xdr:cNvSpPr>
      </xdr:nvSpPr>
      <xdr:spPr bwMode="auto">
        <a:xfrm>
          <a:off x="6655254" y="7892143"/>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127</xdr:row>
      <xdr:rowOff>0</xdr:rowOff>
    </xdr:from>
    <xdr:ext cx="95250" cy="213632"/>
    <xdr:sp macro="" textlink="">
      <xdr:nvSpPr>
        <xdr:cNvPr id="1160" name="Text Box 15">
          <a:extLst>
            <a:ext uri="{FF2B5EF4-FFF2-40B4-BE49-F238E27FC236}">
              <a16:creationId xmlns:a16="http://schemas.microsoft.com/office/drawing/2014/main" id="{00000000-0008-0000-0500-000088040000}"/>
            </a:ext>
          </a:extLst>
        </xdr:cNvPr>
        <xdr:cNvSpPr txBox="1">
          <a:spLocks noChangeArrowheads="1"/>
        </xdr:cNvSpPr>
      </xdr:nvSpPr>
      <xdr:spPr bwMode="auto">
        <a:xfrm>
          <a:off x="6655254" y="7892143"/>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127</xdr:row>
      <xdr:rowOff>0</xdr:rowOff>
    </xdr:from>
    <xdr:ext cx="95250" cy="213632"/>
    <xdr:sp macro="" textlink="">
      <xdr:nvSpPr>
        <xdr:cNvPr id="1161" name="Text Box 15">
          <a:extLst>
            <a:ext uri="{FF2B5EF4-FFF2-40B4-BE49-F238E27FC236}">
              <a16:creationId xmlns:a16="http://schemas.microsoft.com/office/drawing/2014/main" id="{00000000-0008-0000-0500-000089040000}"/>
            </a:ext>
          </a:extLst>
        </xdr:cNvPr>
        <xdr:cNvSpPr txBox="1">
          <a:spLocks noChangeArrowheads="1"/>
        </xdr:cNvSpPr>
      </xdr:nvSpPr>
      <xdr:spPr bwMode="auto">
        <a:xfrm>
          <a:off x="6655254" y="7892143"/>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127</xdr:row>
      <xdr:rowOff>0</xdr:rowOff>
    </xdr:from>
    <xdr:ext cx="95250" cy="213632"/>
    <xdr:sp macro="" textlink="">
      <xdr:nvSpPr>
        <xdr:cNvPr id="1162" name="Text Box 15">
          <a:extLst>
            <a:ext uri="{FF2B5EF4-FFF2-40B4-BE49-F238E27FC236}">
              <a16:creationId xmlns:a16="http://schemas.microsoft.com/office/drawing/2014/main" id="{00000000-0008-0000-0500-00008A040000}"/>
            </a:ext>
          </a:extLst>
        </xdr:cNvPr>
        <xdr:cNvSpPr txBox="1">
          <a:spLocks noChangeArrowheads="1"/>
        </xdr:cNvSpPr>
      </xdr:nvSpPr>
      <xdr:spPr bwMode="auto">
        <a:xfrm>
          <a:off x="6655254" y="7892143"/>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127</xdr:row>
      <xdr:rowOff>0</xdr:rowOff>
    </xdr:from>
    <xdr:ext cx="95250" cy="213632"/>
    <xdr:sp macro="" textlink="">
      <xdr:nvSpPr>
        <xdr:cNvPr id="1163" name="Text Box 15">
          <a:extLst>
            <a:ext uri="{FF2B5EF4-FFF2-40B4-BE49-F238E27FC236}">
              <a16:creationId xmlns:a16="http://schemas.microsoft.com/office/drawing/2014/main" id="{00000000-0008-0000-0500-00008B040000}"/>
            </a:ext>
          </a:extLst>
        </xdr:cNvPr>
        <xdr:cNvSpPr txBox="1">
          <a:spLocks noChangeArrowheads="1"/>
        </xdr:cNvSpPr>
      </xdr:nvSpPr>
      <xdr:spPr bwMode="auto">
        <a:xfrm>
          <a:off x="6655254" y="7892143"/>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127</xdr:row>
      <xdr:rowOff>0</xdr:rowOff>
    </xdr:from>
    <xdr:ext cx="95250" cy="213632"/>
    <xdr:sp macro="" textlink="">
      <xdr:nvSpPr>
        <xdr:cNvPr id="1165" name="Text Box 15">
          <a:extLst>
            <a:ext uri="{FF2B5EF4-FFF2-40B4-BE49-F238E27FC236}">
              <a16:creationId xmlns:a16="http://schemas.microsoft.com/office/drawing/2014/main" id="{00000000-0008-0000-0500-00008D040000}"/>
            </a:ext>
          </a:extLst>
        </xdr:cNvPr>
        <xdr:cNvSpPr txBox="1">
          <a:spLocks noChangeArrowheads="1"/>
        </xdr:cNvSpPr>
      </xdr:nvSpPr>
      <xdr:spPr bwMode="auto">
        <a:xfrm>
          <a:off x="6655254" y="4813754"/>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127</xdr:row>
      <xdr:rowOff>0</xdr:rowOff>
    </xdr:from>
    <xdr:ext cx="95250" cy="213632"/>
    <xdr:sp macro="" textlink="">
      <xdr:nvSpPr>
        <xdr:cNvPr id="1166" name="Text Box 15">
          <a:extLst>
            <a:ext uri="{FF2B5EF4-FFF2-40B4-BE49-F238E27FC236}">
              <a16:creationId xmlns:a16="http://schemas.microsoft.com/office/drawing/2014/main" id="{00000000-0008-0000-0500-00008E040000}"/>
            </a:ext>
          </a:extLst>
        </xdr:cNvPr>
        <xdr:cNvSpPr txBox="1">
          <a:spLocks noChangeArrowheads="1"/>
        </xdr:cNvSpPr>
      </xdr:nvSpPr>
      <xdr:spPr bwMode="auto">
        <a:xfrm>
          <a:off x="6655254" y="5031468"/>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127</xdr:row>
      <xdr:rowOff>0</xdr:rowOff>
    </xdr:from>
    <xdr:ext cx="95250" cy="213632"/>
    <xdr:sp macro="" textlink="">
      <xdr:nvSpPr>
        <xdr:cNvPr id="1167" name="Text Box 15">
          <a:extLst>
            <a:ext uri="{FF2B5EF4-FFF2-40B4-BE49-F238E27FC236}">
              <a16:creationId xmlns:a16="http://schemas.microsoft.com/office/drawing/2014/main" id="{00000000-0008-0000-0500-00008F040000}"/>
            </a:ext>
          </a:extLst>
        </xdr:cNvPr>
        <xdr:cNvSpPr txBox="1">
          <a:spLocks noChangeArrowheads="1"/>
        </xdr:cNvSpPr>
      </xdr:nvSpPr>
      <xdr:spPr bwMode="auto">
        <a:xfrm>
          <a:off x="6655254" y="5031468"/>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127</xdr:row>
      <xdr:rowOff>0</xdr:rowOff>
    </xdr:from>
    <xdr:ext cx="95250" cy="213632"/>
    <xdr:sp macro="" textlink="">
      <xdr:nvSpPr>
        <xdr:cNvPr id="1168" name="Text Box 15">
          <a:extLst>
            <a:ext uri="{FF2B5EF4-FFF2-40B4-BE49-F238E27FC236}">
              <a16:creationId xmlns:a16="http://schemas.microsoft.com/office/drawing/2014/main" id="{00000000-0008-0000-0500-000090040000}"/>
            </a:ext>
          </a:extLst>
        </xdr:cNvPr>
        <xdr:cNvSpPr txBox="1">
          <a:spLocks noChangeArrowheads="1"/>
        </xdr:cNvSpPr>
      </xdr:nvSpPr>
      <xdr:spPr bwMode="auto">
        <a:xfrm>
          <a:off x="6655254" y="5221968"/>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127</xdr:row>
      <xdr:rowOff>0</xdr:rowOff>
    </xdr:from>
    <xdr:ext cx="95250" cy="213632"/>
    <xdr:sp macro="" textlink="">
      <xdr:nvSpPr>
        <xdr:cNvPr id="1169" name="Text Box 15">
          <a:extLst>
            <a:ext uri="{FF2B5EF4-FFF2-40B4-BE49-F238E27FC236}">
              <a16:creationId xmlns:a16="http://schemas.microsoft.com/office/drawing/2014/main" id="{00000000-0008-0000-0500-000091040000}"/>
            </a:ext>
          </a:extLst>
        </xdr:cNvPr>
        <xdr:cNvSpPr txBox="1">
          <a:spLocks noChangeArrowheads="1"/>
        </xdr:cNvSpPr>
      </xdr:nvSpPr>
      <xdr:spPr bwMode="auto">
        <a:xfrm>
          <a:off x="6655254" y="5221968"/>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127</xdr:row>
      <xdr:rowOff>0</xdr:rowOff>
    </xdr:from>
    <xdr:ext cx="95250" cy="213632"/>
    <xdr:sp macro="" textlink="">
      <xdr:nvSpPr>
        <xdr:cNvPr id="1170" name="Text Box 15">
          <a:extLst>
            <a:ext uri="{FF2B5EF4-FFF2-40B4-BE49-F238E27FC236}">
              <a16:creationId xmlns:a16="http://schemas.microsoft.com/office/drawing/2014/main" id="{00000000-0008-0000-0500-000092040000}"/>
            </a:ext>
          </a:extLst>
        </xdr:cNvPr>
        <xdr:cNvSpPr txBox="1">
          <a:spLocks noChangeArrowheads="1"/>
        </xdr:cNvSpPr>
      </xdr:nvSpPr>
      <xdr:spPr bwMode="auto">
        <a:xfrm>
          <a:off x="6655254" y="5412468"/>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127</xdr:row>
      <xdr:rowOff>0</xdr:rowOff>
    </xdr:from>
    <xdr:ext cx="95250" cy="213632"/>
    <xdr:sp macro="" textlink="">
      <xdr:nvSpPr>
        <xdr:cNvPr id="1171" name="Text Box 15">
          <a:extLst>
            <a:ext uri="{FF2B5EF4-FFF2-40B4-BE49-F238E27FC236}">
              <a16:creationId xmlns:a16="http://schemas.microsoft.com/office/drawing/2014/main" id="{00000000-0008-0000-0500-000093040000}"/>
            </a:ext>
          </a:extLst>
        </xdr:cNvPr>
        <xdr:cNvSpPr txBox="1">
          <a:spLocks noChangeArrowheads="1"/>
        </xdr:cNvSpPr>
      </xdr:nvSpPr>
      <xdr:spPr bwMode="auto">
        <a:xfrm>
          <a:off x="6655254" y="5412468"/>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127</xdr:row>
      <xdr:rowOff>0</xdr:rowOff>
    </xdr:from>
    <xdr:ext cx="95250" cy="213632"/>
    <xdr:sp macro="" textlink="">
      <xdr:nvSpPr>
        <xdr:cNvPr id="1172" name="Text Box 15">
          <a:extLst>
            <a:ext uri="{FF2B5EF4-FFF2-40B4-BE49-F238E27FC236}">
              <a16:creationId xmlns:a16="http://schemas.microsoft.com/office/drawing/2014/main" id="{00000000-0008-0000-0500-000094040000}"/>
            </a:ext>
          </a:extLst>
        </xdr:cNvPr>
        <xdr:cNvSpPr txBox="1">
          <a:spLocks noChangeArrowheads="1"/>
        </xdr:cNvSpPr>
      </xdr:nvSpPr>
      <xdr:spPr bwMode="auto">
        <a:xfrm>
          <a:off x="6655254" y="5415643"/>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127</xdr:row>
      <xdr:rowOff>0</xdr:rowOff>
    </xdr:from>
    <xdr:ext cx="95250" cy="213632"/>
    <xdr:sp macro="" textlink="">
      <xdr:nvSpPr>
        <xdr:cNvPr id="1173" name="Text Box 15">
          <a:extLst>
            <a:ext uri="{FF2B5EF4-FFF2-40B4-BE49-F238E27FC236}">
              <a16:creationId xmlns:a16="http://schemas.microsoft.com/office/drawing/2014/main" id="{00000000-0008-0000-0500-000095040000}"/>
            </a:ext>
          </a:extLst>
        </xdr:cNvPr>
        <xdr:cNvSpPr txBox="1">
          <a:spLocks noChangeArrowheads="1"/>
        </xdr:cNvSpPr>
      </xdr:nvSpPr>
      <xdr:spPr bwMode="auto">
        <a:xfrm>
          <a:off x="6655254" y="5415643"/>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127</xdr:row>
      <xdr:rowOff>0</xdr:rowOff>
    </xdr:from>
    <xdr:ext cx="95250" cy="213632"/>
    <xdr:sp macro="" textlink="">
      <xdr:nvSpPr>
        <xdr:cNvPr id="1174" name="Text Box 15">
          <a:extLst>
            <a:ext uri="{FF2B5EF4-FFF2-40B4-BE49-F238E27FC236}">
              <a16:creationId xmlns:a16="http://schemas.microsoft.com/office/drawing/2014/main" id="{00000000-0008-0000-0500-000096040000}"/>
            </a:ext>
          </a:extLst>
        </xdr:cNvPr>
        <xdr:cNvSpPr txBox="1">
          <a:spLocks noChangeArrowheads="1"/>
        </xdr:cNvSpPr>
      </xdr:nvSpPr>
      <xdr:spPr bwMode="auto">
        <a:xfrm>
          <a:off x="6655254" y="5415643"/>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127</xdr:row>
      <xdr:rowOff>0</xdr:rowOff>
    </xdr:from>
    <xdr:ext cx="95250" cy="213632"/>
    <xdr:sp macro="" textlink="">
      <xdr:nvSpPr>
        <xdr:cNvPr id="1175" name="Text Box 15">
          <a:extLst>
            <a:ext uri="{FF2B5EF4-FFF2-40B4-BE49-F238E27FC236}">
              <a16:creationId xmlns:a16="http://schemas.microsoft.com/office/drawing/2014/main" id="{00000000-0008-0000-0500-000097040000}"/>
            </a:ext>
          </a:extLst>
        </xdr:cNvPr>
        <xdr:cNvSpPr txBox="1">
          <a:spLocks noChangeArrowheads="1"/>
        </xdr:cNvSpPr>
      </xdr:nvSpPr>
      <xdr:spPr bwMode="auto">
        <a:xfrm>
          <a:off x="6655254" y="5415643"/>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127</xdr:row>
      <xdr:rowOff>0</xdr:rowOff>
    </xdr:from>
    <xdr:ext cx="95250" cy="213632"/>
    <xdr:sp macro="" textlink="">
      <xdr:nvSpPr>
        <xdr:cNvPr id="1176" name="Text Box 15">
          <a:extLst>
            <a:ext uri="{FF2B5EF4-FFF2-40B4-BE49-F238E27FC236}">
              <a16:creationId xmlns:a16="http://schemas.microsoft.com/office/drawing/2014/main" id="{00000000-0008-0000-0500-000098040000}"/>
            </a:ext>
          </a:extLst>
        </xdr:cNvPr>
        <xdr:cNvSpPr txBox="1">
          <a:spLocks noChangeArrowheads="1"/>
        </xdr:cNvSpPr>
      </xdr:nvSpPr>
      <xdr:spPr bwMode="auto">
        <a:xfrm>
          <a:off x="6655254" y="5415643"/>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127</xdr:row>
      <xdr:rowOff>0</xdr:rowOff>
    </xdr:from>
    <xdr:ext cx="95250" cy="213632"/>
    <xdr:sp macro="" textlink="">
      <xdr:nvSpPr>
        <xdr:cNvPr id="1177" name="Text Box 15">
          <a:extLst>
            <a:ext uri="{FF2B5EF4-FFF2-40B4-BE49-F238E27FC236}">
              <a16:creationId xmlns:a16="http://schemas.microsoft.com/office/drawing/2014/main" id="{00000000-0008-0000-0500-000099040000}"/>
            </a:ext>
          </a:extLst>
        </xdr:cNvPr>
        <xdr:cNvSpPr txBox="1">
          <a:spLocks noChangeArrowheads="1"/>
        </xdr:cNvSpPr>
      </xdr:nvSpPr>
      <xdr:spPr bwMode="auto">
        <a:xfrm>
          <a:off x="6655254" y="5415643"/>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127</xdr:row>
      <xdr:rowOff>0</xdr:rowOff>
    </xdr:from>
    <xdr:ext cx="95250" cy="213632"/>
    <xdr:sp macro="" textlink="">
      <xdr:nvSpPr>
        <xdr:cNvPr id="1178" name="Text Box 15">
          <a:extLst>
            <a:ext uri="{FF2B5EF4-FFF2-40B4-BE49-F238E27FC236}">
              <a16:creationId xmlns:a16="http://schemas.microsoft.com/office/drawing/2014/main" id="{00000000-0008-0000-0500-00009A040000}"/>
            </a:ext>
          </a:extLst>
        </xdr:cNvPr>
        <xdr:cNvSpPr txBox="1">
          <a:spLocks noChangeArrowheads="1"/>
        </xdr:cNvSpPr>
      </xdr:nvSpPr>
      <xdr:spPr bwMode="auto">
        <a:xfrm>
          <a:off x="6655254" y="5415643"/>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xdr:row>
      <xdr:rowOff>0</xdr:rowOff>
    </xdr:from>
    <xdr:ext cx="95250" cy="171450"/>
    <xdr:sp macro="" textlink="">
      <xdr:nvSpPr>
        <xdr:cNvPr id="1179" name="Text Box 16">
          <a:extLst>
            <a:ext uri="{FF2B5EF4-FFF2-40B4-BE49-F238E27FC236}">
              <a16:creationId xmlns:a16="http://schemas.microsoft.com/office/drawing/2014/main" id="{00000000-0008-0000-0500-00009B040000}"/>
            </a:ext>
          </a:extLst>
        </xdr:cNvPr>
        <xdr:cNvSpPr txBox="1">
          <a:spLocks noChangeArrowheads="1"/>
        </xdr:cNvSpPr>
      </xdr:nvSpPr>
      <xdr:spPr bwMode="auto">
        <a:xfrm>
          <a:off x="6655254" y="3955143"/>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127</xdr:row>
      <xdr:rowOff>0</xdr:rowOff>
    </xdr:from>
    <xdr:ext cx="95250" cy="171450"/>
    <xdr:sp macro="" textlink="">
      <xdr:nvSpPr>
        <xdr:cNvPr id="1184" name="Text Box 16">
          <a:extLst>
            <a:ext uri="{FF2B5EF4-FFF2-40B4-BE49-F238E27FC236}">
              <a16:creationId xmlns:a16="http://schemas.microsoft.com/office/drawing/2014/main" id="{00000000-0008-0000-0500-0000A0040000}"/>
            </a:ext>
          </a:extLst>
        </xdr:cNvPr>
        <xdr:cNvSpPr txBox="1">
          <a:spLocks noChangeArrowheads="1"/>
        </xdr:cNvSpPr>
      </xdr:nvSpPr>
      <xdr:spPr bwMode="auto">
        <a:xfrm>
          <a:off x="6655254" y="4308929"/>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127</xdr:row>
      <xdr:rowOff>0</xdr:rowOff>
    </xdr:from>
    <xdr:ext cx="95250" cy="171450"/>
    <xdr:sp macro="" textlink="">
      <xdr:nvSpPr>
        <xdr:cNvPr id="1185" name="Text Box 17">
          <a:extLst>
            <a:ext uri="{FF2B5EF4-FFF2-40B4-BE49-F238E27FC236}">
              <a16:creationId xmlns:a16="http://schemas.microsoft.com/office/drawing/2014/main" id="{00000000-0008-0000-0500-0000A1040000}"/>
            </a:ext>
          </a:extLst>
        </xdr:cNvPr>
        <xdr:cNvSpPr txBox="1">
          <a:spLocks noChangeArrowheads="1"/>
        </xdr:cNvSpPr>
      </xdr:nvSpPr>
      <xdr:spPr bwMode="auto">
        <a:xfrm>
          <a:off x="6655254" y="4308929"/>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127</xdr:row>
      <xdr:rowOff>0</xdr:rowOff>
    </xdr:from>
    <xdr:ext cx="95250" cy="171450"/>
    <xdr:sp macro="" textlink="">
      <xdr:nvSpPr>
        <xdr:cNvPr id="1186" name="Text Box 18">
          <a:extLst>
            <a:ext uri="{FF2B5EF4-FFF2-40B4-BE49-F238E27FC236}">
              <a16:creationId xmlns:a16="http://schemas.microsoft.com/office/drawing/2014/main" id="{00000000-0008-0000-0500-0000A2040000}"/>
            </a:ext>
          </a:extLst>
        </xdr:cNvPr>
        <xdr:cNvSpPr txBox="1">
          <a:spLocks noChangeArrowheads="1"/>
        </xdr:cNvSpPr>
      </xdr:nvSpPr>
      <xdr:spPr bwMode="auto">
        <a:xfrm>
          <a:off x="6655254" y="4308929"/>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127</xdr:row>
      <xdr:rowOff>0</xdr:rowOff>
    </xdr:from>
    <xdr:ext cx="95250" cy="171450"/>
    <xdr:sp macro="" textlink="">
      <xdr:nvSpPr>
        <xdr:cNvPr id="1187" name="Text Box 19">
          <a:extLst>
            <a:ext uri="{FF2B5EF4-FFF2-40B4-BE49-F238E27FC236}">
              <a16:creationId xmlns:a16="http://schemas.microsoft.com/office/drawing/2014/main" id="{00000000-0008-0000-0500-0000A3040000}"/>
            </a:ext>
          </a:extLst>
        </xdr:cNvPr>
        <xdr:cNvSpPr txBox="1">
          <a:spLocks noChangeArrowheads="1"/>
        </xdr:cNvSpPr>
      </xdr:nvSpPr>
      <xdr:spPr bwMode="auto">
        <a:xfrm>
          <a:off x="6655254" y="4308929"/>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127</xdr:row>
      <xdr:rowOff>0</xdr:rowOff>
    </xdr:from>
    <xdr:ext cx="95250" cy="213632"/>
    <xdr:sp macro="" textlink="">
      <xdr:nvSpPr>
        <xdr:cNvPr id="1188" name="Text Box 15">
          <a:extLst>
            <a:ext uri="{FF2B5EF4-FFF2-40B4-BE49-F238E27FC236}">
              <a16:creationId xmlns:a16="http://schemas.microsoft.com/office/drawing/2014/main" id="{00000000-0008-0000-0500-0000A4040000}"/>
            </a:ext>
          </a:extLst>
        </xdr:cNvPr>
        <xdr:cNvSpPr txBox="1">
          <a:spLocks noChangeArrowheads="1"/>
        </xdr:cNvSpPr>
      </xdr:nvSpPr>
      <xdr:spPr bwMode="auto">
        <a:xfrm>
          <a:off x="6655254" y="4813754"/>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127</xdr:row>
      <xdr:rowOff>0</xdr:rowOff>
    </xdr:from>
    <xdr:ext cx="95250" cy="213632"/>
    <xdr:sp macro="" textlink="">
      <xdr:nvSpPr>
        <xdr:cNvPr id="1189" name="Text Box 15">
          <a:extLst>
            <a:ext uri="{FF2B5EF4-FFF2-40B4-BE49-F238E27FC236}">
              <a16:creationId xmlns:a16="http://schemas.microsoft.com/office/drawing/2014/main" id="{00000000-0008-0000-0500-0000A5040000}"/>
            </a:ext>
          </a:extLst>
        </xdr:cNvPr>
        <xdr:cNvSpPr txBox="1">
          <a:spLocks noChangeArrowheads="1"/>
        </xdr:cNvSpPr>
      </xdr:nvSpPr>
      <xdr:spPr bwMode="auto">
        <a:xfrm>
          <a:off x="6655254" y="5602968"/>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171450"/>
    <xdr:sp macro="" textlink="">
      <xdr:nvSpPr>
        <xdr:cNvPr id="1191" name="Text Box 16">
          <a:extLst>
            <a:ext uri="{FF2B5EF4-FFF2-40B4-BE49-F238E27FC236}">
              <a16:creationId xmlns:a16="http://schemas.microsoft.com/office/drawing/2014/main" id="{00000000-0008-0000-0500-0000A7040000}"/>
            </a:ext>
          </a:extLst>
        </xdr:cNvPr>
        <xdr:cNvSpPr txBox="1">
          <a:spLocks noChangeArrowheads="1"/>
        </xdr:cNvSpPr>
      </xdr:nvSpPr>
      <xdr:spPr bwMode="auto">
        <a:xfrm>
          <a:off x="3079750" y="4127500"/>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171450"/>
    <xdr:sp macro="" textlink="">
      <xdr:nvSpPr>
        <xdr:cNvPr id="1192" name="Text Box 17">
          <a:extLst>
            <a:ext uri="{FF2B5EF4-FFF2-40B4-BE49-F238E27FC236}">
              <a16:creationId xmlns:a16="http://schemas.microsoft.com/office/drawing/2014/main" id="{00000000-0008-0000-0500-0000A8040000}"/>
            </a:ext>
          </a:extLst>
        </xdr:cNvPr>
        <xdr:cNvSpPr txBox="1">
          <a:spLocks noChangeArrowheads="1"/>
        </xdr:cNvSpPr>
      </xdr:nvSpPr>
      <xdr:spPr bwMode="auto">
        <a:xfrm>
          <a:off x="3079750" y="4127500"/>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171450"/>
    <xdr:sp macro="" textlink="">
      <xdr:nvSpPr>
        <xdr:cNvPr id="1193" name="Text Box 18">
          <a:extLst>
            <a:ext uri="{FF2B5EF4-FFF2-40B4-BE49-F238E27FC236}">
              <a16:creationId xmlns:a16="http://schemas.microsoft.com/office/drawing/2014/main" id="{00000000-0008-0000-0500-0000A9040000}"/>
            </a:ext>
          </a:extLst>
        </xdr:cNvPr>
        <xdr:cNvSpPr txBox="1">
          <a:spLocks noChangeArrowheads="1"/>
        </xdr:cNvSpPr>
      </xdr:nvSpPr>
      <xdr:spPr bwMode="auto">
        <a:xfrm>
          <a:off x="3079750" y="4127500"/>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171450"/>
    <xdr:sp macro="" textlink="">
      <xdr:nvSpPr>
        <xdr:cNvPr id="1194" name="Text Box 19">
          <a:extLst>
            <a:ext uri="{FF2B5EF4-FFF2-40B4-BE49-F238E27FC236}">
              <a16:creationId xmlns:a16="http://schemas.microsoft.com/office/drawing/2014/main" id="{00000000-0008-0000-0500-0000AA040000}"/>
            </a:ext>
          </a:extLst>
        </xdr:cNvPr>
        <xdr:cNvSpPr txBox="1">
          <a:spLocks noChangeArrowheads="1"/>
        </xdr:cNvSpPr>
      </xdr:nvSpPr>
      <xdr:spPr bwMode="auto">
        <a:xfrm>
          <a:off x="3079750" y="4127500"/>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435713"/>
    <xdr:sp macro="" textlink="">
      <xdr:nvSpPr>
        <xdr:cNvPr id="1195" name="Text Box 15">
          <a:extLst>
            <a:ext uri="{FF2B5EF4-FFF2-40B4-BE49-F238E27FC236}">
              <a16:creationId xmlns:a16="http://schemas.microsoft.com/office/drawing/2014/main" id="{00000000-0008-0000-0500-0000AB040000}"/>
            </a:ext>
          </a:extLst>
        </xdr:cNvPr>
        <xdr:cNvSpPr txBox="1">
          <a:spLocks noChangeArrowheads="1"/>
        </xdr:cNvSpPr>
      </xdr:nvSpPr>
      <xdr:spPr bwMode="auto">
        <a:xfrm>
          <a:off x="3079750" y="4479925"/>
          <a:ext cx="95250" cy="435713"/>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171450"/>
    <xdr:sp macro="" textlink="">
      <xdr:nvSpPr>
        <xdr:cNvPr id="1196" name="Text Box 16">
          <a:extLst>
            <a:ext uri="{FF2B5EF4-FFF2-40B4-BE49-F238E27FC236}">
              <a16:creationId xmlns:a16="http://schemas.microsoft.com/office/drawing/2014/main" id="{00000000-0008-0000-0500-0000AC040000}"/>
            </a:ext>
          </a:extLst>
        </xdr:cNvPr>
        <xdr:cNvSpPr txBox="1">
          <a:spLocks noChangeArrowheads="1"/>
        </xdr:cNvSpPr>
      </xdr:nvSpPr>
      <xdr:spPr bwMode="auto">
        <a:xfrm>
          <a:off x="3079750" y="4476750"/>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171450"/>
    <xdr:sp macro="" textlink="">
      <xdr:nvSpPr>
        <xdr:cNvPr id="1197" name="Text Box 17">
          <a:extLst>
            <a:ext uri="{FF2B5EF4-FFF2-40B4-BE49-F238E27FC236}">
              <a16:creationId xmlns:a16="http://schemas.microsoft.com/office/drawing/2014/main" id="{00000000-0008-0000-0500-0000AD040000}"/>
            </a:ext>
          </a:extLst>
        </xdr:cNvPr>
        <xdr:cNvSpPr txBox="1">
          <a:spLocks noChangeArrowheads="1"/>
        </xdr:cNvSpPr>
      </xdr:nvSpPr>
      <xdr:spPr bwMode="auto">
        <a:xfrm>
          <a:off x="3079750" y="4476750"/>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171450"/>
    <xdr:sp macro="" textlink="">
      <xdr:nvSpPr>
        <xdr:cNvPr id="1198" name="Text Box 18">
          <a:extLst>
            <a:ext uri="{FF2B5EF4-FFF2-40B4-BE49-F238E27FC236}">
              <a16:creationId xmlns:a16="http://schemas.microsoft.com/office/drawing/2014/main" id="{00000000-0008-0000-0500-0000AE040000}"/>
            </a:ext>
          </a:extLst>
        </xdr:cNvPr>
        <xdr:cNvSpPr txBox="1">
          <a:spLocks noChangeArrowheads="1"/>
        </xdr:cNvSpPr>
      </xdr:nvSpPr>
      <xdr:spPr bwMode="auto">
        <a:xfrm>
          <a:off x="3079750" y="4476750"/>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171450"/>
    <xdr:sp macro="" textlink="">
      <xdr:nvSpPr>
        <xdr:cNvPr id="1199" name="Text Box 19">
          <a:extLst>
            <a:ext uri="{FF2B5EF4-FFF2-40B4-BE49-F238E27FC236}">
              <a16:creationId xmlns:a16="http://schemas.microsoft.com/office/drawing/2014/main" id="{00000000-0008-0000-0500-0000AF040000}"/>
            </a:ext>
          </a:extLst>
        </xdr:cNvPr>
        <xdr:cNvSpPr txBox="1">
          <a:spLocks noChangeArrowheads="1"/>
        </xdr:cNvSpPr>
      </xdr:nvSpPr>
      <xdr:spPr bwMode="auto">
        <a:xfrm>
          <a:off x="3079750" y="4476750"/>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1034143</xdr:colOff>
      <xdr:row>127</xdr:row>
      <xdr:rowOff>0</xdr:rowOff>
    </xdr:from>
    <xdr:ext cx="95250" cy="213632"/>
    <xdr:sp macro="" textlink="">
      <xdr:nvSpPr>
        <xdr:cNvPr id="1200" name="Text Box 15">
          <a:extLst>
            <a:ext uri="{FF2B5EF4-FFF2-40B4-BE49-F238E27FC236}">
              <a16:creationId xmlns:a16="http://schemas.microsoft.com/office/drawing/2014/main" id="{00000000-0008-0000-0500-0000B0040000}"/>
            </a:ext>
          </a:extLst>
        </xdr:cNvPr>
        <xdr:cNvSpPr txBox="1">
          <a:spLocks noChangeArrowheads="1"/>
        </xdr:cNvSpPr>
      </xdr:nvSpPr>
      <xdr:spPr bwMode="auto">
        <a:xfrm>
          <a:off x="3999593" y="480468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171450"/>
    <xdr:sp macro="" textlink="">
      <xdr:nvSpPr>
        <xdr:cNvPr id="1201" name="Text Box 16">
          <a:extLst>
            <a:ext uri="{FF2B5EF4-FFF2-40B4-BE49-F238E27FC236}">
              <a16:creationId xmlns:a16="http://schemas.microsoft.com/office/drawing/2014/main" id="{00000000-0008-0000-0500-0000B1040000}"/>
            </a:ext>
          </a:extLst>
        </xdr:cNvPr>
        <xdr:cNvSpPr txBox="1">
          <a:spLocks noChangeArrowheads="1"/>
        </xdr:cNvSpPr>
      </xdr:nvSpPr>
      <xdr:spPr bwMode="auto">
        <a:xfrm>
          <a:off x="3079750" y="5016500"/>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171450"/>
    <xdr:sp macro="" textlink="">
      <xdr:nvSpPr>
        <xdr:cNvPr id="1202" name="Text Box 17">
          <a:extLst>
            <a:ext uri="{FF2B5EF4-FFF2-40B4-BE49-F238E27FC236}">
              <a16:creationId xmlns:a16="http://schemas.microsoft.com/office/drawing/2014/main" id="{00000000-0008-0000-0500-0000B2040000}"/>
            </a:ext>
          </a:extLst>
        </xdr:cNvPr>
        <xdr:cNvSpPr txBox="1">
          <a:spLocks noChangeArrowheads="1"/>
        </xdr:cNvSpPr>
      </xdr:nvSpPr>
      <xdr:spPr bwMode="auto">
        <a:xfrm>
          <a:off x="3079750" y="5016500"/>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171450"/>
    <xdr:sp macro="" textlink="">
      <xdr:nvSpPr>
        <xdr:cNvPr id="1203" name="Text Box 18">
          <a:extLst>
            <a:ext uri="{FF2B5EF4-FFF2-40B4-BE49-F238E27FC236}">
              <a16:creationId xmlns:a16="http://schemas.microsoft.com/office/drawing/2014/main" id="{00000000-0008-0000-0500-0000B3040000}"/>
            </a:ext>
          </a:extLst>
        </xdr:cNvPr>
        <xdr:cNvSpPr txBox="1">
          <a:spLocks noChangeArrowheads="1"/>
        </xdr:cNvSpPr>
      </xdr:nvSpPr>
      <xdr:spPr bwMode="auto">
        <a:xfrm>
          <a:off x="3079750" y="5016500"/>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171450"/>
    <xdr:sp macro="" textlink="">
      <xdr:nvSpPr>
        <xdr:cNvPr id="1204" name="Text Box 19">
          <a:extLst>
            <a:ext uri="{FF2B5EF4-FFF2-40B4-BE49-F238E27FC236}">
              <a16:creationId xmlns:a16="http://schemas.microsoft.com/office/drawing/2014/main" id="{00000000-0008-0000-0500-0000B4040000}"/>
            </a:ext>
          </a:extLst>
        </xdr:cNvPr>
        <xdr:cNvSpPr txBox="1">
          <a:spLocks noChangeArrowheads="1"/>
        </xdr:cNvSpPr>
      </xdr:nvSpPr>
      <xdr:spPr bwMode="auto">
        <a:xfrm>
          <a:off x="3079750" y="5016500"/>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127</xdr:row>
      <xdr:rowOff>0</xdr:rowOff>
    </xdr:from>
    <xdr:ext cx="95250" cy="171450"/>
    <xdr:sp macro="" textlink="">
      <xdr:nvSpPr>
        <xdr:cNvPr id="1205" name="Text Box 16">
          <a:extLst>
            <a:ext uri="{FF2B5EF4-FFF2-40B4-BE49-F238E27FC236}">
              <a16:creationId xmlns:a16="http://schemas.microsoft.com/office/drawing/2014/main" id="{00000000-0008-0000-0500-0000B5040000}"/>
            </a:ext>
          </a:extLst>
        </xdr:cNvPr>
        <xdr:cNvSpPr txBox="1">
          <a:spLocks noChangeArrowheads="1"/>
        </xdr:cNvSpPr>
      </xdr:nvSpPr>
      <xdr:spPr bwMode="auto">
        <a:xfrm>
          <a:off x="7585075" y="4127500"/>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127</xdr:row>
      <xdr:rowOff>0</xdr:rowOff>
    </xdr:from>
    <xdr:ext cx="95250" cy="171450"/>
    <xdr:sp macro="" textlink="">
      <xdr:nvSpPr>
        <xdr:cNvPr id="1206" name="Text Box 17">
          <a:extLst>
            <a:ext uri="{FF2B5EF4-FFF2-40B4-BE49-F238E27FC236}">
              <a16:creationId xmlns:a16="http://schemas.microsoft.com/office/drawing/2014/main" id="{00000000-0008-0000-0500-0000B6040000}"/>
            </a:ext>
          </a:extLst>
        </xdr:cNvPr>
        <xdr:cNvSpPr txBox="1">
          <a:spLocks noChangeArrowheads="1"/>
        </xdr:cNvSpPr>
      </xdr:nvSpPr>
      <xdr:spPr bwMode="auto">
        <a:xfrm>
          <a:off x="7585075" y="4127500"/>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127</xdr:row>
      <xdr:rowOff>0</xdr:rowOff>
    </xdr:from>
    <xdr:ext cx="95250" cy="171450"/>
    <xdr:sp macro="" textlink="">
      <xdr:nvSpPr>
        <xdr:cNvPr id="1207" name="Text Box 18">
          <a:extLst>
            <a:ext uri="{FF2B5EF4-FFF2-40B4-BE49-F238E27FC236}">
              <a16:creationId xmlns:a16="http://schemas.microsoft.com/office/drawing/2014/main" id="{00000000-0008-0000-0500-0000B7040000}"/>
            </a:ext>
          </a:extLst>
        </xdr:cNvPr>
        <xdr:cNvSpPr txBox="1">
          <a:spLocks noChangeArrowheads="1"/>
        </xdr:cNvSpPr>
      </xdr:nvSpPr>
      <xdr:spPr bwMode="auto">
        <a:xfrm>
          <a:off x="7585075" y="4127500"/>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127</xdr:row>
      <xdr:rowOff>0</xdr:rowOff>
    </xdr:from>
    <xdr:ext cx="95250" cy="171450"/>
    <xdr:sp macro="" textlink="">
      <xdr:nvSpPr>
        <xdr:cNvPr id="1208" name="Text Box 19">
          <a:extLst>
            <a:ext uri="{FF2B5EF4-FFF2-40B4-BE49-F238E27FC236}">
              <a16:creationId xmlns:a16="http://schemas.microsoft.com/office/drawing/2014/main" id="{00000000-0008-0000-0500-0000B8040000}"/>
            </a:ext>
          </a:extLst>
        </xdr:cNvPr>
        <xdr:cNvSpPr txBox="1">
          <a:spLocks noChangeArrowheads="1"/>
        </xdr:cNvSpPr>
      </xdr:nvSpPr>
      <xdr:spPr bwMode="auto">
        <a:xfrm>
          <a:off x="7585075" y="4127500"/>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127</xdr:row>
      <xdr:rowOff>0</xdr:rowOff>
    </xdr:from>
    <xdr:ext cx="95250" cy="442269"/>
    <xdr:sp macro="" textlink="">
      <xdr:nvSpPr>
        <xdr:cNvPr id="1209" name="Text Box 15">
          <a:extLst>
            <a:ext uri="{FF2B5EF4-FFF2-40B4-BE49-F238E27FC236}">
              <a16:creationId xmlns:a16="http://schemas.microsoft.com/office/drawing/2014/main" id="{00000000-0008-0000-0500-0000B9040000}"/>
            </a:ext>
          </a:extLst>
        </xdr:cNvPr>
        <xdr:cNvSpPr txBox="1">
          <a:spLocks noChangeArrowheads="1"/>
        </xdr:cNvSpPr>
      </xdr:nvSpPr>
      <xdr:spPr bwMode="auto">
        <a:xfrm>
          <a:off x="7585075" y="4479925"/>
          <a:ext cx="95250" cy="442269"/>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127</xdr:row>
      <xdr:rowOff>0</xdr:rowOff>
    </xdr:from>
    <xdr:ext cx="95250" cy="171450"/>
    <xdr:sp macro="" textlink="">
      <xdr:nvSpPr>
        <xdr:cNvPr id="1210" name="Text Box 16">
          <a:extLst>
            <a:ext uri="{FF2B5EF4-FFF2-40B4-BE49-F238E27FC236}">
              <a16:creationId xmlns:a16="http://schemas.microsoft.com/office/drawing/2014/main" id="{00000000-0008-0000-0500-0000BA040000}"/>
            </a:ext>
          </a:extLst>
        </xdr:cNvPr>
        <xdr:cNvSpPr txBox="1">
          <a:spLocks noChangeArrowheads="1"/>
        </xdr:cNvSpPr>
      </xdr:nvSpPr>
      <xdr:spPr bwMode="auto">
        <a:xfrm>
          <a:off x="7585075" y="4476750"/>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127</xdr:row>
      <xdr:rowOff>0</xdr:rowOff>
    </xdr:from>
    <xdr:ext cx="95250" cy="171450"/>
    <xdr:sp macro="" textlink="">
      <xdr:nvSpPr>
        <xdr:cNvPr id="1211" name="Text Box 17">
          <a:extLst>
            <a:ext uri="{FF2B5EF4-FFF2-40B4-BE49-F238E27FC236}">
              <a16:creationId xmlns:a16="http://schemas.microsoft.com/office/drawing/2014/main" id="{00000000-0008-0000-0500-0000BB040000}"/>
            </a:ext>
          </a:extLst>
        </xdr:cNvPr>
        <xdr:cNvSpPr txBox="1">
          <a:spLocks noChangeArrowheads="1"/>
        </xdr:cNvSpPr>
      </xdr:nvSpPr>
      <xdr:spPr bwMode="auto">
        <a:xfrm>
          <a:off x="7585075" y="4476750"/>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127</xdr:row>
      <xdr:rowOff>0</xdr:rowOff>
    </xdr:from>
    <xdr:ext cx="95250" cy="171450"/>
    <xdr:sp macro="" textlink="">
      <xdr:nvSpPr>
        <xdr:cNvPr id="1212" name="Text Box 18">
          <a:extLst>
            <a:ext uri="{FF2B5EF4-FFF2-40B4-BE49-F238E27FC236}">
              <a16:creationId xmlns:a16="http://schemas.microsoft.com/office/drawing/2014/main" id="{00000000-0008-0000-0500-0000BC040000}"/>
            </a:ext>
          </a:extLst>
        </xdr:cNvPr>
        <xdr:cNvSpPr txBox="1">
          <a:spLocks noChangeArrowheads="1"/>
        </xdr:cNvSpPr>
      </xdr:nvSpPr>
      <xdr:spPr bwMode="auto">
        <a:xfrm>
          <a:off x="7585075" y="4476750"/>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127</xdr:row>
      <xdr:rowOff>0</xdr:rowOff>
    </xdr:from>
    <xdr:ext cx="95250" cy="171450"/>
    <xdr:sp macro="" textlink="">
      <xdr:nvSpPr>
        <xdr:cNvPr id="1213" name="Text Box 19">
          <a:extLst>
            <a:ext uri="{FF2B5EF4-FFF2-40B4-BE49-F238E27FC236}">
              <a16:creationId xmlns:a16="http://schemas.microsoft.com/office/drawing/2014/main" id="{00000000-0008-0000-0500-0000BD040000}"/>
            </a:ext>
          </a:extLst>
        </xdr:cNvPr>
        <xdr:cNvSpPr txBox="1">
          <a:spLocks noChangeArrowheads="1"/>
        </xdr:cNvSpPr>
      </xdr:nvSpPr>
      <xdr:spPr bwMode="auto">
        <a:xfrm>
          <a:off x="7585075" y="4476750"/>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127</xdr:row>
      <xdr:rowOff>0</xdr:rowOff>
    </xdr:from>
    <xdr:ext cx="95250" cy="213632"/>
    <xdr:sp macro="" textlink="">
      <xdr:nvSpPr>
        <xdr:cNvPr id="1214" name="Text Box 15">
          <a:extLst>
            <a:ext uri="{FF2B5EF4-FFF2-40B4-BE49-F238E27FC236}">
              <a16:creationId xmlns:a16="http://schemas.microsoft.com/office/drawing/2014/main" id="{00000000-0008-0000-0500-0000BE040000}"/>
            </a:ext>
          </a:extLst>
        </xdr:cNvPr>
        <xdr:cNvSpPr txBox="1">
          <a:spLocks noChangeArrowheads="1"/>
        </xdr:cNvSpPr>
      </xdr:nvSpPr>
      <xdr:spPr bwMode="auto">
        <a:xfrm>
          <a:off x="7585075" y="498157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127</xdr:row>
      <xdr:rowOff>0</xdr:rowOff>
    </xdr:from>
    <xdr:ext cx="95250" cy="171450"/>
    <xdr:sp macro="" textlink="">
      <xdr:nvSpPr>
        <xdr:cNvPr id="1215" name="Text Box 16">
          <a:extLst>
            <a:ext uri="{FF2B5EF4-FFF2-40B4-BE49-F238E27FC236}">
              <a16:creationId xmlns:a16="http://schemas.microsoft.com/office/drawing/2014/main" id="{00000000-0008-0000-0500-0000BF040000}"/>
            </a:ext>
          </a:extLst>
        </xdr:cNvPr>
        <xdr:cNvSpPr txBox="1">
          <a:spLocks noChangeArrowheads="1"/>
        </xdr:cNvSpPr>
      </xdr:nvSpPr>
      <xdr:spPr bwMode="auto">
        <a:xfrm>
          <a:off x="7585075" y="5016500"/>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127</xdr:row>
      <xdr:rowOff>0</xdr:rowOff>
    </xdr:from>
    <xdr:ext cx="95250" cy="171450"/>
    <xdr:sp macro="" textlink="">
      <xdr:nvSpPr>
        <xdr:cNvPr id="1216" name="Text Box 17">
          <a:extLst>
            <a:ext uri="{FF2B5EF4-FFF2-40B4-BE49-F238E27FC236}">
              <a16:creationId xmlns:a16="http://schemas.microsoft.com/office/drawing/2014/main" id="{00000000-0008-0000-0500-0000C0040000}"/>
            </a:ext>
          </a:extLst>
        </xdr:cNvPr>
        <xdr:cNvSpPr txBox="1">
          <a:spLocks noChangeArrowheads="1"/>
        </xdr:cNvSpPr>
      </xdr:nvSpPr>
      <xdr:spPr bwMode="auto">
        <a:xfrm>
          <a:off x="7585075" y="5016500"/>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127</xdr:row>
      <xdr:rowOff>0</xdr:rowOff>
    </xdr:from>
    <xdr:ext cx="95250" cy="171450"/>
    <xdr:sp macro="" textlink="">
      <xdr:nvSpPr>
        <xdr:cNvPr id="1217" name="Text Box 18">
          <a:extLst>
            <a:ext uri="{FF2B5EF4-FFF2-40B4-BE49-F238E27FC236}">
              <a16:creationId xmlns:a16="http://schemas.microsoft.com/office/drawing/2014/main" id="{00000000-0008-0000-0500-0000C1040000}"/>
            </a:ext>
          </a:extLst>
        </xdr:cNvPr>
        <xdr:cNvSpPr txBox="1">
          <a:spLocks noChangeArrowheads="1"/>
        </xdr:cNvSpPr>
      </xdr:nvSpPr>
      <xdr:spPr bwMode="auto">
        <a:xfrm>
          <a:off x="7585075" y="5016500"/>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127</xdr:row>
      <xdr:rowOff>0</xdr:rowOff>
    </xdr:from>
    <xdr:ext cx="95250" cy="171450"/>
    <xdr:sp macro="" textlink="">
      <xdr:nvSpPr>
        <xdr:cNvPr id="1218" name="Text Box 19">
          <a:extLst>
            <a:ext uri="{FF2B5EF4-FFF2-40B4-BE49-F238E27FC236}">
              <a16:creationId xmlns:a16="http://schemas.microsoft.com/office/drawing/2014/main" id="{00000000-0008-0000-0500-0000C2040000}"/>
            </a:ext>
          </a:extLst>
        </xdr:cNvPr>
        <xdr:cNvSpPr txBox="1">
          <a:spLocks noChangeArrowheads="1"/>
        </xdr:cNvSpPr>
      </xdr:nvSpPr>
      <xdr:spPr bwMode="auto">
        <a:xfrm>
          <a:off x="7585075" y="5016500"/>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21</xdr:col>
      <xdr:colOff>0</xdr:colOff>
      <xdr:row>127</xdr:row>
      <xdr:rowOff>0</xdr:rowOff>
    </xdr:from>
    <xdr:ext cx="95250" cy="171450"/>
    <xdr:sp macro="" textlink="">
      <xdr:nvSpPr>
        <xdr:cNvPr id="1219" name="Text Box 16">
          <a:extLst>
            <a:ext uri="{FF2B5EF4-FFF2-40B4-BE49-F238E27FC236}">
              <a16:creationId xmlns:a16="http://schemas.microsoft.com/office/drawing/2014/main" id="{00000000-0008-0000-0500-0000C3040000}"/>
            </a:ext>
          </a:extLst>
        </xdr:cNvPr>
        <xdr:cNvSpPr txBox="1">
          <a:spLocks noChangeArrowheads="1"/>
        </xdr:cNvSpPr>
      </xdr:nvSpPr>
      <xdr:spPr bwMode="auto">
        <a:xfrm>
          <a:off x="45656500" y="4127500"/>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21</xdr:col>
      <xdr:colOff>0</xdr:colOff>
      <xdr:row>127</xdr:row>
      <xdr:rowOff>0</xdr:rowOff>
    </xdr:from>
    <xdr:ext cx="95250" cy="171450"/>
    <xdr:sp macro="" textlink="">
      <xdr:nvSpPr>
        <xdr:cNvPr id="1220" name="Text Box 17">
          <a:extLst>
            <a:ext uri="{FF2B5EF4-FFF2-40B4-BE49-F238E27FC236}">
              <a16:creationId xmlns:a16="http://schemas.microsoft.com/office/drawing/2014/main" id="{00000000-0008-0000-0500-0000C4040000}"/>
            </a:ext>
          </a:extLst>
        </xdr:cNvPr>
        <xdr:cNvSpPr txBox="1">
          <a:spLocks noChangeArrowheads="1"/>
        </xdr:cNvSpPr>
      </xdr:nvSpPr>
      <xdr:spPr bwMode="auto">
        <a:xfrm>
          <a:off x="45656500" y="4127500"/>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21</xdr:col>
      <xdr:colOff>0</xdr:colOff>
      <xdr:row>127</xdr:row>
      <xdr:rowOff>0</xdr:rowOff>
    </xdr:from>
    <xdr:ext cx="95250" cy="171450"/>
    <xdr:sp macro="" textlink="">
      <xdr:nvSpPr>
        <xdr:cNvPr id="1221" name="Text Box 18">
          <a:extLst>
            <a:ext uri="{FF2B5EF4-FFF2-40B4-BE49-F238E27FC236}">
              <a16:creationId xmlns:a16="http://schemas.microsoft.com/office/drawing/2014/main" id="{00000000-0008-0000-0500-0000C5040000}"/>
            </a:ext>
          </a:extLst>
        </xdr:cNvPr>
        <xdr:cNvSpPr txBox="1">
          <a:spLocks noChangeArrowheads="1"/>
        </xdr:cNvSpPr>
      </xdr:nvSpPr>
      <xdr:spPr bwMode="auto">
        <a:xfrm>
          <a:off x="45656500" y="4127500"/>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21</xdr:col>
      <xdr:colOff>0</xdr:colOff>
      <xdr:row>127</xdr:row>
      <xdr:rowOff>0</xdr:rowOff>
    </xdr:from>
    <xdr:ext cx="95250" cy="171450"/>
    <xdr:sp macro="" textlink="">
      <xdr:nvSpPr>
        <xdr:cNvPr id="1222" name="Text Box 19">
          <a:extLst>
            <a:ext uri="{FF2B5EF4-FFF2-40B4-BE49-F238E27FC236}">
              <a16:creationId xmlns:a16="http://schemas.microsoft.com/office/drawing/2014/main" id="{00000000-0008-0000-0500-0000C6040000}"/>
            </a:ext>
          </a:extLst>
        </xdr:cNvPr>
        <xdr:cNvSpPr txBox="1">
          <a:spLocks noChangeArrowheads="1"/>
        </xdr:cNvSpPr>
      </xdr:nvSpPr>
      <xdr:spPr bwMode="auto">
        <a:xfrm>
          <a:off x="45656500" y="4127500"/>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21</xdr:col>
      <xdr:colOff>0</xdr:colOff>
      <xdr:row>127</xdr:row>
      <xdr:rowOff>0</xdr:rowOff>
    </xdr:from>
    <xdr:ext cx="95250" cy="442269"/>
    <xdr:sp macro="" textlink="">
      <xdr:nvSpPr>
        <xdr:cNvPr id="1223" name="Text Box 15">
          <a:extLst>
            <a:ext uri="{FF2B5EF4-FFF2-40B4-BE49-F238E27FC236}">
              <a16:creationId xmlns:a16="http://schemas.microsoft.com/office/drawing/2014/main" id="{00000000-0008-0000-0500-0000C7040000}"/>
            </a:ext>
          </a:extLst>
        </xdr:cNvPr>
        <xdr:cNvSpPr txBox="1">
          <a:spLocks noChangeArrowheads="1"/>
        </xdr:cNvSpPr>
      </xdr:nvSpPr>
      <xdr:spPr bwMode="auto">
        <a:xfrm>
          <a:off x="45656500" y="4479925"/>
          <a:ext cx="95250" cy="442269"/>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21</xdr:col>
      <xdr:colOff>0</xdr:colOff>
      <xdr:row>127</xdr:row>
      <xdr:rowOff>0</xdr:rowOff>
    </xdr:from>
    <xdr:ext cx="95250" cy="171450"/>
    <xdr:sp macro="" textlink="">
      <xdr:nvSpPr>
        <xdr:cNvPr id="1224" name="Text Box 16">
          <a:extLst>
            <a:ext uri="{FF2B5EF4-FFF2-40B4-BE49-F238E27FC236}">
              <a16:creationId xmlns:a16="http://schemas.microsoft.com/office/drawing/2014/main" id="{00000000-0008-0000-0500-0000C8040000}"/>
            </a:ext>
          </a:extLst>
        </xdr:cNvPr>
        <xdr:cNvSpPr txBox="1">
          <a:spLocks noChangeArrowheads="1"/>
        </xdr:cNvSpPr>
      </xdr:nvSpPr>
      <xdr:spPr bwMode="auto">
        <a:xfrm>
          <a:off x="45656500" y="4476750"/>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21</xdr:col>
      <xdr:colOff>0</xdr:colOff>
      <xdr:row>127</xdr:row>
      <xdr:rowOff>0</xdr:rowOff>
    </xdr:from>
    <xdr:ext cx="95250" cy="171450"/>
    <xdr:sp macro="" textlink="">
      <xdr:nvSpPr>
        <xdr:cNvPr id="1225" name="Text Box 17">
          <a:extLst>
            <a:ext uri="{FF2B5EF4-FFF2-40B4-BE49-F238E27FC236}">
              <a16:creationId xmlns:a16="http://schemas.microsoft.com/office/drawing/2014/main" id="{00000000-0008-0000-0500-0000C9040000}"/>
            </a:ext>
          </a:extLst>
        </xdr:cNvPr>
        <xdr:cNvSpPr txBox="1">
          <a:spLocks noChangeArrowheads="1"/>
        </xdr:cNvSpPr>
      </xdr:nvSpPr>
      <xdr:spPr bwMode="auto">
        <a:xfrm>
          <a:off x="45656500" y="4476750"/>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21</xdr:col>
      <xdr:colOff>0</xdr:colOff>
      <xdr:row>127</xdr:row>
      <xdr:rowOff>0</xdr:rowOff>
    </xdr:from>
    <xdr:ext cx="95250" cy="171450"/>
    <xdr:sp macro="" textlink="">
      <xdr:nvSpPr>
        <xdr:cNvPr id="1226" name="Text Box 18">
          <a:extLst>
            <a:ext uri="{FF2B5EF4-FFF2-40B4-BE49-F238E27FC236}">
              <a16:creationId xmlns:a16="http://schemas.microsoft.com/office/drawing/2014/main" id="{00000000-0008-0000-0500-0000CA040000}"/>
            </a:ext>
          </a:extLst>
        </xdr:cNvPr>
        <xdr:cNvSpPr txBox="1">
          <a:spLocks noChangeArrowheads="1"/>
        </xdr:cNvSpPr>
      </xdr:nvSpPr>
      <xdr:spPr bwMode="auto">
        <a:xfrm>
          <a:off x="45656500" y="4476750"/>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21</xdr:col>
      <xdr:colOff>0</xdr:colOff>
      <xdr:row>127</xdr:row>
      <xdr:rowOff>0</xdr:rowOff>
    </xdr:from>
    <xdr:ext cx="95250" cy="171450"/>
    <xdr:sp macro="" textlink="">
      <xdr:nvSpPr>
        <xdr:cNvPr id="1227" name="Text Box 19">
          <a:extLst>
            <a:ext uri="{FF2B5EF4-FFF2-40B4-BE49-F238E27FC236}">
              <a16:creationId xmlns:a16="http://schemas.microsoft.com/office/drawing/2014/main" id="{00000000-0008-0000-0500-0000CB040000}"/>
            </a:ext>
          </a:extLst>
        </xdr:cNvPr>
        <xdr:cNvSpPr txBox="1">
          <a:spLocks noChangeArrowheads="1"/>
        </xdr:cNvSpPr>
      </xdr:nvSpPr>
      <xdr:spPr bwMode="auto">
        <a:xfrm>
          <a:off x="45656500" y="4476750"/>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21</xdr:col>
      <xdr:colOff>0</xdr:colOff>
      <xdr:row>127</xdr:row>
      <xdr:rowOff>0</xdr:rowOff>
    </xdr:from>
    <xdr:ext cx="95250" cy="213632"/>
    <xdr:sp macro="" textlink="">
      <xdr:nvSpPr>
        <xdr:cNvPr id="1228" name="Text Box 15">
          <a:extLst>
            <a:ext uri="{FF2B5EF4-FFF2-40B4-BE49-F238E27FC236}">
              <a16:creationId xmlns:a16="http://schemas.microsoft.com/office/drawing/2014/main" id="{00000000-0008-0000-0500-0000CC040000}"/>
            </a:ext>
          </a:extLst>
        </xdr:cNvPr>
        <xdr:cNvSpPr txBox="1">
          <a:spLocks noChangeArrowheads="1"/>
        </xdr:cNvSpPr>
      </xdr:nvSpPr>
      <xdr:spPr bwMode="auto">
        <a:xfrm>
          <a:off x="45656500" y="498157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21</xdr:col>
      <xdr:colOff>0</xdr:colOff>
      <xdr:row>127</xdr:row>
      <xdr:rowOff>0</xdr:rowOff>
    </xdr:from>
    <xdr:ext cx="95250" cy="171450"/>
    <xdr:sp macro="" textlink="">
      <xdr:nvSpPr>
        <xdr:cNvPr id="1229" name="Text Box 16">
          <a:extLst>
            <a:ext uri="{FF2B5EF4-FFF2-40B4-BE49-F238E27FC236}">
              <a16:creationId xmlns:a16="http://schemas.microsoft.com/office/drawing/2014/main" id="{00000000-0008-0000-0500-0000CD040000}"/>
            </a:ext>
          </a:extLst>
        </xdr:cNvPr>
        <xdr:cNvSpPr txBox="1">
          <a:spLocks noChangeArrowheads="1"/>
        </xdr:cNvSpPr>
      </xdr:nvSpPr>
      <xdr:spPr bwMode="auto">
        <a:xfrm>
          <a:off x="45656500" y="5016500"/>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21</xdr:col>
      <xdr:colOff>0</xdr:colOff>
      <xdr:row>127</xdr:row>
      <xdr:rowOff>0</xdr:rowOff>
    </xdr:from>
    <xdr:ext cx="95250" cy="171450"/>
    <xdr:sp macro="" textlink="">
      <xdr:nvSpPr>
        <xdr:cNvPr id="1230" name="Text Box 17">
          <a:extLst>
            <a:ext uri="{FF2B5EF4-FFF2-40B4-BE49-F238E27FC236}">
              <a16:creationId xmlns:a16="http://schemas.microsoft.com/office/drawing/2014/main" id="{00000000-0008-0000-0500-0000CE040000}"/>
            </a:ext>
          </a:extLst>
        </xdr:cNvPr>
        <xdr:cNvSpPr txBox="1">
          <a:spLocks noChangeArrowheads="1"/>
        </xdr:cNvSpPr>
      </xdr:nvSpPr>
      <xdr:spPr bwMode="auto">
        <a:xfrm>
          <a:off x="45656500" y="5016500"/>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21</xdr:col>
      <xdr:colOff>0</xdr:colOff>
      <xdr:row>127</xdr:row>
      <xdr:rowOff>0</xdr:rowOff>
    </xdr:from>
    <xdr:ext cx="95250" cy="171450"/>
    <xdr:sp macro="" textlink="">
      <xdr:nvSpPr>
        <xdr:cNvPr id="1231" name="Text Box 18">
          <a:extLst>
            <a:ext uri="{FF2B5EF4-FFF2-40B4-BE49-F238E27FC236}">
              <a16:creationId xmlns:a16="http://schemas.microsoft.com/office/drawing/2014/main" id="{00000000-0008-0000-0500-0000CF040000}"/>
            </a:ext>
          </a:extLst>
        </xdr:cNvPr>
        <xdr:cNvSpPr txBox="1">
          <a:spLocks noChangeArrowheads="1"/>
        </xdr:cNvSpPr>
      </xdr:nvSpPr>
      <xdr:spPr bwMode="auto">
        <a:xfrm>
          <a:off x="45656500" y="5016500"/>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21</xdr:col>
      <xdr:colOff>0</xdr:colOff>
      <xdr:row>127</xdr:row>
      <xdr:rowOff>0</xdr:rowOff>
    </xdr:from>
    <xdr:ext cx="95250" cy="171450"/>
    <xdr:sp macro="" textlink="">
      <xdr:nvSpPr>
        <xdr:cNvPr id="1232" name="Text Box 19">
          <a:extLst>
            <a:ext uri="{FF2B5EF4-FFF2-40B4-BE49-F238E27FC236}">
              <a16:creationId xmlns:a16="http://schemas.microsoft.com/office/drawing/2014/main" id="{00000000-0008-0000-0500-0000D0040000}"/>
            </a:ext>
          </a:extLst>
        </xdr:cNvPr>
        <xdr:cNvSpPr txBox="1">
          <a:spLocks noChangeArrowheads="1"/>
        </xdr:cNvSpPr>
      </xdr:nvSpPr>
      <xdr:spPr bwMode="auto">
        <a:xfrm>
          <a:off x="45656500" y="5016500"/>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171450"/>
    <xdr:sp macro="" textlink="">
      <xdr:nvSpPr>
        <xdr:cNvPr id="1233" name="Text Box 16">
          <a:extLst>
            <a:ext uri="{FF2B5EF4-FFF2-40B4-BE49-F238E27FC236}">
              <a16:creationId xmlns:a16="http://schemas.microsoft.com/office/drawing/2014/main" id="{00000000-0008-0000-0500-0000D1040000}"/>
            </a:ext>
          </a:extLst>
        </xdr:cNvPr>
        <xdr:cNvSpPr txBox="1">
          <a:spLocks noChangeArrowheads="1"/>
        </xdr:cNvSpPr>
      </xdr:nvSpPr>
      <xdr:spPr bwMode="auto">
        <a:xfrm>
          <a:off x="3079750" y="5016500"/>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171450"/>
    <xdr:sp macro="" textlink="">
      <xdr:nvSpPr>
        <xdr:cNvPr id="1234" name="Text Box 17">
          <a:extLst>
            <a:ext uri="{FF2B5EF4-FFF2-40B4-BE49-F238E27FC236}">
              <a16:creationId xmlns:a16="http://schemas.microsoft.com/office/drawing/2014/main" id="{00000000-0008-0000-0500-0000D2040000}"/>
            </a:ext>
          </a:extLst>
        </xdr:cNvPr>
        <xdr:cNvSpPr txBox="1">
          <a:spLocks noChangeArrowheads="1"/>
        </xdr:cNvSpPr>
      </xdr:nvSpPr>
      <xdr:spPr bwMode="auto">
        <a:xfrm>
          <a:off x="3079750" y="5016500"/>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171450"/>
    <xdr:sp macro="" textlink="">
      <xdr:nvSpPr>
        <xdr:cNvPr id="1235" name="Text Box 18">
          <a:extLst>
            <a:ext uri="{FF2B5EF4-FFF2-40B4-BE49-F238E27FC236}">
              <a16:creationId xmlns:a16="http://schemas.microsoft.com/office/drawing/2014/main" id="{00000000-0008-0000-0500-0000D3040000}"/>
            </a:ext>
          </a:extLst>
        </xdr:cNvPr>
        <xdr:cNvSpPr txBox="1">
          <a:spLocks noChangeArrowheads="1"/>
        </xdr:cNvSpPr>
      </xdr:nvSpPr>
      <xdr:spPr bwMode="auto">
        <a:xfrm>
          <a:off x="3079750" y="5016500"/>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171450"/>
    <xdr:sp macro="" textlink="">
      <xdr:nvSpPr>
        <xdr:cNvPr id="1236" name="Text Box 19">
          <a:extLst>
            <a:ext uri="{FF2B5EF4-FFF2-40B4-BE49-F238E27FC236}">
              <a16:creationId xmlns:a16="http://schemas.microsoft.com/office/drawing/2014/main" id="{00000000-0008-0000-0500-0000D4040000}"/>
            </a:ext>
          </a:extLst>
        </xdr:cNvPr>
        <xdr:cNvSpPr txBox="1">
          <a:spLocks noChangeArrowheads="1"/>
        </xdr:cNvSpPr>
      </xdr:nvSpPr>
      <xdr:spPr bwMode="auto">
        <a:xfrm>
          <a:off x="3079750" y="5016500"/>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444014"/>
    <xdr:sp macro="" textlink="">
      <xdr:nvSpPr>
        <xdr:cNvPr id="1237" name="Text Box 15">
          <a:extLst>
            <a:ext uri="{FF2B5EF4-FFF2-40B4-BE49-F238E27FC236}">
              <a16:creationId xmlns:a16="http://schemas.microsoft.com/office/drawing/2014/main" id="{00000000-0008-0000-0500-0000D5040000}"/>
            </a:ext>
          </a:extLst>
        </xdr:cNvPr>
        <xdr:cNvSpPr txBox="1">
          <a:spLocks noChangeArrowheads="1"/>
        </xdr:cNvSpPr>
      </xdr:nvSpPr>
      <xdr:spPr bwMode="auto">
        <a:xfrm>
          <a:off x="3079750" y="4092575"/>
          <a:ext cx="95250" cy="444014"/>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213632"/>
    <xdr:sp macro="" textlink="">
      <xdr:nvSpPr>
        <xdr:cNvPr id="1238" name="Text Box 15">
          <a:extLst>
            <a:ext uri="{FF2B5EF4-FFF2-40B4-BE49-F238E27FC236}">
              <a16:creationId xmlns:a16="http://schemas.microsoft.com/office/drawing/2014/main" id="{00000000-0008-0000-0500-0000D6040000}"/>
            </a:ext>
          </a:extLst>
        </xdr:cNvPr>
        <xdr:cNvSpPr txBox="1">
          <a:spLocks noChangeArrowheads="1"/>
        </xdr:cNvSpPr>
      </xdr:nvSpPr>
      <xdr:spPr bwMode="auto">
        <a:xfrm>
          <a:off x="3079750" y="498157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171450"/>
    <xdr:sp macro="" textlink="">
      <xdr:nvSpPr>
        <xdr:cNvPr id="1239" name="Text Box 16">
          <a:extLst>
            <a:ext uri="{FF2B5EF4-FFF2-40B4-BE49-F238E27FC236}">
              <a16:creationId xmlns:a16="http://schemas.microsoft.com/office/drawing/2014/main" id="{00000000-0008-0000-0500-0000D7040000}"/>
            </a:ext>
          </a:extLst>
        </xdr:cNvPr>
        <xdr:cNvSpPr txBox="1">
          <a:spLocks noChangeArrowheads="1"/>
        </xdr:cNvSpPr>
      </xdr:nvSpPr>
      <xdr:spPr bwMode="auto">
        <a:xfrm>
          <a:off x="3079750" y="4127500"/>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171450"/>
    <xdr:sp macro="" textlink="">
      <xdr:nvSpPr>
        <xdr:cNvPr id="1240" name="Text Box 17">
          <a:extLst>
            <a:ext uri="{FF2B5EF4-FFF2-40B4-BE49-F238E27FC236}">
              <a16:creationId xmlns:a16="http://schemas.microsoft.com/office/drawing/2014/main" id="{00000000-0008-0000-0500-0000D8040000}"/>
            </a:ext>
          </a:extLst>
        </xdr:cNvPr>
        <xdr:cNvSpPr txBox="1">
          <a:spLocks noChangeArrowheads="1"/>
        </xdr:cNvSpPr>
      </xdr:nvSpPr>
      <xdr:spPr bwMode="auto">
        <a:xfrm>
          <a:off x="3079750" y="4127500"/>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171450"/>
    <xdr:sp macro="" textlink="">
      <xdr:nvSpPr>
        <xdr:cNvPr id="1241" name="Text Box 18">
          <a:extLst>
            <a:ext uri="{FF2B5EF4-FFF2-40B4-BE49-F238E27FC236}">
              <a16:creationId xmlns:a16="http://schemas.microsoft.com/office/drawing/2014/main" id="{00000000-0008-0000-0500-0000D9040000}"/>
            </a:ext>
          </a:extLst>
        </xdr:cNvPr>
        <xdr:cNvSpPr txBox="1">
          <a:spLocks noChangeArrowheads="1"/>
        </xdr:cNvSpPr>
      </xdr:nvSpPr>
      <xdr:spPr bwMode="auto">
        <a:xfrm>
          <a:off x="3079750" y="4127500"/>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171450"/>
    <xdr:sp macro="" textlink="">
      <xdr:nvSpPr>
        <xdr:cNvPr id="1242" name="Text Box 19">
          <a:extLst>
            <a:ext uri="{FF2B5EF4-FFF2-40B4-BE49-F238E27FC236}">
              <a16:creationId xmlns:a16="http://schemas.microsoft.com/office/drawing/2014/main" id="{00000000-0008-0000-0500-0000DA040000}"/>
            </a:ext>
          </a:extLst>
        </xdr:cNvPr>
        <xdr:cNvSpPr txBox="1">
          <a:spLocks noChangeArrowheads="1"/>
        </xdr:cNvSpPr>
      </xdr:nvSpPr>
      <xdr:spPr bwMode="auto">
        <a:xfrm>
          <a:off x="3079750" y="4127500"/>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213632"/>
    <xdr:sp macro="" textlink="">
      <xdr:nvSpPr>
        <xdr:cNvPr id="1243" name="Text Box 15">
          <a:extLst>
            <a:ext uri="{FF2B5EF4-FFF2-40B4-BE49-F238E27FC236}">
              <a16:creationId xmlns:a16="http://schemas.microsoft.com/office/drawing/2014/main" id="{00000000-0008-0000-0500-0000DB040000}"/>
            </a:ext>
          </a:extLst>
        </xdr:cNvPr>
        <xdr:cNvSpPr txBox="1">
          <a:spLocks noChangeArrowheads="1"/>
        </xdr:cNvSpPr>
      </xdr:nvSpPr>
      <xdr:spPr bwMode="auto">
        <a:xfrm>
          <a:off x="3079750" y="44799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171450"/>
    <xdr:sp macro="" textlink="">
      <xdr:nvSpPr>
        <xdr:cNvPr id="1244" name="Text Box 16">
          <a:extLst>
            <a:ext uri="{FF2B5EF4-FFF2-40B4-BE49-F238E27FC236}">
              <a16:creationId xmlns:a16="http://schemas.microsoft.com/office/drawing/2014/main" id="{00000000-0008-0000-0500-0000DC040000}"/>
            </a:ext>
          </a:extLst>
        </xdr:cNvPr>
        <xdr:cNvSpPr txBox="1">
          <a:spLocks noChangeArrowheads="1"/>
        </xdr:cNvSpPr>
      </xdr:nvSpPr>
      <xdr:spPr bwMode="auto">
        <a:xfrm>
          <a:off x="3079750" y="4476750"/>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171450"/>
    <xdr:sp macro="" textlink="">
      <xdr:nvSpPr>
        <xdr:cNvPr id="1245" name="Text Box 17">
          <a:extLst>
            <a:ext uri="{FF2B5EF4-FFF2-40B4-BE49-F238E27FC236}">
              <a16:creationId xmlns:a16="http://schemas.microsoft.com/office/drawing/2014/main" id="{00000000-0008-0000-0500-0000DD040000}"/>
            </a:ext>
          </a:extLst>
        </xdr:cNvPr>
        <xdr:cNvSpPr txBox="1">
          <a:spLocks noChangeArrowheads="1"/>
        </xdr:cNvSpPr>
      </xdr:nvSpPr>
      <xdr:spPr bwMode="auto">
        <a:xfrm>
          <a:off x="3079750" y="4476750"/>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171450"/>
    <xdr:sp macro="" textlink="">
      <xdr:nvSpPr>
        <xdr:cNvPr id="1246" name="Text Box 18">
          <a:extLst>
            <a:ext uri="{FF2B5EF4-FFF2-40B4-BE49-F238E27FC236}">
              <a16:creationId xmlns:a16="http://schemas.microsoft.com/office/drawing/2014/main" id="{00000000-0008-0000-0500-0000DE040000}"/>
            </a:ext>
          </a:extLst>
        </xdr:cNvPr>
        <xdr:cNvSpPr txBox="1">
          <a:spLocks noChangeArrowheads="1"/>
        </xdr:cNvSpPr>
      </xdr:nvSpPr>
      <xdr:spPr bwMode="auto">
        <a:xfrm>
          <a:off x="3079750" y="4476750"/>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171450"/>
    <xdr:sp macro="" textlink="">
      <xdr:nvSpPr>
        <xdr:cNvPr id="1247" name="Text Box 19">
          <a:extLst>
            <a:ext uri="{FF2B5EF4-FFF2-40B4-BE49-F238E27FC236}">
              <a16:creationId xmlns:a16="http://schemas.microsoft.com/office/drawing/2014/main" id="{00000000-0008-0000-0500-0000DF040000}"/>
            </a:ext>
          </a:extLst>
        </xdr:cNvPr>
        <xdr:cNvSpPr txBox="1">
          <a:spLocks noChangeArrowheads="1"/>
        </xdr:cNvSpPr>
      </xdr:nvSpPr>
      <xdr:spPr bwMode="auto">
        <a:xfrm>
          <a:off x="3079750" y="4476750"/>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213632"/>
    <xdr:sp macro="" textlink="">
      <xdr:nvSpPr>
        <xdr:cNvPr id="1248" name="Text Box 15">
          <a:extLst>
            <a:ext uri="{FF2B5EF4-FFF2-40B4-BE49-F238E27FC236}">
              <a16:creationId xmlns:a16="http://schemas.microsoft.com/office/drawing/2014/main" id="{00000000-0008-0000-0500-0000E0040000}"/>
            </a:ext>
          </a:extLst>
        </xdr:cNvPr>
        <xdr:cNvSpPr txBox="1">
          <a:spLocks noChangeArrowheads="1"/>
        </xdr:cNvSpPr>
      </xdr:nvSpPr>
      <xdr:spPr bwMode="auto">
        <a:xfrm>
          <a:off x="3079750" y="498157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444331"/>
    <xdr:sp macro="" textlink="">
      <xdr:nvSpPr>
        <xdr:cNvPr id="1249" name="Text Box 15">
          <a:extLst>
            <a:ext uri="{FF2B5EF4-FFF2-40B4-BE49-F238E27FC236}">
              <a16:creationId xmlns:a16="http://schemas.microsoft.com/office/drawing/2014/main" id="{00000000-0008-0000-0500-0000E1040000}"/>
            </a:ext>
          </a:extLst>
        </xdr:cNvPr>
        <xdr:cNvSpPr txBox="1">
          <a:spLocks noChangeArrowheads="1"/>
        </xdr:cNvSpPr>
      </xdr:nvSpPr>
      <xdr:spPr bwMode="auto">
        <a:xfrm>
          <a:off x="3079750" y="4479925"/>
          <a:ext cx="95250" cy="444331"/>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171450"/>
    <xdr:sp macro="" textlink="">
      <xdr:nvSpPr>
        <xdr:cNvPr id="1250" name="Text Box 16">
          <a:extLst>
            <a:ext uri="{FF2B5EF4-FFF2-40B4-BE49-F238E27FC236}">
              <a16:creationId xmlns:a16="http://schemas.microsoft.com/office/drawing/2014/main" id="{00000000-0008-0000-0500-0000E2040000}"/>
            </a:ext>
          </a:extLst>
        </xdr:cNvPr>
        <xdr:cNvSpPr txBox="1">
          <a:spLocks noChangeArrowheads="1"/>
        </xdr:cNvSpPr>
      </xdr:nvSpPr>
      <xdr:spPr bwMode="auto">
        <a:xfrm>
          <a:off x="3079750" y="4476750"/>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171450"/>
    <xdr:sp macro="" textlink="">
      <xdr:nvSpPr>
        <xdr:cNvPr id="1251" name="Text Box 17">
          <a:extLst>
            <a:ext uri="{FF2B5EF4-FFF2-40B4-BE49-F238E27FC236}">
              <a16:creationId xmlns:a16="http://schemas.microsoft.com/office/drawing/2014/main" id="{00000000-0008-0000-0500-0000E3040000}"/>
            </a:ext>
          </a:extLst>
        </xdr:cNvPr>
        <xdr:cNvSpPr txBox="1">
          <a:spLocks noChangeArrowheads="1"/>
        </xdr:cNvSpPr>
      </xdr:nvSpPr>
      <xdr:spPr bwMode="auto">
        <a:xfrm>
          <a:off x="3079750" y="4476750"/>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171450"/>
    <xdr:sp macro="" textlink="">
      <xdr:nvSpPr>
        <xdr:cNvPr id="1252" name="Text Box 18">
          <a:extLst>
            <a:ext uri="{FF2B5EF4-FFF2-40B4-BE49-F238E27FC236}">
              <a16:creationId xmlns:a16="http://schemas.microsoft.com/office/drawing/2014/main" id="{00000000-0008-0000-0500-0000E4040000}"/>
            </a:ext>
          </a:extLst>
        </xdr:cNvPr>
        <xdr:cNvSpPr txBox="1">
          <a:spLocks noChangeArrowheads="1"/>
        </xdr:cNvSpPr>
      </xdr:nvSpPr>
      <xdr:spPr bwMode="auto">
        <a:xfrm>
          <a:off x="3079750" y="4476750"/>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171450"/>
    <xdr:sp macro="" textlink="">
      <xdr:nvSpPr>
        <xdr:cNvPr id="1253" name="Text Box 19">
          <a:extLst>
            <a:ext uri="{FF2B5EF4-FFF2-40B4-BE49-F238E27FC236}">
              <a16:creationId xmlns:a16="http://schemas.microsoft.com/office/drawing/2014/main" id="{00000000-0008-0000-0500-0000E5040000}"/>
            </a:ext>
          </a:extLst>
        </xdr:cNvPr>
        <xdr:cNvSpPr txBox="1">
          <a:spLocks noChangeArrowheads="1"/>
        </xdr:cNvSpPr>
      </xdr:nvSpPr>
      <xdr:spPr bwMode="auto">
        <a:xfrm>
          <a:off x="3079750" y="4476750"/>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213632"/>
    <xdr:sp macro="" textlink="">
      <xdr:nvSpPr>
        <xdr:cNvPr id="1254" name="Text Box 15">
          <a:extLst>
            <a:ext uri="{FF2B5EF4-FFF2-40B4-BE49-F238E27FC236}">
              <a16:creationId xmlns:a16="http://schemas.microsoft.com/office/drawing/2014/main" id="{00000000-0008-0000-0500-0000E6040000}"/>
            </a:ext>
          </a:extLst>
        </xdr:cNvPr>
        <xdr:cNvSpPr txBox="1">
          <a:spLocks noChangeArrowheads="1"/>
        </xdr:cNvSpPr>
      </xdr:nvSpPr>
      <xdr:spPr bwMode="auto">
        <a:xfrm>
          <a:off x="3079750" y="498157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127</xdr:row>
      <xdr:rowOff>0</xdr:rowOff>
    </xdr:from>
    <xdr:ext cx="95250" cy="442269"/>
    <xdr:sp macro="" textlink="">
      <xdr:nvSpPr>
        <xdr:cNvPr id="1255" name="Text Box 15">
          <a:extLst>
            <a:ext uri="{FF2B5EF4-FFF2-40B4-BE49-F238E27FC236}">
              <a16:creationId xmlns:a16="http://schemas.microsoft.com/office/drawing/2014/main" id="{00000000-0008-0000-0500-0000E7040000}"/>
            </a:ext>
          </a:extLst>
        </xdr:cNvPr>
        <xdr:cNvSpPr txBox="1">
          <a:spLocks noChangeArrowheads="1"/>
        </xdr:cNvSpPr>
      </xdr:nvSpPr>
      <xdr:spPr bwMode="auto">
        <a:xfrm>
          <a:off x="7585075" y="4092575"/>
          <a:ext cx="95250" cy="442269"/>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127</xdr:row>
      <xdr:rowOff>0</xdr:rowOff>
    </xdr:from>
    <xdr:ext cx="95250" cy="213632"/>
    <xdr:sp macro="" textlink="">
      <xdr:nvSpPr>
        <xdr:cNvPr id="1256" name="Text Box 15">
          <a:extLst>
            <a:ext uri="{FF2B5EF4-FFF2-40B4-BE49-F238E27FC236}">
              <a16:creationId xmlns:a16="http://schemas.microsoft.com/office/drawing/2014/main" id="{00000000-0008-0000-0500-0000E8040000}"/>
            </a:ext>
          </a:extLst>
        </xdr:cNvPr>
        <xdr:cNvSpPr txBox="1">
          <a:spLocks noChangeArrowheads="1"/>
        </xdr:cNvSpPr>
      </xdr:nvSpPr>
      <xdr:spPr bwMode="auto">
        <a:xfrm>
          <a:off x="7585075" y="498157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127</xdr:row>
      <xdr:rowOff>0</xdr:rowOff>
    </xdr:from>
    <xdr:ext cx="95250" cy="171450"/>
    <xdr:sp macro="" textlink="">
      <xdr:nvSpPr>
        <xdr:cNvPr id="1257" name="Text Box 16">
          <a:extLst>
            <a:ext uri="{FF2B5EF4-FFF2-40B4-BE49-F238E27FC236}">
              <a16:creationId xmlns:a16="http://schemas.microsoft.com/office/drawing/2014/main" id="{00000000-0008-0000-0500-0000E9040000}"/>
            </a:ext>
          </a:extLst>
        </xdr:cNvPr>
        <xdr:cNvSpPr txBox="1">
          <a:spLocks noChangeArrowheads="1"/>
        </xdr:cNvSpPr>
      </xdr:nvSpPr>
      <xdr:spPr bwMode="auto">
        <a:xfrm>
          <a:off x="7585075" y="4127500"/>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127</xdr:row>
      <xdr:rowOff>0</xdr:rowOff>
    </xdr:from>
    <xdr:ext cx="95250" cy="171450"/>
    <xdr:sp macro="" textlink="">
      <xdr:nvSpPr>
        <xdr:cNvPr id="1258" name="Text Box 17">
          <a:extLst>
            <a:ext uri="{FF2B5EF4-FFF2-40B4-BE49-F238E27FC236}">
              <a16:creationId xmlns:a16="http://schemas.microsoft.com/office/drawing/2014/main" id="{00000000-0008-0000-0500-0000EA040000}"/>
            </a:ext>
          </a:extLst>
        </xdr:cNvPr>
        <xdr:cNvSpPr txBox="1">
          <a:spLocks noChangeArrowheads="1"/>
        </xdr:cNvSpPr>
      </xdr:nvSpPr>
      <xdr:spPr bwMode="auto">
        <a:xfrm>
          <a:off x="7585075" y="4127500"/>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127</xdr:row>
      <xdr:rowOff>0</xdr:rowOff>
    </xdr:from>
    <xdr:ext cx="95250" cy="171450"/>
    <xdr:sp macro="" textlink="">
      <xdr:nvSpPr>
        <xdr:cNvPr id="1259" name="Text Box 18">
          <a:extLst>
            <a:ext uri="{FF2B5EF4-FFF2-40B4-BE49-F238E27FC236}">
              <a16:creationId xmlns:a16="http://schemas.microsoft.com/office/drawing/2014/main" id="{00000000-0008-0000-0500-0000EB040000}"/>
            </a:ext>
          </a:extLst>
        </xdr:cNvPr>
        <xdr:cNvSpPr txBox="1">
          <a:spLocks noChangeArrowheads="1"/>
        </xdr:cNvSpPr>
      </xdr:nvSpPr>
      <xdr:spPr bwMode="auto">
        <a:xfrm>
          <a:off x="7585075" y="4127500"/>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127</xdr:row>
      <xdr:rowOff>0</xdr:rowOff>
    </xdr:from>
    <xdr:ext cx="95250" cy="171450"/>
    <xdr:sp macro="" textlink="">
      <xdr:nvSpPr>
        <xdr:cNvPr id="1260" name="Text Box 19">
          <a:extLst>
            <a:ext uri="{FF2B5EF4-FFF2-40B4-BE49-F238E27FC236}">
              <a16:creationId xmlns:a16="http://schemas.microsoft.com/office/drawing/2014/main" id="{00000000-0008-0000-0500-0000EC040000}"/>
            </a:ext>
          </a:extLst>
        </xdr:cNvPr>
        <xdr:cNvSpPr txBox="1">
          <a:spLocks noChangeArrowheads="1"/>
        </xdr:cNvSpPr>
      </xdr:nvSpPr>
      <xdr:spPr bwMode="auto">
        <a:xfrm>
          <a:off x="7585075" y="4127500"/>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127</xdr:row>
      <xdr:rowOff>0</xdr:rowOff>
    </xdr:from>
    <xdr:ext cx="95250" cy="213632"/>
    <xdr:sp macro="" textlink="">
      <xdr:nvSpPr>
        <xdr:cNvPr id="1261" name="Text Box 15">
          <a:extLst>
            <a:ext uri="{FF2B5EF4-FFF2-40B4-BE49-F238E27FC236}">
              <a16:creationId xmlns:a16="http://schemas.microsoft.com/office/drawing/2014/main" id="{00000000-0008-0000-0500-0000ED040000}"/>
            </a:ext>
          </a:extLst>
        </xdr:cNvPr>
        <xdr:cNvSpPr txBox="1">
          <a:spLocks noChangeArrowheads="1"/>
        </xdr:cNvSpPr>
      </xdr:nvSpPr>
      <xdr:spPr bwMode="auto">
        <a:xfrm>
          <a:off x="7585075" y="44799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127</xdr:row>
      <xdr:rowOff>0</xdr:rowOff>
    </xdr:from>
    <xdr:ext cx="95250" cy="171450"/>
    <xdr:sp macro="" textlink="">
      <xdr:nvSpPr>
        <xdr:cNvPr id="1262" name="Text Box 16">
          <a:extLst>
            <a:ext uri="{FF2B5EF4-FFF2-40B4-BE49-F238E27FC236}">
              <a16:creationId xmlns:a16="http://schemas.microsoft.com/office/drawing/2014/main" id="{00000000-0008-0000-0500-0000EE040000}"/>
            </a:ext>
          </a:extLst>
        </xdr:cNvPr>
        <xdr:cNvSpPr txBox="1">
          <a:spLocks noChangeArrowheads="1"/>
        </xdr:cNvSpPr>
      </xdr:nvSpPr>
      <xdr:spPr bwMode="auto">
        <a:xfrm>
          <a:off x="7585075" y="4476750"/>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127</xdr:row>
      <xdr:rowOff>0</xdr:rowOff>
    </xdr:from>
    <xdr:ext cx="95250" cy="171450"/>
    <xdr:sp macro="" textlink="">
      <xdr:nvSpPr>
        <xdr:cNvPr id="1263" name="Text Box 17">
          <a:extLst>
            <a:ext uri="{FF2B5EF4-FFF2-40B4-BE49-F238E27FC236}">
              <a16:creationId xmlns:a16="http://schemas.microsoft.com/office/drawing/2014/main" id="{00000000-0008-0000-0500-0000EF040000}"/>
            </a:ext>
          </a:extLst>
        </xdr:cNvPr>
        <xdr:cNvSpPr txBox="1">
          <a:spLocks noChangeArrowheads="1"/>
        </xdr:cNvSpPr>
      </xdr:nvSpPr>
      <xdr:spPr bwMode="auto">
        <a:xfrm>
          <a:off x="7585075" y="4476750"/>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127</xdr:row>
      <xdr:rowOff>0</xdr:rowOff>
    </xdr:from>
    <xdr:ext cx="95250" cy="171450"/>
    <xdr:sp macro="" textlink="">
      <xdr:nvSpPr>
        <xdr:cNvPr id="1264" name="Text Box 18">
          <a:extLst>
            <a:ext uri="{FF2B5EF4-FFF2-40B4-BE49-F238E27FC236}">
              <a16:creationId xmlns:a16="http://schemas.microsoft.com/office/drawing/2014/main" id="{00000000-0008-0000-0500-0000F0040000}"/>
            </a:ext>
          </a:extLst>
        </xdr:cNvPr>
        <xdr:cNvSpPr txBox="1">
          <a:spLocks noChangeArrowheads="1"/>
        </xdr:cNvSpPr>
      </xdr:nvSpPr>
      <xdr:spPr bwMode="auto">
        <a:xfrm>
          <a:off x="7585075" y="4476750"/>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127</xdr:row>
      <xdr:rowOff>0</xdr:rowOff>
    </xdr:from>
    <xdr:ext cx="95250" cy="171450"/>
    <xdr:sp macro="" textlink="">
      <xdr:nvSpPr>
        <xdr:cNvPr id="1265" name="Text Box 19">
          <a:extLst>
            <a:ext uri="{FF2B5EF4-FFF2-40B4-BE49-F238E27FC236}">
              <a16:creationId xmlns:a16="http://schemas.microsoft.com/office/drawing/2014/main" id="{00000000-0008-0000-0500-0000F1040000}"/>
            </a:ext>
          </a:extLst>
        </xdr:cNvPr>
        <xdr:cNvSpPr txBox="1">
          <a:spLocks noChangeArrowheads="1"/>
        </xdr:cNvSpPr>
      </xdr:nvSpPr>
      <xdr:spPr bwMode="auto">
        <a:xfrm>
          <a:off x="7585075" y="4476750"/>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127</xdr:row>
      <xdr:rowOff>0</xdr:rowOff>
    </xdr:from>
    <xdr:ext cx="95250" cy="213632"/>
    <xdr:sp macro="" textlink="">
      <xdr:nvSpPr>
        <xdr:cNvPr id="1266" name="Text Box 15">
          <a:extLst>
            <a:ext uri="{FF2B5EF4-FFF2-40B4-BE49-F238E27FC236}">
              <a16:creationId xmlns:a16="http://schemas.microsoft.com/office/drawing/2014/main" id="{00000000-0008-0000-0500-0000F2040000}"/>
            </a:ext>
          </a:extLst>
        </xdr:cNvPr>
        <xdr:cNvSpPr txBox="1">
          <a:spLocks noChangeArrowheads="1"/>
        </xdr:cNvSpPr>
      </xdr:nvSpPr>
      <xdr:spPr bwMode="auto">
        <a:xfrm>
          <a:off x="7585075" y="498157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127</xdr:row>
      <xdr:rowOff>0</xdr:rowOff>
    </xdr:from>
    <xdr:ext cx="95250" cy="171450"/>
    <xdr:sp macro="" textlink="">
      <xdr:nvSpPr>
        <xdr:cNvPr id="1267" name="Text Box 16">
          <a:extLst>
            <a:ext uri="{FF2B5EF4-FFF2-40B4-BE49-F238E27FC236}">
              <a16:creationId xmlns:a16="http://schemas.microsoft.com/office/drawing/2014/main" id="{00000000-0008-0000-0500-0000F3040000}"/>
            </a:ext>
          </a:extLst>
        </xdr:cNvPr>
        <xdr:cNvSpPr txBox="1">
          <a:spLocks noChangeArrowheads="1"/>
        </xdr:cNvSpPr>
      </xdr:nvSpPr>
      <xdr:spPr bwMode="auto">
        <a:xfrm>
          <a:off x="9582150" y="4127500"/>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127</xdr:row>
      <xdr:rowOff>0</xdr:rowOff>
    </xdr:from>
    <xdr:ext cx="95250" cy="171450"/>
    <xdr:sp macro="" textlink="">
      <xdr:nvSpPr>
        <xdr:cNvPr id="1268" name="Text Box 17">
          <a:extLst>
            <a:ext uri="{FF2B5EF4-FFF2-40B4-BE49-F238E27FC236}">
              <a16:creationId xmlns:a16="http://schemas.microsoft.com/office/drawing/2014/main" id="{00000000-0008-0000-0500-0000F4040000}"/>
            </a:ext>
          </a:extLst>
        </xdr:cNvPr>
        <xdr:cNvSpPr txBox="1">
          <a:spLocks noChangeArrowheads="1"/>
        </xdr:cNvSpPr>
      </xdr:nvSpPr>
      <xdr:spPr bwMode="auto">
        <a:xfrm>
          <a:off x="9582150" y="4127500"/>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127</xdr:row>
      <xdr:rowOff>0</xdr:rowOff>
    </xdr:from>
    <xdr:ext cx="95250" cy="171450"/>
    <xdr:sp macro="" textlink="">
      <xdr:nvSpPr>
        <xdr:cNvPr id="1269" name="Text Box 18">
          <a:extLst>
            <a:ext uri="{FF2B5EF4-FFF2-40B4-BE49-F238E27FC236}">
              <a16:creationId xmlns:a16="http://schemas.microsoft.com/office/drawing/2014/main" id="{00000000-0008-0000-0500-0000F5040000}"/>
            </a:ext>
          </a:extLst>
        </xdr:cNvPr>
        <xdr:cNvSpPr txBox="1">
          <a:spLocks noChangeArrowheads="1"/>
        </xdr:cNvSpPr>
      </xdr:nvSpPr>
      <xdr:spPr bwMode="auto">
        <a:xfrm>
          <a:off x="9582150" y="4127500"/>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127</xdr:row>
      <xdr:rowOff>0</xdr:rowOff>
    </xdr:from>
    <xdr:ext cx="95250" cy="171450"/>
    <xdr:sp macro="" textlink="">
      <xdr:nvSpPr>
        <xdr:cNvPr id="1270" name="Text Box 19">
          <a:extLst>
            <a:ext uri="{FF2B5EF4-FFF2-40B4-BE49-F238E27FC236}">
              <a16:creationId xmlns:a16="http://schemas.microsoft.com/office/drawing/2014/main" id="{00000000-0008-0000-0500-0000F6040000}"/>
            </a:ext>
          </a:extLst>
        </xdr:cNvPr>
        <xdr:cNvSpPr txBox="1">
          <a:spLocks noChangeArrowheads="1"/>
        </xdr:cNvSpPr>
      </xdr:nvSpPr>
      <xdr:spPr bwMode="auto">
        <a:xfrm>
          <a:off x="9582150" y="4127500"/>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127</xdr:row>
      <xdr:rowOff>0</xdr:rowOff>
    </xdr:from>
    <xdr:ext cx="95250" cy="442269"/>
    <xdr:sp macro="" textlink="">
      <xdr:nvSpPr>
        <xdr:cNvPr id="1271" name="Text Box 15">
          <a:extLst>
            <a:ext uri="{FF2B5EF4-FFF2-40B4-BE49-F238E27FC236}">
              <a16:creationId xmlns:a16="http://schemas.microsoft.com/office/drawing/2014/main" id="{00000000-0008-0000-0500-0000F7040000}"/>
            </a:ext>
          </a:extLst>
        </xdr:cNvPr>
        <xdr:cNvSpPr txBox="1">
          <a:spLocks noChangeArrowheads="1"/>
        </xdr:cNvSpPr>
      </xdr:nvSpPr>
      <xdr:spPr bwMode="auto">
        <a:xfrm>
          <a:off x="9582150" y="4479925"/>
          <a:ext cx="95250" cy="442269"/>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127</xdr:row>
      <xdr:rowOff>0</xdr:rowOff>
    </xdr:from>
    <xdr:ext cx="95250" cy="171450"/>
    <xdr:sp macro="" textlink="">
      <xdr:nvSpPr>
        <xdr:cNvPr id="1272" name="Text Box 16">
          <a:extLst>
            <a:ext uri="{FF2B5EF4-FFF2-40B4-BE49-F238E27FC236}">
              <a16:creationId xmlns:a16="http://schemas.microsoft.com/office/drawing/2014/main" id="{00000000-0008-0000-0500-0000F8040000}"/>
            </a:ext>
          </a:extLst>
        </xdr:cNvPr>
        <xdr:cNvSpPr txBox="1">
          <a:spLocks noChangeArrowheads="1"/>
        </xdr:cNvSpPr>
      </xdr:nvSpPr>
      <xdr:spPr bwMode="auto">
        <a:xfrm>
          <a:off x="9582150" y="4476750"/>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127</xdr:row>
      <xdr:rowOff>0</xdr:rowOff>
    </xdr:from>
    <xdr:ext cx="95250" cy="171450"/>
    <xdr:sp macro="" textlink="">
      <xdr:nvSpPr>
        <xdr:cNvPr id="1273" name="Text Box 17">
          <a:extLst>
            <a:ext uri="{FF2B5EF4-FFF2-40B4-BE49-F238E27FC236}">
              <a16:creationId xmlns:a16="http://schemas.microsoft.com/office/drawing/2014/main" id="{00000000-0008-0000-0500-0000F9040000}"/>
            </a:ext>
          </a:extLst>
        </xdr:cNvPr>
        <xdr:cNvSpPr txBox="1">
          <a:spLocks noChangeArrowheads="1"/>
        </xdr:cNvSpPr>
      </xdr:nvSpPr>
      <xdr:spPr bwMode="auto">
        <a:xfrm>
          <a:off x="9582150" y="4476750"/>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127</xdr:row>
      <xdr:rowOff>0</xdr:rowOff>
    </xdr:from>
    <xdr:ext cx="95250" cy="171450"/>
    <xdr:sp macro="" textlink="">
      <xdr:nvSpPr>
        <xdr:cNvPr id="1274" name="Text Box 18">
          <a:extLst>
            <a:ext uri="{FF2B5EF4-FFF2-40B4-BE49-F238E27FC236}">
              <a16:creationId xmlns:a16="http://schemas.microsoft.com/office/drawing/2014/main" id="{00000000-0008-0000-0500-0000FA040000}"/>
            </a:ext>
          </a:extLst>
        </xdr:cNvPr>
        <xdr:cNvSpPr txBox="1">
          <a:spLocks noChangeArrowheads="1"/>
        </xdr:cNvSpPr>
      </xdr:nvSpPr>
      <xdr:spPr bwMode="auto">
        <a:xfrm>
          <a:off x="9582150" y="4476750"/>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127</xdr:row>
      <xdr:rowOff>0</xdr:rowOff>
    </xdr:from>
    <xdr:ext cx="95250" cy="171450"/>
    <xdr:sp macro="" textlink="">
      <xdr:nvSpPr>
        <xdr:cNvPr id="1275" name="Text Box 19">
          <a:extLst>
            <a:ext uri="{FF2B5EF4-FFF2-40B4-BE49-F238E27FC236}">
              <a16:creationId xmlns:a16="http://schemas.microsoft.com/office/drawing/2014/main" id="{00000000-0008-0000-0500-0000FB040000}"/>
            </a:ext>
          </a:extLst>
        </xdr:cNvPr>
        <xdr:cNvSpPr txBox="1">
          <a:spLocks noChangeArrowheads="1"/>
        </xdr:cNvSpPr>
      </xdr:nvSpPr>
      <xdr:spPr bwMode="auto">
        <a:xfrm>
          <a:off x="9582150" y="4476750"/>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127</xdr:row>
      <xdr:rowOff>0</xdr:rowOff>
    </xdr:from>
    <xdr:ext cx="95250" cy="213632"/>
    <xdr:sp macro="" textlink="">
      <xdr:nvSpPr>
        <xdr:cNvPr id="1276" name="Text Box 15">
          <a:extLst>
            <a:ext uri="{FF2B5EF4-FFF2-40B4-BE49-F238E27FC236}">
              <a16:creationId xmlns:a16="http://schemas.microsoft.com/office/drawing/2014/main" id="{00000000-0008-0000-0500-0000FC040000}"/>
            </a:ext>
          </a:extLst>
        </xdr:cNvPr>
        <xdr:cNvSpPr txBox="1">
          <a:spLocks noChangeArrowheads="1"/>
        </xdr:cNvSpPr>
      </xdr:nvSpPr>
      <xdr:spPr bwMode="auto">
        <a:xfrm>
          <a:off x="9582150" y="498157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127</xdr:row>
      <xdr:rowOff>0</xdr:rowOff>
    </xdr:from>
    <xdr:ext cx="95250" cy="171450"/>
    <xdr:sp macro="" textlink="">
      <xdr:nvSpPr>
        <xdr:cNvPr id="1277" name="Text Box 16">
          <a:extLst>
            <a:ext uri="{FF2B5EF4-FFF2-40B4-BE49-F238E27FC236}">
              <a16:creationId xmlns:a16="http://schemas.microsoft.com/office/drawing/2014/main" id="{00000000-0008-0000-0500-0000FD040000}"/>
            </a:ext>
          </a:extLst>
        </xdr:cNvPr>
        <xdr:cNvSpPr txBox="1">
          <a:spLocks noChangeArrowheads="1"/>
        </xdr:cNvSpPr>
      </xdr:nvSpPr>
      <xdr:spPr bwMode="auto">
        <a:xfrm>
          <a:off x="9582150" y="5016500"/>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127</xdr:row>
      <xdr:rowOff>0</xdr:rowOff>
    </xdr:from>
    <xdr:ext cx="95250" cy="171450"/>
    <xdr:sp macro="" textlink="">
      <xdr:nvSpPr>
        <xdr:cNvPr id="1278" name="Text Box 17">
          <a:extLst>
            <a:ext uri="{FF2B5EF4-FFF2-40B4-BE49-F238E27FC236}">
              <a16:creationId xmlns:a16="http://schemas.microsoft.com/office/drawing/2014/main" id="{00000000-0008-0000-0500-0000FE040000}"/>
            </a:ext>
          </a:extLst>
        </xdr:cNvPr>
        <xdr:cNvSpPr txBox="1">
          <a:spLocks noChangeArrowheads="1"/>
        </xdr:cNvSpPr>
      </xdr:nvSpPr>
      <xdr:spPr bwMode="auto">
        <a:xfrm>
          <a:off x="9582150" y="5016500"/>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127</xdr:row>
      <xdr:rowOff>0</xdr:rowOff>
    </xdr:from>
    <xdr:ext cx="95250" cy="171450"/>
    <xdr:sp macro="" textlink="">
      <xdr:nvSpPr>
        <xdr:cNvPr id="1279" name="Text Box 18">
          <a:extLst>
            <a:ext uri="{FF2B5EF4-FFF2-40B4-BE49-F238E27FC236}">
              <a16:creationId xmlns:a16="http://schemas.microsoft.com/office/drawing/2014/main" id="{00000000-0008-0000-0500-0000FF040000}"/>
            </a:ext>
          </a:extLst>
        </xdr:cNvPr>
        <xdr:cNvSpPr txBox="1">
          <a:spLocks noChangeArrowheads="1"/>
        </xdr:cNvSpPr>
      </xdr:nvSpPr>
      <xdr:spPr bwMode="auto">
        <a:xfrm>
          <a:off x="9582150" y="5016500"/>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127</xdr:row>
      <xdr:rowOff>0</xdr:rowOff>
    </xdr:from>
    <xdr:ext cx="95250" cy="171450"/>
    <xdr:sp macro="" textlink="">
      <xdr:nvSpPr>
        <xdr:cNvPr id="1280" name="Text Box 19">
          <a:extLst>
            <a:ext uri="{FF2B5EF4-FFF2-40B4-BE49-F238E27FC236}">
              <a16:creationId xmlns:a16="http://schemas.microsoft.com/office/drawing/2014/main" id="{00000000-0008-0000-0500-000000050000}"/>
            </a:ext>
          </a:extLst>
        </xdr:cNvPr>
        <xdr:cNvSpPr txBox="1">
          <a:spLocks noChangeArrowheads="1"/>
        </xdr:cNvSpPr>
      </xdr:nvSpPr>
      <xdr:spPr bwMode="auto">
        <a:xfrm>
          <a:off x="9582150" y="5016500"/>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127</xdr:row>
      <xdr:rowOff>0</xdr:rowOff>
    </xdr:from>
    <xdr:ext cx="95250" cy="442269"/>
    <xdr:sp macro="" textlink="">
      <xdr:nvSpPr>
        <xdr:cNvPr id="1281" name="Text Box 15">
          <a:extLst>
            <a:ext uri="{FF2B5EF4-FFF2-40B4-BE49-F238E27FC236}">
              <a16:creationId xmlns:a16="http://schemas.microsoft.com/office/drawing/2014/main" id="{00000000-0008-0000-0500-000001050000}"/>
            </a:ext>
          </a:extLst>
        </xdr:cNvPr>
        <xdr:cNvSpPr txBox="1">
          <a:spLocks noChangeArrowheads="1"/>
        </xdr:cNvSpPr>
      </xdr:nvSpPr>
      <xdr:spPr bwMode="auto">
        <a:xfrm>
          <a:off x="9582150" y="4092575"/>
          <a:ext cx="95250" cy="442269"/>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127</xdr:row>
      <xdr:rowOff>0</xdr:rowOff>
    </xdr:from>
    <xdr:ext cx="95250" cy="213632"/>
    <xdr:sp macro="" textlink="">
      <xdr:nvSpPr>
        <xdr:cNvPr id="1282" name="Text Box 15">
          <a:extLst>
            <a:ext uri="{FF2B5EF4-FFF2-40B4-BE49-F238E27FC236}">
              <a16:creationId xmlns:a16="http://schemas.microsoft.com/office/drawing/2014/main" id="{00000000-0008-0000-0500-000002050000}"/>
            </a:ext>
          </a:extLst>
        </xdr:cNvPr>
        <xdr:cNvSpPr txBox="1">
          <a:spLocks noChangeArrowheads="1"/>
        </xdr:cNvSpPr>
      </xdr:nvSpPr>
      <xdr:spPr bwMode="auto">
        <a:xfrm>
          <a:off x="9582150" y="498157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127</xdr:row>
      <xdr:rowOff>0</xdr:rowOff>
    </xdr:from>
    <xdr:ext cx="95250" cy="171450"/>
    <xdr:sp macro="" textlink="">
      <xdr:nvSpPr>
        <xdr:cNvPr id="1283" name="Text Box 16">
          <a:extLst>
            <a:ext uri="{FF2B5EF4-FFF2-40B4-BE49-F238E27FC236}">
              <a16:creationId xmlns:a16="http://schemas.microsoft.com/office/drawing/2014/main" id="{00000000-0008-0000-0500-000003050000}"/>
            </a:ext>
          </a:extLst>
        </xdr:cNvPr>
        <xdr:cNvSpPr txBox="1">
          <a:spLocks noChangeArrowheads="1"/>
        </xdr:cNvSpPr>
      </xdr:nvSpPr>
      <xdr:spPr bwMode="auto">
        <a:xfrm>
          <a:off x="9582150" y="4127500"/>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127</xdr:row>
      <xdr:rowOff>0</xdr:rowOff>
    </xdr:from>
    <xdr:ext cx="95250" cy="171450"/>
    <xdr:sp macro="" textlink="">
      <xdr:nvSpPr>
        <xdr:cNvPr id="1284" name="Text Box 17">
          <a:extLst>
            <a:ext uri="{FF2B5EF4-FFF2-40B4-BE49-F238E27FC236}">
              <a16:creationId xmlns:a16="http://schemas.microsoft.com/office/drawing/2014/main" id="{00000000-0008-0000-0500-000004050000}"/>
            </a:ext>
          </a:extLst>
        </xdr:cNvPr>
        <xdr:cNvSpPr txBox="1">
          <a:spLocks noChangeArrowheads="1"/>
        </xdr:cNvSpPr>
      </xdr:nvSpPr>
      <xdr:spPr bwMode="auto">
        <a:xfrm>
          <a:off x="9582150" y="4127500"/>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127</xdr:row>
      <xdr:rowOff>0</xdr:rowOff>
    </xdr:from>
    <xdr:ext cx="95250" cy="171450"/>
    <xdr:sp macro="" textlink="">
      <xdr:nvSpPr>
        <xdr:cNvPr id="1285" name="Text Box 18">
          <a:extLst>
            <a:ext uri="{FF2B5EF4-FFF2-40B4-BE49-F238E27FC236}">
              <a16:creationId xmlns:a16="http://schemas.microsoft.com/office/drawing/2014/main" id="{00000000-0008-0000-0500-000005050000}"/>
            </a:ext>
          </a:extLst>
        </xdr:cNvPr>
        <xdr:cNvSpPr txBox="1">
          <a:spLocks noChangeArrowheads="1"/>
        </xdr:cNvSpPr>
      </xdr:nvSpPr>
      <xdr:spPr bwMode="auto">
        <a:xfrm>
          <a:off x="9582150" y="4127500"/>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127</xdr:row>
      <xdr:rowOff>0</xdr:rowOff>
    </xdr:from>
    <xdr:ext cx="95250" cy="171450"/>
    <xdr:sp macro="" textlink="">
      <xdr:nvSpPr>
        <xdr:cNvPr id="1286" name="Text Box 19">
          <a:extLst>
            <a:ext uri="{FF2B5EF4-FFF2-40B4-BE49-F238E27FC236}">
              <a16:creationId xmlns:a16="http://schemas.microsoft.com/office/drawing/2014/main" id="{00000000-0008-0000-0500-000006050000}"/>
            </a:ext>
          </a:extLst>
        </xdr:cNvPr>
        <xdr:cNvSpPr txBox="1">
          <a:spLocks noChangeArrowheads="1"/>
        </xdr:cNvSpPr>
      </xdr:nvSpPr>
      <xdr:spPr bwMode="auto">
        <a:xfrm>
          <a:off x="9582150" y="4127500"/>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127</xdr:row>
      <xdr:rowOff>0</xdr:rowOff>
    </xdr:from>
    <xdr:ext cx="95250" cy="213632"/>
    <xdr:sp macro="" textlink="">
      <xdr:nvSpPr>
        <xdr:cNvPr id="1287" name="Text Box 15">
          <a:extLst>
            <a:ext uri="{FF2B5EF4-FFF2-40B4-BE49-F238E27FC236}">
              <a16:creationId xmlns:a16="http://schemas.microsoft.com/office/drawing/2014/main" id="{00000000-0008-0000-0500-000007050000}"/>
            </a:ext>
          </a:extLst>
        </xdr:cNvPr>
        <xdr:cNvSpPr txBox="1">
          <a:spLocks noChangeArrowheads="1"/>
        </xdr:cNvSpPr>
      </xdr:nvSpPr>
      <xdr:spPr bwMode="auto">
        <a:xfrm>
          <a:off x="9582150" y="44799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127</xdr:row>
      <xdr:rowOff>0</xdr:rowOff>
    </xdr:from>
    <xdr:ext cx="95250" cy="171450"/>
    <xdr:sp macro="" textlink="">
      <xdr:nvSpPr>
        <xdr:cNvPr id="1288" name="Text Box 16">
          <a:extLst>
            <a:ext uri="{FF2B5EF4-FFF2-40B4-BE49-F238E27FC236}">
              <a16:creationId xmlns:a16="http://schemas.microsoft.com/office/drawing/2014/main" id="{00000000-0008-0000-0500-000008050000}"/>
            </a:ext>
          </a:extLst>
        </xdr:cNvPr>
        <xdr:cNvSpPr txBox="1">
          <a:spLocks noChangeArrowheads="1"/>
        </xdr:cNvSpPr>
      </xdr:nvSpPr>
      <xdr:spPr bwMode="auto">
        <a:xfrm>
          <a:off x="9582150" y="4476750"/>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127</xdr:row>
      <xdr:rowOff>0</xdr:rowOff>
    </xdr:from>
    <xdr:ext cx="95250" cy="171450"/>
    <xdr:sp macro="" textlink="">
      <xdr:nvSpPr>
        <xdr:cNvPr id="1289" name="Text Box 17">
          <a:extLst>
            <a:ext uri="{FF2B5EF4-FFF2-40B4-BE49-F238E27FC236}">
              <a16:creationId xmlns:a16="http://schemas.microsoft.com/office/drawing/2014/main" id="{00000000-0008-0000-0500-000009050000}"/>
            </a:ext>
          </a:extLst>
        </xdr:cNvPr>
        <xdr:cNvSpPr txBox="1">
          <a:spLocks noChangeArrowheads="1"/>
        </xdr:cNvSpPr>
      </xdr:nvSpPr>
      <xdr:spPr bwMode="auto">
        <a:xfrm>
          <a:off x="9582150" y="4476750"/>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127</xdr:row>
      <xdr:rowOff>0</xdr:rowOff>
    </xdr:from>
    <xdr:ext cx="95250" cy="171450"/>
    <xdr:sp macro="" textlink="">
      <xdr:nvSpPr>
        <xdr:cNvPr id="1290" name="Text Box 18">
          <a:extLst>
            <a:ext uri="{FF2B5EF4-FFF2-40B4-BE49-F238E27FC236}">
              <a16:creationId xmlns:a16="http://schemas.microsoft.com/office/drawing/2014/main" id="{00000000-0008-0000-0500-00000A050000}"/>
            </a:ext>
          </a:extLst>
        </xdr:cNvPr>
        <xdr:cNvSpPr txBox="1">
          <a:spLocks noChangeArrowheads="1"/>
        </xdr:cNvSpPr>
      </xdr:nvSpPr>
      <xdr:spPr bwMode="auto">
        <a:xfrm>
          <a:off x="9582150" y="4476750"/>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127</xdr:row>
      <xdr:rowOff>0</xdr:rowOff>
    </xdr:from>
    <xdr:ext cx="95250" cy="171450"/>
    <xdr:sp macro="" textlink="">
      <xdr:nvSpPr>
        <xdr:cNvPr id="1291" name="Text Box 19">
          <a:extLst>
            <a:ext uri="{FF2B5EF4-FFF2-40B4-BE49-F238E27FC236}">
              <a16:creationId xmlns:a16="http://schemas.microsoft.com/office/drawing/2014/main" id="{00000000-0008-0000-0500-00000B050000}"/>
            </a:ext>
          </a:extLst>
        </xdr:cNvPr>
        <xdr:cNvSpPr txBox="1">
          <a:spLocks noChangeArrowheads="1"/>
        </xdr:cNvSpPr>
      </xdr:nvSpPr>
      <xdr:spPr bwMode="auto">
        <a:xfrm>
          <a:off x="9582150" y="4476750"/>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127</xdr:row>
      <xdr:rowOff>0</xdr:rowOff>
    </xdr:from>
    <xdr:ext cx="95250" cy="213632"/>
    <xdr:sp macro="" textlink="">
      <xdr:nvSpPr>
        <xdr:cNvPr id="1292" name="Text Box 15">
          <a:extLst>
            <a:ext uri="{FF2B5EF4-FFF2-40B4-BE49-F238E27FC236}">
              <a16:creationId xmlns:a16="http://schemas.microsoft.com/office/drawing/2014/main" id="{00000000-0008-0000-0500-00000C050000}"/>
            </a:ext>
          </a:extLst>
        </xdr:cNvPr>
        <xdr:cNvSpPr txBox="1">
          <a:spLocks noChangeArrowheads="1"/>
        </xdr:cNvSpPr>
      </xdr:nvSpPr>
      <xdr:spPr bwMode="auto">
        <a:xfrm>
          <a:off x="9582150" y="498157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171450"/>
    <xdr:sp macro="" textlink="">
      <xdr:nvSpPr>
        <xdr:cNvPr id="1293" name="Text Box 16">
          <a:extLst>
            <a:ext uri="{FF2B5EF4-FFF2-40B4-BE49-F238E27FC236}">
              <a16:creationId xmlns:a16="http://schemas.microsoft.com/office/drawing/2014/main" id="{00000000-0008-0000-0500-00000D050000}"/>
            </a:ext>
          </a:extLst>
        </xdr:cNvPr>
        <xdr:cNvSpPr txBox="1">
          <a:spLocks noChangeArrowheads="1"/>
        </xdr:cNvSpPr>
      </xdr:nvSpPr>
      <xdr:spPr bwMode="auto">
        <a:xfrm>
          <a:off x="3710214" y="4145643"/>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171450"/>
    <xdr:sp macro="" textlink="">
      <xdr:nvSpPr>
        <xdr:cNvPr id="1294" name="Text Box 17">
          <a:extLst>
            <a:ext uri="{FF2B5EF4-FFF2-40B4-BE49-F238E27FC236}">
              <a16:creationId xmlns:a16="http://schemas.microsoft.com/office/drawing/2014/main" id="{00000000-0008-0000-0500-00000E050000}"/>
            </a:ext>
          </a:extLst>
        </xdr:cNvPr>
        <xdr:cNvSpPr txBox="1">
          <a:spLocks noChangeArrowheads="1"/>
        </xdr:cNvSpPr>
      </xdr:nvSpPr>
      <xdr:spPr bwMode="auto">
        <a:xfrm>
          <a:off x="3710214" y="4145643"/>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171450"/>
    <xdr:sp macro="" textlink="">
      <xdr:nvSpPr>
        <xdr:cNvPr id="1295" name="Text Box 18">
          <a:extLst>
            <a:ext uri="{FF2B5EF4-FFF2-40B4-BE49-F238E27FC236}">
              <a16:creationId xmlns:a16="http://schemas.microsoft.com/office/drawing/2014/main" id="{00000000-0008-0000-0500-00000F050000}"/>
            </a:ext>
          </a:extLst>
        </xdr:cNvPr>
        <xdr:cNvSpPr txBox="1">
          <a:spLocks noChangeArrowheads="1"/>
        </xdr:cNvSpPr>
      </xdr:nvSpPr>
      <xdr:spPr bwMode="auto">
        <a:xfrm>
          <a:off x="3710214" y="4145643"/>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171450"/>
    <xdr:sp macro="" textlink="">
      <xdr:nvSpPr>
        <xdr:cNvPr id="1296" name="Text Box 19">
          <a:extLst>
            <a:ext uri="{FF2B5EF4-FFF2-40B4-BE49-F238E27FC236}">
              <a16:creationId xmlns:a16="http://schemas.microsoft.com/office/drawing/2014/main" id="{00000000-0008-0000-0500-000010050000}"/>
            </a:ext>
          </a:extLst>
        </xdr:cNvPr>
        <xdr:cNvSpPr txBox="1">
          <a:spLocks noChangeArrowheads="1"/>
        </xdr:cNvSpPr>
      </xdr:nvSpPr>
      <xdr:spPr bwMode="auto">
        <a:xfrm>
          <a:off x="3710214" y="4145643"/>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127</xdr:row>
      <xdr:rowOff>0</xdr:rowOff>
    </xdr:from>
    <xdr:ext cx="95250" cy="171450"/>
    <xdr:sp macro="" textlink="">
      <xdr:nvSpPr>
        <xdr:cNvPr id="1297" name="Text Box 16">
          <a:extLst>
            <a:ext uri="{FF2B5EF4-FFF2-40B4-BE49-F238E27FC236}">
              <a16:creationId xmlns:a16="http://schemas.microsoft.com/office/drawing/2014/main" id="{00000000-0008-0000-0500-000011050000}"/>
            </a:ext>
          </a:extLst>
        </xdr:cNvPr>
        <xdr:cNvSpPr txBox="1">
          <a:spLocks noChangeArrowheads="1"/>
        </xdr:cNvSpPr>
      </xdr:nvSpPr>
      <xdr:spPr bwMode="auto">
        <a:xfrm>
          <a:off x="6773182" y="4145643"/>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127</xdr:row>
      <xdr:rowOff>0</xdr:rowOff>
    </xdr:from>
    <xdr:ext cx="95250" cy="171450"/>
    <xdr:sp macro="" textlink="">
      <xdr:nvSpPr>
        <xdr:cNvPr id="1298" name="Text Box 17">
          <a:extLst>
            <a:ext uri="{FF2B5EF4-FFF2-40B4-BE49-F238E27FC236}">
              <a16:creationId xmlns:a16="http://schemas.microsoft.com/office/drawing/2014/main" id="{00000000-0008-0000-0500-000012050000}"/>
            </a:ext>
          </a:extLst>
        </xdr:cNvPr>
        <xdr:cNvSpPr txBox="1">
          <a:spLocks noChangeArrowheads="1"/>
        </xdr:cNvSpPr>
      </xdr:nvSpPr>
      <xdr:spPr bwMode="auto">
        <a:xfrm>
          <a:off x="6773182" y="4145643"/>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127</xdr:row>
      <xdr:rowOff>0</xdr:rowOff>
    </xdr:from>
    <xdr:ext cx="95250" cy="171450"/>
    <xdr:sp macro="" textlink="">
      <xdr:nvSpPr>
        <xdr:cNvPr id="1299" name="Text Box 18">
          <a:extLst>
            <a:ext uri="{FF2B5EF4-FFF2-40B4-BE49-F238E27FC236}">
              <a16:creationId xmlns:a16="http://schemas.microsoft.com/office/drawing/2014/main" id="{00000000-0008-0000-0500-000013050000}"/>
            </a:ext>
          </a:extLst>
        </xdr:cNvPr>
        <xdr:cNvSpPr txBox="1">
          <a:spLocks noChangeArrowheads="1"/>
        </xdr:cNvSpPr>
      </xdr:nvSpPr>
      <xdr:spPr bwMode="auto">
        <a:xfrm>
          <a:off x="6773182" y="4145643"/>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127</xdr:row>
      <xdr:rowOff>0</xdr:rowOff>
    </xdr:from>
    <xdr:ext cx="95250" cy="171450"/>
    <xdr:sp macro="" textlink="">
      <xdr:nvSpPr>
        <xdr:cNvPr id="1300" name="Text Box 19">
          <a:extLst>
            <a:ext uri="{FF2B5EF4-FFF2-40B4-BE49-F238E27FC236}">
              <a16:creationId xmlns:a16="http://schemas.microsoft.com/office/drawing/2014/main" id="{00000000-0008-0000-0500-000014050000}"/>
            </a:ext>
          </a:extLst>
        </xdr:cNvPr>
        <xdr:cNvSpPr txBox="1">
          <a:spLocks noChangeArrowheads="1"/>
        </xdr:cNvSpPr>
      </xdr:nvSpPr>
      <xdr:spPr bwMode="auto">
        <a:xfrm>
          <a:off x="6773182" y="4145643"/>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21</xdr:col>
      <xdr:colOff>0</xdr:colOff>
      <xdr:row>127</xdr:row>
      <xdr:rowOff>0</xdr:rowOff>
    </xdr:from>
    <xdr:ext cx="95250" cy="171450"/>
    <xdr:sp macro="" textlink="">
      <xdr:nvSpPr>
        <xdr:cNvPr id="1301" name="Text Box 16">
          <a:extLst>
            <a:ext uri="{FF2B5EF4-FFF2-40B4-BE49-F238E27FC236}">
              <a16:creationId xmlns:a16="http://schemas.microsoft.com/office/drawing/2014/main" id="{00000000-0008-0000-0500-000015050000}"/>
            </a:ext>
          </a:extLst>
        </xdr:cNvPr>
        <xdr:cNvSpPr txBox="1">
          <a:spLocks noChangeArrowheads="1"/>
        </xdr:cNvSpPr>
      </xdr:nvSpPr>
      <xdr:spPr bwMode="auto">
        <a:xfrm>
          <a:off x="48069500" y="4145643"/>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21</xdr:col>
      <xdr:colOff>0</xdr:colOff>
      <xdr:row>127</xdr:row>
      <xdr:rowOff>0</xdr:rowOff>
    </xdr:from>
    <xdr:ext cx="95250" cy="171450"/>
    <xdr:sp macro="" textlink="">
      <xdr:nvSpPr>
        <xdr:cNvPr id="1302" name="Text Box 17">
          <a:extLst>
            <a:ext uri="{FF2B5EF4-FFF2-40B4-BE49-F238E27FC236}">
              <a16:creationId xmlns:a16="http://schemas.microsoft.com/office/drawing/2014/main" id="{00000000-0008-0000-0500-000016050000}"/>
            </a:ext>
          </a:extLst>
        </xdr:cNvPr>
        <xdr:cNvSpPr txBox="1">
          <a:spLocks noChangeArrowheads="1"/>
        </xdr:cNvSpPr>
      </xdr:nvSpPr>
      <xdr:spPr bwMode="auto">
        <a:xfrm>
          <a:off x="48069500" y="4145643"/>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21</xdr:col>
      <xdr:colOff>0</xdr:colOff>
      <xdr:row>127</xdr:row>
      <xdr:rowOff>0</xdr:rowOff>
    </xdr:from>
    <xdr:ext cx="95250" cy="171450"/>
    <xdr:sp macro="" textlink="">
      <xdr:nvSpPr>
        <xdr:cNvPr id="1303" name="Text Box 18">
          <a:extLst>
            <a:ext uri="{FF2B5EF4-FFF2-40B4-BE49-F238E27FC236}">
              <a16:creationId xmlns:a16="http://schemas.microsoft.com/office/drawing/2014/main" id="{00000000-0008-0000-0500-000017050000}"/>
            </a:ext>
          </a:extLst>
        </xdr:cNvPr>
        <xdr:cNvSpPr txBox="1">
          <a:spLocks noChangeArrowheads="1"/>
        </xdr:cNvSpPr>
      </xdr:nvSpPr>
      <xdr:spPr bwMode="auto">
        <a:xfrm>
          <a:off x="48069500" y="4145643"/>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21</xdr:col>
      <xdr:colOff>0</xdr:colOff>
      <xdr:row>127</xdr:row>
      <xdr:rowOff>0</xdr:rowOff>
    </xdr:from>
    <xdr:ext cx="95250" cy="171450"/>
    <xdr:sp macro="" textlink="">
      <xdr:nvSpPr>
        <xdr:cNvPr id="1304" name="Text Box 19">
          <a:extLst>
            <a:ext uri="{FF2B5EF4-FFF2-40B4-BE49-F238E27FC236}">
              <a16:creationId xmlns:a16="http://schemas.microsoft.com/office/drawing/2014/main" id="{00000000-0008-0000-0500-000018050000}"/>
            </a:ext>
          </a:extLst>
        </xdr:cNvPr>
        <xdr:cNvSpPr txBox="1">
          <a:spLocks noChangeArrowheads="1"/>
        </xdr:cNvSpPr>
      </xdr:nvSpPr>
      <xdr:spPr bwMode="auto">
        <a:xfrm>
          <a:off x="48069500" y="4145643"/>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444014"/>
    <xdr:sp macro="" textlink="">
      <xdr:nvSpPr>
        <xdr:cNvPr id="1305" name="Text Box 15">
          <a:extLst>
            <a:ext uri="{FF2B5EF4-FFF2-40B4-BE49-F238E27FC236}">
              <a16:creationId xmlns:a16="http://schemas.microsoft.com/office/drawing/2014/main" id="{00000000-0008-0000-0500-000019050000}"/>
            </a:ext>
          </a:extLst>
        </xdr:cNvPr>
        <xdr:cNvSpPr txBox="1">
          <a:spLocks noChangeArrowheads="1"/>
        </xdr:cNvSpPr>
      </xdr:nvSpPr>
      <xdr:spPr bwMode="auto">
        <a:xfrm>
          <a:off x="3710214" y="4115254"/>
          <a:ext cx="95250" cy="444014"/>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171450"/>
    <xdr:sp macro="" textlink="">
      <xdr:nvSpPr>
        <xdr:cNvPr id="1306" name="Text Box 16">
          <a:extLst>
            <a:ext uri="{FF2B5EF4-FFF2-40B4-BE49-F238E27FC236}">
              <a16:creationId xmlns:a16="http://schemas.microsoft.com/office/drawing/2014/main" id="{00000000-0008-0000-0500-00001A050000}"/>
            </a:ext>
          </a:extLst>
        </xdr:cNvPr>
        <xdr:cNvSpPr txBox="1">
          <a:spLocks noChangeArrowheads="1"/>
        </xdr:cNvSpPr>
      </xdr:nvSpPr>
      <xdr:spPr bwMode="auto">
        <a:xfrm>
          <a:off x="3710214" y="4145643"/>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171450"/>
    <xdr:sp macro="" textlink="">
      <xdr:nvSpPr>
        <xdr:cNvPr id="1307" name="Text Box 17">
          <a:extLst>
            <a:ext uri="{FF2B5EF4-FFF2-40B4-BE49-F238E27FC236}">
              <a16:creationId xmlns:a16="http://schemas.microsoft.com/office/drawing/2014/main" id="{00000000-0008-0000-0500-00001B050000}"/>
            </a:ext>
          </a:extLst>
        </xdr:cNvPr>
        <xdr:cNvSpPr txBox="1">
          <a:spLocks noChangeArrowheads="1"/>
        </xdr:cNvSpPr>
      </xdr:nvSpPr>
      <xdr:spPr bwMode="auto">
        <a:xfrm>
          <a:off x="3710214" y="4145643"/>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171450"/>
    <xdr:sp macro="" textlink="">
      <xdr:nvSpPr>
        <xdr:cNvPr id="1308" name="Text Box 18">
          <a:extLst>
            <a:ext uri="{FF2B5EF4-FFF2-40B4-BE49-F238E27FC236}">
              <a16:creationId xmlns:a16="http://schemas.microsoft.com/office/drawing/2014/main" id="{00000000-0008-0000-0500-00001C050000}"/>
            </a:ext>
          </a:extLst>
        </xdr:cNvPr>
        <xdr:cNvSpPr txBox="1">
          <a:spLocks noChangeArrowheads="1"/>
        </xdr:cNvSpPr>
      </xdr:nvSpPr>
      <xdr:spPr bwMode="auto">
        <a:xfrm>
          <a:off x="3710214" y="4145643"/>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171450"/>
    <xdr:sp macro="" textlink="">
      <xdr:nvSpPr>
        <xdr:cNvPr id="1309" name="Text Box 19">
          <a:extLst>
            <a:ext uri="{FF2B5EF4-FFF2-40B4-BE49-F238E27FC236}">
              <a16:creationId xmlns:a16="http://schemas.microsoft.com/office/drawing/2014/main" id="{00000000-0008-0000-0500-00001D050000}"/>
            </a:ext>
          </a:extLst>
        </xdr:cNvPr>
        <xdr:cNvSpPr txBox="1">
          <a:spLocks noChangeArrowheads="1"/>
        </xdr:cNvSpPr>
      </xdr:nvSpPr>
      <xdr:spPr bwMode="auto">
        <a:xfrm>
          <a:off x="3710214" y="4145643"/>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213632"/>
    <xdr:sp macro="" textlink="">
      <xdr:nvSpPr>
        <xdr:cNvPr id="1310" name="Text Box 15">
          <a:extLst>
            <a:ext uri="{FF2B5EF4-FFF2-40B4-BE49-F238E27FC236}">
              <a16:creationId xmlns:a16="http://schemas.microsoft.com/office/drawing/2014/main" id="{00000000-0008-0000-0500-00001E050000}"/>
            </a:ext>
          </a:extLst>
        </xdr:cNvPr>
        <xdr:cNvSpPr txBox="1">
          <a:spLocks noChangeArrowheads="1"/>
        </xdr:cNvSpPr>
      </xdr:nvSpPr>
      <xdr:spPr bwMode="auto">
        <a:xfrm>
          <a:off x="3710214" y="4498068"/>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127</xdr:row>
      <xdr:rowOff>0</xdr:rowOff>
    </xdr:from>
    <xdr:ext cx="95250" cy="442269"/>
    <xdr:sp macro="" textlink="">
      <xdr:nvSpPr>
        <xdr:cNvPr id="1311" name="Text Box 15">
          <a:extLst>
            <a:ext uri="{FF2B5EF4-FFF2-40B4-BE49-F238E27FC236}">
              <a16:creationId xmlns:a16="http://schemas.microsoft.com/office/drawing/2014/main" id="{00000000-0008-0000-0500-00001F050000}"/>
            </a:ext>
          </a:extLst>
        </xdr:cNvPr>
        <xdr:cNvSpPr txBox="1">
          <a:spLocks noChangeArrowheads="1"/>
        </xdr:cNvSpPr>
      </xdr:nvSpPr>
      <xdr:spPr bwMode="auto">
        <a:xfrm>
          <a:off x="6773182" y="4115254"/>
          <a:ext cx="95250" cy="442269"/>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127</xdr:row>
      <xdr:rowOff>0</xdr:rowOff>
    </xdr:from>
    <xdr:ext cx="95250" cy="171450"/>
    <xdr:sp macro="" textlink="">
      <xdr:nvSpPr>
        <xdr:cNvPr id="1312" name="Text Box 16">
          <a:extLst>
            <a:ext uri="{FF2B5EF4-FFF2-40B4-BE49-F238E27FC236}">
              <a16:creationId xmlns:a16="http://schemas.microsoft.com/office/drawing/2014/main" id="{00000000-0008-0000-0500-000020050000}"/>
            </a:ext>
          </a:extLst>
        </xdr:cNvPr>
        <xdr:cNvSpPr txBox="1">
          <a:spLocks noChangeArrowheads="1"/>
        </xdr:cNvSpPr>
      </xdr:nvSpPr>
      <xdr:spPr bwMode="auto">
        <a:xfrm>
          <a:off x="6773182" y="4145643"/>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127</xdr:row>
      <xdr:rowOff>0</xdr:rowOff>
    </xdr:from>
    <xdr:ext cx="95250" cy="171450"/>
    <xdr:sp macro="" textlink="">
      <xdr:nvSpPr>
        <xdr:cNvPr id="1313" name="Text Box 17">
          <a:extLst>
            <a:ext uri="{FF2B5EF4-FFF2-40B4-BE49-F238E27FC236}">
              <a16:creationId xmlns:a16="http://schemas.microsoft.com/office/drawing/2014/main" id="{00000000-0008-0000-0500-000021050000}"/>
            </a:ext>
          </a:extLst>
        </xdr:cNvPr>
        <xdr:cNvSpPr txBox="1">
          <a:spLocks noChangeArrowheads="1"/>
        </xdr:cNvSpPr>
      </xdr:nvSpPr>
      <xdr:spPr bwMode="auto">
        <a:xfrm>
          <a:off x="6773182" y="4145643"/>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127</xdr:row>
      <xdr:rowOff>0</xdr:rowOff>
    </xdr:from>
    <xdr:ext cx="95250" cy="171450"/>
    <xdr:sp macro="" textlink="">
      <xdr:nvSpPr>
        <xdr:cNvPr id="1314" name="Text Box 18">
          <a:extLst>
            <a:ext uri="{FF2B5EF4-FFF2-40B4-BE49-F238E27FC236}">
              <a16:creationId xmlns:a16="http://schemas.microsoft.com/office/drawing/2014/main" id="{00000000-0008-0000-0500-000022050000}"/>
            </a:ext>
          </a:extLst>
        </xdr:cNvPr>
        <xdr:cNvSpPr txBox="1">
          <a:spLocks noChangeArrowheads="1"/>
        </xdr:cNvSpPr>
      </xdr:nvSpPr>
      <xdr:spPr bwMode="auto">
        <a:xfrm>
          <a:off x="6773182" y="4145643"/>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127</xdr:row>
      <xdr:rowOff>0</xdr:rowOff>
    </xdr:from>
    <xdr:ext cx="95250" cy="213632"/>
    <xdr:sp macro="" textlink="">
      <xdr:nvSpPr>
        <xdr:cNvPr id="1315" name="Text Box 15">
          <a:extLst>
            <a:ext uri="{FF2B5EF4-FFF2-40B4-BE49-F238E27FC236}">
              <a16:creationId xmlns:a16="http://schemas.microsoft.com/office/drawing/2014/main" id="{00000000-0008-0000-0500-000023050000}"/>
            </a:ext>
          </a:extLst>
        </xdr:cNvPr>
        <xdr:cNvSpPr txBox="1">
          <a:spLocks noChangeArrowheads="1"/>
        </xdr:cNvSpPr>
      </xdr:nvSpPr>
      <xdr:spPr bwMode="auto">
        <a:xfrm>
          <a:off x="6773182" y="4498068"/>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127</xdr:row>
      <xdr:rowOff>0</xdr:rowOff>
    </xdr:from>
    <xdr:ext cx="95250" cy="171450"/>
    <xdr:sp macro="" textlink="">
      <xdr:nvSpPr>
        <xdr:cNvPr id="1316" name="Text Box 16">
          <a:extLst>
            <a:ext uri="{FF2B5EF4-FFF2-40B4-BE49-F238E27FC236}">
              <a16:creationId xmlns:a16="http://schemas.microsoft.com/office/drawing/2014/main" id="{00000000-0008-0000-0500-000024050000}"/>
            </a:ext>
          </a:extLst>
        </xdr:cNvPr>
        <xdr:cNvSpPr txBox="1">
          <a:spLocks noChangeArrowheads="1"/>
        </xdr:cNvSpPr>
      </xdr:nvSpPr>
      <xdr:spPr bwMode="auto">
        <a:xfrm>
          <a:off x="9616168" y="4145643"/>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127</xdr:row>
      <xdr:rowOff>0</xdr:rowOff>
    </xdr:from>
    <xdr:ext cx="95250" cy="171450"/>
    <xdr:sp macro="" textlink="">
      <xdr:nvSpPr>
        <xdr:cNvPr id="1317" name="Text Box 17">
          <a:extLst>
            <a:ext uri="{FF2B5EF4-FFF2-40B4-BE49-F238E27FC236}">
              <a16:creationId xmlns:a16="http://schemas.microsoft.com/office/drawing/2014/main" id="{00000000-0008-0000-0500-000025050000}"/>
            </a:ext>
          </a:extLst>
        </xdr:cNvPr>
        <xdr:cNvSpPr txBox="1">
          <a:spLocks noChangeArrowheads="1"/>
        </xdr:cNvSpPr>
      </xdr:nvSpPr>
      <xdr:spPr bwMode="auto">
        <a:xfrm>
          <a:off x="9616168" y="4145643"/>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127</xdr:row>
      <xdr:rowOff>0</xdr:rowOff>
    </xdr:from>
    <xdr:ext cx="95250" cy="171450"/>
    <xdr:sp macro="" textlink="">
      <xdr:nvSpPr>
        <xdr:cNvPr id="1318" name="Text Box 18">
          <a:extLst>
            <a:ext uri="{FF2B5EF4-FFF2-40B4-BE49-F238E27FC236}">
              <a16:creationId xmlns:a16="http://schemas.microsoft.com/office/drawing/2014/main" id="{00000000-0008-0000-0500-000026050000}"/>
            </a:ext>
          </a:extLst>
        </xdr:cNvPr>
        <xdr:cNvSpPr txBox="1">
          <a:spLocks noChangeArrowheads="1"/>
        </xdr:cNvSpPr>
      </xdr:nvSpPr>
      <xdr:spPr bwMode="auto">
        <a:xfrm>
          <a:off x="9616168" y="4145643"/>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127</xdr:row>
      <xdr:rowOff>0</xdr:rowOff>
    </xdr:from>
    <xdr:ext cx="95250" cy="171450"/>
    <xdr:sp macro="" textlink="">
      <xdr:nvSpPr>
        <xdr:cNvPr id="1319" name="Text Box 19">
          <a:extLst>
            <a:ext uri="{FF2B5EF4-FFF2-40B4-BE49-F238E27FC236}">
              <a16:creationId xmlns:a16="http://schemas.microsoft.com/office/drawing/2014/main" id="{00000000-0008-0000-0500-000027050000}"/>
            </a:ext>
          </a:extLst>
        </xdr:cNvPr>
        <xdr:cNvSpPr txBox="1">
          <a:spLocks noChangeArrowheads="1"/>
        </xdr:cNvSpPr>
      </xdr:nvSpPr>
      <xdr:spPr bwMode="auto">
        <a:xfrm>
          <a:off x="9616168" y="4145643"/>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127</xdr:row>
      <xdr:rowOff>0</xdr:rowOff>
    </xdr:from>
    <xdr:ext cx="95250" cy="442269"/>
    <xdr:sp macro="" textlink="">
      <xdr:nvSpPr>
        <xdr:cNvPr id="1320" name="Text Box 15">
          <a:extLst>
            <a:ext uri="{FF2B5EF4-FFF2-40B4-BE49-F238E27FC236}">
              <a16:creationId xmlns:a16="http://schemas.microsoft.com/office/drawing/2014/main" id="{00000000-0008-0000-0500-000028050000}"/>
            </a:ext>
          </a:extLst>
        </xdr:cNvPr>
        <xdr:cNvSpPr txBox="1">
          <a:spLocks noChangeArrowheads="1"/>
        </xdr:cNvSpPr>
      </xdr:nvSpPr>
      <xdr:spPr bwMode="auto">
        <a:xfrm>
          <a:off x="9616168" y="4115254"/>
          <a:ext cx="95250" cy="442269"/>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127</xdr:row>
      <xdr:rowOff>0</xdr:rowOff>
    </xdr:from>
    <xdr:ext cx="95250" cy="171450"/>
    <xdr:sp macro="" textlink="">
      <xdr:nvSpPr>
        <xdr:cNvPr id="1321" name="Text Box 16">
          <a:extLst>
            <a:ext uri="{FF2B5EF4-FFF2-40B4-BE49-F238E27FC236}">
              <a16:creationId xmlns:a16="http://schemas.microsoft.com/office/drawing/2014/main" id="{00000000-0008-0000-0500-000029050000}"/>
            </a:ext>
          </a:extLst>
        </xdr:cNvPr>
        <xdr:cNvSpPr txBox="1">
          <a:spLocks noChangeArrowheads="1"/>
        </xdr:cNvSpPr>
      </xdr:nvSpPr>
      <xdr:spPr bwMode="auto">
        <a:xfrm>
          <a:off x="9616168" y="4145643"/>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127</xdr:row>
      <xdr:rowOff>0</xdr:rowOff>
    </xdr:from>
    <xdr:ext cx="95250" cy="171450"/>
    <xdr:sp macro="" textlink="">
      <xdr:nvSpPr>
        <xdr:cNvPr id="1322" name="Text Box 17">
          <a:extLst>
            <a:ext uri="{FF2B5EF4-FFF2-40B4-BE49-F238E27FC236}">
              <a16:creationId xmlns:a16="http://schemas.microsoft.com/office/drawing/2014/main" id="{00000000-0008-0000-0500-00002A050000}"/>
            </a:ext>
          </a:extLst>
        </xdr:cNvPr>
        <xdr:cNvSpPr txBox="1">
          <a:spLocks noChangeArrowheads="1"/>
        </xdr:cNvSpPr>
      </xdr:nvSpPr>
      <xdr:spPr bwMode="auto">
        <a:xfrm>
          <a:off x="9616168" y="4145643"/>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127</xdr:row>
      <xdr:rowOff>0</xdr:rowOff>
    </xdr:from>
    <xdr:ext cx="95250" cy="171450"/>
    <xdr:sp macro="" textlink="">
      <xdr:nvSpPr>
        <xdr:cNvPr id="1323" name="Text Box 18">
          <a:extLst>
            <a:ext uri="{FF2B5EF4-FFF2-40B4-BE49-F238E27FC236}">
              <a16:creationId xmlns:a16="http://schemas.microsoft.com/office/drawing/2014/main" id="{00000000-0008-0000-0500-00002B050000}"/>
            </a:ext>
          </a:extLst>
        </xdr:cNvPr>
        <xdr:cNvSpPr txBox="1">
          <a:spLocks noChangeArrowheads="1"/>
        </xdr:cNvSpPr>
      </xdr:nvSpPr>
      <xdr:spPr bwMode="auto">
        <a:xfrm>
          <a:off x="9616168" y="4145643"/>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127</xdr:row>
      <xdr:rowOff>0</xdr:rowOff>
    </xdr:from>
    <xdr:ext cx="95250" cy="171450"/>
    <xdr:sp macro="" textlink="">
      <xdr:nvSpPr>
        <xdr:cNvPr id="1324" name="Text Box 19">
          <a:extLst>
            <a:ext uri="{FF2B5EF4-FFF2-40B4-BE49-F238E27FC236}">
              <a16:creationId xmlns:a16="http://schemas.microsoft.com/office/drawing/2014/main" id="{00000000-0008-0000-0500-00002C050000}"/>
            </a:ext>
          </a:extLst>
        </xdr:cNvPr>
        <xdr:cNvSpPr txBox="1">
          <a:spLocks noChangeArrowheads="1"/>
        </xdr:cNvSpPr>
      </xdr:nvSpPr>
      <xdr:spPr bwMode="auto">
        <a:xfrm>
          <a:off x="9616168" y="4145643"/>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171450"/>
    <xdr:sp macro="" textlink="">
      <xdr:nvSpPr>
        <xdr:cNvPr id="1325" name="Text Box 16">
          <a:extLst>
            <a:ext uri="{FF2B5EF4-FFF2-40B4-BE49-F238E27FC236}">
              <a16:creationId xmlns:a16="http://schemas.microsoft.com/office/drawing/2014/main" id="{00000000-0008-0000-0500-00002D050000}"/>
            </a:ext>
          </a:extLst>
        </xdr:cNvPr>
        <xdr:cNvSpPr txBox="1">
          <a:spLocks noChangeArrowheads="1"/>
        </xdr:cNvSpPr>
      </xdr:nvSpPr>
      <xdr:spPr bwMode="auto">
        <a:xfrm>
          <a:off x="3710214" y="4145643"/>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171450"/>
    <xdr:sp macro="" textlink="">
      <xdr:nvSpPr>
        <xdr:cNvPr id="1326" name="Text Box 17">
          <a:extLst>
            <a:ext uri="{FF2B5EF4-FFF2-40B4-BE49-F238E27FC236}">
              <a16:creationId xmlns:a16="http://schemas.microsoft.com/office/drawing/2014/main" id="{00000000-0008-0000-0500-00002E050000}"/>
            </a:ext>
          </a:extLst>
        </xdr:cNvPr>
        <xdr:cNvSpPr txBox="1">
          <a:spLocks noChangeArrowheads="1"/>
        </xdr:cNvSpPr>
      </xdr:nvSpPr>
      <xdr:spPr bwMode="auto">
        <a:xfrm>
          <a:off x="3710214" y="4145643"/>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171450"/>
    <xdr:sp macro="" textlink="">
      <xdr:nvSpPr>
        <xdr:cNvPr id="1327" name="Text Box 18">
          <a:extLst>
            <a:ext uri="{FF2B5EF4-FFF2-40B4-BE49-F238E27FC236}">
              <a16:creationId xmlns:a16="http://schemas.microsoft.com/office/drawing/2014/main" id="{00000000-0008-0000-0500-00002F050000}"/>
            </a:ext>
          </a:extLst>
        </xdr:cNvPr>
        <xdr:cNvSpPr txBox="1">
          <a:spLocks noChangeArrowheads="1"/>
        </xdr:cNvSpPr>
      </xdr:nvSpPr>
      <xdr:spPr bwMode="auto">
        <a:xfrm>
          <a:off x="3710214" y="4145643"/>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171450"/>
    <xdr:sp macro="" textlink="">
      <xdr:nvSpPr>
        <xdr:cNvPr id="1328" name="Text Box 19">
          <a:extLst>
            <a:ext uri="{FF2B5EF4-FFF2-40B4-BE49-F238E27FC236}">
              <a16:creationId xmlns:a16="http://schemas.microsoft.com/office/drawing/2014/main" id="{00000000-0008-0000-0500-000030050000}"/>
            </a:ext>
          </a:extLst>
        </xdr:cNvPr>
        <xdr:cNvSpPr txBox="1">
          <a:spLocks noChangeArrowheads="1"/>
        </xdr:cNvSpPr>
      </xdr:nvSpPr>
      <xdr:spPr bwMode="auto">
        <a:xfrm>
          <a:off x="3710214" y="4145643"/>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127</xdr:row>
      <xdr:rowOff>0</xdr:rowOff>
    </xdr:from>
    <xdr:ext cx="95250" cy="171450"/>
    <xdr:sp macro="" textlink="">
      <xdr:nvSpPr>
        <xdr:cNvPr id="1329" name="Text Box 16">
          <a:extLst>
            <a:ext uri="{FF2B5EF4-FFF2-40B4-BE49-F238E27FC236}">
              <a16:creationId xmlns:a16="http://schemas.microsoft.com/office/drawing/2014/main" id="{00000000-0008-0000-0500-000031050000}"/>
            </a:ext>
          </a:extLst>
        </xdr:cNvPr>
        <xdr:cNvSpPr txBox="1">
          <a:spLocks noChangeArrowheads="1"/>
        </xdr:cNvSpPr>
      </xdr:nvSpPr>
      <xdr:spPr bwMode="auto">
        <a:xfrm>
          <a:off x="6773182" y="4145643"/>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127</xdr:row>
      <xdr:rowOff>0</xdr:rowOff>
    </xdr:from>
    <xdr:ext cx="95250" cy="171450"/>
    <xdr:sp macro="" textlink="">
      <xdr:nvSpPr>
        <xdr:cNvPr id="1330" name="Text Box 17">
          <a:extLst>
            <a:ext uri="{FF2B5EF4-FFF2-40B4-BE49-F238E27FC236}">
              <a16:creationId xmlns:a16="http://schemas.microsoft.com/office/drawing/2014/main" id="{00000000-0008-0000-0500-000032050000}"/>
            </a:ext>
          </a:extLst>
        </xdr:cNvPr>
        <xdr:cNvSpPr txBox="1">
          <a:spLocks noChangeArrowheads="1"/>
        </xdr:cNvSpPr>
      </xdr:nvSpPr>
      <xdr:spPr bwMode="auto">
        <a:xfrm>
          <a:off x="6773182" y="4145643"/>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127</xdr:row>
      <xdr:rowOff>0</xdr:rowOff>
    </xdr:from>
    <xdr:ext cx="95250" cy="171450"/>
    <xdr:sp macro="" textlink="">
      <xdr:nvSpPr>
        <xdr:cNvPr id="1331" name="Text Box 18">
          <a:extLst>
            <a:ext uri="{FF2B5EF4-FFF2-40B4-BE49-F238E27FC236}">
              <a16:creationId xmlns:a16="http://schemas.microsoft.com/office/drawing/2014/main" id="{00000000-0008-0000-0500-000033050000}"/>
            </a:ext>
          </a:extLst>
        </xdr:cNvPr>
        <xdr:cNvSpPr txBox="1">
          <a:spLocks noChangeArrowheads="1"/>
        </xdr:cNvSpPr>
      </xdr:nvSpPr>
      <xdr:spPr bwMode="auto">
        <a:xfrm>
          <a:off x="6773182" y="4145643"/>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127</xdr:row>
      <xdr:rowOff>0</xdr:rowOff>
    </xdr:from>
    <xdr:ext cx="95250" cy="171450"/>
    <xdr:sp macro="" textlink="">
      <xdr:nvSpPr>
        <xdr:cNvPr id="1332" name="Text Box 19">
          <a:extLst>
            <a:ext uri="{FF2B5EF4-FFF2-40B4-BE49-F238E27FC236}">
              <a16:creationId xmlns:a16="http://schemas.microsoft.com/office/drawing/2014/main" id="{00000000-0008-0000-0500-000034050000}"/>
            </a:ext>
          </a:extLst>
        </xdr:cNvPr>
        <xdr:cNvSpPr txBox="1">
          <a:spLocks noChangeArrowheads="1"/>
        </xdr:cNvSpPr>
      </xdr:nvSpPr>
      <xdr:spPr bwMode="auto">
        <a:xfrm>
          <a:off x="6773182" y="4145643"/>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21</xdr:col>
      <xdr:colOff>0</xdr:colOff>
      <xdr:row>127</xdr:row>
      <xdr:rowOff>0</xdr:rowOff>
    </xdr:from>
    <xdr:ext cx="95250" cy="171450"/>
    <xdr:sp macro="" textlink="">
      <xdr:nvSpPr>
        <xdr:cNvPr id="1333" name="Text Box 16">
          <a:extLst>
            <a:ext uri="{FF2B5EF4-FFF2-40B4-BE49-F238E27FC236}">
              <a16:creationId xmlns:a16="http://schemas.microsoft.com/office/drawing/2014/main" id="{00000000-0008-0000-0500-000035050000}"/>
            </a:ext>
          </a:extLst>
        </xdr:cNvPr>
        <xdr:cNvSpPr txBox="1">
          <a:spLocks noChangeArrowheads="1"/>
        </xdr:cNvSpPr>
      </xdr:nvSpPr>
      <xdr:spPr bwMode="auto">
        <a:xfrm>
          <a:off x="48069500" y="4145643"/>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21</xdr:col>
      <xdr:colOff>0</xdr:colOff>
      <xdr:row>127</xdr:row>
      <xdr:rowOff>0</xdr:rowOff>
    </xdr:from>
    <xdr:ext cx="95250" cy="171450"/>
    <xdr:sp macro="" textlink="">
      <xdr:nvSpPr>
        <xdr:cNvPr id="1334" name="Text Box 17">
          <a:extLst>
            <a:ext uri="{FF2B5EF4-FFF2-40B4-BE49-F238E27FC236}">
              <a16:creationId xmlns:a16="http://schemas.microsoft.com/office/drawing/2014/main" id="{00000000-0008-0000-0500-000036050000}"/>
            </a:ext>
          </a:extLst>
        </xdr:cNvPr>
        <xdr:cNvSpPr txBox="1">
          <a:spLocks noChangeArrowheads="1"/>
        </xdr:cNvSpPr>
      </xdr:nvSpPr>
      <xdr:spPr bwMode="auto">
        <a:xfrm>
          <a:off x="48069500" y="4145643"/>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21</xdr:col>
      <xdr:colOff>0</xdr:colOff>
      <xdr:row>127</xdr:row>
      <xdr:rowOff>0</xdr:rowOff>
    </xdr:from>
    <xdr:ext cx="95250" cy="171450"/>
    <xdr:sp macro="" textlink="">
      <xdr:nvSpPr>
        <xdr:cNvPr id="1335" name="Text Box 18">
          <a:extLst>
            <a:ext uri="{FF2B5EF4-FFF2-40B4-BE49-F238E27FC236}">
              <a16:creationId xmlns:a16="http://schemas.microsoft.com/office/drawing/2014/main" id="{00000000-0008-0000-0500-000037050000}"/>
            </a:ext>
          </a:extLst>
        </xdr:cNvPr>
        <xdr:cNvSpPr txBox="1">
          <a:spLocks noChangeArrowheads="1"/>
        </xdr:cNvSpPr>
      </xdr:nvSpPr>
      <xdr:spPr bwMode="auto">
        <a:xfrm>
          <a:off x="48069500" y="4145643"/>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21</xdr:col>
      <xdr:colOff>0</xdr:colOff>
      <xdr:row>127</xdr:row>
      <xdr:rowOff>0</xdr:rowOff>
    </xdr:from>
    <xdr:ext cx="95250" cy="171450"/>
    <xdr:sp macro="" textlink="">
      <xdr:nvSpPr>
        <xdr:cNvPr id="1336" name="Text Box 19">
          <a:extLst>
            <a:ext uri="{FF2B5EF4-FFF2-40B4-BE49-F238E27FC236}">
              <a16:creationId xmlns:a16="http://schemas.microsoft.com/office/drawing/2014/main" id="{00000000-0008-0000-0500-000038050000}"/>
            </a:ext>
          </a:extLst>
        </xdr:cNvPr>
        <xdr:cNvSpPr txBox="1">
          <a:spLocks noChangeArrowheads="1"/>
        </xdr:cNvSpPr>
      </xdr:nvSpPr>
      <xdr:spPr bwMode="auto">
        <a:xfrm>
          <a:off x="48069500" y="4145643"/>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444014"/>
    <xdr:sp macro="" textlink="">
      <xdr:nvSpPr>
        <xdr:cNvPr id="1337" name="Text Box 15">
          <a:extLst>
            <a:ext uri="{FF2B5EF4-FFF2-40B4-BE49-F238E27FC236}">
              <a16:creationId xmlns:a16="http://schemas.microsoft.com/office/drawing/2014/main" id="{00000000-0008-0000-0500-000039050000}"/>
            </a:ext>
          </a:extLst>
        </xdr:cNvPr>
        <xdr:cNvSpPr txBox="1">
          <a:spLocks noChangeArrowheads="1"/>
        </xdr:cNvSpPr>
      </xdr:nvSpPr>
      <xdr:spPr bwMode="auto">
        <a:xfrm>
          <a:off x="3710214" y="4115254"/>
          <a:ext cx="95250" cy="444014"/>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171450"/>
    <xdr:sp macro="" textlink="">
      <xdr:nvSpPr>
        <xdr:cNvPr id="1338" name="Text Box 16">
          <a:extLst>
            <a:ext uri="{FF2B5EF4-FFF2-40B4-BE49-F238E27FC236}">
              <a16:creationId xmlns:a16="http://schemas.microsoft.com/office/drawing/2014/main" id="{00000000-0008-0000-0500-00003A050000}"/>
            </a:ext>
          </a:extLst>
        </xdr:cNvPr>
        <xdr:cNvSpPr txBox="1">
          <a:spLocks noChangeArrowheads="1"/>
        </xdr:cNvSpPr>
      </xdr:nvSpPr>
      <xdr:spPr bwMode="auto">
        <a:xfrm>
          <a:off x="3710214" y="4145643"/>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171450"/>
    <xdr:sp macro="" textlink="">
      <xdr:nvSpPr>
        <xdr:cNvPr id="1339" name="Text Box 17">
          <a:extLst>
            <a:ext uri="{FF2B5EF4-FFF2-40B4-BE49-F238E27FC236}">
              <a16:creationId xmlns:a16="http://schemas.microsoft.com/office/drawing/2014/main" id="{00000000-0008-0000-0500-00003B050000}"/>
            </a:ext>
          </a:extLst>
        </xdr:cNvPr>
        <xdr:cNvSpPr txBox="1">
          <a:spLocks noChangeArrowheads="1"/>
        </xdr:cNvSpPr>
      </xdr:nvSpPr>
      <xdr:spPr bwMode="auto">
        <a:xfrm>
          <a:off x="3710214" y="4145643"/>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171450"/>
    <xdr:sp macro="" textlink="">
      <xdr:nvSpPr>
        <xdr:cNvPr id="1340" name="Text Box 18">
          <a:extLst>
            <a:ext uri="{FF2B5EF4-FFF2-40B4-BE49-F238E27FC236}">
              <a16:creationId xmlns:a16="http://schemas.microsoft.com/office/drawing/2014/main" id="{00000000-0008-0000-0500-00003C050000}"/>
            </a:ext>
          </a:extLst>
        </xdr:cNvPr>
        <xdr:cNvSpPr txBox="1">
          <a:spLocks noChangeArrowheads="1"/>
        </xdr:cNvSpPr>
      </xdr:nvSpPr>
      <xdr:spPr bwMode="auto">
        <a:xfrm>
          <a:off x="3710214" y="4145643"/>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171450"/>
    <xdr:sp macro="" textlink="">
      <xdr:nvSpPr>
        <xdr:cNvPr id="1341" name="Text Box 19">
          <a:extLst>
            <a:ext uri="{FF2B5EF4-FFF2-40B4-BE49-F238E27FC236}">
              <a16:creationId xmlns:a16="http://schemas.microsoft.com/office/drawing/2014/main" id="{00000000-0008-0000-0500-00003D050000}"/>
            </a:ext>
          </a:extLst>
        </xdr:cNvPr>
        <xdr:cNvSpPr txBox="1">
          <a:spLocks noChangeArrowheads="1"/>
        </xdr:cNvSpPr>
      </xdr:nvSpPr>
      <xdr:spPr bwMode="auto">
        <a:xfrm>
          <a:off x="3710214" y="4145643"/>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213632"/>
    <xdr:sp macro="" textlink="">
      <xdr:nvSpPr>
        <xdr:cNvPr id="1342" name="Text Box 15">
          <a:extLst>
            <a:ext uri="{FF2B5EF4-FFF2-40B4-BE49-F238E27FC236}">
              <a16:creationId xmlns:a16="http://schemas.microsoft.com/office/drawing/2014/main" id="{00000000-0008-0000-0500-00003E050000}"/>
            </a:ext>
          </a:extLst>
        </xdr:cNvPr>
        <xdr:cNvSpPr txBox="1">
          <a:spLocks noChangeArrowheads="1"/>
        </xdr:cNvSpPr>
      </xdr:nvSpPr>
      <xdr:spPr bwMode="auto">
        <a:xfrm>
          <a:off x="3710214" y="4498068"/>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127</xdr:row>
      <xdr:rowOff>0</xdr:rowOff>
    </xdr:from>
    <xdr:ext cx="95250" cy="442269"/>
    <xdr:sp macro="" textlink="">
      <xdr:nvSpPr>
        <xdr:cNvPr id="1343" name="Text Box 15">
          <a:extLst>
            <a:ext uri="{FF2B5EF4-FFF2-40B4-BE49-F238E27FC236}">
              <a16:creationId xmlns:a16="http://schemas.microsoft.com/office/drawing/2014/main" id="{00000000-0008-0000-0500-00003F050000}"/>
            </a:ext>
          </a:extLst>
        </xdr:cNvPr>
        <xdr:cNvSpPr txBox="1">
          <a:spLocks noChangeArrowheads="1"/>
        </xdr:cNvSpPr>
      </xdr:nvSpPr>
      <xdr:spPr bwMode="auto">
        <a:xfrm>
          <a:off x="6773182" y="4115254"/>
          <a:ext cx="95250" cy="442269"/>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127</xdr:row>
      <xdr:rowOff>0</xdr:rowOff>
    </xdr:from>
    <xdr:ext cx="95250" cy="171450"/>
    <xdr:sp macro="" textlink="">
      <xdr:nvSpPr>
        <xdr:cNvPr id="1344" name="Text Box 16">
          <a:extLst>
            <a:ext uri="{FF2B5EF4-FFF2-40B4-BE49-F238E27FC236}">
              <a16:creationId xmlns:a16="http://schemas.microsoft.com/office/drawing/2014/main" id="{00000000-0008-0000-0500-000040050000}"/>
            </a:ext>
          </a:extLst>
        </xdr:cNvPr>
        <xdr:cNvSpPr txBox="1">
          <a:spLocks noChangeArrowheads="1"/>
        </xdr:cNvSpPr>
      </xdr:nvSpPr>
      <xdr:spPr bwMode="auto">
        <a:xfrm>
          <a:off x="6773182" y="4145643"/>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127</xdr:row>
      <xdr:rowOff>0</xdr:rowOff>
    </xdr:from>
    <xdr:ext cx="95250" cy="171450"/>
    <xdr:sp macro="" textlink="">
      <xdr:nvSpPr>
        <xdr:cNvPr id="1345" name="Text Box 17">
          <a:extLst>
            <a:ext uri="{FF2B5EF4-FFF2-40B4-BE49-F238E27FC236}">
              <a16:creationId xmlns:a16="http://schemas.microsoft.com/office/drawing/2014/main" id="{00000000-0008-0000-0500-000041050000}"/>
            </a:ext>
          </a:extLst>
        </xdr:cNvPr>
        <xdr:cNvSpPr txBox="1">
          <a:spLocks noChangeArrowheads="1"/>
        </xdr:cNvSpPr>
      </xdr:nvSpPr>
      <xdr:spPr bwMode="auto">
        <a:xfrm>
          <a:off x="6773182" y="4145643"/>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127</xdr:row>
      <xdr:rowOff>0</xdr:rowOff>
    </xdr:from>
    <xdr:ext cx="95250" cy="171450"/>
    <xdr:sp macro="" textlink="">
      <xdr:nvSpPr>
        <xdr:cNvPr id="1346" name="Text Box 18">
          <a:extLst>
            <a:ext uri="{FF2B5EF4-FFF2-40B4-BE49-F238E27FC236}">
              <a16:creationId xmlns:a16="http://schemas.microsoft.com/office/drawing/2014/main" id="{00000000-0008-0000-0500-000042050000}"/>
            </a:ext>
          </a:extLst>
        </xdr:cNvPr>
        <xdr:cNvSpPr txBox="1">
          <a:spLocks noChangeArrowheads="1"/>
        </xdr:cNvSpPr>
      </xdr:nvSpPr>
      <xdr:spPr bwMode="auto">
        <a:xfrm>
          <a:off x="6773182" y="4145643"/>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127</xdr:row>
      <xdr:rowOff>0</xdr:rowOff>
    </xdr:from>
    <xdr:ext cx="95250" cy="213632"/>
    <xdr:sp macro="" textlink="">
      <xdr:nvSpPr>
        <xdr:cNvPr id="1347" name="Text Box 15">
          <a:extLst>
            <a:ext uri="{FF2B5EF4-FFF2-40B4-BE49-F238E27FC236}">
              <a16:creationId xmlns:a16="http://schemas.microsoft.com/office/drawing/2014/main" id="{00000000-0008-0000-0500-000043050000}"/>
            </a:ext>
          </a:extLst>
        </xdr:cNvPr>
        <xdr:cNvSpPr txBox="1">
          <a:spLocks noChangeArrowheads="1"/>
        </xdr:cNvSpPr>
      </xdr:nvSpPr>
      <xdr:spPr bwMode="auto">
        <a:xfrm>
          <a:off x="6773182" y="4498068"/>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127</xdr:row>
      <xdr:rowOff>0</xdr:rowOff>
    </xdr:from>
    <xdr:ext cx="95250" cy="171450"/>
    <xdr:sp macro="" textlink="">
      <xdr:nvSpPr>
        <xdr:cNvPr id="1348" name="Text Box 16">
          <a:extLst>
            <a:ext uri="{FF2B5EF4-FFF2-40B4-BE49-F238E27FC236}">
              <a16:creationId xmlns:a16="http://schemas.microsoft.com/office/drawing/2014/main" id="{00000000-0008-0000-0500-000044050000}"/>
            </a:ext>
          </a:extLst>
        </xdr:cNvPr>
        <xdr:cNvSpPr txBox="1">
          <a:spLocks noChangeArrowheads="1"/>
        </xdr:cNvSpPr>
      </xdr:nvSpPr>
      <xdr:spPr bwMode="auto">
        <a:xfrm>
          <a:off x="9616168" y="4145643"/>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127</xdr:row>
      <xdr:rowOff>0</xdr:rowOff>
    </xdr:from>
    <xdr:ext cx="95250" cy="171450"/>
    <xdr:sp macro="" textlink="">
      <xdr:nvSpPr>
        <xdr:cNvPr id="1349" name="Text Box 17">
          <a:extLst>
            <a:ext uri="{FF2B5EF4-FFF2-40B4-BE49-F238E27FC236}">
              <a16:creationId xmlns:a16="http://schemas.microsoft.com/office/drawing/2014/main" id="{00000000-0008-0000-0500-000045050000}"/>
            </a:ext>
          </a:extLst>
        </xdr:cNvPr>
        <xdr:cNvSpPr txBox="1">
          <a:spLocks noChangeArrowheads="1"/>
        </xdr:cNvSpPr>
      </xdr:nvSpPr>
      <xdr:spPr bwMode="auto">
        <a:xfrm>
          <a:off x="9616168" y="4145643"/>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127</xdr:row>
      <xdr:rowOff>0</xdr:rowOff>
    </xdr:from>
    <xdr:ext cx="95250" cy="171450"/>
    <xdr:sp macro="" textlink="">
      <xdr:nvSpPr>
        <xdr:cNvPr id="1350" name="Text Box 18">
          <a:extLst>
            <a:ext uri="{FF2B5EF4-FFF2-40B4-BE49-F238E27FC236}">
              <a16:creationId xmlns:a16="http://schemas.microsoft.com/office/drawing/2014/main" id="{00000000-0008-0000-0500-000046050000}"/>
            </a:ext>
          </a:extLst>
        </xdr:cNvPr>
        <xdr:cNvSpPr txBox="1">
          <a:spLocks noChangeArrowheads="1"/>
        </xdr:cNvSpPr>
      </xdr:nvSpPr>
      <xdr:spPr bwMode="auto">
        <a:xfrm>
          <a:off x="9616168" y="4145643"/>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127</xdr:row>
      <xdr:rowOff>0</xdr:rowOff>
    </xdr:from>
    <xdr:ext cx="95250" cy="171450"/>
    <xdr:sp macro="" textlink="">
      <xdr:nvSpPr>
        <xdr:cNvPr id="1351" name="Text Box 19">
          <a:extLst>
            <a:ext uri="{FF2B5EF4-FFF2-40B4-BE49-F238E27FC236}">
              <a16:creationId xmlns:a16="http://schemas.microsoft.com/office/drawing/2014/main" id="{00000000-0008-0000-0500-000047050000}"/>
            </a:ext>
          </a:extLst>
        </xdr:cNvPr>
        <xdr:cNvSpPr txBox="1">
          <a:spLocks noChangeArrowheads="1"/>
        </xdr:cNvSpPr>
      </xdr:nvSpPr>
      <xdr:spPr bwMode="auto">
        <a:xfrm>
          <a:off x="9616168" y="4145643"/>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127</xdr:row>
      <xdr:rowOff>0</xdr:rowOff>
    </xdr:from>
    <xdr:ext cx="95250" cy="442269"/>
    <xdr:sp macro="" textlink="">
      <xdr:nvSpPr>
        <xdr:cNvPr id="1352" name="Text Box 15">
          <a:extLst>
            <a:ext uri="{FF2B5EF4-FFF2-40B4-BE49-F238E27FC236}">
              <a16:creationId xmlns:a16="http://schemas.microsoft.com/office/drawing/2014/main" id="{00000000-0008-0000-0500-000048050000}"/>
            </a:ext>
          </a:extLst>
        </xdr:cNvPr>
        <xdr:cNvSpPr txBox="1">
          <a:spLocks noChangeArrowheads="1"/>
        </xdr:cNvSpPr>
      </xdr:nvSpPr>
      <xdr:spPr bwMode="auto">
        <a:xfrm>
          <a:off x="9616168" y="4115254"/>
          <a:ext cx="95250" cy="442269"/>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127</xdr:row>
      <xdr:rowOff>0</xdr:rowOff>
    </xdr:from>
    <xdr:ext cx="95250" cy="171450"/>
    <xdr:sp macro="" textlink="">
      <xdr:nvSpPr>
        <xdr:cNvPr id="1353" name="Text Box 16">
          <a:extLst>
            <a:ext uri="{FF2B5EF4-FFF2-40B4-BE49-F238E27FC236}">
              <a16:creationId xmlns:a16="http://schemas.microsoft.com/office/drawing/2014/main" id="{00000000-0008-0000-0500-000049050000}"/>
            </a:ext>
          </a:extLst>
        </xdr:cNvPr>
        <xdr:cNvSpPr txBox="1">
          <a:spLocks noChangeArrowheads="1"/>
        </xdr:cNvSpPr>
      </xdr:nvSpPr>
      <xdr:spPr bwMode="auto">
        <a:xfrm>
          <a:off x="9616168" y="4145643"/>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127</xdr:row>
      <xdr:rowOff>0</xdr:rowOff>
    </xdr:from>
    <xdr:ext cx="95250" cy="171450"/>
    <xdr:sp macro="" textlink="">
      <xdr:nvSpPr>
        <xdr:cNvPr id="1354" name="Text Box 17">
          <a:extLst>
            <a:ext uri="{FF2B5EF4-FFF2-40B4-BE49-F238E27FC236}">
              <a16:creationId xmlns:a16="http://schemas.microsoft.com/office/drawing/2014/main" id="{00000000-0008-0000-0500-00004A050000}"/>
            </a:ext>
          </a:extLst>
        </xdr:cNvPr>
        <xdr:cNvSpPr txBox="1">
          <a:spLocks noChangeArrowheads="1"/>
        </xdr:cNvSpPr>
      </xdr:nvSpPr>
      <xdr:spPr bwMode="auto">
        <a:xfrm>
          <a:off x="9616168" y="4145643"/>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127</xdr:row>
      <xdr:rowOff>0</xdr:rowOff>
    </xdr:from>
    <xdr:ext cx="95250" cy="171450"/>
    <xdr:sp macro="" textlink="">
      <xdr:nvSpPr>
        <xdr:cNvPr id="1355" name="Text Box 18">
          <a:extLst>
            <a:ext uri="{FF2B5EF4-FFF2-40B4-BE49-F238E27FC236}">
              <a16:creationId xmlns:a16="http://schemas.microsoft.com/office/drawing/2014/main" id="{00000000-0008-0000-0500-00004B050000}"/>
            </a:ext>
          </a:extLst>
        </xdr:cNvPr>
        <xdr:cNvSpPr txBox="1">
          <a:spLocks noChangeArrowheads="1"/>
        </xdr:cNvSpPr>
      </xdr:nvSpPr>
      <xdr:spPr bwMode="auto">
        <a:xfrm>
          <a:off x="9616168" y="4145643"/>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127</xdr:row>
      <xdr:rowOff>0</xdr:rowOff>
    </xdr:from>
    <xdr:ext cx="95250" cy="171450"/>
    <xdr:sp macro="" textlink="">
      <xdr:nvSpPr>
        <xdr:cNvPr id="1356" name="Text Box 19">
          <a:extLst>
            <a:ext uri="{FF2B5EF4-FFF2-40B4-BE49-F238E27FC236}">
              <a16:creationId xmlns:a16="http://schemas.microsoft.com/office/drawing/2014/main" id="{00000000-0008-0000-0500-00004C050000}"/>
            </a:ext>
          </a:extLst>
        </xdr:cNvPr>
        <xdr:cNvSpPr txBox="1">
          <a:spLocks noChangeArrowheads="1"/>
        </xdr:cNvSpPr>
      </xdr:nvSpPr>
      <xdr:spPr bwMode="auto">
        <a:xfrm>
          <a:off x="9616168" y="4145643"/>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171450"/>
    <xdr:sp macro="" textlink="">
      <xdr:nvSpPr>
        <xdr:cNvPr id="1357" name="Text Box 16">
          <a:extLst>
            <a:ext uri="{FF2B5EF4-FFF2-40B4-BE49-F238E27FC236}">
              <a16:creationId xmlns:a16="http://schemas.microsoft.com/office/drawing/2014/main" id="{00000000-0008-0000-0500-00004D050000}"/>
            </a:ext>
          </a:extLst>
        </xdr:cNvPr>
        <xdr:cNvSpPr txBox="1">
          <a:spLocks noChangeArrowheads="1"/>
        </xdr:cNvSpPr>
      </xdr:nvSpPr>
      <xdr:spPr bwMode="auto">
        <a:xfrm>
          <a:off x="3706091" y="4156364"/>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171450"/>
    <xdr:sp macro="" textlink="">
      <xdr:nvSpPr>
        <xdr:cNvPr id="1358" name="Text Box 17">
          <a:extLst>
            <a:ext uri="{FF2B5EF4-FFF2-40B4-BE49-F238E27FC236}">
              <a16:creationId xmlns:a16="http://schemas.microsoft.com/office/drawing/2014/main" id="{00000000-0008-0000-0500-00004E050000}"/>
            </a:ext>
          </a:extLst>
        </xdr:cNvPr>
        <xdr:cNvSpPr txBox="1">
          <a:spLocks noChangeArrowheads="1"/>
        </xdr:cNvSpPr>
      </xdr:nvSpPr>
      <xdr:spPr bwMode="auto">
        <a:xfrm>
          <a:off x="3706091" y="4156364"/>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171450"/>
    <xdr:sp macro="" textlink="">
      <xdr:nvSpPr>
        <xdr:cNvPr id="1359" name="Text Box 18">
          <a:extLst>
            <a:ext uri="{FF2B5EF4-FFF2-40B4-BE49-F238E27FC236}">
              <a16:creationId xmlns:a16="http://schemas.microsoft.com/office/drawing/2014/main" id="{00000000-0008-0000-0500-00004F050000}"/>
            </a:ext>
          </a:extLst>
        </xdr:cNvPr>
        <xdr:cNvSpPr txBox="1">
          <a:spLocks noChangeArrowheads="1"/>
        </xdr:cNvSpPr>
      </xdr:nvSpPr>
      <xdr:spPr bwMode="auto">
        <a:xfrm>
          <a:off x="3706091" y="4156364"/>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171450"/>
    <xdr:sp macro="" textlink="">
      <xdr:nvSpPr>
        <xdr:cNvPr id="1360" name="Text Box 19">
          <a:extLst>
            <a:ext uri="{FF2B5EF4-FFF2-40B4-BE49-F238E27FC236}">
              <a16:creationId xmlns:a16="http://schemas.microsoft.com/office/drawing/2014/main" id="{00000000-0008-0000-0500-000050050000}"/>
            </a:ext>
          </a:extLst>
        </xdr:cNvPr>
        <xdr:cNvSpPr txBox="1">
          <a:spLocks noChangeArrowheads="1"/>
        </xdr:cNvSpPr>
      </xdr:nvSpPr>
      <xdr:spPr bwMode="auto">
        <a:xfrm>
          <a:off x="3706091" y="4156364"/>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127</xdr:row>
      <xdr:rowOff>0</xdr:rowOff>
    </xdr:from>
    <xdr:ext cx="95250" cy="171450"/>
    <xdr:sp macro="" textlink="">
      <xdr:nvSpPr>
        <xdr:cNvPr id="1361" name="Text Box 16">
          <a:extLst>
            <a:ext uri="{FF2B5EF4-FFF2-40B4-BE49-F238E27FC236}">
              <a16:creationId xmlns:a16="http://schemas.microsoft.com/office/drawing/2014/main" id="{00000000-0008-0000-0500-000051050000}"/>
            </a:ext>
          </a:extLst>
        </xdr:cNvPr>
        <xdr:cNvSpPr txBox="1">
          <a:spLocks noChangeArrowheads="1"/>
        </xdr:cNvSpPr>
      </xdr:nvSpPr>
      <xdr:spPr bwMode="auto">
        <a:xfrm>
          <a:off x="6768234" y="4156364"/>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127</xdr:row>
      <xdr:rowOff>0</xdr:rowOff>
    </xdr:from>
    <xdr:ext cx="95250" cy="171450"/>
    <xdr:sp macro="" textlink="">
      <xdr:nvSpPr>
        <xdr:cNvPr id="1362" name="Text Box 17">
          <a:extLst>
            <a:ext uri="{FF2B5EF4-FFF2-40B4-BE49-F238E27FC236}">
              <a16:creationId xmlns:a16="http://schemas.microsoft.com/office/drawing/2014/main" id="{00000000-0008-0000-0500-000052050000}"/>
            </a:ext>
          </a:extLst>
        </xdr:cNvPr>
        <xdr:cNvSpPr txBox="1">
          <a:spLocks noChangeArrowheads="1"/>
        </xdr:cNvSpPr>
      </xdr:nvSpPr>
      <xdr:spPr bwMode="auto">
        <a:xfrm>
          <a:off x="6768234" y="4156364"/>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127</xdr:row>
      <xdr:rowOff>0</xdr:rowOff>
    </xdr:from>
    <xdr:ext cx="95250" cy="171450"/>
    <xdr:sp macro="" textlink="">
      <xdr:nvSpPr>
        <xdr:cNvPr id="1363" name="Text Box 18">
          <a:extLst>
            <a:ext uri="{FF2B5EF4-FFF2-40B4-BE49-F238E27FC236}">
              <a16:creationId xmlns:a16="http://schemas.microsoft.com/office/drawing/2014/main" id="{00000000-0008-0000-0500-000053050000}"/>
            </a:ext>
          </a:extLst>
        </xdr:cNvPr>
        <xdr:cNvSpPr txBox="1">
          <a:spLocks noChangeArrowheads="1"/>
        </xdr:cNvSpPr>
      </xdr:nvSpPr>
      <xdr:spPr bwMode="auto">
        <a:xfrm>
          <a:off x="6768234" y="4156364"/>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127</xdr:row>
      <xdr:rowOff>0</xdr:rowOff>
    </xdr:from>
    <xdr:ext cx="95250" cy="171450"/>
    <xdr:sp macro="" textlink="">
      <xdr:nvSpPr>
        <xdr:cNvPr id="1364" name="Text Box 19">
          <a:extLst>
            <a:ext uri="{FF2B5EF4-FFF2-40B4-BE49-F238E27FC236}">
              <a16:creationId xmlns:a16="http://schemas.microsoft.com/office/drawing/2014/main" id="{00000000-0008-0000-0500-000054050000}"/>
            </a:ext>
          </a:extLst>
        </xdr:cNvPr>
        <xdr:cNvSpPr txBox="1">
          <a:spLocks noChangeArrowheads="1"/>
        </xdr:cNvSpPr>
      </xdr:nvSpPr>
      <xdr:spPr bwMode="auto">
        <a:xfrm>
          <a:off x="6768234" y="4156364"/>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21</xdr:col>
      <xdr:colOff>0</xdr:colOff>
      <xdr:row>127</xdr:row>
      <xdr:rowOff>0</xdr:rowOff>
    </xdr:from>
    <xdr:ext cx="95250" cy="171450"/>
    <xdr:sp macro="" textlink="">
      <xdr:nvSpPr>
        <xdr:cNvPr id="1365" name="Text Box 16">
          <a:extLst>
            <a:ext uri="{FF2B5EF4-FFF2-40B4-BE49-F238E27FC236}">
              <a16:creationId xmlns:a16="http://schemas.microsoft.com/office/drawing/2014/main" id="{00000000-0008-0000-0500-000055050000}"/>
            </a:ext>
          </a:extLst>
        </xdr:cNvPr>
        <xdr:cNvSpPr txBox="1">
          <a:spLocks noChangeArrowheads="1"/>
        </xdr:cNvSpPr>
      </xdr:nvSpPr>
      <xdr:spPr bwMode="auto">
        <a:xfrm>
          <a:off x="48052182" y="4156364"/>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21</xdr:col>
      <xdr:colOff>0</xdr:colOff>
      <xdr:row>127</xdr:row>
      <xdr:rowOff>0</xdr:rowOff>
    </xdr:from>
    <xdr:ext cx="95250" cy="171450"/>
    <xdr:sp macro="" textlink="">
      <xdr:nvSpPr>
        <xdr:cNvPr id="1366" name="Text Box 17">
          <a:extLst>
            <a:ext uri="{FF2B5EF4-FFF2-40B4-BE49-F238E27FC236}">
              <a16:creationId xmlns:a16="http://schemas.microsoft.com/office/drawing/2014/main" id="{00000000-0008-0000-0500-000056050000}"/>
            </a:ext>
          </a:extLst>
        </xdr:cNvPr>
        <xdr:cNvSpPr txBox="1">
          <a:spLocks noChangeArrowheads="1"/>
        </xdr:cNvSpPr>
      </xdr:nvSpPr>
      <xdr:spPr bwMode="auto">
        <a:xfrm>
          <a:off x="48052182" y="4156364"/>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21</xdr:col>
      <xdr:colOff>0</xdr:colOff>
      <xdr:row>127</xdr:row>
      <xdr:rowOff>0</xdr:rowOff>
    </xdr:from>
    <xdr:ext cx="95250" cy="171450"/>
    <xdr:sp macro="" textlink="">
      <xdr:nvSpPr>
        <xdr:cNvPr id="1367" name="Text Box 18">
          <a:extLst>
            <a:ext uri="{FF2B5EF4-FFF2-40B4-BE49-F238E27FC236}">
              <a16:creationId xmlns:a16="http://schemas.microsoft.com/office/drawing/2014/main" id="{00000000-0008-0000-0500-000057050000}"/>
            </a:ext>
          </a:extLst>
        </xdr:cNvPr>
        <xdr:cNvSpPr txBox="1">
          <a:spLocks noChangeArrowheads="1"/>
        </xdr:cNvSpPr>
      </xdr:nvSpPr>
      <xdr:spPr bwMode="auto">
        <a:xfrm>
          <a:off x="48052182" y="4156364"/>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21</xdr:col>
      <xdr:colOff>0</xdr:colOff>
      <xdr:row>127</xdr:row>
      <xdr:rowOff>0</xdr:rowOff>
    </xdr:from>
    <xdr:ext cx="95250" cy="171450"/>
    <xdr:sp macro="" textlink="">
      <xdr:nvSpPr>
        <xdr:cNvPr id="1368" name="Text Box 19">
          <a:extLst>
            <a:ext uri="{FF2B5EF4-FFF2-40B4-BE49-F238E27FC236}">
              <a16:creationId xmlns:a16="http://schemas.microsoft.com/office/drawing/2014/main" id="{00000000-0008-0000-0500-000058050000}"/>
            </a:ext>
          </a:extLst>
        </xdr:cNvPr>
        <xdr:cNvSpPr txBox="1">
          <a:spLocks noChangeArrowheads="1"/>
        </xdr:cNvSpPr>
      </xdr:nvSpPr>
      <xdr:spPr bwMode="auto">
        <a:xfrm>
          <a:off x="48052182" y="4156364"/>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444014"/>
    <xdr:sp macro="" textlink="">
      <xdr:nvSpPr>
        <xdr:cNvPr id="1369" name="Text Box 15">
          <a:extLst>
            <a:ext uri="{FF2B5EF4-FFF2-40B4-BE49-F238E27FC236}">
              <a16:creationId xmlns:a16="http://schemas.microsoft.com/office/drawing/2014/main" id="{00000000-0008-0000-0500-000059050000}"/>
            </a:ext>
          </a:extLst>
        </xdr:cNvPr>
        <xdr:cNvSpPr txBox="1">
          <a:spLocks noChangeArrowheads="1"/>
        </xdr:cNvSpPr>
      </xdr:nvSpPr>
      <xdr:spPr bwMode="auto">
        <a:xfrm>
          <a:off x="3706091" y="4130098"/>
          <a:ext cx="95250" cy="444014"/>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171450"/>
    <xdr:sp macro="" textlink="">
      <xdr:nvSpPr>
        <xdr:cNvPr id="1370" name="Text Box 16">
          <a:extLst>
            <a:ext uri="{FF2B5EF4-FFF2-40B4-BE49-F238E27FC236}">
              <a16:creationId xmlns:a16="http://schemas.microsoft.com/office/drawing/2014/main" id="{00000000-0008-0000-0500-00005A050000}"/>
            </a:ext>
          </a:extLst>
        </xdr:cNvPr>
        <xdr:cNvSpPr txBox="1">
          <a:spLocks noChangeArrowheads="1"/>
        </xdr:cNvSpPr>
      </xdr:nvSpPr>
      <xdr:spPr bwMode="auto">
        <a:xfrm>
          <a:off x="3706091" y="4156364"/>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171450"/>
    <xdr:sp macro="" textlink="">
      <xdr:nvSpPr>
        <xdr:cNvPr id="1371" name="Text Box 17">
          <a:extLst>
            <a:ext uri="{FF2B5EF4-FFF2-40B4-BE49-F238E27FC236}">
              <a16:creationId xmlns:a16="http://schemas.microsoft.com/office/drawing/2014/main" id="{00000000-0008-0000-0500-00005B050000}"/>
            </a:ext>
          </a:extLst>
        </xdr:cNvPr>
        <xdr:cNvSpPr txBox="1">
          <a:spLocks noChangeArrowheads="1"/>
        </xdr:cNvSpPr>
      </xdr:nvSpPr>
      <xdr:spPr bwMode="auto">
        <a:xfrm>
          <a:off x="3706091" y="4156364"/>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171450"/>
    <xdr:sp macro="" textlink="">
      <xdr:nvSpPr>
        <xdr:cNvPr id="1372" name="Text Box 18">
          <a:extLst>
            <a:ext uri="{FF2B5EF4-FFF2-40B4-BE49-F238E27FC236}">
              <a16:creationId xmlns:a16="http://schemas.microsoft.com/office/drawing/2014/main" id="{00000000-0008-0000-0500-00005C050000}"/>
            </a:ext>
          </a:extLst>
        </xdr:cNvPr>
        <xdr:cNvSpPr txBox="1">
          <a:spLocks noChangeArrowheads="1"/>
        </xdr:cNvSpPr>
      </xdr:nvSpPr>
      <xdr:spPr bwMode="auto">
        <a:xfrm>
          <a:off x="3706091" y="4156364"/>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171450"/>
    <xdr:sp macro="" textlink="">
      <xdr:nvSpPr>
        <xdr:cNvPr id="1373" name="Text Box 19">
          <a:extLst>
            <a:ext uri="{FF2B5EF4-FFF2-40B4-BE49-F238E27FC236}">
              <a16:creationId xmlns:a16="http://schemas.microsoft.com/office/drawing/2014/main" id="{00000000-0008-0000-0500-00005D050000}"/>
            </a:ext>
          </a:extLst>
        </xdr:cNvPr>
        <xdr:cNvSpPr txBox="1">
          <a:spLocks noChangeArrowheads="1"/>
        </xdr:cNvSpPr>
      </xdr:nvSpPr>
      <xdr:spPr bwMode="auto">
        <a:xfrm>
          <a:off x="3706091" y="4156364"/>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127</xdr:row>
      <xdr:rowOff>0</xdr:rowOff>
    </xdr:from>
    <xdr:ext cx="95250" cy="442269"/>
    <xdr:sp macro="" textlink="">
      <xdr:nvSpPr>
        <xdr:cNvPr id="1374" name="Text Box 15">
          <a:extLst>
            <a:ext uri="{FF2B5EF4-FFF2-40B4-BE49-F238E27FC236}">
              <a16:creationId xmlns:a16="http://schemas.microsoft.com/office/drawing/2014/main" id="{00000000-0008-0000-0500-00005E050000}"/>
            </a:ext>
          </a:extLst>
        </xdr:cNvPr>
        <xdr:cNvSpPr txBox="1">
          <a:spLocks noChangeArrowheads="1"/>
        </xdr:cNvSpPr>
      </xdr:nvSpPr>
      <xdr:spPr bwMode="auto">
        <a:xfrm>
          <a:off x="6768234" y="4130098"/>
          <a:ext cx="95250" cy="442269"/>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127</xdr:row>
      <xdr:rowOff>0</xdr:rowOff>
    </xdr:from>
    <xdr:ext cx="95250" cy="171450"/>
    <xdr:sp macro="" textlink="">
      <xdr:nvSpPr>
        <xdr:cNvPr id="1375" name="Text Box 16">
          <a:extLst>
            <a:ext uri="{FF2B5EF4-FFF2-40B4-BE49-F238E27FC236}">
              <a16:creationId xmlns:a16="http://schemas.microsoft.com/office/drawing/2014/main" id="{00000000-0008-0000-0500-00005F050000}"/>
            </a:ext>
          </a:extLst>
        </xdr:cNvPr>
        <xdr:cNvSpPr txBox="1">
          <a:spLocks noChangeArrowheads="1"/>
        </xdr:cNvSpPr>
      </xdr:nvSpPr>
      <xdr:spPr bwMode="auto">
        <a:xfrm>
          <a:off x="6768234" y="4156364"/>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127</xdr:row>
      <xdr:rowOff>0</xdr:rowOff>
    </xdr:from>
    <xdr:ext cx="95250" cy="171450"/>
    <xdr:sp macro="" textlink="">
      <xdr:nvSpPr>
        <xdr:cNvPr id="1376" name="Text Box 17">
          <a:extLst>
            <a:ext uri="{FF2B5EF4-FFF2-40B4-BE49-F238E27FC236}">
              <a16:creationId xmlns:a16="http://schemas.microsoft.com/office/drawing/2014/main" id="{00000000-0008-0000-0500-000060050000}"/>
            </a:ext>
          </a:extLst>
        </xdr:cNvPr>
        <xdr:cNvSpPr txBox="1">
          <a:spLocks noChangeArrowheads="1"/>
        </xdr:cNvSpPr>
      </xdr:nvSpPr>
      <xdr:spPr bwMode="auto">
        <a:xfrm>
          <a:off x="6768234" y="4156364"/>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127</xdr:row>
      <xdr:rowOff>0</xdr:rowOff>
    </xdr:from>
    <xdr:ext cx="95250" cy="171450"/>
    <xdr:sp macro="" textlink="">
      <xdr:nvSpPr>
        <xdr:cNvPr id="1377" name="Text Box 18">
          <a:extLst>
            <a:ext uri="{FF2B5EF4-FFF2-40B4-BE49-F238E27FC236}">
              <a16:creationId xmlns:a16="http://schemas.microsoft.com/office/drawing/2014/main" id="{00000000-0008-0000-0500-000061050000}"/>
            </a:ext>
          </a:extLst>
        </xdr:cNvPr>
        <xdr:cNvSpPr txBox="1">
          <a:spLocks noChangeArrowheads="1"/>
        </xdr:cNvSpPr>
      </xdr:nvSpPr>
      <xdr:spPr bwMode="auto">
        <a:xfrm>
          <a:off x="6768234" y="4156364"/>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127</xdr:row>
      <xdr:rowOff>0</xdr:rowOff>
    </xdr:from>
    <xdr:ext cx="95250" cy="171450"/>
    <xdr:sp macro="" textlink="">
      <xdr:nvSpPr>
        <xdr:cNvPr id="1378" name="Text Box 16">
          <a:extLst>
            <a:ext uri="{FF2B5EF4-FFF2-40B4-BE49-F238E27FC236}">
              <a16:creationId xmlns:a16="http://schemas.microsoft.com/office/drawing/2014/main" id="{00000000-0008-0000-0500-000062050000}"/>
            </a:ext>
          </a:extLst>
        </xdr:cNvPr>
        <xdr:cNvSpPr txBox="1">
          <a:spLocks noChangeArrowheads="1"/>
        </xdr:cNvSpPr>
      </xdr:nvSpPr>
      <xdr:spPr bwMode="auto">
        <a:xfrm>
          <a:off x="9615343" y="4156364"/>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127</xdr:row>
      <xdr:rowOff>0</xdr:rowOff>
    </xdr:from>
    <xdr:ext cx="95250" cy="171450"/>
    <xdr:sp macro="" textlink="">
      <xdr:nvSpPr>
        <xdr:cNvPr id="1379" name="Text Box 17">
          <a:extLst>
            <a:ext uri="{FF2B5EF4-FFF2-40B4-BE49-F238E27FC236}">
              <a16:creationId xmlns:a16="http://schemas.microsoft.com/office/drawing/2014/main" id="{00000000-0008-0000-0500-000063050000}"/>
            </a:ext>
          </a:extLst>
        </xdr:cNvPr>
        <xdr:cNvSpPr txBox="1">
          <a:spLocks noChangeArrowheads="1"/>
        </xdr:cNvSpPr>
      </xdr:nvSpPr>
      <xdr:spPr bwMode="auto">
        <a:xfrm>
          <a:off x="9615343" y="4156364"/>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127</xdr:row>
      <xdr:rowOff>0</xdr:rowOff>
    </xdr:from>
    <xdr:ext cx="95250" cy="171450"/>
    <xdr:sp macro="" textlink="">
      <xdr:nvSpPr>
        <xdr:cNvPr id="1380" name="Text Box 18">
          <a:extLst>
            <a:ext uri="{FF2B5EF4-FFF2-40B4-BE49-F238E27FC236}">
              <a16:creationId xmlns:a16="http://schemas.microsoft.com/office/drawing/2014/main" id="{00000000-0008-0000-0500-000064050000}"/>
            </a:ext>
          </a:extLst>
        </xdr:cNvPr>
        <xdr:cNvSpPr txBox="1">
          <a:spLocks noChangeArrowheads="1"/>
        </xdr:cNvSpPr>
      </xdr:nvSpPr>
      <xdr:spPr bwMode="auto">
        <a:xfrm>
          <a:off x="9615343" y="4156364"/>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127</xdr:row>
      <xdr:rowOff>0</xdr:rowOff>
    </xdr:from>
    <xdr:ext cx="95250" cy="171450"/>
    <xdr:sp macro="" textlink="">
      <xdr:nvSpPr>
        <xdr:cNvPr id="1381" name="Text Box 19">
          <a:extLst>
            <a:ext uri="{FF2B5EF4-FFF2-40B4-BE49-F238E27FC236}">
              <a16:creationId xmlns:a16="http://schemas.microsoft.com/office/drawing/2014/main" id="{00000000-0008-0000-0500-000065050000}"/>
            </a:ext>
          </a:extLst>
        </xdr:cNvPr>
        <xdr:cNvSpPr txBox="1">
          <a:spLocks noChangeArrowheads="1"/>
        </xdr:cNvSpPr>
      </xdr:nvSpPr>
      <xdr:spPr bwMode="auto">
        <a:xfrm>
          <a:off x="9615343" y="4156364"/>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127</xdr:row>
      <xdr:rowOff>0</xdr:rowOff>
    </xdr:from>
    <xdr:ext cx="95250" cy="442269"/>
    <xdr:sp macro="" textlink="">
      <xdr:nvSpPr>
        <xdr:cNvPr id="1382" name="Text Box 15">
          <a:extLst>
            <a:ext uri="{FF2B5EF4-FFF2-40B4-BE49-F238E27FC236}">
              <a16:creationId xmlns:a16="http://schemas.microsoft.com/office/drawing/2014/main" id="{00000000-0008-0000-0500-000066050000}"/>
            </a:ext>
          </a:extLst>
        </xdr:cNvPr>
        <xdr:cNvSpPr txBox="1">
          <a:spLocks noChangeArrowheads="1"/>
        </xdr:cNvSpPr>
      </xdr:nvSpPr>
      <xdr:spPr bwMode="auto">
        <a:xfrm>
          <a:off x="9615343" y="4130098"/>
          <a:ext cx="95250" cy="442269"/>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127</xdr:row>
      <xdr:rowOff>0</xdr:rowOff>
    </xdr:from>
    <xdr:ext cx="95250" cy="171450"/>
    <xdr:sp macro="" textlink="">
      <xdr:nvSpPr>
        <xdr:cNvPr id="1383" name="Text Box 16">
          <a:extLst>
            <a:ext uri="{FF2B5EF4-FFF2-40B4-BE49-F238E27FC236}">
              <a16:creationId xmlns:a16="http://schemas.microsoft.com/office/drawing/2014/main" id="{00000000-0008-0000-0500-000067050000}"/>
            </a:ext>
          </a:extLst>
        </xdr:cNvPr>
        <xdr:cNvSpPr txBox="1">
          <a:spLocks noChangeArrowheads="1"/>
        </xdr:cNvSpPr>
      </xdr:nvSpPr>
      <xdr:spPr bwMode="auto">
        <a:xfrm>
          <a:off x="9615343" y="4156364"/>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127</xdr:row>
      <xdr:rowOff>0</xdr:rowOff>
    </xdr:from>
    <xdr:ext cx="95250" cy="171450"/>
    <xdr:sp macro="" textlink="">
      <xdr:nvSpPr>
        <xdr:cNvPr id="1384" name="Text Box 17">
          <a:extLst>
            <a:ext uri="{FF2B5EF4-FFF2-40B4-BE49-F238E27FC236}">
              <a16:creationId xmlns:a16="http://schemas.microsoft.com/office/drawing/2014/main" id="{00000000-0008-0000-0500-000068050000}"/>
            </a:ext>
          </a:extLst>
        </xdr:cNvPr>
        <xdr:cNvSpPr txBox="1">
          <a:spLocks noChangeArrowheads="1"/>
        </xdr:cNvSpPr>
      </xdr:nvSpPr>
      <xdr:spPr bwMode="auto">
        <a:xfrm>
          <a:off x="9615343" y="4156364"/>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127</xdr:row>
      <xdr:rowOff>0</xdr:rowOff>
    </xdr:from>
    <xdr:ext cx="95250" cy="171450"/>
    <xdr:sp macro="" textlink="">
      <xdr:nvSpPr>
        <xdr:cNvPr id="1385" name="Text Box 18">
          <a:extLst>
            <a:ext uri="{FF2B5EF4-FFF2-40B4-BE49-F238E27FC236}">
              <a16:creationId xmlns:a16="http://schemas.microsoft.com/office/drawing/2014/main" id="{00000000-0008-0000-0500-000069050000}"/>
            </a:ext>
          </a:extLst>
        </xdr:cNvPr>
        <xdr:cNvSpPr txBox="1">
          <a:spLocks noChangeArrowheads="1"/>
        </xdr:cNvSpPr>
      </xdr:nvSpPr>
      <xdr:spPr bwMode="auto">
        <a:xfrm>
          <a:off x="9615343" y="4156364"/>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127</xdr:row>
      <xdr:rowOff>0</xdr:rowOff>
    </xdr:from>
    <xdr:ext cx="95250" cy="171450"/>
    <xdr:sp macro="" textlink="">
      <xdr:nvSpPr>
        <xdr:cNvPr id="1386" name="Text Box 19">
          <a:extLst>
            <a:ext uri="{FF2B5EF4-FFF2-40B4-BE49-F238E27FC236}">
              <a16:creationId xmlns:a16="http://schemas.microsoft.com/office/drawing/2014/main" id="{00000000-0008-0000-0500-00006A050000}"/>
            </a:ext>
          </a:extLst>
        </xdr:cNvPr>
        <xdr:cNvSpPr txBox="1">
          <a:spLocks noChangeArrowheads="1"/>
        </xdr:cNvSpPr>
      </xdr:nvSpPr>
      <xdr:spPr bwMode="auto">
        <a:xfrm>
          <a:off x="9615343" y="4156364"/>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171450"/>
    <xdr:sp macro="" textlink="">
      <xdr:nvSpPr>
        <xdr:cNvPr id="1387" name="Text Box 16">
          <a:extLst>
            <a:ext uri="{FF2B5EF4-FFF2-40B4-BE49-F238E27FC236}">
              <a16:creationId xmlns:a16="http://schemas.microsoft.com/office/drawing/2014/main" id="{00000000-0008-0000-0500-00006B050000}"/>
            </a:ext>
          </a:extLst>
        </xdr:cNvPr>
        <xdr:cNvSpPr txBox="1">
          <a:spLocks noChangeArrowheads="1"/>
        </xdr:cNvSpPr>
      </xdr:nvSpPr>
      <xdr:spPr bwMode="auto">
        <a:xfrm>
          <a:off x="3710214" y="4145643"/>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171450"/>
    <xdr:sp macro="" textlink="">
      <xdr:nvSpPr>
        <xdr:cNvPr id="1388" name="Text Box 17">
          <a:extLst>
            <a:ext uri="{FF2B5EF4-FFF2-40B4-BE49-F238E27FC236}">
              <a16:creationId xmlns:a16="http://schemas.microsoft.com/office/drawing/2014/main" id="{00000000-0008-0000-0500-00006C050000}"/>
            </a:ext>
          </a:extLst>
        </xdr:cNvPr>
        <xdr:cNvSpPr txBox="1">
          <a:spLocks noChangeArrowheads="1"/>
        </xdr:cNvSpPr>
      </xdr:nvSpPr>
      <xdr:spPr bwMode="auto">
        <a:xfrm>
          <a:off x="3710214" y="4145643"/>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171450"/>
    <xdr:sp macro="" textlink="">
      <xdr:nvSpPr>
        <xdr:cNvPr id="1389" name="Text Box 18">
          <a:extLst>
            <a:ext uri="{FF2B5EF4-FFF2-40B4-BE49-F238E27FC236}">
              <a16:creationId xmlns:a16="http://schemas.microsoft.com/office/drawing/2014/main" id="{00000000-0008-0000-0500-00006D050000}"/>
            </a:ext>
          </a:extLst>
        </xdr:cNvPr>
        <xdr:cNvSpPr txBox="1">
          <a:spLocks noChangeArrowheads="1"/>
        </xdr:cNvSpPr>
      </xdr:nvSpPr>
      <xdr:spPr bwMode="auto">
        <a:xfrm>
          <a:off x="3710214" y="4145643"/>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171450"/>
    <xdr:sp macro="" textlink="">
      <xdr:nvSpPr>
        <xdr:cNvPr id="1390" name="Text Box 19">
          <a:extLst>
            <a:ext uri="{FF2B5EF4-FFF2-40B4-BE49-F238E27FC236}">
              <a16:creationId xmlns:a16="http://schemas.microsoft.com/office/drawing/2014/main" id="{00000000-0008-0000-0500-00006E050000}"/>
            </a:ext>
          </a:extLst>
        </xdr:cNvPr>
        <xdr:cNvSpPr txBox="1">
          <a:spLocks noChangeArrowheads="1"/>
        </xdr:cNvSpPr>
      </xdr:nvSpPr>
      <xdr:spPr bwMode="auto">
        <a:xfrm>
          <a:off x="3710214" y="4145643"/>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127</xdr:row>
      <xdr:rowOff>0</xdr:rowOff>
    </xdr:from>
    <xdr:ext cx="95250" cy="171450"/>
    <xdr:sp macro="" textlink="">
      <xdr:nvSpPr>
        <xdr:cNvPr id="1391" name="Text Box 16">
          <a:extLst>
            <a:ext uri="{FF2B5EF4-FFF2-40B4-BE49-F238E27FC236}">
              <a16:creationId xmlns:a16="http://schemas.microsoft.com/office/drawing/2014/main" id="{00000000-0008-0000-0500-00006F050000}"/>
            </a:ext>
          </a:extLst>
        </xdr:cNvPr>
        <xdr:cNvSpPr txBox="1">
          <a:spLocks noChangeArrowheads="1"/>
        </xdr:cNvSpPr>
      </xdr:nvSpPr>
      <xdr:spPr bwMode="auto">
        <a:xfrm>
          <a:off x="6773182" y="4145643"/>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127</xdr:row>
      <xdr:rowOff>0</xdr:rowOff>
    </xdr:from>
    <xdr:ext cx="95250" cy="171450"/>
    <xdr:sp macro="" textlink="">
      <xdr:nvSpPr>
        <xdr:cNvPr id="1392" name="Text Box 17">
          <a:extLst>
            <a:ext uri="{FF2B5EF4-FFF2-40B4-BE49-F238E27FC236}">
              <a16:creationId xmlns:a16="http://schemas.microsoft.com/office/drawing/2014/main" id="{00000000-0008-0000-0500-000070050000}"/>
            </a:ext>
          </a:extLst>
        </xdr:cNvPr>
        <xdr:cNvSpPr txBox="1">
          <a:spLocks noChangeArrowheads="1"/>
        </xdr:cNvSpPr>
      </xdr:nvSpPr>
      <xdr:spPr bwMode="auto">
        <a:xfrm>
          <a:off x="6773182" y="4145643"/>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127</xdr:row>
      <xdr:rowOff>0</xdr:rowOff>
    </xdr:from>
    <xdr:ext cx="95250" cy="171450"/>
    <xdr:sp macro="" textlink="">
      <xdr:nvSpPr>
        <xdr:cNvPr id="1393" name="Text Box 18">
          <a:extLst>
            <a:ext uri="{FF2B5EF4-FFF2-40B4-BE49-F238E27FC236}">
              <a16:creationId xmlns:a16="http://schemas.microsoft.com/office/drawing/2014/main" id="{00000000-0008-0000-0500-000071050000}"/>
            </a:ext>
          </a:extLst>
        </xdr:cNvPr>
        <xdr:cNvSpPr txBox="1">
          <a:spLocks noChangeArrowheads="1"/>
        </xdr:cNvSpPr>
      </xdr:nvSpPr>
      <xdr:spPr bwMode="auto">
        <a:xfrm>
          <a:off x="6773182" y="4145643"/>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127</xdr:row>
      <xdr:rowOff>0</xdr:rowOff>
    </xdr:from>
    <xdr:ext cx="95250" cy="171450"/>
    <xdr:sp macro="" textlink="">
      <xdr:nvSpPr>
        <xdr:cNvPr id="1394" name="Text Box 19">
          <a:extLst>
            <a:ext uri="{FF2B5EF4-FFF2-40B4-BE49-F238E27FC236}">
              <a16:creationId xmlns:a16="http://schemas.microsoft.com/office/drawing/2014/main" id="{00000000-0008-0000-0500-000072050000}"/>
            </a:ext>
          </a:extLst>
        </xdr:cNvPr>
        <xdr:cNvSpPr txBox="1">
          <a:spLocks noChangeArrowheads="1"/>
        </xdr:cNvSpPr>
      </xdr:nvSpPr>
      <xdr:spPr bwMode="auto">
        <a:xfrm>
          <a:off x="6773182" y="4145643"/>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21</xdr:col>
      <xdr:colOff>0</xdr:colOff>
      <xdr:row>127</xdr:row>
      <xdr:rowOff>0</xdr:rowOff>
    </xdr:from>
    <xdr:ext cx="95250" cy="171450"/>
    <xdr:sp macro="" textlink="">
      <xdr:nvSpPr>
        <xdr:cNvPr id="1395" name="Text Box 16">
          <a:extLst>
            <a:ext uri="{FF2B5EF4-FFF2-40B4-BE49-F238E27FC236}">
              <a16:creationId xmlns:a16="http://schemas.microsoft.com/office/drawing/2014/main" id="{00000000-0008-0000-0500-000073050000}"/>
            </a:ext>
          </a:extLst>
        </xdr:cNvPr>
        <xdr:cNvSpPr txBox="1">
          <a:spLocks noChangeArrowheads="1"/>
        </xdr:cNvSpPr>
      </xdr:nvSpPr>
      <xdr:spPr bwMode="auto">
        <a:xfrm>
          <a:off x="48069500" y="4145643"/>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21</xdr:col>
      <xdr:colOff>0</xdr:colOff>
      <xdr:row>127</xdr:row>
      <xdr:rowOff>0</xdr:rowOff>
    </xdr:from>
    <xdr:ext cx="95250" cy="171450"/>
    <xdr:sp macro="" textlink="">
      <xdr:nvSpPr>
        <xdr:cNvPr id="1396" name="Text Box 17">
          <a:extLst>
            <a:ext uri="{FF2B5EF4-FFF2-40B4-BE49-F238E27FC236}">
              <a16:creationId xmlns:a16="http://schemas.microsoft.com/office/drawing/2014/main" id="{00000000-0008-0000-0500-000074050000}"/>
            </a:ext>
          </a:extLst>
        </xdr:cNvPr>
        <xdr:cNvSpPr txBox="1">
          <a:spLocks noChangeArrowheads="1"/>
        </xdr:cNvSpPr>
      </xdr:nvSpPr>
      <xdr:spPr bwMode="auto">
        <a:xfrm>
          <a:off x="48069500" y="4145643"/>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21</xdr:col>
      <xdr:colOff>0</xdr:colOff>
      <xdr:row>127</xdr:row>
      <xdr:rowOff>0</xdr:rowOff>
    </xdr:from>
    <xdr:ext cx="95250" cy="171450"/>
    <xdr:sp macro="" textlink="">
      <xdr:nvSpPr>
        <xdr:cNvPr id="1397" name="Text Box 18">
          <a:extLst>
            <a:ext uri="{FF2B5EF4-FFF2-40B4-BE49-F238E27FC236}">
              <a16:creationId xmlns:a16="http://schemas.microsoft.com/office/drawing/2014/main" id="{00000000-0008-0000-0500-000075050000}"/>
            </a:ext>
          </a:extLst>
        </xdr:cNvPr>
        <xdr:cNvSpPr txBox="1">
          <a:spLocks noChangeArrowheads="1"/>
        </xdr:cNvSpPr>
      </xdr:nvSpPr>
      <xdr:spPr bwMode="auto">
        <a:xfrm>
          <a:off x="48069500" y="4145643"/>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21</xdr:col>
      <xdr:colOff>0</xdr:colOff>
      <xdr:row>127</xdr:row>
      <xdr:rowOff>0</xdr:rowOff>
    </xdr:from>
    <xdr:ext cx="95250" cy="171450"/>
    <xdr:sp macro="" textlink="">
      <xdr:nvSpPr>
        <xdr:cNvPr id="1398" name="Text Box 19">
          <a:extLst>
            <a:ext uri="{FF2B5EF4-FFF2-40B4-BE49-F238E27FC236}">
              <a16:creationId xmlns:a16="http://schemas.microsoft.com/office/drawing/2014/main" id="{00000000-0008-0000-0500-000076050000}"/>
            </a:ext>
          </a:extLst>
        </xdr:cNvPr>
        <xdr:cNvSpPr txBox="1">
          <a:spLocks noChangeArrowheads="1"/>
        </xdr:cNvSpPr>
      </xdr:nvSpPr>
      <xdr:spPr bwMode="auto">
        <a:xfrm>
          <a:off x="48069500" y="4145643"/>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444014"/>
    <xdr:sp macro="" textlink="">
      <xdr:nvSpPr>
        <xdr:cNvPr id="1399" name="Text Box 15">
          <a:extLst>
            <a:ext uri="{FF2B5EF4-FFF2-40B4-BE49-F238E27FC236}">
              <a16:creationId xmlns:a16="http://schemas.microsoft.com/office/drawing/2014/main" id="{00000000-0008-0000-0500-000077050000}"/>
            </a:ext>
          </a:extLst>
        </xdr:cNvPr>
        <xdr:cNvSpPr txBox="1">
          <a:spLocks noChangeArrowheads="1"/>
        </xdr:cNvSpPr>
      </xdr:nvSpPr>
      <xdr:spPr bwMode="auto">
        <a:xfrm>
          <a:off x="3710214" y="4115254"/>
          <a:ext cx="95250" cy="444014"/>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171450"/>
    <xdr:sp macro="" textlink="">
      <xdr:nvSpPr>
        <xdr:cNvPr id="1400" name="Text Box 16">
          <a:extLst>
            <a:ext uri="{FF2B5EF4-FFF2-40B4-BE49-F238E27FC236}">
              <a16:creationId xmlns:a16="http://schemas.microsoft.com/office/drawing/2014/main" id="{00000000-0008-0000-0500-000078050000}"/>
            </a:ext>
          </a:extLst>
        </xdr:cNvPr>
        <xdr:cNvSpPr txBox="1">
          <a:spLocks noChangeArrowheads="1"/>
        </xdr:cNvSpPr>
      </xdr:nvSpPr>
      <xdr:spPr bwMode="auto">
        <a:xfrm>
          <a:off x="3710214" y="4145643"/>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171450"/>
    <xdr:sp macro="" textlink="">
      <xdr:nvSpPr>
        <xdr:cNvPr id="1401" name="Text Box 17">
          <a:extLst>
            <a:ext uri="{FF2B5EF4-FFF2-40B4-BE49-F238E27FC236}">
              <a16:creationId xmlns:a16="http://schemas.microsoft.com/office/drawing/2014/main" id="{00000000-0008-0000-0500-000079050000}"/>
            </a:ext>
          </a:extLst>
        </xdr:cNvPr>
        <xdr:cNvSpPr txBox="1">
          <a:spLocks noChangeArrowheads="1"/>
        </xdr:cNvSpPr>
      </xdr:nvSpPr>
      <xdr:spPr bwMode="auto">
        <a:xfrm>
          <a:off x="3710214" y="4145643"/>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171450"/>
    <xdr:sp macro="" textlink="">
      <xdr:nvSpPr>
        <xdr:cNvPr id="1402" name="Text Box 18">
          <a:extLst>
            <a:ext uri="{FF2B5EF4-FFF2-40B4-BE49-F238E27FC236}">
              <a16:creationId xmlns:a16="http://schemas.microsoft.com/office/drawing/2014/main" id="{00000000-0008-0000-0500-00007A050000}"/>
            </a:ext>
          </a:extLst>
        </xdr:cNvPr>
        <xdr:cNvSpPr txBox="1">
          <a:spLocks noChangeArrowheads="1"/>
        </xdr:cNvSpPr>
      </xdr:nvSpPr>
      <xdr:spPr bwMode="auto">
        <a:xfrm>
          <a:off x="3710214" y="4145643"/>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171450"/>
    <xdr:sp macro="" textlink="">
      <xdr:nvSpPr>
        <xdr:cNvPr id="1403" name="Text Box 19">
          <a:extLst>
            <a:ext uri="{FF2B5EF4-FFF2-40B4-BE49-F238E27FC236}">
              <a16:creationId xmlns:a16="http://schemas.microsoft.com/office/drawing/2014/main" id="{00000000-0008-0000-0500-00007B050000}"/>
            </a:ext>
          </a:extLst>
        </xdr:cNvPr>
        <xdr:cNvSpPr txBox="1">
          <a:spLocks noChangeArrowheads="1"/>
        </xdr:cNvSpPr>
      </xdr:nvSpPr>
      <xdr:spPr bwMode="auto">
        <a:xfrm>
          <a:off x="3710214" y="4145643"/>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127</xdr:row>
      <xdr:rowOff>0</xdr:rowOff>
    </xdr:from>
    <xdr:ext cx="95250" cy="442269"/>
    <xdr:sp macro="" textlink="">
      <xdr:nvSpPr>
        <xdr:cNvPr id="1404" name="Text Box 15">
          <a:extLst>
            <a:ext uri="{FF2B5EF4-FFF2-40B4-BE49-F238E27FC236}">
              <a16:creationId xmlns:a16="http://schemas.microsoft.com/office/drawing/2014/main" id="{00000000-0008-0000-0500-00007C050000}"/>
            </a:ext>
          </a:extLst>
        </xdr:cNvPr>
        <xdr:cNvSpPr txBox="1">
          <a:spLocks noChangeArrowheads="1"/>
        </xdr:cNvSpPr>
      </xdr:nvSpPr>
      <xdr:spPr bwMode="auto">
        <a:xfrm>
          <a:off x="6773182" y="4115254"/>
          <a:ext cx="95250" cy="442269"/>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127</xdr:row>
      <xdr:rowOff>0</xdr:rowOff>
    </xdr:from>
    <xdr:ext cx="95250" cy="171450"/>
    <xdr:sp macro="" textlink="">
      <xdr:nvSpPr>
        <xdr:cNvPr id="1405" name="Text Box 16">
          <a:extLst>
            <a:ext uri="{FF2B5EF4-FFF2-40B4-BE49-F238E27FC236}">
              <a16:creationId xmlns:a16="http://schemas.microsoft.com/office/drawing/2014/main" id="{00000000-0008-0000-0500-00007D050000}"/>
            </a:ext>
          </a:extLst>
        </xdr:cNvPr>
        <xdr:cNvSpPr txBox="1">
          <a:spLocks noChangeArrowheads="1"/>
        </xdr:cNvSpPr>
      </xdr:nvSpPr>
      <xdr:spPr bwMode="auto">
        <a:xfrm>
          <a:off x="6773182" y="4145643"/>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127</xdr:row>
      <xdr:rowOff>0</xdr:rowOff>
    </xdr:from>
    <xdr:ext cx="95250" cy="171450"/>
    <xdr:sp macro="" textlink="">
      <xdr:nvSpPr>
        <xdr:cNvPr id="1406" name="Text Box 17">
          <a:extLst>
            <a:ext uri="{FF2B5EF4-FFF2-40B4-BE49-F238E27FC236}">
              <a16:creationId xmlns:a16="http://schemas.microsoft.com/office/drawing/2014/main" id="{00000000-0008-0000-0500-00007E050000}"/>
            </a:ext>
          </a:extLst>
        </xdr:cNvPr>
        <xdr:cNvSpPr txBox="1">
          <a:spLocks noChangeArrowheads="1"/>
        </xdr:cNvSpPr>
      </xdr:nvSpPr>
      <xdr:spPr bwMode="auto">
        <a:xfrm>
          <a:off x="6773182" y="4145643"/>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127</xdr:row>
      <xdr:rowOff>0</xdr:rowOff>
    </xdr:from>
    <xdr:ext cx="95250" cy="171450"/>
    <xdr:sp macro="" textlink="">
      <xdr:nvSpPr>
        <xdr:cNvPr id="1407" name="Text Box 18">
          <a:extLst>
            <a:ext uri="{FF2B5EF4-FFF2-40B4-BE49-F238E27FC236}">
              <a16:creationId xmlns:a16="http://schemas.microsoft.com/office/drawing/2014/main" id="{00000000-0008-0000-0500-00007F050000}"/>
            </a:ext>
          </a:extLst>
        </xdr:cNvPr>
        <xdr:cNvSpPr txBox="1">
          <a:spLocks noChangeArrowheads="1"/>
        </xdr:cNvSpPr>
      </xdr:nvSpPr>
      <xdr:spPr bwMode="auto">
        <a:xfrm>
          <a:off x="6773182" y="4145643"/>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127</xdr:row>
      <xdr:rowOff>0</xdr:rowOff>
    </xdr:from>
    <xdr:ext cx="95250" cy="171450"/>
    <xdr:sp macro="" textlink="">
      <xdr:nvSpPr>
        <xdr:cNvPr id="1408" name="Text Box 16">
          <a:extLst>
            <a:ext uri="{FF2B5EF4-FFF2-40B4-BE49-F238E27FC236}">
              <a16:creationId xmlns:a16="http://schemas.microsoft.com/office/drawing/2014/main" id="{00000000-0008-0000-0500-000080050000}"/>
            </a:ext>
          </a:extLst>
        </xdr:cNvPr>
        <xdr:cNvSpPr txBox="1">
          <a:spLocks noChangeArrowheads="1"/>
        </xdr:cNvSpPr>
      </xdr:nvSpPr>
      <xdr:spPr bwMode="auto">
        <a:xfrm>
          <a:off x="9616168" y="4145643"/>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127</xdr:row>
      <xdr:rowOff>0</xdr:rowOff>
    </xdr:from>
    <xdr:ext cx="95250" cy="171450"/>
    <xdr:sp macro="" textlink="">
      <xdr:nvSpPr>
        <xdr:cNvPr id="1409" name="Text Box 17">
          <a:extLst>
            <a:ext uri="{FF2B5EF4-FFF2-40B4-BE49-F238E27FC236}">
              <a16:creationId xmlns:a16="http://schemas.microsoft.com/office/drawing/2014/main" id="{00000000-0008-0000-0500-000081050000}"/>
            </a:ext>
          </a:extLst>
        </xdr:cNvPr>
        <xdr:cNvSpPr txBox="1">
          <a:spLocks noChangeArrowheads="1"/>
        </xdr:cNvSpPr>
      </xdr:nvSpPr>
      <xdr:spPr bwMode="auto">
        <a:xfrm>
          <a:off x="9616168" y="4145643"/>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127</xdr:row>
      <xdr:rowOff>0</xdr:rowOff>
    </xdr:from>
    <xdr:ext cx="95250" cy="171450"/>
    <xdr:sp macro="" textlink="">
      <xdr:nvSpPr>
        <xdr:cNvPr id="1410" name="Text Box 18">
          <a:extLst>
            <a:ext uri="{FF2B5EF4-FFF2-40B4-BE49-F238E27FC236}">
              <a16:creationId xmlns:a16="http://schemas.microsoft.com/office/drawing/2014/main" id="{00000000-0008-0000-0500-000082050000}"/>
            </a:ext>
          </a:extLst>
        </xdr:cNvPr>
        <xdr:cNvSpPr txBox="1">
          <a:spLocks noChangeArrowheads="1"/>
        </xdr:cNvSpPr>
      </xdr:nvSpPr>
      <xdr:spPr bwMode="auto">
        <a:xfrm>
          <a:off x="9616168" y="4145643"/>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127</xdr:row>
      <xdr:rowOff>0</xdr:rowOff>
    </xdr:from>
    <xdr:ext cx="95250" cy="171450"/>
    <xdr:sp macro="" textlink="">
      <xdr:nvSpPr>
        <xdr:cNvPr id="1411" name="Text Box 19">
          <a:extLst>
            <a:ext uri="{FF2B5EF4-FFF2-40B4-BE49-F238E27FC236}">
              <a16:creationId xmlns:a16="http://schemas.microsoft.com/office/drawing/2014/main" id="{00000000-0008-0000-0500-000083050000}"/>
            </a:ext>
          </a:extLst>
        </xdr:cNvPr>
        <xdr:cNvSpPr txBox="1">
          <a:spLocks noChangeArrowheads="1"/>
        </xdr:cNvSpPr>
      </xdr:nvSpPr>
      <xdr:spPr bwMode="auto">
        <a:xfrm>
          <a:off x="9616168" y="4145643"/>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127</xdr:row>
      <xdr:rowOff>0</xdr:rowOff>
    </xdr:from>
    <xdr:ext cx="95250" cy="171450"/>
    <xdr:sp macro="" textlink="">
      <xdr:nvSpPr>
        <xdr:cNvPr id="1412" name="Text Box 16">
          <a:extLst>
            <a:ext uri="{FF2B5EF4-FFF2-40B4-BE49-F238E27FC236}">
              <a16:creationId xmlns:a16="http://schemas.microsoft.com/office/drawing/2014/main" id="{00000000-0008-0000-0500-000084050000}"/>
            </a:ext>
          </a:extLst>
        </xdr:cNvPr>
        <xdr:cNvSpPr txBox="1">
          <a:spLocks noChangeArrowheads="1"/>
        </xdr:cNvSpPr>
      </xdr:nvSpPr>
      <xdr:spPr bwMode="auto">
        <a:xfrm>
          <a:off x="9616168" y="4145643"/>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127</xdr:row>
      <xdr:rowOff>0</xdr:rowOff>
    </xdr:from>
    <xdr:ext cx="95250" cy="171450"/>
    <xdr:sp macro="" textlink="">
      <xdr:nvSpPr>
        <xdr:cNvPr id="1413" name="Text Box 17">
          <a:extLst>
            <a:ext uri="{FF2B5EF4-FFF2-40B4-BE49-F238E27FC236}">
              <a16:creationId xmlns:a16="http://schemas.microsoft.com/office/drawing/2014/main" id="{00000000-0008-0000-0500-000085050000}"/>
            </a:ext>
          </a:extLst>
        </xdr:cNvPr>
        <xdr:cNvSpPr txBox="1">
          <a:spLocks noChangeArrowheads="1"/>
        </xdr:cNvSpPr>
      </xdr:nvSpPr>
      <xdr:spPr bwMode="auto">
        <a:xfrm>
          <a:off x="9616168" y="4145643"/>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127</xdr:row>
      <xdr:rowOff>0</xdr:rowOff>
    </xdr:from>
    <xdr:ext cx="95250" cy="171450"/>
    <xdr:sp macro="" textlink="">
      <xdr:nvSpPr>
        <xdr:cNvPr id="1414" name="Text Box 18">
          <a:extLst>
            <a:ext uri="{FF2B5EF4-FFF2-40B4-BE49-F238E27FC236}">
              <a16:creationId xmlns:a16="http://schemas.microsoft.com/office/drawing/2014/main" id="{00000000-0008-0000-0500-000086050000}"/>
            </a:ext>
          </a:extLst>
        </xdr:cNvPr>
        <xdr:cNvSpPr txBox="1">
          <a:spLocks noChangeArrowheads="1"/>
        </xdr:cNvSpPr>
      </xdr:nvSpPr>
      <xdr:spPr bwMode="auto">
        <a:xfrm>
          <a:off x="9616168" y="4145643"/>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127</xdr:row>
      <xdr:rowOff>0</xdr:rowOff>
    </xdr:from>
    <xdr:ext cx="95250" cy="171450"/>
    <xdr:sp macro="" textlink="">
      <xdr:nvSpPr>
        <xdr:cNvPr id="1415" name="Text Box 19">
          <a:extLst>
            <a:ext uri="{FF2B5EF4-FFF2-40B4-BE49-F238E27FC236}">
              <a16:creationId xmlns:a16="http://schemas.microsoft.com/office/drawing/2014/main" id="{00000000-0008-0000-0500-000087050000}"/>
            </a:ext>
          </a:extLst>
        </xdr:cNvPr>
        <xdr:cNvSpPr txBox="1">
          <a:spLocks noChangeArrowheads="1"/>
        </xdr:cNvSpPr>
      </xdr:nvSpPr>
      <xdr:spPr bwMode="auto">
        <a:xfrm>
          <a:off x="9616168" y="4145643"/>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171450"/>
    <xdr:sp macro="" textlink="">
      <xdr:nvSpPr>
        <xdr:cNvPr id="1416" name="Text Box 16">
          <a:extLst>
            <a:ext uri="{FF2B5EF4-FFF2-40B4-BE49-F238E27FC236}">
              <a16:creationId xmlns:a16="http://schemas.microsoft.com/office/drawing/2014/main" id="{00000000-0008-0000-0500-000088050000}"/>
            </a:ext>
          </a:extLst>
        </xdr:cNvPr>
        <xdr:cNvSpPr txBox="1">
          <a:spLocks noChangeArrowheads="1"/>
        </xdr:cNvSpPr>
      </xdr:nvSpPr>
      <xdr:spPr bwMode="auto">
        <a:xfrm>
          <a:off x="3710214" y="4145643"/>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171450"/>
    <xdr:sp macro="" textlink="">
      <xdr:nvSpPr>
        <xdr:cNvPr id="1417" name="Text Box 17">
          <a:extLst>
            <a:ext uri="{FF2B5EF4-FFF2-40B4-BE49-F238E27FC236}">
              <a16:creationId xmlns:a16="http://schemas.microsoft.com/office/drawing/2014/main" id="{00000000-0008-0000-0500-000089050000}"/>
            </a:ext>
          </a:extLst>
        </xdr:cNvPr>
        <xdr:cNvSpPr txBox="1">
          <a:spLocks noChangeArrowheads="1"/>
        </xdr:cNvSpPr>
      </xdr:nvSpPr>
      <xdr:spPr bwMode="auto">
        <a:xfrm>
          <a:off x="3710214" y="4145643"/>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171450"/>
    <xdr:sp macro="" textlink="">
      <xdr:nvSpPr>
        <xdr:cNvPr id="1418" name="Text Box 18">
          <a:extLst>
            <a:ext uri="{FF2B5EF4-FFF2-40B4-BE49-F238E27FC236}">
              <a16:creationId xmlns:a16="http://schemas.microsoft.com/office/drawing/2014/main" id="{00000000-0008-0000-0500-00008A050000}"/>
            </a:ext>
          </a:extLst>
        </xdr:cNvPr>
        <xdr:cNvSpPr txBox="1">
          <a:spLocks noChangeArrowheads="1"/>
        </xdr:cNvSpPr>
      </xdr:nvSpPr>
      <xdr:spPr bwMode="auto">
        <a:xfrm>
          <a:off x="3710214" y="4145643"/>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171450"/>
    <xdr:sp macro="" textlink="">
      <xdr:nvSpPr>
        <xdr:cNvPr id="1419" name="Text Box 19">
          <a:extLst>
            <a:ext uri="{FF2B5EF4-FFF2-40B4-BE49-F238E27FC236}">
              <a16:creationId xmlns:a16="http://schemas.microsoft.com/office/drawing/2014/main" id="{00000000-0008-0000-0500-00008B050000}"/>
            </a:ext>
          </a:extLst>
        </xdr:cNvPr>
        <xdr:cNvSpPr txBox="1">
          <a:spLocks noChangeArrowheads="1"/>
        </xdr:cNvSpPr>
      </xdr:nvSpPr>
      <xdr:spPr bwMode="auto">
        <a:xfrm>
          <a:off x="3710214" y="4145643"/>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127</xdr:row>
      <xdr:rowOff>0</xdr:rowOff>
    </xdr:from>
    <xdr:ext cx="95250" cy="171450"/>
    <xdr:sp macro="" textlink="">
      <xdr:nvSpPr>
        <xdr:cNvPr id="1420" name="Text Box 16">
          <a:extLst>
            <a:ext uri="{FF2B5EF4-FFF2-40B4-BE49-F238E27FC236}">
              <a16:creationId xmlns:a16="http://schemas.microsoft.com/office/drawing/2014/main" id="{00000000-0008-0000-0500-00008C050000}"/>
            </a:ext>
          </a:extLst>
        </xdr:cNvPr>
        <xdr:cNvSpPr txBox="1">
          <a:spLocks noChangeArrowheads="1"/>
        </xdr:cNvSpPr>
      </xdr:nvSpPr>
      <xdr:spPr bwMode="auto">
        <a:xfrm>
          <a:off x="6773182" y="4145643"/>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127</xdr:row>
      <xdr:rowOff>0</xdr:rowOff>
    </xdr:from>
    <xdr:ext cx="95250" cy="171450"/>
    <xdr:sp macro="" textlink="">
      <xdr:nvSpPr>
        <xdr:cNvPr id="1421" name="Text Box 17">
          <a:extLst>
            <a:ext uri="{FF2B5EF4-FFF2-40B4-BE49-F238E27FC236}">
              <a16:creationId xmlns:a16="http://schemas.microsoft.com/office/drawing/2014/main" id="{00000000-0008-0000-0500-00008D050000}"/>
            </a:ext>
          </a:extLst>
        </xdr:cNvPr>
        <xdr:cNvSpPr txBox="1">
          <a:spLocks noChangeArrowheads="1"/>
        </xdr:cNvSpPr>
      </xdr:nvSpPr>
      <xdr:spPr bwMode="auto">
        <a:xfrm>
          <a:off x="6773182" y="4145643"/>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127</xdr:row>
      <xdr:rowOff>0</xdr:rowOff>
    </xdr:from>
    <xdr:ext cx="95250" cy="171450"/>
    <xdr:sp macro="" textlink="">
      <xdr:nvSpPr>
        <xdr:cNvPr id="1422" name="Text Box 18">
          <a:extLst>
            <a:ext uri="{FF2B5EF4-FFF2-40B4-BE49-F238E27FC236}">
              <a16:creationId xmlns:a16="http://schemas.microsoft.com/office/drawing/2014/main" id="{00000000-0008-0000-0500-00008E050000}"/>
            </a:ext>
          </a:extLst>
        </xdr:cNvPr>
        <xdr:cNvSpPr txBox="1">
          <a:spLocks noChangeArrowheads="1"/>
        </xdr:cNvSpPr>
      </xdr:nvSpPr>
      <xdr:spPr bwMode="auto">
        <a:xfrm>
          <a:off x="6773182" y="4145643"/>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127</xdr:row>
      <xdr:rowOff>0</xdr:rowOff>
    </xdr:from>
    <xdr:ext cx="95250" cy="171450"/>
    <xdr:sp macro="" textlink="">
      <xdr:nvSpPr>
        <xdr:cNvPr id="1423" name="Text Box 19">
          <a:extLst>
            <a:ext uri="{FF2B5EF4-FFF2-40B4-BE49-F238E27FC236}">
              <a16:creationId xmlns:a16="http://schemas.microsoft.com/office/drawing/2014/main" id="{00000000-0008-0000-0500-00008F050000}"/>
            </a:ext>
          </a:extLst>
        </xdr:cNvPr>
        <xdr:cNvSpPr txBox="1">
          <a:spLocks noChangeArrowheads="1"/>
        </xdr:cNvSpPr>
      </xdr:nvSpPr>
      <xdr:spPr bwMode="auto">
        <a:xfrm>
          <a:off x="6773182" y="4145643"/>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21</xdr:col>
      <xdr:colOff>0</xdr:colOff>
      <xdr:row>127</xdr:row>
      <xdr:rowOff>0</xdr:rowOff>
    </xdr:from>
    <xdr:ext cx="95250" cy="171450"/>
    <xdr:sp macro="" textlink="">
      <xdr:nvSpPr>
        <xdr:cNvPr id="1424" name="Text Box 16">
          <a:extLst>
            <a:ext uri="{FF2B5EF4-FFF2-40B4-BE49-F238E27FC236}">
              <a16:creationId xmlns:a16="http://schemas.microsoft.com/office/drawing/2014/main" id="{00000000-0008-0000-0500-000090050000}"/>
            </a:ext>
          </a:extLst>
        </xdr:cNvPr>
        <xdr:cNvSpPr txBox="1">
          <a:spLocks noChangeArrowheads="1"/>
        </xdr:cNvSpPr>
      </xdr:nvSpPr>
      <xdr:spPr bwMode="auto">
        <a:xfrm>
          <a:off x="48069500" y="4145643"/>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21</xdr:col>
      <xdr:colOff>0</xdr:colOff>
      <xdr:row>127</xdr:row>
      <xdr:rowOff>0</xdr:rowOff>
    </xdr:from>
    <xdr:ext cx="95250" cy="171450"/>
    <xdr:sp macro="" textlink="">
      <xdr:nvSpPr>
        <xdr:cNvPr id="1425" name="Text Box 17">
          <a:extLst>
            <a:ext uri="{FF2B5EF4-FFF2-40B4-BE49-F238E27FC236}">
              <a16:creationId xmlns:a16="http://schemas.microsoft.com/office/drawing/2014/main" id="{00000000-0008-0000-0500-000091050000}"/>
            </a:ext>
          </a:extLst>
        </xdr:cNvPr>
        <xdr:cNvSpPr txBox="1">
          <a:spLocks noChangeArrowheads="1"/>
        </xdr:cNvSpPr>
      </xdr:nvSpPr>
      <xdr:spPr bwMode="auto">
        <a:xfrm>
          <a:off x="48069500" y="4145643"/>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21</xdr:col>
      <xdr:colOff>0</xdr:colOff>
      <xdr:row>127</xdr:row>
      <xdr:rowOff>0</xdr:rowOff>
    </xdr:from>
    <xdr:ext cx="95250" cy="171450"/>
    <xdr:sp macro="" textlink="">
      <xdr:nvSpPr>
        <xdr:cNvPr id="1426" name="Text Box 18">
          <a:extLst>
            <a:ext uri="{FF2B5EF4-FFF2-40B4-BE49-F238E27FC236}">
              <a16:creationId xmlns:a16="http://schemas.microsoft.com/office/drawing/2014/main" id="{00000000-0008-0000-0500-000092050000}"/>
            </a:ext>
          </a:extLst>
        </xdr:cNvPr>
        <xdr:cNvSpPr txBox="1">
          <a:spLocks noChangeArrowheads="1"/>
        </xdr:cNvSpPr>
      </xdr:nvSpPr>
      <xdr:spPr bwMode="auto">
        <a:xfrm>
          <a:off x="48069500" y="4145643"/>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21</xdr:col>
      <xdr:colOff>0</xdr:colOff>
      <xdr:row>127</xdr:row>
      <xdr:rowOff>0</xdr:rowOff>
    </xdr:from>
    <xdr:ext cx="95250" cy="171450"/>
    <xdr:sp macro="" textlink="">
      <xdr:nvSpPr>
        <xdr:cNvPr id="1427" name="Text Box 19">
          <a:extLst>
            <a:ext uri="{FF2B5EF4-FFF2-40B4-BE49-F238E27FC236}">
              <a16:creationId xmlns:a16="http://schemas.microsoft.com/office/drawing/2014/main" id="{00000000-0008-0000-0500-000093050000}"/>
            </a:ext>
          </a:extLst>
        </xdr:cNvPr>
        <xdr:cNvSpPr txBox="1">
          <a:spLocks noChangeArrowheads="1"/>
        </xdr:cNvSpPr>
      </xdr:nvSpPr>
      <xdr:spPr bwMode="auto">
        <a:xfrm>
          <a:off x="48069500" y="4145643"/>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444014"/>
    <xdr:sp macro="" textlink="">
      <xdr:nvSpPr>
        <xdr:cNvPr id="1428" name="Text Box 15">
          <a:extLst>
            <a:ext uri="{FF2B5EF4-FFF2-40B4-BE49-F238E27FC236}">
              <a16:creationId xmlns:a16="http://schemas.microsoft.com/office/drawing/2014/main" id="{00000000-0008-0000-0500-000094050000}"/>
            </a:ext>
          </a:extLst>
        </xdr:cNvPr>
        <xdr:cNvSpPr txBox="1">
          <a:spLocks noChangeArrowheads="1"/>
        </xdr:cNvSpPr>
      </xdr:nvSpPr>
      <xdr:spPr bwMode="auto">
        <a:xfrm>
          <a:off x="3710214" y="4115254"/>
          <a:ext cx="95250" cy="444014"/>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171450"/>
    <xdr:sp macro="" textlink="">
      <xdr:nvSpPr>
        <xdr:cNvPr id="1429" name="Text Box 16">
          <a:extLst>
            <a:ext uri="{FF2B5EF4-FFF2-40B4-BE49-F238E27FC236}">
              <a16:creationId xmlns:a16="http://schemas.microsoft.com/office/drawing/2014/main" id="{00000000-0008-0000-0500-000095050000}"/>
            </a:ext>
          </a:extLst>
        </xdr:cNvPr>
        <xdr:cNvSpPr txBox="1">
          <a:spLocks noChangeArrowheads="1"/>
        </xdr:cNvSpPr>
      </xdr:nvSpPr>
      <xdr:spPr bwMode="auto">
        <a:xfrm>
          <a:off x="3710214" y="4145643"/>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171450"/>
    <xdr:sp macro="" textlink="">
      <xdr:nvSpPr>
        <xdr:cNvPr id="1430" name="Text Box 17">
          <a:extLst>
            <a:ext uri="{FF2B5EF4-FFF2-40B4-BE49-F238E27FC236}">
              <a16:creationId xmlns:a16="http://schemas.microsoft.com/office/drawing/2014/main" id="{00000000-0008-0000-0500-000096050000}"/>
            </a:ext>
          </a:extLst>
        </xdr:cNvPr>
        <xdr:cNvSpPr txBox="1">
          <a:spLocks noChangeArrowheads="1"/>
        </xdr:cNvSpPr>
      </xdr:nvSpPr>
      <xdr:spPr bwMode="auto">
        <a:xfrm>
          <a:off x="3710214" y="4145643"/>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171450"/>
    <xdr:sp macro="" textlink="">
      <xdr:nvSpPr>
        <xdr:cNvPr id="1431" name="Text Box 18">
          <a:extLst>
            <a:ext uri="{FF2B5EF4-FFF2-40B4-BE49-F238E27FC236}">
              <a16:creationId xmlns:a16="http://schemas.microsoft.com/office/drawing/2014/main" id="{00000000-0008-0000-0500-000097050000}"/>
            </a:ext>
          </a:extLst>
        </xdr:cNvPr>
        <xdr:cNvSpPr txBox="1">
          <a:spLocks noChangeArrowheads="1"/>
        </xdr:cNvSpPr>
      </xdr:nvSpPr>
      <xdr:spPr bwMode="auto">
        <a:xfrm>
          <a:off x="3710214" y="4145643"/>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127</xdr:row>
      <xdr:rowOff>0</xdr:rowOff>
    </xdr:from>
    <xdr:ext cx="95250" cy="171450"/>
    <xdr:sp macro="" textlink="">
      <xdr:nvSpPr>
        <xdr:cNvPr id="1432" name="Text Box 19">
          <a:extLst>
            <a:ext uri="{FF2B5EF4-FFF2-40B4-BE49-F238E27FC236}">
              <a16:creationId xmlns:a16="http://schemas.microsoft.com/office/drawing/2014/main" id="{00000000-0008-0000-0500-000098050000}"/>
            </a:ext>
          </a:extLst>
        </xdr:cNvPr>
        <xdr:cNvSpPr txBox="1">
          <a:spLocks noChangeArrowheads="1"/>
        </xdr:cNvSpPr>
      </xdr:nvSpPr>
      <xdr:spPr bwMode="auto">
        <a:xfrm>
          <a:off x="3710214" y="4145643"/>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127</xdr:row>
      <xdr:rowOff>0</xdr:rowOff>
    </xdr:from>
    <xdr:ext cx="95250" cy="442269"/>
    <xdr:sp macro="" textlink="">
      <xdr:nvSpPr>
        <xdr:cNvPr id="1433" name="Text Box 15">
          <a:extLst>
            <a:ext uri="{FF2B5EF4-FFF2-40B4-BE49-F238E27FC236}">
              <a16:creationId xmlns:a16="http://schemas.microsoft.com/office/drawing/2014/main" id="{00000000-0008-0000-0500-000099050000}"/>
            </a:ext>
          </a:extLst>
        </xdr:cNvPr>
        <xdr:cNvSpPr txBox="1">
          <a:spLocks noChangeArrowheads="1"/>
        </xdr:cNvSpPr>
      </xdr:nvSpPr>
      <xdr:spPr bwMode="auto">
        <a:xfrm>
          <a:off x="6773182" y="4115254"/>
          <a:ext cx="95250" cy="442269"/>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127</xdr:row>
      <xdr:rowOff>0</xdr:rowOff>
    </xdr:from>
    <xdr:ext cx="95250" cy="171450"/>
    <xdr:sp macro="" textlink="">
      <xdr:nvSpPr>
        <xdr:cNvPr id="1434" name="Text Box 16">
          <a:extLst>
            <a:ext uri="{FF2B5EF4-FFF2-40B4-BE49-F238E27FC236}">
              <a16:creationId xmlns:a16="http://schemas.microsoft.com/office/drawing/2014/main" id="{00000000-0008-0000-0500-00009A050000}"/>
            </a:ext>
          </a:extLst>
        </xdr:cNvPr>
        <xdr:cNvSpPr txBox="1">
          <a:spLocks noChangeArrowheads="1"/>
        </xdr:cNvSpPr>
      </xdr:nvSpPr>
      <xdr:spPr bwMode="auto">
        <a:xfrm>
          <a:off x="6773182" y="4145643"/>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127</xdr:row>
      <xdr:rowOff>0</xdr:rowOff>
    </xdr:from>
    <xdr:ext cx="95250" cy="171450"/>
    <xdr:sp macro="" textlink="">
      <xdr:nvSpPr>
        <xdr:cNvPr id="1435" name="Text Box 17">
          <a:extLst>
            <a:ext uri="{FF2B5EF4-FFF2-40B4-BE49-F238E27FC236}">
              <a16:creationId xmlns:a16="http://schemas.microsoft.com/office/drawing/2014/main" id="{00000000-0008-0000-0500-00009B050000}"/>
            </a:ext>
          </a:extLst>
        </xdr:cNvPr>
        <xdr:cNvSpPr txBox="1">
          <a:spLocks noChangeArrowheads="1"/>
        </xdr:cNvSpPr>
      </xdr:nvSpPr>
      <xdr:spPr bwMode="auto">
        <a:xfrm>
          <a:off x="6773182" y="4145643"/>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127</xdr:row>
      <xdr:rowOff>0</xdr:rowOff>
    </xdr:from>
    <xdr:ext cx="95250" cy="171450"/>
    <xdr:sp macro="" textlink="">
      <xdr:nvSpPr>
        <xdr:cNvPr id="1436" name="Text Box 18">
          <a:extLst>
            <a:ext uri="{FF2B5EF4-FFF2-40B4-BE49-F238E27FC236}">
              <a16:creationId xmlns:a16="http://schemas.microsoft.com/office/drawing/2014/main" id="{00000000-0008-0000-0500-00009C050000}"/>
            </a:ext>
          </a:extLst>
        </xdr:cNvPr>
        <xdr:cNvSpPr txBox="1">
          <a:spLocks noChangeArrowheads="1"/>
        </xdr:cNvSpPr>
      </xdr:nvSpPr>
      <xdr:spPr bwMode="auto">
        <a:xfrm>
          <a:off x="6773182" y="4145643"/>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127</xdr:row>
      <xdr:rowOff>0</xdr:rowOff>
    </xdr:from>
    <xdr:ext cx="95250" cy="171450"/>
    <xdr:sp macro="" textlink="">
      <xdr:nvSpPr>
        <xdr:cNvPr id="1437" name="Text Box 16">
          <a:extLst>
            <a:ext uri="{FF2B5EF4-FFF2-40B4-BE49-F238E27FC236}">
              <a16:creationId xmlns:a16="http://schemas.microsoft.com/office/drawing/2014/main" id="{00000000-0008-0000-0500-00009D050000}"/>
            </a:ext>
          </a:extLst>
        </xdr:cNvPr>
        <xdr:cNvSpPr txBox="1">
          <a:spLocks noChangeArrowheads="1"/>
        </xdr:cNvSpPr>
      </xdr:nvSpPr>
      <xdr:spPr bwMode="auto">
        <a:xfrm>
          <a:off x="9616168" y="4145643"/>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127</xdr:row>
      <xdr:rowOff>0</xdr:rowOff>
    </xdr:from>
    <xdr:ext cx="95250" cy="171450"/>
    <xdr:sp macro="" textlink="">
      <xdr:nvSpPr>
        <xdr:cNvPr id="1438" name="Text Box 17">
          <a:extLst>
            <a:ext uri="{FF2B5EF4-FFF2-40B4-BE49-F238E27FC236}">
              <a16:creationId xmlns:a16="http://schemas.microsoft.com/office/drawing/2014/main" id="{00000000-0008-0000-0500-00009E050000}"/>
            </a:ext>
          </a:extLst>
        </xdr:cNvPr>
        <xdr:cNvSpPr txBox="1">
          <a:spLocks noChangeArrowheads="1"/>
        </xdr:cNvSpPr>
      </xdr:nvSpPr>
      <xdr:spPr bwMode="auto">
        <a:xfrm>
          <a:off x="9616168" y="4145643"/>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127</xdr:row>
      <xdr:rowOff>0</xdr:rowOff>
    </xdr:from>
    <xdr:ext cx="95250" cy="171450"/>
    <xdr:sp macro="" textlink="">
      <xdr:nvSpPr>
        <xdr:cNvPr id="1439" name="Text Box 18">
          <a:extLst>
            <a:ext uri="{FF2B5EF4-FFF2-40B4-BE49-F238E27FC236}">
              <a16:creationId xmlns:a16="http://schemas.microsoft.com/office/drawing/2014/main" id="{00000000-0008-0000-0500-00009F050000}"/>
            </a:ext>
          </a:extLst>
        </xdr:cNvPr>
        <xdr:cNvSpPr txBox="1">
          <a:spLocks noChangeArrowheads="1"/>
        </xdr:cNvSpPr>
      </xdr:nvSpPr>
      <xdr:spPr bwMode="auto">
        <a:xfrm>
          <a:off x="9616168" y="4145643"/>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127</xdr:row>
      <xdr:rowOff>0</xdr:rowOff>
    </xdr:from>
    <xdr:ext cx="95250" cy="171450"/>
    <xdr:sp macro="" textlink="">
      <xdr:nvSpPr>
        <xdr:cNvPr id="1440" name="Text Box 19">
          <a:extLst>
            <a:ext uri="{FF2B5EF4-FFF2-40B4-BE49-F238E27FC236}">
              <a16:creationId xmlns:a16="http://schemas.microsoft.com/office/drawing/2014/main" id="{00000000-0008-0000-0500-0000A0050000}"/>
            </a:ext>
          </a:extLst>
        </xdr:cNvPr>
        <xdr:cNvSpPr txBox="1">
          <a:spLocks noChangeArrowheads="1"/>
        </xdr:cNvSpPr>
      </xdr:nvSpPr>
      <xdr:spPr bwMode="auto">
        <a:xfrm>
          <a:off x="9616168" y="4145643"/>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127</xdr:row>
      <xdr:rowOff>0</xdr:rowOff>
    </xdr:from>
    <xdr:ext cx="95250" cy="171450"/>
    <xdr:sp macro="" textlink="">
      <xdr:nvSpPr>
        <xdr:cNvPr id="1441" name="Text Box 16">
          <a:extLst>
            <a:ext uri="{FF2B5EF4-FFF2-40B4-BE49-F238E27FC236}">
              <a16:creationId xmlns:a16="http://schemas.microsoft.com/office/drawing/2014/main" id="{00000000-0008-0000-0500-0000A1050000}"/>
            </a:ext>
          </a:extLst>
        </xdr:cNvPr>
        <xdr:cNvSpPr txBox="1">
          <a:spLocks noChangeArrowheads="1"/>
        </xdr:cNvSpPr>
      </xdr:nvSpPr>
      <xdr:spPr bwMode="auto">
        <a:xfrm>
          <a:off x="9616168" y="4145643"/>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127</xdr:row>
      <xdr:rowOff>0</xdr:rowOff>
    </xdr:from>
    <xdr:ext cx="95250" cy="171450"/>
    <xdr:sp macro="" textlink="">
      <xdr:nvSpPr>
        <xdr:cNvPr id="1442" name="Text Box 17">
          <a:extLst>
            <a:ext uri="{FF2B5EF4-FFF2-40B4-BE49-F238E27FC236}">
              <a16:creationId xmlns:a16="http://schemas.microsoft.com/office/drawing/2014/main" id="{00000000-0008-0000-0500-0000A2050000}"/>
            </a:ext>
          </a:extLst>
        </xdr:cNvPr>
        <xdr:cNvSpPr txBox="1">
          <a:spLocks noChangeArrowheads="1"/>
        </xdr:cNvSpPr>
      </xdr:nvSpPr>
      <xdr:spPr bwMode="auto">
        <a:xfrm>
          <a:off x="9616168" y="4145643"/>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127</xdr:row>
      <xdr:rowOff>0</xdr:rowOff>
    </xdr:from>
    <xdr:ext cx="95250" cy="171450"/>
    <xdr:sp macro="" textlink="">
      <xdr:nvSpPr>
        <xdr:cNvPr id="1443" name="Text Box 18">
          <a:extLst>
            <a:ext uri="{FF2B5EF4-FFF2-40B4-BE49-F238E27FC236}">
              <a16:creationId xmlns:a16="http://schemas.microsoft.com/office/drawing/2014/main" id="{00000000-0008-0000-0500-0000A3050000}"/>
            </a:ext>
          </a:extLst>
        </xdr:cNvPr>
        <xdr:cNvSpPr txBox="1">
          <a:spLocks noChangeArrowheads="1"/>
        </xdr:cNvSpPr>
      </xdr:nvSpPr>
      <xdr:spPr bwMode="auto">
        <a:xfrm>
          <a:off x="9616168" y="4145643"/>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127</xdr:row>
      <xdr:rowOff>0</xdr:rowOff>
    </xdr:from>
    <xdr:ext cx="95250" cy="171450"/>
    <xdr:sp macro="" textlink="">
      <xdr:nvSpPr>
        <xdr:cNvPr id="1444" name="Text Box 19">
          <a:extLst>
            <a:ext uri="{FF2B5EF4-FFF2-40B4-BE49-F238E27FC236}">
              <a16:creationId xmlns:a16="http://schemas.microsoft.com/office/drawing/2014/main" id="{00000000-0008-0000-0500-0000A4050000}"/>
            </a:ext>
          </a:extLst>
        </xdr:cNvPr>
        <xdr:cNvSpPr txBox="1">
          <a:spLocks noChangeArrowheads="1"/>
        </xdr:cNvSpPr>
      </xdr:nvSpPr>
      <xdr:spPr bwMode="auto">
        <a:xfrm>
          <a:off x="9616168" y="4145643"/>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18</xdr:row>
      <xdr:rowOff>0</xdr:rowOff>
    </xdr:from>
    <xdr:ext cx="95250" cy="171450"/>
    <xdr:sp macro="" textlink="">
      <xdr:nvSpPr>
        <xdr:cNvPr id="1445" name="Text Box 16">
          <a:extLst>
            <a:ext uri="{FF2B5EF4-FFF2-40B4-BE49-F238E27FC236}">
              <a16:creationId xmlns:a16="http://schemas.microsoft.com/office/drawing/2014/main" id="{00000000-0008-0000-0500-0000A5050000}"/>
            </a:ext>
          </a:extLst>
        </xdr:cNvPr>
        <xdr:cNvSpPr txBox="1">
          <a:spLocks noChangeArrowheads="1"/>
        </xdr:cNvSpPr>
      </xdr:nvSpPr>
      <xdr:spPr bwMode="auto">
        <a:xfrm>
          <a:off x="3710214" y="4145643"/>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18</xdr:row>
      <xdr:rowOff>0</xdr:rowOff>
    </xdr:from>
    <xdr:ext cx="95250" cy="171450"/>
    <xdr:sp macro="" textlink="">
      <xdr:nvSpPr>
        <xdr:cNvPr id="1446" name="Text Box 17">
          <a:extLst>
            <a:ext uri="{FF2B5EF4-FFF2-40B4-BE49-F238E27FC236}">
              <a16:creationId xmlns:a16="http://schemas.microsoft.com/office/drawing/2014/main" id="{00000000-0008-0000-0500-0000A6050000}"/>
            </a:ext>
          </a:extLst>
        </xdr:cNvPr>
        <xdr:cNvSpPr txBox="1">
          <a:spLocks noChangeArrowheads="1"/>
        </xdr:cNvSpPr>
      </xdr:nvSpPr>
      <xdr:spPr bwMode="auto">
        <a:xfrm>
          <a:off x="3710214" y="4145643"/>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18</xdr:row>
      <xdr:rowOff>0</xdr:rowOff>
    </xdr:from>
    <xdr:ext cx="95250" cy="171450"/>
    <xdr:sp macro="" textlink="">
      <xdr:nvSpPr>
        <xdr:cNvPr id="1447" name="Text Box 18">
          <a:extLst>
            <a:ext uri="{FF2B5EF4-FFF2-40B4-BE49-F238E27FC236}">
              <a16:creationId xmlns:a16="http://schemas.microsoft.com/office/drawing/2014/main" id="{00000000-0008-0000-0500-0000A7050000}"/>
            </a:ext>
          </a:extLst>
        </xdr:cNvPr>
        <xdr:cNvSpPr txBox="1">
          <a:spLocks noChangeArrowheads="1"/>
        </xdr:cNvSpPr>
      </xdr:nvSpPr>
      <xdr:spPr bwMode="auto">
        <a:xfrm>
          <a:off x="3710214" y="4145643"/>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18</xdr:row>
      <xdr:rowOff>0</xdr:rowOff>
    </xdr:from>
    <xdr:ext cx="95250" cy="171450"/>
    <xdr:sp macro="" textlink="">
      <xdr:nvSpPr>
        <xdr:cNvPr id="1448" name="Text Box 19">
          <a:extLst>
            <a:ext uri="{FF2B5EF4-FFF2-40B4-BE49-F238E27FC236}">
              <a16:creationId xmlns:a16="http://schemas.microsoft.com/office/drawing/2014/main" id="{00000000-0008-0000-0500-0000A8050000}"/>
            </a:ext>
          </a:extLst>
        </xdr:cNvPr>
        <xdr:cNvSpPr txBox="1">
          <a:spLocks noChangeArrowheads="1"/>
        </xdr:cNvSpPr>
      </xdr:nvSpPr>
      <xdr:spPr bwMode="auto">
        <a:xfrm>
          <a:off x="3710214" y="4145643"/>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18</xdr:row>
      <xdr:rowOff>0</xdr:rowOff>
    </xdr:from>
    <xdr:ext cx="95250" cy="171450"/>
    <xdr:sp macro="" textlink="">
      <xdr:nvSpPr>
        <xdr:cNvPr id="1449" name="Text Box 16">
          <a:extLst>
            <a:ext uri="{FF2B5EF4-FFF2-40B4-BE49-F238E27FC236}">
              <a16:creationId xmlns:a16="http://schemas.microsoft.com/office/drawing/2014/main" id="{00000000-0008-0000-0500-0000A9050000}"/>
            </a:ext>
          </a:extLst>
        </xdr:cNvPr>
        <xdr:cNvSpPr txBox="1">
          <a:spLocks noChangeArrowheads="1"/>
        </xdr:cNvSpPr>
      </xdr:nvSpPr>
      <xdr:spPr bwMode="auto">
        <a:xfrm>
          <a:off x="6773182" y="4145643"/>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18</xdr:row>
      <xdr:rowOff>0</xdr:rowOff>
    </xdr:from>
    <xdr:ext cx="95250" cy="171450"/>
    <xdr:sp macro="" textlink="">
      <xdr:nvSpPr>
        <xdr:cNvPr id="1450" name="Text Box 17">
          <a:extLst>
            <a:ext uri="{FF2B5EF4-FFF2-40B4-BE49-F238E27FC236}">
              <a16:creationId xmlns:a16="http://schemas.microsoft.com/office/drawing/2014/main" id="{00000000-0008-0000-0500-0000AA050000}"/>
            </a:ext>
          </a:extLst>
        </xdr:cNvPr>
        <xdr:cNvSpPr txBox="1">
          <a:spLocks noChangeArrowheads="1"/>
        </xdr:cNvSpPr>
      </xdr:nvSpPr>
      <xdr:spPr bwMode="auto">
        <a:xfrm>
          <a:off x="6773182" y="4145643"/>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18</xdr:row>
      <xdr:rowOff>0</xdr:rowOff>
    </xdr:from>
    <xdr:ext cx="95250" cy="171450"/>
    <xdr:sp macro="" textlink="">
      <xdr:nvSpPr>
        <xdr:cNvPr id="1451" name="Text Box 18">
          <a:extLst>
            <a:ext uri="{FF2B5EF4-FFF2-40B4-BE49-F238E27FC236}">
              <a16:creationId xmlns:a16="http://schemas.microsoft.com/office/drawing/2014/main" id="{00000000-0008-0000-0500-0000AB050000}"/>
            </a:ext>
          </a:extLst>
        </xdr:cNvPr>
        <xdr:cNvSpPr txBox="1">
          <a:spLocks noChangeArrowheads="1"/>
        </xdr:cNvSpPr>
      </xdr:nvSpPr>
      <xdr:spPr bwMode="auto">
        <a:xfrm>
          <a:off x="6773182" y="4145643"/>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18</xdr:row>
      <xdr:rowOff>0</xdr:rowOff>
    </xdr:from>
    <xdr:ext cx="95250" cy="171450"/>
    <xdr:sp macro="" textlink="">
      <xdr:nvSpPr>
        <xdr:cNvPr id="1452" name="Text Box 19">
          <a:extLst>
            <a:ext uri="{FF2B5EF4-FFF2-40B4-BE49-F238E27FC236}">
              <a16:creationId xmlns:a16="http://schemas.microsoft.com/office/drawing/2014/main" id="{00000000-0008-0000-0500-0000AC050000}"/>
            </a:ext>
          </a:extLst>
        </xdr:cNvPr>
        <xdr:cNvSpPr txBox="1">
          <a:spLocks noChangeArrowheads="1"/>
        </xdr:cNvSpPr>
      </xdr:nvSpPr>
      <xdr:spPr bwMode="auto">
        <a:xfrm>
          <a:off x="6773182" y="4145643"/>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21</xdr:col>
      <xdr:colOff>364435</xdr:colOff>
      <xdr:row>18</xdr:row>
      <xdr:rowOff>66260</xdr:rowOff>
    </xdr:from>
    <xdr:ext cx="95250" cy="171450"/>
    <xdr:sp macro="" textlink="">
      <xdr:nvSpPr>
        <xdr:cNvPr id="1453" name="Text Box 16">
          <a:extLst>
            <a:ext uri="{FF2B5EF4-FFF2-40B4-BE49-F238E27FC236}">
              <a16:creationId xmlns:a16="http://schemas.microsoft.com/office/drawing/2014/main" id="{00000000-0008-0000-0500-0000AD050000}"/>
            </a:ext>
          </a:extLst>
        </xdr:cNvPr>
        <xdr:cNvSpPr txBox="1">
          <a:spLocks noChangeArrowheads="1"/>
        </xdr:cNvSpPr>
      </xdr:nvSpPr>
      <xdr:spPr bwMode="auto">
        <a:xfrm>
          <a:off x="26901913" y="8439977"/>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21</xdr:col>
      <xdr:colOff>0</xdr:colOff>
      <xdr:row>18</xdr:row>
      <xdr:rowOff>157370</xdr:rowOff>
    </xdr:from>
    <xdr:ext cx="95250" cy="171450"/>
    <xdr:sp macro="" textlink="">
      <xdr:nvSpPr>
        <xdr:cNvPr id="1454" name="Text Box 17">
          <a:extLst>
            <a:ext uri="{FF2B5EF4-FFF2-40B4-BE49-F238E27FC236}">
              <a16:creationId xmlns:a16="http://schemas.microsoft.com/office/drawing/2014/main" id="{00000000-0008-0000-0500-0000AE050000}"/>
            </a:ext>
          </a:extLst>
        </xdr:cNvPr>
        <xdr:cNvSpPr txBox="1">
          <a:spLocks noChangeArrowheads="1"/>
        </xdr:cNvSpPr>
      </xdr:nvSpPr>
      <xdr:spPr bwMode="auto">
        <a:xfrm>
          <a:off x="26537478" y="8531087"/>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21</xdr:col>
      <xdr:colOff>182218</xdr:colOff>
      <xdr:row>17</xdr:row>
      <xdr:rowOff>347869</xdr:rowOff>
    </xdr:from>
    <xdr:ext cx="95250" cy="171450"/>
    <xdr:sp macro="" textlink="">
      <xdr:nvSpPr>
        <xdr:cNvPr id="1455" name="Text Box 18">
          <a:extLst>
            <a:ext uri="{FF2B5EF4-FFF2-40B4-BE49-F238E27FC236}">
              <a16:creationId xmlns:a16="http://schemas.microsoft.com/office/drawing/2014/main" id="{00000000-0008-0000-0500-0000AF050000}"/>
            </a:ext>
          </a:extLst>
        </xdr:cNvPr>
        <xdr:cNvSpPr txBox="1">
          <a:spLocks noChangeArrowheads="1"/>
        </xdr:cNvSpPr>
      </xdr:nvSpPr>
      <xdr:spPr bwMode="auto">
        <a:xfrm>
          <a:off x="26719696" y="8348869"/>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21</xdr:col>
      <xdr:colOff>190500</xdr:colOff>
      <xdr:row>18</xdr:row>
      <xdr:rowOff>132521</xdr:rowOff>
    </xdr:from>
    <xdr:ext cx="95250" cy="171450"/>
    <xdr:sp macro="" textlink="">
      <xdr:nvSpPr>
        <xdr:cNvPr id="1456" name="Text Box 19">
          <a:extLst>
            <a:ext uri="{FF2B5EF4-FFF2-40B4-BE49-F238E27FC236}">
              <a16:creationId xmlns:a16="http://schemas.microsoft.com/office/drawing/2014/main" id="{00000000-0008-0000-0500-0000B0050000}"/>
            </a:ext>
          </a:extLst>
        </xdr:cNvPr>
        <xdr:cNvSpPr txBox="1">
          <a:spLocks noChangeArrowheads="1"/>
        </xdr:cNvSpPr>
      </xdr:nvSpPr>
      <xdr:spPr bwMode="auto">
        <a:xfrm>
          <a:off x="26727978" y="8506238"/>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14</xdr:row>
      <xdr:rowOff>504825</xdr:rowOff>
    </xdr:from>
    <xdr:ext cx="95250" cy="444014"/>
    <xdr:sp macro="" textlink="">
      <xdr:nvSpPr>
        <xdr:cNvPr id="1457" name="Text Box 15">
          <a:extLst>
            <a:ext uri="{FF2B5EF4-FFF2-40B4-BE49-F238E27FC236}">
              <a16:creationId xmlns:a16="http://schemas.microsoft.com/office/drawing/2014/main" id="{00000000-0008-0000-0500-0000B1050000}"/>
            </a:ext>
          </a:extLst>
        </xdr:cNvPr>
        <xdr:cNvSpPr txBox="1">
          <a:spLocks noChangeArrowheads="1"/>
        </xdr:cNvSpPr>
      </xdr:nvSpPr>
      <xdr:spPr bwMode="auto">
        <a:xfrm>
          <a:off x="3710214" y="4115254"/>
          <a:ext cx="95250" cy="444014"/>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18</xdr:row>
      <xdr:rowOff>0</xdr:rowOff>
    </xdr:from>
    <xdr:ext cx="95250" cy="171450"/>
    <xdr:sp macro="" textlink="">
      <xdr:nvSpPr>
        <xdr:cNvPr id="1458" name="Text Box 16">
          <a:extLst>
            <a:ext uri="{FF2B5EF4-FFF2-40B4-BE49-F238E27FC236}">
              <a16:creationId xmlns:a16="http://schemas.microsoft.com/office/drawing/2014/main" id="{00000000-0008-0000-0500-0000B2050000}"/>
            </a:ext>
          </a:extLst>
        </xdr:cNvPr>
        <xdr:cNvSpPr txBox="1">
          <a:spLocks noChangeArrowheads="1"/>
        </xdr:cNvSpPr>
      </xdr:nvSpPr>
      <xdr:spPr bwMode="auto">
        <a:xfrm>
          <a:off x="3710214" y="4145643"/>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18</xdr:row>
      <xdr:rowOff>0</xdr:rowOff>
    </xdr:from>
    <xdr:ext cx="95250" cy="171450"/>
    <xdr:sp macro="" textlink="">
      <xdr:nvSpPr>
        <xdr:cNvPr id="1459" name="Text Box 17">
          <a:extLst>
            <a:ext uri="{FF2B5EF4-FFF2-40B4-BE49-F238E27FC236}">
              <a16:creationId xmlns:a16="http://schemas.microsoft.com/office/drawing/2014/main" id="{00000000-0008-0000-0500-0000B3050000}"/>
            </a:ext>
          </a:extLst>
        </xdr:cNvPr>
        <xdr:cNvSpPr txBox="1">
          <a:spLocks noChangeArrowheads="1"/>
        </xdr:cNvSpPr>
      </xdr:nvSpPr>
      <xdr:spPr bwMode="auto">
        <a:xfrm>
          <a:off x="3710214" y="4145643"/>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18</xdr:row>
      <xdr:rowOff>0</xdr:rowOff>
    </xdr:from>
    <xdr:ext cx="95250" cy="171450"/>
    <xdr:sp macro="" textlink="">
      <xdr:nvSpPr>
        <xdr:cNvPr id="1460" name="Text Box 18">
          <a:extLst>
            <a:ext uri="{FF2B5EF4-FFF2-40B4-BE49-F238E27FC236}">
              <a16:creationId xmlns:a16="http://schemas.microsoft.com/office/drawing/2014/main" id="{00000000-0008-0000-0500-0000B4050000}"/>
            </a:ext>
          </a:extLst>
        </xdr:cNvPr>
        <xdr:cNvSpPr txBox="1">
          <a:spLocks noChangeArrowheads="1"/>
        </xdr:cNvSpPr>
      </xdr:nvSpPr>
      <xdr:spPr bwMode="auto">
        <a:xfrm>
          <a:off x="3710214" y="4145643"/>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18</xdr:row>
      <xdr:rowOff>0</xdr:rowOff>
    </xdr:from>
    <xdr:ext cx="95250" cy="171450"/>
    <xdr:sp macro="" textlink="">
      <xdr:nvSpPr>
        <xdr:cNvPr id="1461" name="Text Box 19">
          <a:extLst>
            <a:ext uri="{FF2B5EF4-FFF2-40B4-BE49-F238E27FC236}">
              <a16:creationId xmlns:a16="http://schemas.microsoft.com/office/drawing/2014/main" id="{00000000-0008-0000-0500-0000B5050000}"/>
            </a:ext>
          </a:extLst>
        </xdr:cNvPr>
        <xdr:cNvSpPr txBox="1">
          <a:spLocks noChangeArrowheads="1"/>
        </xdr:cNvSpPr>
      </xdr:nvSpPr>
      <xdr:spPr bwMode="auto">
        <a:xfrm>
          <a:off x="3710214" y="4145643"/>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14</xdr:row>
      <xdr:rowOff>504825</xdr:rowOff>
    </xdr:from>
    <xdr:ext cx="95250" cy="442269"/>
    <xdr:sp macro="" textlink="">
      <xdr:nvSpPr>
        <xdr:cNvPr id="1462" name="Text Box 15">
          <a:extLst>
            <a:ext uri="{FF2B5EF4-FFF2-40B4-BE49-F238E27FC236}">
              <a16:creationId xmlns:a16="http://schemas.microsoft.com/office/drawing/2014/main" id="{00000000-0008-0000-0500-0000B6050000}"/>
            </a:ext>
          </a:extLst>
        </xdr:cNvPr>
        <xdr:cNvSpPr txBox="1">
          <a:spLocks noChangeArrowheads="1"/>
        </xdr:cNvSpPr>
      </xdr:nvSpPr>
      <xdr:spPr bwMode="auto">
        <a:xfrm>
          <a:off x="6773182" y="4115254"/>
          <a:ext cx="95250" cy="442269"/>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18</xdr:row>
      <xdr:rowOff>0</xdr:rowOff>
    </xdr:from>
    <xdr:ext cx="95250" cy="171450"/>
    <xdr:sp macro="" textlink="">
      <xdr:nvSpPr>
        <xdr:cNvPr id="1463" name="Text Box 16">
          <a:extLst>
            <a:ext uri="{FF2B5EF4-FFF2-40B4-BE49-F238E27FC236}">
              <a16:creationId xmlns:a16="http://schemas.microsoft.com/office/drawing/2014/main" id="{00000000-0008-0000-0500-0000B7050000}"/>
            </a:ext>
          </a:extLst>
        </xdr:cNvPr>
        <xdr:cNvSpPr txBox="1">
          <a:spLocks noChangeArrowheads="1"/>
        </xdr:cNvSpPr>
      </xdr:nvSpPr>
      <xdr:spPr bwMode="auto">
        <a:xfrm>
          <a:off x="6773182" y="4145643"/>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18</xdr:row>
      <xdr:rowOff>0</xdr:rowOff>
    </xdr:from>
    <xdr:ext cx="95250" cy="171450"/>
    <xdr:sp macro="" textlink="">
      <xdr:nvSpPr>
        <xdr:cNvPr id="1464" name="Text Box 17">
          <a:extLst>
            <a:ext uri="{FF2B5EF4-FFF2-40B4-BE49-F238E27FC236}">
              <a16:creationId xmlns:a16="http://schemas.microsoft.com/office/drawing/2014/main" id="{00000000-0008-0000-0500-0000B8050000}"/>
            </a:ext>
          </a:extLst>
        </xdr:cNvPr>
        <xdr:cNvSpPr txBox="1">
          <a:spLocks noChangeArrowheads="1"/>
        </xdr:cNvSpPr>
      </xdr:nvSpPr>
      <xdr:spPr bwMode="auto">
        <a:xfrm>
          <a:off x="6773182" y="4145643"/>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18</xdr:row>
      <xdr:rowOff>0</xdr:rowOff>
    </xdr:from>
    <xdr:ext cx="95250" cy="171450"/>
    <xdr:sp macro="" textlink="">
      <xdr:nvSpPr>
        <xdr:cNvPr id="1465" name="Text Box 18">
          <a:extLst>
            <a:ext uri="{FF2B5EF4-FFF2-40B4-BE49-F238E27FC236}">
              <a16:creationId xmlns:a16="http://schemas.microsoft.com/office/drawing/2014/main" id="{00000000-0008-0000-0500-0000B9050000}"/>
            </a:ext>
          </a:extLst>
        </xdr:cNvPr>
        <xdr:cNvSpPr txBox="1">
          <a:spLocks noChangeArrowheads="1"/>
        </xdr:cNvSpPr>
      </xdr:nvSpPr>
      <xdr:spPr bwMode="auto">
        <a:xfrm>
          <a:off x="6773182" y="4145643"/>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18</xdr:row>
      <xdr:rowOff>0</xdr:rowOff>
    </xdr:from>
    <xdr:ext cx="95250" cy="171450"/>
    <xdr:sp macro="" textlink="">
      <xdr:nvSpPr>
        <xdr:cNvPr id="1466" name="Text Box 16">
          <a:extLst>
            <a:ext uri="{FF2B5EF4-FFF2-40B4-BE49-F238E27FC236}">
              <a16:creationId xmlns:a16="http://schemas.microsoft.com/office/drawing/2014/main" id="{00000000-0008-0000-0500-0000BA050000}"/>
            </a:ext>
          </a:extLst>
        </xdr:cNvPr>
        <xdr:cNvSpPr txBox="1">
          <a:spLocks noChangeArrowheads="1"/>
        </xdr:cNvSpPr>
      </xdr:nvSpPr>
      <xdr:spPr bwMode="auto">
        <a:xfrm>
          <a:off x="9616168" y="4145643"/>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18</xdr:row>
      <xdr:rowOff>0</xdr:rowOff>
    </xdr:from>
    <xdr:ext cx="95250" cy="171450"/>
    <xdr:sp macro="" textlink="">
      <xdr:nvSpPr>
        <xdr:cNvPr id="1467" name="Text Box 17">
          <a:extLst>
            <a:ext uri="{FF2B5EF4-FFF2-40B4-BE49-F238E27FC236}">
              <a16:creationId xmlns:a16="http://schemas.microsoft.com/office/drawing/2014/main" id="{00000000-0008-0000-0500-0000BB050000}"/>
            </a:ext>
          </a:extLst>
        </xdr:cNvPr>
        <xdr:cNvSpPr txBox="1">
          <a:spLocks noChangeArrowheads="1"/>
        </xdr:cNvSpPr>
      </xdr:nvSpPr>
      <xdr:spPr bwMode="auto">
        <a:xfrm>
          <a:off x="9616168" y="4145643"/>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18</xdr:row>
      <xdr:rowOff>0</xdr:rowOff>
    </xdr:from>
    <xdr:ext cx="95250" cy="171450"/>
    <xdr:sp macro="" textlink="">
      <xdr:nvSpPr>
        <xdr:cNvPr id="1468" name="Text Box 18">
          <a:extLst>
            <a:ext uri="{FF2B5EF4-FFF2-40B4-BE49-F238E27FC236}">
              <a16:creationId xmlns:a16="http://schemas.microsoft.com/office/drawing/2014/main" id="{00000000-0008-0000-0500-0000BC050000}"/>
            </a:ext>
          </a:extLst>
        </xdr:cNvPr>
        <xdr:cNvSpPr txBox="1">
          <a:spLocks noChangeArrowheads="1"/>
        </xdr:cNvSpPr>
      </xdr:nvSpPr>
      <xdr:spPr bwMode="auto">
        <a:xfrm>
          <a:off x="9616168" y="4145643"/>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18</xdr:row>
      <xdr:rowOff>0</xdr:rowOff>
    </xdr:from>
    <xdr:ext cx="95250" cy="171450"/>
    <xdr:sp macro="" textlink="">
      <xdr:nvSpPr>
        <xdr:cNvPr id="1469" name="Text Box 19">
          <a:extLst>
            <a:ext uri="{FF2B5EF4-FFF2-40B4-BE49-F238E27FC236}">
              <a16:creationId xmlns:a16="http://schemas.microsoft.com/office/drawing/2014/main" id="{00000000-0008-0000-0500-0000BD050000}"/>
            </a:ext>
          </a:extLst>
        </xdr:cNvPr>
        <xdr:cNvSpPr txBox="1">
          <a:spLocks noChangeArrowheads="1"/>
        </xdr:cNvSpPr>
      </xdr:nvSpPr>
      <xdr:spPr bwMode="auto">
        <a:xfrm>
          <a:off x="9616168" y="4145643"/>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18</xdr:row>
      <xdr:rowOff>0</xdr:rowOff>
    </xdr:from>
    <xdr:ext cx="95250" cy="171450"/>
    <xdr:sp macro="" textlink="">
      <xdr:nvSpPr>
        <xdr:cNvPr id="1470" name="Text Box 16">
          <a:extLst>
            <a:ext uri="{FF2B5EF4-FFF2-40B4-BE49-F238E27FC236}">
              <a16:creationId xmlns:a16="http://schemas.microsoft.com/office/drawing/2014/main" id="{00000000-0008-0000-0500-0000BE050000}"/>
            </a:ext>
          </a:extLst>
        </xdr:cNvPr>
        <xdr:cNvSpPr txBox="1">
          <a:spLocks noChangeArrowheads="1"/>
        </xdr:cNvSpPr>
      </xdr:nvSpPr>
      <xdr:spPr bwMode="auto">
        <a:xfrm>
          <a:off x="9616168" y="4145643"/>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18</xdr:row>
      <xdr:rowOff>0</xdr:rowOff>
    </xdr:from>
    <xdr:ext cx="95250" cy="171450"/>
    <xdr:sp macro="" textlink="">
      <xdr:nvSpPr>
        <xdr:cNvPr id="1471" name="Text Box 17">
          <a:extLst>
            <a:ext uri="{FF2B5EF4-FFF2-40B4-BE49-F238E27FC236}">
              <a16:creationId xmlns:a16="http://schemas.microsoft.com/office/drawing/2014/main" id="{00000000-0008-0000-0500-0000BF050000}"/>
            </a:ext>
          </a:extLst>
        </xdr:cNvPr>
        <xdr:cNvSpPr txBox="1">
          <a:spLocks noChangeArrowheads="1"/>
        </xdr:cNvSpPr>
      </xdr:nvSpPr>
      <xdr:spPr bwMode="auto">
        <a:xfrm>
          <a:off x="9616168" y="4145643"/>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18</xdr:row>
      <xdr:rowOff>0</xdr:rowOff>
    </xdr:from>
    <xdr:ext cx="95250" cy="171450"/>
    <xdr:sp macro="" textlink="">
      <xdr:nvSpPr>
        <xdr:cNvPr id="1472" name="Text Box 18">
          <a:extLst>
            <a:ext uri="{FF2B5EF4-FFF2-40B4-BE49-F238E27FC236}">
              <a16:creationId xmlns:a16="http://schemas.microsoft.com/office/drawing/2014/main" id="{00000000-0008-0000-0500-0000C0050000}"/>
            </a:ext>
          </a:extLst>
        </xdr:cNvPr>
        <xdr:cNvSpPr txBox="1">
          <a:spLocks noChangeArrowheads="1"/>
        </xdr:cNvSpPr>
      </xdr:nvSpPr>
      <xdr:spPr bwMode="auto">
        <a:xfrm>
          <a:off x="9616168" y="4145643"/>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18</xdr:row>
      <xdr:rowOff>504825</xdr:rowOff>
    </xdr:from>
    <xdr:ext cx="95250" cy="448496"/>
    <xdr:sp macro="" textlink="">
      <xdr:nvSpPr>
        <xdr:cNvPr id="1474" name="Text Box 15">
          <a:extLst>
            <a:ext uri="{FF2B5EF4-FFF2-40B4-BE49-F238E27FC236}">
              <a16:creationId xmlns:a16="http://schemas.microsoft.com/office/drawing/2014/main" id="{00000000-0008-0000-0500-0000C2050000}"/>
            </a:ext>
          </a:extLst>
        </xdr:cNvPr>
        <xdr:cNvSpPr txBox="1">
          <a:spLocks noChangeArrowheads="1"/>
        </xdr:cNvSpPr>
      </xdr:nvSpPr>
      <xdr:spPr bwMode="auto">
        <a:xfrm>
          <a:off x="3706091" y="4508789"/>
          <a:ext cx="95250" cy="448496"/>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18</xdr:row>
      <xdr:rowOff>504825</xdr:rowOff>
    </xdr:from>
    <xdr:ext cx="95250" cy="442269"/>
    <xdr:sp macro="" textlink="">
      <xdr:nvSpPr>
        <xdr:cNvPr id="1475" name="Text Box 15">
          <a:extLst>
            <a:ext uri="{FF2B5EF4-FFF2-40B4-BE49-F238E27FC236}">
              <a16:creationId xmlns:a16="http://schemas.microsoft.com/office/drawing/2014/main" id="{00000000-0008-0000-0500-0000C3050000}"/>
            </a:ext>
          </a:extLst>
        </xdr:cNvPr>
        <xdr:cNvSpPr txBox="1">
          <a:spLocks noChangeArrowheads="1"/>
        </xdr:cNvSpPr>
      </xdr:nvSpPr>
      <xdr:spPr bwMode="auto">
        <a:xfrm>
          <a:off x="6768234" y="4508789"/>
          <a:ext cx="95250" cy="442269"/>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18</xdr:row>
      <xdr:rowOff>504825</xdr:rowOff>
    </xdr:from>
    <xdr:ext cx="95250" cy="213632"/>
    <xdr:sp macro="" textlink="">
      <xdr:nvSpPr>
        <xdr:cNvPr id="1477" name="Text Box 15">
          <a:extLst>
            <a:ext uri="{FF2B5EF4-FFF2-40B4-BE49-F238E27FC236}">
              <a16:creationId xmlns:a16="http://schemas.microsoft.com/office/drawing/2014/main" id="{00000000-0008-0000-0500-0000C5050000}"/>
            </a:ext>
          </a:extLst>
        </xdr:cNvPr>
        <xdr:cNvSpPr txBox="1">
          <a:spLocks noChangeArrowheads="1"/>
        </xdr:cNvSpPr>
      </xdr:nvSpPr>
      <xdr:spPr bwMode="auto">
        <a:xfrm>
          <a:off x="3706091" y="4508789"/>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18</xdr:row>
      <xdr:rowOff>504825</xdr:rowOff>
    </xdr:from>
    <xdr:ext cx="95250" cy="444331"/>
    <xdr:sp macro="" textlink="">
      <xdr:nvSpPr>
        <xdr:cNvPr id="1478" name="Text Box 15">
          <a:extLst>
            <a:ext uri="{FF2B5EF4-FFF2-40B4-BE49-F238E27FC236}">
              <a16:creationId xmlns:a16="http://schemas.microsoft.com/office/drawing/2014/main" id="{00000000-0008-0000-0500-0000C6050000}"/>
            </a:ext>
          </a:extLst>
        </xdr:cNvPr>
        <xdr:cNvSpPr txBox="1">
          <a:spLocks noChangeArrowheads="1"/>
        </xdr:cNvSpPr>
      </xdr:nvSpPr>
      <xdr:spPr bwMode="auto">
        <a:xfrm>
          <a:off x="3706091" y="4508789"/>
          <a:ext cx="95250" cy="444331"/>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10</xdr:col>
      <xdr:colOff>28575</xdr:colOff>
      <xdr:row>18</xdr:row>
      <xdr:rowOff>170392</xdr:rowOff>
    </xdr:from>
    <xdr:ext cx="95250" cy="213632"/>
    <xdr:sp macro="" textlink="">
      <xdr:nvSpPr>
        <xdr:cNvPr id="1479" name="Text Box 15">
          <a:extLst>
            <a:ext uri="{FF2B5EF4-FFF2-40B4-BE49-F238E27FC236}">
              <a16:creationId xmlns:a16="http://schemas.microsoft.com/office/drawing/2014/main" id="{00000000-0008-0000-0500-0000C7050000}"/>
            </a:ext>
          </a:extLst>
        </xdr:cNvPr>
        <xdr:cNvSpPr txBox="1">
          <a:spLocks noChangeArrowheads="1"/>
        </xdr:cNvSpPr>
      </xdr:nvSpPr>
      <xdr:spPr bwMode="auto">
        <a:xfrm>
          <a:off x="8452908" y="432964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24</xdr:row>
      <xdr:rowOff>0</xdr:rowOff>
    </xdr:from>
    <xdr:ext cx="95250" cy="171450"/>
    <xdr:sp macro="" textlink="">
      <xdr:nvSpPr>
        <xdr:cNvPr id="1480" name="Text Box 16">
          <a:extLst>
            <a:ext uri="{FF2B5EF4-FFF2-40B4-BE49-F238E27FC236}">
              <a16:creationId xmlns:a16="http://schemas.microsoft.com/office/drawing/2014/main" id="{00000000-0008-0000-0500-0000C8050000}"/>
            </a:ext>
          </a:extLst>
        </xdr:cNvPr>
        <xdr:cNvSpPr txBox="1">
          <a:spLocks noChangeArrowheads="1"/>
        </xdr:cNvSpPr>
      </xdr:nvSpPr>
      <xdr:spPr bwMode="auto">
        <a:xfrm>
          <a:off x="3706091" y="5403273"/>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24</xdr:row>
      <xdr:rowOff>0</xdr:rowOff>
    </xdr:from>
    <xdr:ext cx="95250" cy="171450"/>
    <xdr:sp macro="" textlink="">
      <xdr:nvSpPr>
        <xdr:cNvPr id="1481" name="Text Box 17">
          <a:extLst>
            <a:ext uri="{FF2B5EF4-FFF2-40B4-BE49-F238E27FC236}">
              <a16:creationId xmlns:a16="http://schemas.microsoft.com/office/drawing/2014/main" id="{00000000-0008-0000-0500-0000C9050000}"/>
            </a:ext>
          </a:extLst>
        </xdr:cNvPr>
        <xdr:cNvSpPr txBox="1">
          <a:spLocks noChangeArrowheads="1"/>
        </xdr:cNvSpPr>
      </xdr:nvSpPr>
      <xdr:spPr bwMode="auto">
        <a:xfrm>
          <a:off x="3706091" y="5403273"/>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24</xdr:row>
      <xdr:rowOff>0</xdr:rowOff>
    </xdr:from>
    <xdr:ext cx="95250" cy="171450"/>
    <xdr:sp macro="" textlink="">
      <xdr:nvSpPr>
        <xdr:cNvPr id="1482" name="Text Box 18">
          <a:extLst>
            <a:ext uri="{FF2B5EF4-FFF2-40B4-BE49-F238E27FC236}">
              <a16:creationId xmlns:a16="http://schemas.microsoft.com/office/drawing/2014/main" id="{00000000-0008-0000-0500-0000CA050000}"/>
            </a:ext>
          </a:extLst>
        </xdr:cNvPr>
        <xdr:cNvSpPr txBox="1">
          <a:spLocks noChangeArrowheads="1"/>
        </xdr:cNvSpPr>
      </xdr:nvSpPr>
      <xdr:spPr bwMode="auto">
        <a:xfrm>
          <a:off x="3706091" y="5403273"/>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24</xdr:row>
      <xdr:rowOff>0</xdr:rowOff>
    </xdr:from>
    <xdr:ext cx="95250" cy="171450"/>
    <xdr:sp macro="" textlink="">
      <xdr:nvSpPr>
        <xdr:cNvPr id="1483" name="Text Box 19">
          <a:extLst>
            <a:ext uri="{FF2B5EF4-FFF2-40B4-BE49-F238E27FC236}">
              <a16:creationId xmlns:a16="http://schemas.microsoft.com/office/drawing/2014/main" id="{00000000-0008-0000-0500-0000CB050000}"/>
            </a:ext>
          </a:extLst>
        </xdr:cNvPr>
        <xdr:cNvSpPr txBox="1">
          <a:spLocks noChangeArrowheads="1"/>
        </xdr:cNvSpPr>
      </xdr:nvSpPr>
      <xdr:spPr bwMode="auto">
        <a:xfrm>
          <a:off x="3706091" y="5403273"/>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24</xdr:row>
      <xdr:rowOff>0</xdr:rowOff>
    </xdr:from>
    <xdr:ext cx="95250" cy="171450"/>
    <xdr:sp macro="" textlink="">
      <xdr:nvSpPr>
        <xdr:cNvPr id="1484" name="Text Box 16">
          <a:extLst>
            <a:ext uri="{FF2B5EF4-FFF2-40B4-BE49-F238E27FC236}">
              <a16:creationId xmlns:a16="http://schemas.microsoft.com/office/drawing/2014/main" id="{00000000-0008-0000-0500-0000CC050000}"/>
            </a:ext>
          </a:extLst>
        </xdr:cNvPr>
        <xdr:cNvSpPr txBox="1">
          <a:spLocks noChangeArrowheads="1"/>
        </xdr:cNvSpPr>
      </xdr:nvSpPr>
      <xdr:spPr bwMode="auto">
        <a:xfrm>
          <a:off x="6768234" y="5403273"/>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24</xdr:row>
      <xdr:rowOff>0</xdr:rowOff>
    </xdr:from>
    <xdr:ext cx="95250" cy="171450"/>
    <xdr:sp macro="" textlink="">
      <xdr:nvSpPr>
        <xdr:cNvPr id="1485" name="Text Box 17">
          <a:extLst>
            <a:ext uri="{FF2B5EF4-FFF2-40B4-BE49-F238E27FC236}">
              <a16:creationId xmlns:a16="http://schemas.microsoft.com/office/drawing/2014/main" id="{00000000-0008-0000-0500-0000CD050000}"/>
            </a:ext>
          </a:extLst>
        </xdr:cNvPr>
        <xdr:cNvSpPr txBox="1">
          <a:spLocks noChangeArrowheads="1"/>
        </xdr:cNvSpPr>
      </xdr:nvSpPr>
      <xdr:spPr bwMode="auto">
        <a:xfrm>
          <a:off x="6768234" y="5403273"/>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24</xdr:row>
      <xdr:rowOff>0</xdr:rowOff>
    </xdr:from>
    <xdr:ext cx="95250" cy="171450"/>
    <xdr:sp macro="" textlink="">
      <xdr:nvSpPr>
        <xdr:cNvPr id="1486" name="Text Box 18">
          <a:extLst>
            <a:ext uri="{FF2B5EF4-FFF2-40B4-BE49-F238E27FC236}">
              <a16:creationId xmlns:a16="http://schemas.microsoft.com/office/drawing/2014/main" id="{00000000-0008-0000-0500-0000CE050000}"/>
            </a:ext>
          </a:extLst>
        </xdr:cNvPr>
        <xdr:cNvSpPr txBox="1">
          <a:spLocks noChangeArrowheads="1"/>
        </xdr:cNvSpPr>
      </xdr:nvSpPr>
      <xdr:spPr bwMode="auto">
        <a:xfrm>
          <a:off x="6768234" y="5403273"/>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24</xdr:row>
      <xdr:rowOff>0</xdr:rowOff>
    </xdr:from>
    <xdr:ext cx="95250" cy="171450"/>
    <xdr:sp macro="" textlink="">
      <xdr:nvSpPr>
        <xdr:cNvPr id="1487" name="Text Box 19">
          <a:extLst>
            <a:ext uri="{FF2B5EF4-FFF2-40B4-BE49-F238E27FC236}">
              <a16:creationId xmlns:a16="http://schemas.microsoft.com/office/drawing/2014/main" id="{00000000-0008-0000-0500-0000CF050000}"/>
            </a:ext>
          </a:extLst>
        </xdr:cNvPr>
        <xdr:cNvSpPr txBox="1">
          <a:spLocks noChangeArrowheads="1"/>
        </xdr:cNvSpPr>
      </xdr:nvSpPr>
      <xdr:spPr bwMode="auto">
        <a:xfrm>
          <a:off x="6768234" y="5403273"/>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21</xdr:col>
      <xdr:colOff>0</xdr:colOff>
      <xdr:row>24</xdr:row>
      <xdr:rowOff>0</xdr:rowOff>
    </xdr:from>
    <xdr:ext cx="95250" cy="171450"/>
    <xdr:sp macro="" textlink="">
      <xdr:nvSpPr>
        <xdr:cNvPr id="1488" name="Text Box 16">
          <a:extLst>
            <a:ext uri="{FF2B5EF4-FFF2-40B4-BE49-F238E27FC236}">
              <a16:creationId xmlns:a16="http://schemas.microsoft.com/office/drawing/2014/main" id="{00000000-0008-0000-0500-0000D0050000}"/>
            </a:ext>
          </a:extLst>
        </xdr:cNvPr>
        <xdr:cNvSpPr txBox="1">
          <a:spLocks noChangeArrowheads="1"/>
        </xdr:cNvSpPr>
      </xdr:nvSpPr>
      <xdr:spPr bwMode="auto">
        <a:xfrm>
          <a:off x="48052182" y="5403273"/>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21</xdr:col>
      <xdr:colOff>0</xdr:colOff>
      <xdr:row>24</xdr:row>
      <xdr:rowOff>0</xdr:rowOff>
    </xdr:from>
    <xdr:ext cx="95250" cy="171450"/>
    <xdr:sp macro="" textlink="">
      <xdr:nvSpPr>
        <xdr:cNvPr id="1489" name="Text Box 17">
          <a:extLst>
            <a:ext uri="{FF2B5EF4-FFF2-40B4-BE49-F238E27FC236}">
              <a16:creationId xmlns:a16="http://schemas.microsoft.com/office/drawing/2014/main" id="{00000000-0008-0000-0500-0000D1050000}"/>
            </a:ext>
          </a:extLst>
        </xdr:cNvPr>
        <xdr:cNvSpPr txBox="1">
          <a:spLocks noChangeArrowheads="1"/>
        </xdr:cNvSpPr>
      </xdr:nvSpPr>
      <xdr:spPr bwMode="auto">
        <a:xfrm>
          <a:off x="48052182" y="5403273"/>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21</xdr:col>
      <xdr:colOff>0</xdr:colOff>
      <xdr:row>24</xdr:row>
      <xdr:rowOff>0</xdr:rowOff>
    </xdr:from>
    <xdr:ext cx="95250" cy="171450"/>
    <xdr:sp macro="" textlink="">
      <xdr:nvSpPr>
        <xdr:cNvPr id="1490" name="Text Box 18">
          <a:extLst>
            <a:ext uri="{FF2B5EF4-FFF2-40B4-BE49-F238E27FC236}">
              <a16:creationId xmlns:a16="http://schemas.microsoft.com/office/drawing/2014/main" id="{00000000-0008-0000-0500-0000D2050000}"/>
            </a:ext>
          </a:extLst>
        </xdr:cNvPr>
        <xdr:cNvSpPr txBox="1">
          <a:spLocks noChangeArrowheads="1"/>
        </xdr:cNvSpPr>
      </xdr:nvSpPr>
      <xdr:spPr bwMode="auto">
        <a:xfrm>
          <a:off x="48052182" y="5403273"/>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21</xdr:col>
      <xdr:colOff>0</xdr:colOff>
      <xdr:row>24</xdr:row>
      <xdr:rowOff>0</xdr:rowOff>
    </xdr:from>
    <xdr:ext cx="95250" cy="171450"/>
    <xdr:sp macro="" textlink="">
      <xdr:nvSpPr>
        <xdr:cNvPr id="1491" name="Text Box 19">
          <a:extLst>
            <a:ext uri="{FF2B5EF4-FFF2-40B4-BE49-F238E27FC236}">
              <a16:creationId xmlns:a16="http://schemas.microsoft.com/office/drawing/2014/main" id="{00000000-0008-0000-0500-0000D3050000}"/>
            </a:ext>
          </a:extLst>
        </xdr:cNvPr>
        <xdr:cNvSpPr txBox="1">
          <a:spLocks noChangeArrowheads="1"/>
        </xdr:cNvSpPr>
      </xdr:nvSpPr>
      <xdr:spPr bwMode="auto">
        <a:xfrm>
          <a:off x="48052182" y="5403273"/>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20</xdr:row>
      <xdr:rowOff>504825</xdr:rowOff>
    </xdr:from>
    <xdr:ext cx="95250" cy="444014"/>
    <xdr:sp macro="" textlink="">
      <xdr:nvSpPr>
        <xdr:cNvPr id="1492" name="Text Box 15">
          <a:extLst>
            <a:ext uri="{FF2B5EF4-FFF2-40B4-BE49-F238E27FC236}">
              <a16:creationId xmlns:a16="http://schemas.microsoft.com/office/drawing/2014/main" id="{00000000-0008-0000-0500-0000D4050000}"/>
            </a:ext>
          </a:extLst>
        </xdr:cNvPr>
        <xdr:cNvSpPr txBox="1">
          <a:spLocks noChangeArrowheads="1"/>
        </xdr:cNvSpPr>
      </xdr:nvSpPr>
      <xdr:spPr bwMode="auto">
        <a:xfrm>
          <a:off x="3706091" y="5377007"/>
          <a:ext cx="95250" cy="444014"/>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24</xdr:row>
      <xdr:rowOff>0</xdr:rowOff>
    </xdr:from>
    <xdr:ext cx="95250" cy="171450"/>
    <xdr:sp macro="" textlink="">
      <xdr:nvSpPr>
        <xdr:cNvPr id="1493" name="Text Box 16">
          <a:extLst>
            <a:ext uri="{FF2B5EF4-FFF2-40B4-BE49-F238E27FC236}">
              <a16:creationId xmlns:a16="http://schemas.microsoft.com/office/drawing/2014/main" id="{00000000-0008-0000-0500-0000D5050000}"/>
            </a:ext>
          </a:extLst>
        </xdr:cNvPr>
        <xdr:cNvSpPr txBox="1">
          <a:spLocks noChangeArrowheads="1"/>
        </xdr:cNvSpPr>
      </xdr:nvSpPr>
      <xdr:spPr bwMode="auto">
        <a:xfrm>
          <a:off x="3706091" y="5403273"/>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24</xdr:row>
      <xdr:rowOff>0</xdr:rowOff>
    </xdr:from>
    <xdr:ext cx="95250" cy="171450"/>
    <xdr:sp macro="" textlink="">
      <xdr:nvSpPr>
        <xdr:cNvPr id="1494" name="Text Box 17">
          <a:extLst>
            <a:ext uri="{FF2B5EF4-FFF2-40B4-BE49-F238E27FC236}">
              <a16:creationId xmlns:a16="http://schemas.microsoft.com/office/drawing/2014/main" id="{00000000-0008-0000-0500-0000D6050000}"/>
            </a:ext>
          </a:extLst>
        </xdr:cNvPr>
        <xdr:cNvSpPr txBox="1">
          <a:spLocks noChangeArrowheads="1"/>
        </xdr:cNvSpPr>
      </xdr:nvSpPr>
      <xdr:spPr bwMode="auto">
        <a:xfrm>
          <a:off x="3706091" y="5403273"/>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24</xdr:row>
      <xdr:rowOff>0</xdr:rowOff>
    </xdr:from>
    <xdr:ext cx="95250" cy="171450"/>
    <xdr:sp macro="" textlink="">
      <xdr:nvSpPr>
        <xdr:cNvPr id="1495" name="Text Box 18">
          <a:extLst>
            <a:ext uri="{FF2B5EF4-FFF2-40B4-BE49-F238E27FC236}">
              <a16:creationId xmlns:a16="http://schemas.microsoft.com/office/drawing/2014/main" id="{00000000-0008-0000-0500-0000D7050000}"/>
            </a:ext>
          </a:extLst>
        </xdr:cNvPr>
        <xdr:cNvSpPr txBox="1">
          <a:spLocks noChangeArrowheads="1"/>
        </xdr:cNvSpPr>
      </xdr:nvSpPr>
      <xdr:spPr bwMode="auto">
        <a:xfrm>
          <a:off x="3706091" y="5403273"/>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24</xdr:row>
      <xdr:rowOff>0</xdr:rowOff>
    </xdr:from>
    <xdr:ext cx="95250" cy="171450"/>
    <xdr:sp macro="" textlink="">
      <xdr:nvSpPr>
        <xdr:cNvPr id="1496" name="Text Box 19">
          <a:extLst>
            <a:ext uri="{FF2B5EF4-FFF2-40B4-BE49-F238E27FC236}">
              <a16:creationId xmlns:a16="http://schemas.microsoft.com/office/drawing/2014/main" id="{00000000-0008-0000-0500-0000D8050000}"/>
            </a:ext>
          </a:extLst>
        </xdr:cNvPr>
        <xdr:cNvSpPr txBox="1">
          <a:spLocks noChangeArrowheads="1"/>
        </xdr:cNvSpPr>
      </xdr:nvSpPr>
      <xdr:spPr bwMode="auto">
        <a:xfrm>
          <a:off x="3706091" y="5403273"/>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24</xdr:row>
      <xdr:rowOff>0</xdr:rowOff>
    </xdr:from>
    <xdr:ext cx="95250" cy="171450"/>
    <xdr:sp macro="" textlink="">
      <xdr:nvSpPr>
        <xdr:cNvPr id="1498" name="Text Box 16">
          <a:extLst>
            <a:ext uri="{FF2B5EF4-FFF2-40B4-BE49-F238E27FC236}">
              <a16:creationId xmlns:a16="http://schemas.microsoft.com/office/drawing/2014/main" id="{00000000-0008-0000-0500-0000DA050000}"/>
            </a:ext>
          </a:extLst>
        </xdr:cNvPr>
        <xdr:cNvSpPr txBox="1">
          <a:spLocks noChangeArrowheads="1"/>
        </xdr:cNvSpPr>
      </xdr:nvSpPr>
      <xdr:spPr bwMode="auto">
        <a:xfrm>
          <a:off x="6768234" y="5403273"/>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24</xdr:row>
      <xdr:rowOff>0</xdr:rowOff>
    </xdr:from>
    <xdr:ext cx="95250" cy="171450"/>
    <xdr:sp macro="" textlink="">
      <xdr:nvSpPr>
        <xdr:cNvPr id="1499" name="Text Box 17">
          <a:extLst>
            <a:ext uri="{FF2B5EF4-FFF2-40B4-BE49-F238E27FC236}">
              <a16:creationId xmlns:a16="http://schemas.microsoft.com/office/drawing/2014/main" id="{00000000-0008-0000-0500-0000DB050000}"/>
            </a:ext>
          </a:extLst>
        </xdr:cNvPr>
        <xdr:cNvSpPr txBox="1">
          <a:spLocks noChangeArrowheads="1"/>
        </xdr:cNvSpPr>
      </xdr:nvSpPr>
      <xdr:spPr bwMode="auto">
        <a:xfrm>
          <a:off x="6768234" y="5403273"/>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24</xdr:row>
      <xdr:rowOff>0</xdr:rowOff>
    </xdr:from>
    <xdr:ext cx="95250" cy="171450"/>
    <xdr:sp macro="" textlink="">
      <xdr:nvSpPr>
        <xdr:cNvPr id="1500" name="Text Box 18">
          <a:extLst>
            <a:ext uri="{FF2B5EF4-FFF2-40B4-BE49-F238E27FC236}">
              <a16:creationId xmlns:a16="http://schemas.microsoft.com/office/drawing/2014/main" id="{00000000-0008-0000-0500-0000DC050000}"/>
            </a:ext>
          </a:extLst>
        </xdr:cNvPr>
        <xdr:cNvSpPr txBox="1">
          <a:spLocks noChangeArrowheads="1"/>
        </xdr:cNvSpPr>
      </xdr:nvSpPr>
      <xdr:spPr bwMode="auto">
        <a:xfrm>
          <a:off x="6768234" y="5403273"/>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24</xdr:row>
      <xdr:rowOff>0</xdr:rowOff>
    </xdr:from>
    <xdr:ext cx="95250" cy="171450"/>
    <xdr:sp macro="" textlink="">
      <xdr:nvSpPr>
        <xdr:cNvPr id="1501" name="Text Box 16">
          <a:extLst>
            <a:ext uri="{FF2B5EF4-FFF2-40B4-BE49-F238E27FC236}">
              <a16:creationId xmlns:a16="http://schemas.microsoft.com/office/drawing/2014/main" id="{00000000-0008-0000-0500-0000DD050000}"/>
            </a:ext>
          </a:extLst>
        </xdr:cNvPr>
        <xdr:cNvSpPr txBox="1">
          <a:spLocks noChangeArrowheads="1"/>
        </xdr:cNvSpPr>
      </xdr:nvSpPr>
      <xdr:spPr bwMode="auto">
        <a:xfrm>
          <a:off x="9615343" y="5403273"/>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24</xdr:row>
      <xdr:rowOff>0</xdr:rowOff>
    </xdr:from>
    <xdr:ext cx="95250" cy="171450"/>
    <xdr:sp macro="" textlink="">
      <xdr:nvSpPr>
        <xdr:cNvPr id="1502" name="Text Box 17">
          <a:extLst>
            <a:ext uri="{FF2B5EF4-FFF2-40B4-BE49-F238E27FC236}">
              <a16:creationId xmlns:a16="http://schemas.microsoft.com/office/drawing/2014/main" id="{00000000-0008-0000-0500-0000DE050000}"/>
            </a:ext>
          </a:extLst>
        </xdr:cNvPr>
        <xdr:cNvSpPr txBox="1">
          <a:spLocks noChangeArrowheads="1"/>
        </xdr:cNvSpPr>
      </xdr:nvSpPr>
      <xdr:spPr bwMode="auto">
        <a:xfrm>
          <a:off x="9615343" y="5403273"/>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24</xdr:row>
      <xdr:rowOff>0</xdr:rowOff>
    </xdr:from>
    <xdr:ext cx="95250" cy="171450"/>
    <xdr:sp macro="" textlink="">
      <xdr:nvSpPr>
        <xdr:cNvPr id="1503" name="Text Box 18">
          <a:extLst>
            <a:ext uri="{FF2B5EF4-FFF2-40B4-BE49-F238E27FC236}">
              <a16:creationId xmlns:a16="http://schemas.microsoft.com/office/drawing/2014/main" id="{00000000-0008-0000-0500-0000DF050000}"/>
            </a:ext>
          </a:extLst>
        </xdr:cNvPr>
        <xdr:cNvSpPr txBox="1">
          <a:spLocks noChangeArrowheads="1"/>
        </xdr:cNvSpPr>
      </xdr:nvSpPr>
      <xdr:spPr bwMode="auto">
        <a:xfrm>
          <a:off x="9615343" y="5403273"/>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24</xdr:row>
      <xdr:rowOff>0</xdr:rowOff>
    </xdr:from>
    <xdr:ext cx="95250" cy="171450"/>
    <xdr:sp macro="" textlink="">
      <xdr:nvSpPr>
        <xdr:cNvPr id="1504" name="Text Box 19">
          <a:extLst>
            <a:ext uri="{FF2B5EF4-FFF2-40B4-BE49-F238E27FC236}">
              <a16:creationId xmlns:a16="http://schemas.microsoft.com/office/drawing/2014/main" id="{00000000-0008-0000-0500-0000E0050000}"/>
            </a:ext>
          </a:extLst>
        </xdr:cNvPr>
        <xdr:cNvSpPr txBox="1">
          <a:spLocks noChangeArrowheads="1"/>
        </xdr:cNvSpPr>
      </xdr:nvSpPr>
      <xdr:spPr bwMode="auto">
        <a:xfrm>
          <a:off x="9615343" y="5403273"/>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24</xdr:row>
      <xdr:rowOff>0</xdr:rowOff>
    </xdr:from>
    <xdr:ext cx="95250" cy="171450"/>
    <xdr:sp macro="" textlink="">
      <xdr:nvSpPr>
        <xdr:cNvPr id="1505" name="Text Box 16">
          <a:extLst>
            <a:ext uri="{FF2B5EF4-FFF2-40B4-BE49-F238E27FC236}">
              <a16:creationId xmlns:a16="http://schemas.microsoft.com/office/drawing/2014/main" id="{00000000-0008-0000-0500-0000E1050000}"/>
            </a:ext>
          </a:extLst>
        </xdr:cNvPr>
        <xdr:cNvSpPr txBox="1">
          <a:spLocks noChangeArrowheads="1"/>
        </xdr:cNvSpPr>
      </xdr:nvSpPr>
      <xdr:spPr bwMode="auto">
        <a:xfrm>
          <a:off x="9615343" y="5403273"/>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24</xdr:row>
      <xdr:rowOff>0</xdr:rowOff>
    </xdr:from>
    <xdr:ext cx="95250" cy="171450"/>
    <xdr:sp macro="" textlink="">
      <xdr:nvSpPr>
        <xdr:cNvPr id="1506" name="Text Box 17">
          <a:extLst>
            <a:ext uri="{FF2B5EF4-FFF2-40B4-BE49-F238E27FC236}">
              <a16:creationId xmlns:a16="http://schemas.microsoft.com/office/drawing/2014/main" id="{00000000-0008-0000-0500-0000E2050000}"/>
            </a:ext>
          </a:extLst>
        </xdr:cNvPr>
        <xdr:cNvSpPr txBox="1">
          <a:spLocks noChangeArrowheads="1"/>
        </xdr:cNvSpPr>
      </xdr:nvSpPr>
      <xdr:spPr bwMode="auto">
        <a:xfrm>
          <a:off x="9615343" y="5403273"/>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24</xdr:row>
      <xdr:rowOff>0</xdr:rowOff>
    </xdr:from>
    <xdr:ext cx="95250" cy="171450"/>
    <xdr:sp macro="" textlink="">
      <xdr:nvSpPr>
        <xdr:cNvPr id="1507" name="Text Box 18">
          <a:extLst>
            <a:ext uri="{FF2B5EF4-FFF2-40B4-BE49-F238E27FC236}">
              <a16:creationId xmlns:a16="http://schemas.microsoft.com/office/drawing/2014/main" id="{00000000-0008-0000-0500-0000E3050000}"/>
            </a:ext>
          </a:extLst>
        </xdr:cNvPr>
        <xdr:cNvSpPr txBox="1">
          <a:spLocks noChangeArrowheads="1"/>
        </xdr:cNvSpPr>
      </xdr:nvSpPr>
      <xdr:spPr bwMode="auto">
        <a:xfrm>
          <a:off x="9615343" y="5403273"/>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24</xdr:row>
      <xdr:rowOff>0</xdr:rowOff>
    </xdr:from>
    <xdr:ext cx="95250" cy="171450"/>
    <xdr:sp macro="" textlink="">
      <xdr:nvSpPr>
        <xdr:cNvPr id="1508" name="Text Box 19">
          <a:extLst>
            <a:ext uri="{FF2B5EF4-FFF2-40B4-BE49-F238E27FC236}">
              <a16:creationId xmlns:a16="http://schemas.microsoft.com/office/drawing/2014/main" id="{00000000-0008-0000-0500-0000E4050000}"/>
            </a:ext>
          </a:extLst>
        </xdr:cNvPr>
        <xdr:cNvSpPr txBox="1">
          <a:spLocks noChangeArrowheads="1"/>
        </xdr:cNvSpPr>
      </xdr:nvSpPr>
      <xdr:spPr bwMode="auto">
        <a:xfrm>
          <a:off x="9615343" y="5403273"/>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30</xdr:row>
      <xdr:rowOff>0</xdr:rowOff>
    </xdr:from>
    <xdr:ext cx="95250" cy="171450"/>
    <xdr:sp macro="" textlink="">
      <xdr:nvSpPr>
        <xdr:cNvPr id="1509" name="Text Box 16">
          <a:extLst>
            <a:ext uri="{FF2B5EF4-FFF2-40B4-BE49-F238E27FC236}">
              <a16:creationId xmlns:a16="http://schemas.microsoft.com/office/drawing/2014/main" id="{00000000-0008-0000-0500-0000E5050000}"/>
            </a:ext>
          </a:extLst>
        </xdr:cNvPr>
        <xdr:cNvSpPr txBox="1">
          <a:spLocks noChangeArrowheads="1"/>
        </xdr:cNvSpPr>
      </xdr:nvSpPr>
      <xdr:spPr bwMode="auto">
        <a:xfrm>
          <a:off x="3706091" y="3613727"/>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30</xdr:row>
      <xdr:rowOff>0</xdr:rowOff>
    </xdr:from>
    <xdr:ext cx="95250" cy="171450"/>
    <xdr:sp macro="" textlink="">
      <xdr:nvSpPr>
        <xdr:cNvPr id="1510" name="Text Box 17">
          <a:extLst>
            <a:ext uri="{FF2B5EF4-FFF2-40B4-BE49-F238E27FC236}">
              <a16:creationId xmlns:a16="http://schemas.microsoft.com/office/drawing/2014/main" id="{00000000-0008-0000-0500-0000E6050000}"/>
            </a:ext>
          </a:extLst>
        </xdr:cNvPr>
        <xdr:cNvSpPr txBox="1">
          <a:spLocks noChangeArrowheads="1"/>
        </xdr:cNvSpPr>
      </xdr:nvSpPr>
      <xdr:spPr bwMode="auto">
        <a:xfrm>
          <a:off x="3706091" y="3613727"/>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30</xdr:row>
      <xdr:rowOff>0</xdr:rowOff>
    </xdr:from>
    <xdr:ext cx="95250" cy="171450"/>
    <xdr:sp macro="" textlink="">
      <xdr:nvSpPr>
        <xdr:cNvPr id="1511" name="Text Box 18">
          <a:extLst>
            <a:ext uri="{FF2B5EF4-FFF2-40B4-BE49-F238E27FC236}">
              <a16:creationId xmlns:a16="http://schemas.microsoft.com/office/drawing/2014/main" id="{00000000-0008-0000-0500-0000E7050000}"/>
            </a:ext>
          </a:extLst>
        </xdr:cNvPr>
        <xdr:cNvSpPr txBox="1">
          <a:spLocks noChangeArrowheads="1"/>
        </xdr:cNvSpPr>
      </xdr:nvSpPr>
      <xdr:spPr bwMode="auto">
        <a:xfrm>
          <a:off x="3706091" y="3613727"/>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30</xdr:row>
      <xdr:rowOff>0</xdr:rowOff>
    </xdr:from>
    <xdr:ext cx="95250" cy="171450"/>
    <xdr:sp macro="" textlink="">
      <xdr:nvSpPr>
        <xdr:cNvPr id="1512" name="Text Box 19">
          <a:extLst>
            <a:ext uri="{FF2B5EF4-FFF2-40B4-BE49-F238E27FC236}">
              <a16:creationId xmlns:a16="http://schemas.microsoft.com/office/drawing/2014/main" id="{00000000-0008-0000-0500-0000E8050000}"/>
            </a:ext>
          </a:extLst>
        </xdr:cNvPr>
        <xdr:cNvSpPr txBox="1">
          <a:spLocks noChangeArrowheads="1"/>
        </xdr:cNvSpPr>
      </xdr:nvSpPr>
      <xdr:spPr bwMode="auto">
        <a:xfrm>
          <a:off x="3706091" y="3613727"/>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30</xdr:row>
      <xdr:rowOff>504825</xdr:rowOff>
    </xdr:from>
    <xdr:ext cx="95250" cy="448496"/>
    <xdr:sp macro="" textlink="">
      <xdr:nvSpPr>
        <xdr:cNvPr id="1513" name="Text Box 15">
          <a:extLst>
            <a:ext uri="{FF2B5EF4-FFF2-40B4-BE49-F238E27FC236}">
              <a16:creationId xmlns:a16="http://schemas.microsoft.com/office/drawing/2014/main" id="{00000000-0008-0000-0500-0000E9050000}"/>
            </a:ext>
          </a:extLst>
        </xdr:cNvPr>
        <xdr:cNvSpPr txBox="1">
          <a:spLocks noChangeArrowheads="1"/>
        </xdr:cNvSpPr>
      </xdr:nvSpPr>
      <xdr:spPr bwMode="auto">
        <a:xfrm>
          <a:off x="3706091" y="3794702"/>
          <a:ext cx="95250" cy="448496"/>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30</xdr:row>
      <xdr:rowOff>0</xdr:rowOff>
    </xdr:from>
    <xdr:ext cx="95250" cy="171450"/>
    <xdr:sp macro="" textlink="">
      <xdr:nvSpPr>
        <xdr:cNvPr id="1514" name="Text Box 16">
          <a:extLst>
            <a:ext uri="{FF2B5EF4-FFF2-40B4-BE49-F238E27FC236}">
              <a16:creationId xmlns:a16="http://schemas.microsoft.com/office/drawing/2014/main" id="{00000000-0008-0000-0500-0000EA050000}"/>
            </a:ext>
          </a:extLst>
        </xdr:cNvPr>
        <xdr:cNvSpPr txBox="1">
          <a:spLocks noChangeArrowheads="1"/>
        </xdr:cNvSpPr>
      </xdr:nvSpPr>
      <xdr:spPr bwMode="auto">
        <a:xfrm>
          <a:off x="6768234" y="3613727"/>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30</xdr:row>
      <xdr:rowOff>0</xdr:rowOff>
    </xdr:from>
    <xdr:ext cx="95250" cy="171450"/>
    <xdr:sp macro="" textlink="">
      <xdr:nvSpPr>
        <xdr:cNvPr id="1515" name="Text Box 17">
          <a:extLst>
            <a:ext uri="{FF2B5EF4-FFF2-40B4-BE49-F238E27FC236}">
              <a16:creationId xmlns:a16="http://schemas.microsoft.com/office/drawing/2014/main" id="{00000000-0008-0000-0500-0000EB050000}"/>
            </a:ext>
          </a:extLst>
        </xdr:cNvPr>
        <xdr:cNvSpPr txBox="1">
          <a:spLocks noChangeArrowheads="1"/>
        </xdr:cNvSpPr>
      </xdr:nvSpPr>
      <xdr:spPr bwMode="auto">
        <a:xfrm>
          <a:off x="6768234" y="3613727"/>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30</xdr:row>
      <xdr:rowOff>0</xdr:rowOff>
    </xdr:from>
    <xdr:ext cx="95250" cy="171450"/>
    <xdr:sp macro="" textlink="">
      <xdr:nvSpPr>
        <xdr:cNvPr id="1516" name="Text Box 18">
          <a:extLst>
            <a:ext uri="{FF2B5EF4-FFF2-40B4-BE49-F238E27FC236}">
              <a16:creationId xmlns:a16="http://schemas.microsoft.com/office/drawing/2014/main" id="{00000000-0008-0000-0500-0000EC050000}"/>
            </a:ext>
          </a:extLst>
        </xdr:cNvPr>
        <xdr:cNvSpPr txBox="1">
          <a:spLocks noChangeArrowheads="1"/>
        </xdr:cNvSpPr>
      </xdr:nvSpPr>
      <xdr:spPr bwMode="auto">
        <a:xfrm>
          <a:off x="6768234" y="3613727"/>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30</xdr:row>
      <xdr:rowOff>0</xdr:rowOff>
    </xdr:from>
    <xdr:ext cx="95250" cy="171450"/>
    <xdr:sp macro="" textlink="">
      <xdr:nvSpPr>
        <xdr:cNvPr id="1517" name="Text Box 19">
          <a:extLst>
            <a:ext uri="{FF2B5EF4-FFF2-40B4-BE49-F238E27FC236}">
              <a16:creationId xmlns:a16="http://schemas.microsoft.com/office/drawing/2014/main" id="{00000000-0008-0000-0500-0000ED050000}"/>
            </a:ext>
          </a:extLst>
        </xdr:cNvPr>
        <xdr:cNvSpPr txBox="1">
          <a:spLocks noChangeArrowheads="1"/>
        </xdr:cNvSpPr>
      </xdr:nvSpPr>
      <xdr:spPr bwMode="auto">
        <a:xfrm>
          <a:off x="6768234" y="3613727"/>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30</xdr:row>
      <xdr:rowOff>504825</xdr:rowOff>
    </xdr:from>
    <xdr:ext cx="95250" cy="442269"/>
    <xdr:sp macro="" textlink="">
      <xdr:nvSpPr>
        <xdr:cNvPr id="1518" name="Text Box 15">
          <a:extLst>
            <a:ext uri="{FF2B5EF4-FFF2-40B4-BE49-F238E27FC236}">
              <a16:creationId xmlns:a16="http://schemas.microsoft.com/office/drawing/2014/main" id="{00000000-0008-0000-0500-0000EE050000}"/>
            </a:ext>
          </a:extLst>
        </xdr:cNvPr>
        <xdr:cNvSpPr txBox="1">
          <a:spLocks noChangeArrowheads="1"/>
        </xdr:cNvSpPr>
      </xdr:nvSpPr>
      <xdr:spPr bwMode="auto">
        <a:xfrm>
          <a:off x="6768234" y="3794702"/>
          <a:ext cx="95250" cy="442269"/>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21</xdr:col>
      <xdr:colOff>0</xdr:colOff>
      <xdr:row>30</xdr:row>
      <xdr:rowOff>0</xdr:rowOff>
    </xdr:from>
    <xdr:ext cx="95250" cy="171450"/>
    <xdr:sp macro="" textlink="">
      <xdr:nvSpPr>
        <xdr:cNvPr id="1519" name="Text Box 16">
          <a:extLst>
            <a:ext uri="{FF2B5EF4-FFF2-40B4-BE49-F238E27FC236}">
              <a16:creationId xmlns:a16="http://schemas.microsoft.com/office/drawing/2014/main" id="{00000000-0008-0000-0500-0000EF050000}"/>
            </a:ext>
          </a:extLst>
        </xdr:cNvPr>
        <xdr:cNvSpPr txBox="1">
          <a:spLocks noChangeArrowheads="1"/>
        </xdr:cNvSpPr>
      </xdr:nvSpPr>
      <xdr:spPr bwMode="auto">
        <a:xfrm>
          <a:off x="15690273" y="3613727"/>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21</xdr:col>
      <xdr:colOff>0</xdr:colOff>
      <xdr:row>30</xdr:row>
      <xdr:rowOff>0</xdr:rowOff>
    </xdr:from>
    <xdr:ext cx="95250" cy="171450"/>
    <xdr:sp macro="" textlink="">
      <xdr:nvSpPr>
        <xdr:cNvPr id="1520" name="Text Box 17">
          <a:extLst>
            <a:ext uri="{FF2B5EF4-FFF2-40B4-BE49-F238E27FC236}">
              <a16:creationId xmlns:a16="http://schemas.microsoft.com/office/drawing/2014/main" id="{00000000-0008-0000-0500-0000F0050000}"/>
            </a:ext>
          </a:extLst>
        </xdr:cNvPr>
        <xdr:cNvSpPr txBox="1">
          <a:spLocks noChangeArrowheads="1"/>
        </xdr:cNvSpPr>
      </xdr:nvSpPr>
      <xdr:spPr bwMode="auto">
        <a:xfrm>
          <a:off x="15690273" y="3613727"/>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21</xdr:col>
      <xdr:colOff>0</xdr:colOff>
      <xdr:row>30</xdr:row>
      <xdr:rowOff>0</xdr:rowOff>
    </xdr:from>
    <xdr:ext cx="95250" cy="171450"/>
    <xdr:sp macro="" textlink="">
      <xdr:nvSpPr>
        <xdr:cNvPr id="1521" name="Text Box 18">
          <a:extLst>
            <a:ext uri="{FF2B5EF4-FFF2-40B4-BE49-F238E27FC236}">
              <a16:creationId xmlns:a16="http://schemas.microsoft.com/office/drawing/2014/main" id="{00000000-0008-0000-0500-0000F1050000}"/>
            </a:ext>
          </a:extLst>
        </xdr:cNvPr>
        <xdr:cNvSpPr txBox="1">
          <a:spLocks noChangeArrowheads="1"/>
        </xdr:cNvSpPr>
      </xdr:nvSpPr>
      <xdr:spPr bwMode="auto">
        <a:xfrm>
          <a:off x="15690273" y="3613727"/>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21</xdr:col>
      <xdr:colOff>0</xdr:colOff>
      <xdr:row>30</xdr:row>
      <xdr:rowOff>0</xdr:rowOff>
    </xdr:from>
    <xdr:ext cx="95250" cy="171450"/>
    <xdr:sp macro="" textlink="">
      <xdr:nvSpPr>
        <xdr:cNvPr id="1522" name="Text Box 19">
          <a:extLst>
            <a:ext uri="{FF2B5EF4-FFF2-40B4-BE49-F238E27FC236}">
              <a16:creationId xmlns:a16="http://schemas.microsoft.com/office/drawing/2014/main" id="{00000000-0008-0000-0500-0000F2050000}"/>
            </a:ext>
          </a:extLst>
        </xdr:cNvPr>
        <xdr:cNvSpPr txBox="1">
          <a:spLocks noChangeArrowheads="1"/>
        </xdr:cNvSpPr>
      </xdr:nvSpPr>
      <xdr:spPr bwMode="auto">
        <a:xfrm>
          <a:off x="15690273" y="3613727"/>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29</xdr:row>
      <xdr:rowOff>504825</xdr:rowOff>
    </xdr:from>
    <xdr:ext cx="95250" cy="444014"/>
    <xdr:sp macro="" textlink="">
      <xdr:nvSpPr>
        <xdr:cNvPr id="1524" name="Text Box 15">
          <a:extLst>
            <a:ext uri="{FF2B5EF4-FFF2-40B4-BE49-F238E27FC236}">
              <a16:creationId xmlns:a16="http://schemas.microsoft.com/office/drawing/2014/main" id="{00000000-0008-0000-0500-0000F4050000}"/>
            </a:ext>
          </a:extLst>
        </xdr:cNvPr>
        <xdr:cNvSpPr txBox="1">
          <a:spLocks noChangeArrowheads="1"/>
        </xdr:cNvSpPr>
      </xdr:nvSpPr>
      <xdr:spPr bwMode="auto">
        <a:xfrm>
          <a:off x="3706091" y="3615170"/>
          <a:ext cx="95250" cy="444014"/>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30</xdr:row>
      <xdr:rowOff>0</xdr:rowOff>
    </xdr:from>
    <xdr:ext cx="95250" cy="171450"/>
    <xdr:sp macro="" textlink="">
      <xdr:nvSpPr>
        <xdr:cNvPr id="1525" name="Text Box 16">
          <a:extLst>
            <a:ext uri="{FF2B5EF4-FFF2-40B4-BE49-F238E27FC236}">
              <a16:creationId xmlns:a16="http://schemas.microsoft.com/office/drawing/2014/main" id="{00000000-0008-0000-0500-0000F5050000}"/>
            </a:ext>
          </a:extLst>
        </xdr:cNvPr>
        <xdr:cNvSpPr txBox="1">
          <a:spLocks noChangeArrowheads="1"/>
        </xdr:cNvSpPr>
      </xdr:nvSpPr>
      <xdr:spPr bwMode="auto">
        <a:xfrm>
          <a:off x="3706091" y="3613727"/>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30</xdr:row>
      <xdr:rowOff>0</xdr:rowOff>
    </xdr:from>
    <xdr:ext cx="95250" cy="171450"/>
    <xdr:sp macro="" textlink="">
      <xdr:nvSpPr>
        <xdr:cNvPr id="1526" name="Text Box 17">
          <a:extLst>
            <a:ext uri="{FF2B5EF4-FFF2-40B4-BE49-F238E27FC236}">
              <a16:creationId xmlns:a16="http://schemas.microsoft.com/office/drawing/2014/main" id="{00000000-0008-0000-0500-0000F6050000}"/>
            </a:ext>
          </a:extLst>
        </xdr:cNvPr>
        <xdr:cNvSpPr txBox="1">
          <a:spLocks noChangeArrowheads="1"/>
        </xdr:cNvSpPr>
      </xdr:nvSpPr>
      <xdr:spPr bwMode="auto">
        <a:xfrm>
          <a:off x="3706091" y="3613727"/>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30</xdr:row>
      <xdr:rowOff>0</xdr:rowOff>
    </xdr:from>
    <xdr:ext cx="95250" cy="171450"/>
    <xdr:sp macro="" textlink="">
      <xdr:nvSpPr>
        <xdr:cNvPr id="1527" name="Text Box 18">
          <a:extLst>
            <a:ext uri="{FF2B5EF4-FFF2-40B4-BE49-F238E27FC236}">
              <a16:creationId xmlns:a16="http://schemas.microsoft.com/office/drawing/2014/main" id="{00000000-0008-0000-0500-0000F7050000}"/>
            </a:ext>
          </a:extLst>
        </xdr:cNvPr>
        <xdr:cNvSpPr txBox="1">
          <a:spLocks noChangeArrowheads="1"/>
        </xdr:cNvSpPr>
      </xdr:nvSpPr>
      <xdr:spPr bwMode="auto">
        <a:xfrm>
          <a:off x="3706091" y="3613727"/>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30</xdr:row>
      <xdr:rowOff>0</xdr:rowOff>
    </xdr:from>
    <xdr:ext cx="95250" cy="171450"/>
    <xdr:sp macro="" textlink="">
      <xdr:nvSpPr>
        <xdr:cNvPr id="1528" name="Text Box 19">
          <a:extLst>
            <a:ext uri="{FF2B5EF4-FFF2-40B4-BE49-F238E27FC236}">
              <a16:creationId xmlns:a16="http://schemas.microsoft.com/office/drawing/2014/main" id="{00000000-0008-0000-0500-0000F8050000}"/>
            </a:ext>
          </a:extLst>
        </xdr:cNvPr>
        <xdr:cNvSpPr txBox="1">
          <a:spLocks noChangeArrowheads="1"/>
        </xdr:cNvSpPr>
      </xdr:nvSpPr>
      <xdr:spPr bwMode="auto">
        <a:xfrm>
          <a:off x="3706091" y="3613727"/>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30</xdr:row>
      <xdr:rowOff>504825</xdr:rowOff>
    </xdr:from>
    <xdr:ext cx="95250" cy="213632"/>
    <xdr:sp macro="" textlink="">
      <xdr:nvSpPr>
        <xdr:cNvPr id="1529" name="Text Box 15">
          <a:extLst>
            <a:ext uri="{FF2B5EF4-FFF2-40B4-BE49-F238E27FC236}">
              <a16:creationId xmlns:a16="http://schemas.microsoft.com/office/drawing/2014/main" id="{00000000-0008-0000-0500-0000F9050000}"/>
            </a:ext>
          </a:extLst>
        </xdr:cNvPr>
        <xdr:cNvSpPr txBox="1">
          <a:spLocks noChangeArrowheads="1"/>
        </xdr:cNvSpPr>
      </xdr:nvSpPr>
      <xdr:spPr bwMode="auto">
        <a:xfrm>
          <a:off x="3706091" y="379470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30</xdr:row>
      <xdr:rowOff>504825</xdr:rowOff>
    </xdr:from>
    <xdr:ext cx="95250" cy="444331"/>
    <xdr:sp macro="" textlink="">
      <xdr:nvSpPr>
        <xdr:cNvPr id="1530" name="Text Box 15">
          <a:extLst>
            <a:ext uri="{FF2B5EF4-FFF2-40B4-BE49-F238E27FC236}">
              <a16:creationId xmlns:a16="http://schemas.microsoft.com/office/drawing/2014/main" id="{00000000-0008-0000-0500-0000FA050000}"/>
            </a:ext>
          </a:extLst>
        </xdr:cNvPr>
        <xdr:cNvSpPr txBox="1">
          <a:spLocks noChangeArrowheads="1"/>
        </xdr:cNvSpPr>
      </xdr:nvSpPr>
      <xdr:spPr bwMode="auto">
        <a:xfrm>
          <a:off x="3706091" y="3794702"/>
          <a:ext cx="95250" cy="444331"/>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29</xdr:row>
      <xdr:rowOff>504825</xdr:rowOff>
    </xdr:from>
    <xdr:ext cx="95250" cy="442269"/>
    <xdr:sp macro="" textlink="">
      <xdr:nvSpPr>
        <xdr:cNvPr id="1531" name="Text Box 15">
          <a:extLst>
            <a:ext uri="{FF2B5EF4-FFF2-40B4-BE49-F238E27FC236}">
              <a16:creationId xmlns:a16="http://schemas.microsoft.com/office/drawing/2014/main" id="{00000000-0008-0000-0500-0000FB050000}"/>
            </a:ext>
          </a:extLst>
        </xdr:cNvPr>
        <xdr:cNvSpPr txBox="1">
          <a:spLocks noChangeArrowheads="1"/>
        </xdr:cNvSpPr>
      </xdr:nvSpPr>
      <xdr:spPr bwMode="auto">
        <a:xfrm>
          <a:off x="6768234" y="3615170"/>
          <a:ext cx="95250" cy="442269"/>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30</xdr:row>
      <xdr:rowOff>0</xdr:rowOff>
    </xdr:from>
    <xdr:ext cx="95250" cy="171450"/>
    <xdr:sp macro="" textlink="">
      <xdr:nvSpPr>
        <xdr:cNvPr id="1532" name="Text Box 16">
          <a:extLst>
            <a:ext uri="{FF2B5EF4-FFF2-40B4-BE49-F238E27FC236}">
              <a16:creationId xmlns:a16="http://schemas.microsoft.com/office/drawing/2014/main" id="{00000000-0008-0000-0500-0000FC050000}"/>
            </a:ext>
          </a:extLst>
        </xdr:cNvPr>
        <xdr:cNvSpPr txBox="1">
          <a:spLocks noChangeArrowheads="1"/>
        </xdr:cNvSpPr>
      </xdr:nvSpPr>
      <xdr:spPr bwMode="auto">
        <a:xfrm>
          <a:off x="6768234" y="3613727"/>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30</xdr:row>
      <xdr:rowOff>0</xdr:rowOff>
    </xdr:from>
    <xdr:ext cx="95250" cy="171450"/>
    <xdr:sp macro="" textlink="">
      <xdr:nvSpPr>
        <xdr:cNvPr id="1533" name="Text Box 17">
          <a:extLst>
            <a:ext uri="{FF2B5EF4-FFF2-40B4-BE49-F238E27FC236}">
              <a16:creationId xmlns:a16="http://schemas.microsoft.com/office/drawing/2014/main" id="{00000000-0008-0000-0500-0000FD050000}"/>
            </a:ext>
          </a:extLst>
        </xdr:cNvPr>
        <xdr:cNvSpPr txBox="1">
          <a:spLocks noChangeArrowheads="1"/>
        </xdr:cNvSpPr>
      </xdr:nvSpPr>
      <xdr:spPr bwMode="auto">
        <a:xfrm>
          <a:off x="6768234" y="3613727"/>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30</xdr:row>
      <xdr:rowOff>0</xdr:rowOff>
    </xdr:from>
    <xdr:ext cx="95250" cy="171450"/>
    <xdr:sp macro="" textlink="">
      <xdr:nvSpPr>
        <xdr:cNvPr id="1534" name="Text Box 18">
          <a:extLst>
            <a:ext uri="{FF2B5EF4-FFF2-40B4-BE49-F238E27FC236}">
              <a16:creationId xmlns:a16="http://schemas.microsoft.com/office/drawing/2014/main" id="{00000000-0008-0000-0500-0000FE050000}"/>
            </a:ext>
          </a:extLst>
        </xdr:cNvPr>
        <xdr:cNvSpPr txBox="1">
          <a:spLocks noChangeArrowheads="1"/>
        </xdr:cNvSpPr>
      </xdr:nvSpPr>
      <xdr:spPr bwMode="auto">
        <a:xfrm>
          <a:off x="6768234" y="3613727"/>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30</xdr:row>
      <xdr:rowOff>504825</xdr:rowOff>
    </xdr:from>
    <xdr:ext cx="95250" cy="213632"/>
    <xdr:sp macro="" textlink="">
      <xdr:nvSpPr>
        <xdr:cNvPr id="1535" name="Text Box 15">
          <a:extLst>
            <a:ext uri="{FF2B5EF4-FFF2-40B4-BE49-F238E27FC236}">
              <a16:creationId xmlns:a16="http://schemas.microsoft.com/office/drawing/2014/main" id="{00000000-0008-0000-0500-0000FF050000}"/>
            </a:ext>
          </a:extLst>
        </xdr:cNvPr>
        <xdr:cNvSpPr txBox="1">
          <a:spLocks noChangeArrowheads="1"/>
        </xdr:cNvSpPr>
      </xdr:nvSpPr>
      <xdr:spPr bwMode="auto">
        <a:xfrm>
          <a:off x="6768234" y="379470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30</xdr:row>
      <xdr:rowOff>0</xdr:rowOff>
    </xdr:from>
    <xdr:ext cx="95250" cy="171450"/>
    <xdr:sp macro="" textlink="">
      <xdr:nvSpPr>
        <xdr:cNvPr id="1536" name="Text Box 16">
          <a:extLst>
            <a:ext uri="{FF2B5EF4-FFF2-40B4-BE49-F238E27FC236}">
              <a16:creationId xmlns:a16="http://schemas.microsoft.com/office/drawing/2014/main" id="{00000000-0008-0000-0500-000000060000}"/>
            </a:ext>
          </a:extLst>
        </xdr:cNvPr>
        <xdr:cNvSpPr txBox="1">
          <a:spLocks noChangeArrowheads="1"/>
        </xdr:cNvSpPr>
      </xdr:nvSpPr>
      <xdr:spPr bwMode="auto">
        <a:xfrm>
          <a:off x="9615343" y="3613727"/>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30</xdr:row>
      <xdr:rowOff>0</xdr:rowOff>
    </xdr:from>
    <xdr:ext cx="95250" cy="171450"/>
    <xdr:sp macro="" textlink="">
      <xdr:nvSpPr>
        <xdr:cNvPr id="1537" name="Text Box 17">
          <a:extLst>
            <a:ext uri="{FF2B5EF4-FFF2-40B4-BE49-F238E27FC236}">
              <a16:creationId xmlns:a16="http://schemas.microsoft.com/office/drawing/2014/main" id="{00000000-0008-0000-0500-000001060000}"/>
            </a:ext>
          </a:extLst>
        </xdr:cNvPr>
        <xdr:cNvSpPr txBox="1">
          <a:spLocks noChangeArrowheads="1"/>
        </xdr:cNvSpPr>
      </xdr:nvSpPr>
      <xdr:spPr bwMode="auto">
        <a:xfrm>
          <a:off x="9615343" y="3613727"/>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30</xdr:row>
      <xdr:rowOff>0</xdr:rowOff>
    </xdr:from>
    <xdr:ext cx="95250" cy="171450"/>
    <xdr:sp macro="" textlink="">
      <xdr:nvSpPr>
        <xdr:cNvPr id="1538" name="Text Box 18">
          <a:extLst>
            <a:ext uri="{FF2B5EF4-FFF2-40B4-BE49-F238E27FC236}">
              <a16:creationId xmlns:a16="http://schemas.microsoft.com/office/drawing/2014/main" id="{00000000-0008-0000-0500-000002060000}"/>
            </a:ext>
          </a:extLst>
        </xdr:cNvPr>
        <xdr:cNvSpPr txBox="1">
          <a:spLocks noChangeArrowheads="1"/>
        </xdr:cNvSpPr>
      </xdr:nvSpPr>
      <xdr:spPr bwMode="auto">
        <a:xfrm>
          <a:off x="9615343" y="3613727"/>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30</xdr:row>
      <xdr:rowOff>0</xdr:rowOff>
    </xdr:from>
    <xdr:ext cx="95250" cy="171450"/>
    <xdr:sp macro="" textlink="">
      <xdr:nvSpPr>
        <xdr:cNvPr id="1539" name="Text Box 19">
          <a:extLst>
            <a:ext uri="{FF2B5EF4-FFF2-40B4-BE49-F238E27FC236}">
              <a16:creationId xmlns:a16="http://schemas.microsoft.com/office/drawing/2014/main" id="{00000000-0008-0000-0500-000003060000}"/>
            </a:ext>
          </a:extLst>
        </xdr:cNvPr>
        <xdr:cNvSpPr txBox="1">
          <a:spLocks noChangeArrowheads="1"/>
        </xdr:cNvSpPr>
      </xdr:nvSpPr>
      <xdr:spPr bwMode="auto">
        <a:xfrm>
          <a:off x="9615343" y="3613727"/>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30</xdr:row>
      <xdr:rowOff>0</xdr:rowOff>
    </xdr:from>
    <xdr:ext cx="95250" cy="171450"/>
    <xdr:sp macro="" textlink="">
      <xdr:nvSpPr>
        <xdr:cNvPr id="1540" name="Text Box 16">
          <a:extLst>
            <a:ext uri="{FF2B5EF4-FFF2-40B4-BE49-F238E27FC236}">
              <a16:creationId xmlns:a16="http://schemas.microsoft.com/office/drawing/2014/main" id="{00000000-0008-0000-0500-000004060000}"/>
            </a:ext>
          </a:extLst>
        </xdr:cNvPr>
        <xdr:cNvSpPr txBox="1">
          <a:spLocks noChangeArrowheads="1"/>
        </xdr:cNvSpPr>
      </xdr:nvSpPr>
      <xdr:spPr bwMode="auto">
        <a:xfrm>
          <a:off x="9615343" y="3613727"/>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30</xdr:row>
      <xdr:rowOff>0</xdr:rowOff>
    </xdr:from>
    <xdr:ext cx="95250" cy="171450"/>
    <xdr:sp macro="" textlink="">
      <xdr:nvSpPr>
        <xdr:cNvPr id="1541" name="Text Box 17">
          <a:extLst>
            <a:ext uri="{FF2B5EF4-FFF2-40B4-BE49-F238E27FC236}">
              <a16:creationId xmlns:a16="http://schemas.microsoft.com/office/drawing/2014/main" id="{00000000-0008-0000-0500-000005060000}"/>
            </a:ext>
          </a:extLst>
        </xdr:cNvPr>
        <xdr:cNvSpPr txBox="1">
          <a:spLocks noChangeArrowheads="1"/>
        </xdr:cNvSpPr>
      </xdr:nvSpPr>
      <xdr:spPr bwMode="auto">
        <a:xfrm>
          <a:off x="9615343" y="3613727"/>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30</xdr:row>
      <xdr:rowOff>0</xdr:rowOff>
    </xdr:from>
    <xdr:ext cx="95250" cy="171450"/>
    <xdr:sp macro="" textlink="">
      <xdr:nvSpPr>
        <xdr:cNvPr id="1542" name="Text Box 18">
          <a:extLst>
            <a:ext uri="{FF2B5EF4-FFF2-40B4-BE49-F238E27FC236}">
              <a16:creationId xmlns:a16="http://schemas.microsoft.com/office/drawing/2014/main" id="{00000000-0008-0000-0500-000006060000}"/>
            </a:ext>
          </a:extLst>
        </xdr:cNvPr>
        <xdr:cNvSpPr txBox="1">
          <a:spLocks noChangeArrowheads="1"/>
        </xdr:cNvSpPr>
      </xdr:nvSpPr>
      <xdr:spPr bwMode="auto">
        <a:xfrm>
          <a:off x="9615343" y="3613727"/>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30</xdr:row>
      <xdr:rowOff>0</xdr:rowOff>
    </xdr:from>
    <xdr:ext cx="95250" cy="171450"/>
    <xdr:sp macro="" textlink="">
      <xdr:nvSpPr>
        <xdr:cNvPr id="1543" name="Text Box 19">
          <a:extLst>
            <a:ext uri="{FF2B5EF4-FFF2-40B4-BE49-F238E27FC236}">
              <a16:creationId xmlns:a16="http://schemas.microsoft.com/office/drawing/2014/main" id="{00000000-0008-0000-0500-000007060000}"/>
            </a:ext>
          </a:extLst>
        </xdr:cNvPr>
        <xdr:cNvSpPr txBox="1">
          <a:spLocks noChangeArrowheads="1"/>
        </xdr:cNvSpPr>
      </xdr:nvSpPr>
      <xdr:spPr bwMode="auto">
        <a:xfrm>
          <a:off x="9615343" y="3613727"/>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36</xdr:row>
      <xdr:rowOff>0</xdr:rowOff>
    </xdr:from>
    <xdr:ext cx="95250" cy="171450"/>
    <xdr:sp macro="" textlink="">
      <xdr:nvSpPr>
        <xdr:cNvPr id="1544" name="Text Box 16">
          <a:extLst>
            <a:ext uri="{FF2B5EF4-FFF2-40B4-BE49-F238E27FC236}">
              <a16:creationId xmlns:a16="http://schemas.microsoft.com/office/drawing/2014/main" id="{00000000-0008-0000-0500-000008060000}"/>
            </a:ext>
          </a:extLst>
        </xdr:cNvPr>
        <xdr:cNvSpPr txBox="1">
          <a:spLocks noChangeArrowheads="1"/>
        </xdr:cNvSpPr>
      </xdr:nvSpPr>
      <xdr:spPr bwMode="auto">
        <a:xfrm>
          <a:off x="3706091" y="4144818"/>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36</xdr:row>
      <xdr:rowOff>0</xdr:rowOff>
    </xdr:from>
    <xdr:ext cx="95250" cy="171450"/>
    <xdr:sp macro="" textlink="">
      <xdr:nvSpPr>
        <xdr:cNvPr id="1545" name="Text Box 17">
          <a:extLst>
            <a:ext uri="{FF2B5EF4-FFF2-40B4-BE49-F238E27FC236}">
              <a16:creationId xmlns:a16="http://schemas.microsoft.com/office/drawing/2014/main" id="{00000000-0008-0000-0500-000009060000}"/>
            </a:ext>
          </a:extLst>
        </xdr:cNvPr>
        <xdr:cNvSpPr txBox="1">
          <a:spLocks noChangeArrowheads="1"/>
        </xdr:cNvSpPr>
      </xdr:nvSpPr>
      <xdr:spPr bwMode="auto">
        <a:xfrm>
          <a:off x="3706091" y="4144818"/>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36</xdr:row>
      <xdr:rowOff>0</xdr:rowOff>
    </xdr:from>
    <xdr:ext cx="95250" cy="171450"/>
    <xdr:sp macro="" textlink="">
      <xdr:nvSpPr>
        <xdr:cNvPr id="1546" name="Text Box 18">
          <a:extLst>
            <a:ext uri="{FF2B5EF4-FFF2-40B4-BE49-F238E27FC236}">
              <a16:creationId xmlns:a16="http://schemas.microsoft.com/office/drawing/2014/main" id="{00000000-0008-0000-0500-00000A060000}"/>
            </a:ext>
          </a:extLst>
        </xdr:cNvPr>
        <xdr:cNvSpPr txBox="1">
          <a:spLocks noChangeArrowheads="1"/>
        </xdr:cNvSpPr>
      </xdr:nvSpPr>
      <xdr:spPr bwMode="auto">
        <a:xfrm>
          <a:off x="3706091" y="4144818"/>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36</xdr:row>
      <xdr:rowOff>0</xdr:rowOff>
    </xdr:from>
    <xdr:ext cx="95250" cy="171450"/>
    <xdr:sp macro="" textlink="">
      <xdr:nvSpPr>
        <xdr:cNvPr id="1547" name="Text Box 19">
          <a:extLst>
            <a:ext uri="{FF2B5EF4-FFF2-40B4-BE49-F238E27FC236}">
              <a16:creationId xmlns:a16="http://schemas.microsoft.com/office/drawing/2014/main" id="{00000000-0008-0000-0500-00000B060000}"/>
            </a:ext>
          </a:extLst>
        </xdr:cNvPr>
        <xdr:cNvSpPr txBox="1">
          <a:spLocks noChangeArrowheads="1"/>
        </xdr:cNvSpPr>
      </xdr:nvSpPr>
      <xdr:spPr bwMode="auto">
        <a:xfrm>
          <a:off x="3706091" y="4144818"/>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36</xdr:row>
      <xdr:rowOff>0</xdr:rowOff>
    </xdr:from>
    <xdr:ext cx="95250" cy="171450"/>
    <xdr:sp macro="" textlink="">
      <xdr:nvSpPr>
        <xdr:cNvPr id="1548" name="Text Box 16">
          <a:extLst>
            <a:ext uri="{FF2B5EF4-FFF2-40B4-BE49-F238E27FC236}">
              <a16:creationId xmlns:a16="http://schemas.microsoft.com/office/drawing/2014/main" id="{00000000-0008-0000-0500-00000C060000}"/>
            </a:ext>
          </a:extLst>
        </xdr:cNvPr>
        <xdr:cNvSpPr txBox="1">
          <a:spLocks noChangeArrowheads="1"/>
        </xdr:cNvSpPr>
      </xdr:nvSpPr>
      <xdr:spPr bwMode="auto">
        <a:xfrm>
          <a:off x="6768234" y="4144818"/>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36</xdr:row>
      <xdr:rowOff>0</xdr:rowOff>
    </xdr:from>
    <xdr:ext cx="95250" cy="171450"/>
    <xdr:sp macro="" textlink="">
      <xdr:nvSpPr>
        <xdr:cNvPr id="1549" name="Text Box 17">
          <a:extLst>
            <a:ext uri="{FF2B5EF4-FFF2-40B4-BE49-F238E27FC236}">
              <a16:creationId xmlns:a16="http://schemas.microsoft.com/office/drawing/2014/main" id="{00000000-0008-0000-0500-00000D060000}"/>
            </a:ext>
          </a:extLst>
        </xdr:cNvPr>
        <xdr:cNvSpPr txBox="1">
          <a:spLocks noChangeArrowheads="1"/>
        </xdr:cNvSpPr>
      </xdr:nvSpPr>
      <xdr:spPr bwMode="auto">
        <a:xfrm>
          <a:off x="6768234" y="4144818"/>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36</xdr:row>
      <xdr:rowOff>0</xdr:rowOff>
    </xdr:from>
    <xdr:ext cx="95250" cy="171450"/>
    <xdr:sp macro="" textlink="">
      <xdr:nvSpPr>
        <xdr:cNvPr id="1550" name="Text Box 18">
          <a:extLst>
            <a:ext uri="{FF2B5EF4-FFF2-40B4-BE49-F238E27FC236}">
              <a16:creationId xmlns:a16="http://schemas.microsoft.com/office/drawing/2014/main" id="{00000000-0008-0000-0500-00000E060000}"/>
            </a:ext>
          </a:extLst>
        </xdr:cNvPr>
        <xdr:cNvSpPr txBox="1">
          <a:spLocks noChangeArrowheads="1"/>
        </xdr:cNvSpPr>
      </xdr:nvSpPr>
      <xdr:spPr bwMode="auto">
        <a:xfrm>
          <a:off x="6768234" y="4144818"/>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36</xdr:row>
      <xdr:rowOff>0</xdr:rowOff>
    </xdr:from>
    <xdr:ext cx="95250" cy="171450"/>
    <xdr:sp macro="" textlink="">
      <xdr:nvSpPr>
        <xdr:cNvPr id="1551" name="Text Box 19">
          <a:extLst>
            <a:ext uri="{FF2B5EF4-FFF2-40B4-BE49-F238E27FC236}">
              <a16:creationId xmlns:a16="http://schemas.microsoft.com/office/drawing/2014/main" id="{00000000-0008-0000-0500-00000F060000}"/>
            </a:ext>
          </a:extLst>
        </xdr:cNvPr>
        <xdr:cNvSpPr txBox="1">
          <a:spLocks noChangeArrowheads="1"/>
        </xdr:cNvSpPr>
      </xdr:nvSpPr>
      <xdr:spPr bwMode="auto">
        <a:xfrm>
          <a:off x="6768234" y="4144818"/>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21</xdr:col>
      <xdr:colOff>0</xdr:colOff>
      <xdr:row>36</xdr:row>
      <xdr:rowOff>0</xdr:rowOff>
    </xdr:from>
    <xdr:ext cx="95250" cy="171450"/>
    <xdr:sp macro="" textlink="">
      <xdr:nvSpPr>
        <xdr:cNvPr id="1552" name="Text Box 16">
          <a:extLst>
            <a:ext uri="{FF2B5EF4-FFF2-40B4-BE49-F238E27FC236}">
              <a16:creationId xmlns:a16="http://schemas.microsoft.com/office/drawing/2014/main" id="{00000000-0008-0000-0500-000010060000}"/>
            </a:ext>
          </a:extLst>
        </xdr:cNvPr>
        <xdr:cNvSpPr txBox="1">
          <a:spLocks noChangeArrowheads="1"/>
        </xdr:cNvSpPr>
      </xdr:nvSpPr>
      <xdr:spPr bwMode="auto">
        <a:xfrm>
          <a:off x="15690273" y="4144818"/>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21</xdr:col>
      <xdr:colOff>0</xdr:colOff>
      <xdr:row>36</xdr:row>
      <xdr:rowOff>0</xdr:rowOff>
    </xdr:from>
    <xdr:ext cx="95250" cy="171450"/>
    <xdr:sp macro="" textlink="">
      <xdr:nvSpPr>
        <xdr:cNvPr id="1553" name="Text Box 17">
          <a:extLst>
            <a:ext uri="{FF2B5EF4-FFF2-40B4-BE49-F238E27FC236}">
              <a16:creationId xmlns:a16="http://schemas.microsoft.com/office/drawing/2014/main" id="{00000000-0008-0000-0500-000011060000}"/>
            </a:ext>
          </a:extLst>
        </xdr:cNvPr>
        <xdr:cNvSpPr txBox="1">
          <a:spLocks noChangeArrowheads="1"/>
        </xdr:cNvSpPr>
      </xdr:nvSpPr>
      <xdr:spPr bwMode="auto">
        <a:xfrm>
          <a:off x="15690273" y="4144818"/>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21</xdr:col>
      <xdr:colOff>0</xdr:colOff>
      <xdr:row>36</xdr:row>
      <xdr:rowOff>0</xdr:rowOff>
    </xdr:from>
    <xdr:ext cx="95250" cy="171450"/>
    <xdr:sp macro="" textlink="">
      <xdr:nvSpPr>
        <xdr:cNvPr id="1554" name="Text Box 18">
          <a:extLst>
            <a:ext uri="{FF2B5EF4-FFF2-40B4-BE49-F238E27FC236}">
              <a16:creationId xmlns:a16="http://schemas.microsoft.com/office/drawing/2014/main" id="{00000000-0008-0000-0500-000012060000}"/>
            </a:ext>
          </a:extLst>
        </xdr:cNvPr>
        <xdr:cNvSpPr txBox="1">
          <a:spLocks noChangeArrowheads="1"/>
        </xdr:cNvSpPr>
      </xdr:nvSpPr>
      <xdr:spPr bwMode="auto">
        <a:xfrm>
          <a:off x="15690273" y="4144818"/>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21</xdr:col>
      <xdr:colOff>0</xdr:colOff>
      <xdr:row>36</xdr:row>
      <xdr:rowOff>0</xdr:rowOff>
    </xdr:from>
    <xdr:ext cx="95250" cy="171450"/>
    <xdr:sp macro="" textlink="">
      <xdr:nvSpPr>
        <xdr:cNvPr id="1555" name="Text Box 19">
          <a:extLst>
            <a:ext uri="{FF2B5EF4-FFF2-40B4-BE49-F238E27FC236}">
              <a16:creationId xmlns:a16="http://schemas.microsoft.com/office/drawing/2014/main" id="{00000000-0008-0000-0500-000013060000}"/>
            </a:ext>
          </a:extLst>
        </xdr:cNvPr>
        <xdr:cNvSpPr txBox="1">
          <a:spLocks noChangeArrowheads="1"/>
        </xdr:cNvSpPr>
      </xdr:nvSpPr>
      <xdr:spPr bwMode="auto">
        <a:xfrm>
          <a:off x="15690273" y="4144818"/>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35</xdr:row>
      <xdr:rowOff>504825</xdr:rowOff>
    </xdr:from>
    <xdr:ext cx="95250" cy="444014"/>
    <xdr:sp macro="" textlink="">
      <xdr:nvSpPr>
        <xdr:cNvPr id="1556" name="Text Box 15">
          <a:extLst>
            <a:ext uri="{FF2B5EF4-FFF2-40B4-BE49-F238E27FC236}">
              <a16:creationId xmlns:a16="http://schemas.microsoft.com/office/drawing/2014/main" id="{00000000-0008-0000-0500-000014060000}"/>
            </a:ext>
          </a:extLst>
        </xdr:cNvPr>
        <xdr:cNvSpPr txBox="1">
          <a:spLocks noChangeArrowheads="1"/>
        </xdr:cNvSpPr>
      </xdr:nvSpPr>
      <xdr:spPr bwMode="auto">
        <a:xfrm>
          <a:off x="3706091" y="4146261"/>
          <a:ext cx="95250" cy="444014"/>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36</xdr:row>
      <xdr:rowOff>0</xdr:rowOff>
    </xdr:from>
    <xdr:ext cx="95250" cy="171450"/>
    <xdr:sp macro="" textlink="">
      <xdr:nvSpPr>
        <xdr:cNvPr id="1557" name="Text Box 16">
          <a:extLst>
            <a:ext uri="{FF2B5EF4-FFF2-40B4-BE49-F238E27FC236}">
              <a16:creationId xmlns:a16="http://schemas.microsoft.com/office/drawing/2014/main" id="{00000000-0008-0000-0500-000015060000}"/>
            </a:ext>
          </a:extLst>
        </xdr:cNvPr>
        <xdr:cNvSpPr txBox="1">
          <a:spLocks noChangeArrowheads="1"/>
        </xdr:cNvSpPr>
      </xdr:nvSpPr>
      <xdr:spPr bwMode="auto">
        <a:xfrm>
          <a:off x="3706091" y="4144818"/>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36</xdr:row>
      <xdr:rowOff>0</xdr:rowOff>
    </xdr:from>
    <xdr:ext cx="95250" cy="171450"/>
    <xdr:sp macro="" textlink="">
      <xdr:nvSpPr>
        <xdr:cNvPr id="1558" name="Text Box 17">
          <a:extLst>
            <a:ext uri="{FF2B5EF4-FFF2-40B4-BE49-F238E27FC236}">
              <a16:creationId xmlns:a16="http://schemas.microsoft.com/office/drawing/2014/main" id="{00000000-0008-0000-0500-000016060000}"/>
            </a:ext>
          </a:extLst>
        </xdr:cNvPr>
        <xdr:cNvSpPr txBox="1">
          <a:spLocks noChangeArrowheads="1"/>
        </xdr:cNvSpPr>
      </xdr:nvSpPr>
      <xdr:spPr bwMode="auto">
        <a:xfrm>
          <a:off x="3706091" y="4144818"/>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36</xdr:row>
      <xdr:rowOff>0</xdr:rowOff>
    </xdr:from>
    <xdr:ext cx="95250" cy="171450"/>
    <xdr:sp macro="" textlink="">
      <xdr:nvSpPr>
        <xdr:cNvPr id="1559" name="Text Box 18">
          <a:extLst>
            <a:ext uri="{FF2B5EF4-FFF2-40B4-BE49-F238E27FC236}">
              <a16:creationId xmlns:a16="http://schemas.microsoft.com/office/drawing/2014/main" id="{00000000-0008-0000-0500-000017060000}"/>
            </a:ext>
          </a:extLst>
        </xdr:cNvPr>
        <xdr:cNvSpPr txBox="1">
          <a:spLocks noChangeArrowheads="1"/>
        </xdr:cNvSpPr>
      </xdr:nvSpPr>
      <xdr:spPr bwMode="auto">
        <a:xfrm>
          <a:off x="3706091" y="4144818"/>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36</xdr:row>
      <xdr:rowOff>0</xdr:rowOff>
    </xdr:from>
    <xdr:ext cx="95250" cy="171450"/>
    <xdr:sp macro="" textlink="">
      <xdr:nvSpPr>
        <xdr:cNvPr id="1560" name="Text Box 19">
          <a:extLst>
            <a:ext uri="{FF2B5EF4-FFF2-40B4-BE49-F238E27FC236}">
              <a16:creationId xmlns:a16="http://schemas.microsoft.com/office/drawing/2014/main" id="{00000000-0008-0000-0500-000018060000}"/>
            </a:ext>
          </a:extLst>
        </xdr:cNvPr>
        <xdr:cNvSpPr txBox="1">
          <a:spLocks noChangeArrowheads="1"/>
        </xdr:cNvSpPr>
      </xdr:nvSpPr>
      <xdr:spPr bwMode="auto">
        <a:xfrm>
          <a:off x="3706091" y="4144818"/>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35</xdr:row>
      <xdr:rowOff>504825</xdr:rowOff>
    </xdr:from>
    <xdr:ext cx="95250" cy="442269"/>
    <xdr:sp macro="" textlink="">
      <xdr:nvSpPr>
        <xdr:cNvPr id="1561" name="Text Box 15">
          <a:extLst>
            <a:ext uri="{FF2B5EF4-FFF2-40B4-BE49-F238E27FC236}">
              <a16:creationId xmlns:a16="http://schemas.microsoft.com/office/drawing/2014/main" id="{00000000-0008-0000-0500-000019060000}"/>
            </a:ext>
          </a:extLst>
        </xdr:cNvPr>
        <xdr:cNvSpPr txBox="1">
          <a:spLocks noChangeArrowheads="1"/>
        </xdr:cNvSpPr>
      </xdr:nvSpPr>
      <xdr:spPr bwMode="auto">
        <a:xfrm>
          <a:off x="6768234" y="4146261"/>
          <a:ext cx="95250" cy="442269"/>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36</xdr:row>
      <xdr:rowOff>0</xdr:rowOff>
    </xdr:from>
    <xdr:ext cx="95250" cy="171450"/>
    <xdr:sp macro="" textlink="">
      <xdr:nvSpPr>
        <xdr:cNvPr id="1562" name="Text Box 16">
          <a:extLst>
            <a:ext uri="{FF2B5EF4-FFF2-40B4-BE49-F238E27FC236}">
              <a16:creationId xmlns:a16="http://schemas.microsoft.com/office/drawing/2014/main" id="{00000000-0008-0000-0500-00001A060000}"/>
            </a:ext>
          </a:extLst>
        </xdr:cNvPr>
        <xdr:cNvSpPr txBox="1">
          <a:spLocks noChangeArrowheads="1"/>
        </xdr:cNvSpPr>
      </xdr:nvSpPr>
      <xdr:spPr bwMode="auto">
        <a:xfrm>
          <a:off x="6768234" y="4144818"/>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36</xdr:row>
      <xdr:rowOff>0</xdr:rowOff>
    </xdr:from>
    <xdr:ext cx="95250" cy="171450"/>
    <xdr:sp macro="" textlink="">
      <xdr:nvSpPr>
        <xdr:cNvPr id="1563" name="Text Box 17">
          <a:extLst>
            <a:ext uri="{FF2B5EF4-FFF2-40B4-BE49-F238E27FC236}">
              <a16:creationId xmlns:a16="http://schemas.microsoft.com/office/drawing/2014/main" id="{00000000-0008-0000-0500-00001B060000}"/>
            </a:ext>
          </a:extLst>
        </xdr:cNvPr>
        <xdr:cNvSpPr txBox="1">
          <a:spLocks noChangeArrowheads="1"/>
        </xdr:cNvSpPr>
      </xdr:nvSpPr>
      <xdr:spPr bwMode="auto">
        <a:xfrm>
          <a:off x="6768234" y="4144818"/>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36</xdr:row>
      <xdr:rowOff>0</xdr:rowOff>
    </xdr:from>
    <xdr:ext cx="95250" cy="171450"/>
    <xdr:sp macro="" textlink="">
      <xdr:nvSpPr>
        <xdr:cNvPr id="1564" name="Text Box 18">
          <a:extLst>
            <a:ext uri="{FF2B5EF4-FFF2-40B4-BE49-F238E27FC236}">
              <a16:creationId xmlns:a16="http://schemas.microsoft.com/office/drawing/2014/main" id="{00000000-0008-0000-0500-00001C060000}"/>
            </a:ext>
          </a:extLst>
        </xdr:cNvPr>
        <xdr:cNvSpPr txBox="1">
          <a:spLocks noChangeArrowheads="1"/>
        </xdr:cNvSpPr>
      </xdr:nvSpPr>
      <xdr:spPr bwMode="auto">
        <a:xfrm>
          <a:off x="6768234" y="4144818"/>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36</xdr:row>
      <xdr:rowOff>0</xdr:rowOff>
    </xdr:from>
    <xdr:ext cx="95250" cy="171450"/>
    <xdr:sp macro="" textlink="">
      <xdr:nvSpPr>
        <xdr:cNvPr id="1565" name="Text Box 16">
          <a:extLst>
            <a:ext uri="{FF2B5EF4-FFF2-40B4-BE49-F238E27FC236}">
              <a16:creationId xmlns:a16="http://schemas.microsoft.com/office/drawing/2014/main" id="{00000000-0008-0000-0500-00001D060000}"/>
            </a:ext>
          </a:extLst>
        </xdr:cNvPr>
        <xdr:cNvSpPr txBox="1">
          <a:spLocks noChangeArrowheads="1"/>
        </xdr:cNvSpPr>
      </xdr:nvSpPr>
      <xdr:spPr bwMode="auto">
        <a:xfrm>
          <a:off x="9615343" y="4144818"/>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36</xdr:row>
      <xdr:rowOff>0</xdr:rowOff>
    </xdr:from>
    <xdr:ext cx="95250" cy="171450"/>
    <xdr:sp macro="" textlink="">
      <xdr:nvSpPr>
        <xdr:cNvPr id="1566" name="Text Box 17">
          <a:extLst>
            <a:ext uri="{FF2B5EF4-FFF2-40B4-BE49-F238E27FC236}">
              <a16:creationId xmlns:a16="http://schemas.microsoft.com/office/drawing/2014/main" id="{00000000-0008-0000-0500-00001E060000}"/>
            </a:ext>
          </a:extLst>
        </xdr:cNvPr>
        <xdr:cNvSpPr txBox="1">
          <a:spLocks noChangeArrowheads="1"/>
        </xdr:cNvSpPr>
      </xdr:nvSpPr>
      <xdr:spPr bwMode="auto">
        <a:xfrm>
          <a:off x="9615343" y="4144818"/>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36</xdr:row>
      <xdr:rowOff>0</xdr:rowOff>
    </xdr:from>
    <xdr:ext cx="95250" cy="171450"/>
    <xdr:sp macro="" textlink="">
      <xdr:nvSpPr>
        <xdr:cNvPr id="1567" name="Text Box 18">
          <a:extLst>
            <a:ext uri="{FF2B5EF4-FFF2-40B4-BE49-F238E27FC236}">
              <a16:creationId xmlns:a16="http://schemas.microsoft.com/office/drawing/2014/main" id="{00000000-0008-0000-0500-00001F060000}"/>
            </a:ext>
          </a:extLst>
        </xdr:cNvPr>
        <xdr:cNvSpPr txBox="1">
          <a:spLocks noChangeArrowheads="1"/>
        </xdr:cNvSpPr>
      </xdr:nvSpPr>
      <xdr:spPr bwMode="auto">
        <a:xfrm>
          <a:off x="9615343" y="4144818"/>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36</xdr:row>
      <xdr:rowOff>0</xdr:rowOff>
    </xdr:from>
    <xdr:ext cx="95250" cy="171450"/>
    <xdr:sp macro="" textlink="">
      <xdr:nvSpPr>
        <xdr:cNvPr id="1568" name="Text Box 19">
          <a:extLst>
            <a:ext uri="{FF2B5EF4-FFF2-40B4-BE49-F238E27FC236}">
              <a16:creationId xmlns:a16="http://schemas.microsoft.com/office/drawing/2014/main" id="{00000000-0008-0000-0500-000020060000}"/>
            </a:ext>
          </a:extLst>
        </xdr:cNvPr>
        <xdr:cNvSpPr txBox="1">
          <a:spLocks noChangeArrowheads="1"/>
        </xdr:cNvSpPr>
      </xdr:nvSpPr>
      <xdr:spPr bwMode="auto">
        <a:xfrm>
          <a:off x="9615343" y="4144818"/>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36</xdr:row>
      <xdr:rowOff>0</xdr:rowOff>
    </xdr:from>
    <xdr:ext cx="95250" cy="171450"/>
    <xdr:sp macro="" textlink="">
      <xdr:nvSpPr>
        <xdr:cNvPr id="1569" name="Text Box 16">
          <a:extLst>
            <a:ext uri="{FF2B5EF4-FFF2-40B4-BE49-F238E27FC236}">
              <a16:creationId xmlns:a16="http://schemas.microsoft.com/office/drawing/2014/main" id="{00000000-0008-0000-0500-000021060000}"/>
            </a:ext>
          </a:extLst>
        </xdr:cNvPr>
        <xdr:cNvSpPr txBox="1">
          <a:spLocks noChangeArrowheads="1"/>
        </xdr:cNvSpPr>
      </xdr:nvSpPr>
      <xdr:spPr bwMode="auto">
        <a:xfrm>
          <a:off x="9615343" y="4144818"/>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36</xdr:row>
      <xdr:rowOff>0</xdr:rowOff>
    </xdr:from>
    <xdr:ext cx="95250" cy="171450"/>
    <xdr:sp macro="" textlink="">
      <xdr:nvSpPr>
        <xdr:cNvPr id="1570" name="Text Box 17">
          <a:extLst>
            <a:ext uri="{FF2B5EF4-FFF2-40B4-BE49-F238E27FC236}">
              <a16:creationId xmlns:a16="http://schemas.microsoft.com/office/drawing/2014/main" id="{00000000-0008-0000-0500-000022060000}"/>
            </a:ext>
          </a:extLst>
        </xdr:cNvPr>
        <xdr:cNvSpPr txBox="1">
          <a:spLocks noChangeArrowheads="1"/>
        </xdr:cNvSpPr>
      </xdr:nvSpPr>
      <xdr:spPr bwMode="auto">
        <a:xfrm>
          <a:off x="9615343" y="4144818"/>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36</xdr:row>
      <xdr:rowOff>0</xdr:rowOff>
    </xdr:from>
    <xdr:ext cx="95250" cy="171450"/>
    <xdr:sp macro="" textlink="">
      <xdr:nvSpPr>
        <xdr:cNvPr id="1571" name="Text Box 18">
          <a:extLst>
            <a:ext uri="{FF2B5EF4-FFF2-40B4-BE49-F238E27FC236}">
              <a16:creationId xmlns:a16="http://schemas.microsoft.com/office/drawing/2014/main" id="{00000000-0008-0000-0500-000023060000}"/>
            </a:ext>
          </a:extLst>
        </xdr:cNvPr>
        <xdr:cNvSpPr txBox="1">
          <a:spLocks noChangeArrowheads="1"/>
        </xdr:cNvSpPr>
      </xdr:nvSpPr>
      <xdr:spPr bwMode="auto">
        <a:xfrm>
          <a:off x="9615343" y="4144818"/>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36</xdr:row>
      <xdr:rowOff>0</xdr:rowOff>
    </xdr:from>
    <xdr:ext cx="95250" cy="171450"/>
    <xdr:sp macro="" textlink="">
      <xdr:nvSpPr>
        <xdr:cNvPr id="1572" name="Text Box 19">
          <a:extLst>
            <a:ext uri="{FF2B5EF4-FFF2-40B4-BE49-F238E27FC236}">
              <a16:creationId xmlns:a16="http://schemas.microsoft.com/office/drawing/2014/main" id="{00000000-0008-0000-0500-000024060000}"/>
            </a:ext>
          </a:extLst>
        </xdr:cNvPr>
        <xdr:cNvSpPr txBox="1">
          <a:spLocks noChangeArrowheads="1"/>
        </xdr:cNvSpPr>
      </xdr:nvSpPr>
      <xdr:spPr bwMode="auto">
        <a:xfrm>
          <a:off x="9615343" y="4144818"/>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36</xdr:row>
      <xdr:rowOff>504825</xdr:rowOff>
    </xdr:from>
    <xdr:ext cx="95250" cy="448496"/>
    <xdr:sp macro="" textlink="">
      <xdr:nvSpPr>
        <xdr:cNvPr id="1573" name="Text Box 15">
          <a:extLst>
            <a:ext uri="{FF2B5EF4-FFF2-40B4-BE49-F238E27FC236}">
              <a16:creationId xmlns:a16="http://schemas.microsoft.com/office/drawing/2014/main" id="{00000000-0008-0000-0500-000025060000}"/>
            </a:ext>
          </a:extLst>
        </xdr:cNvPr>
        <xdr:cNvSpPr txBox="1">
          <a:spLocks noChangeArrowheads="1"/>
        </xdr:cNvSpPr>
      </xdr:nvSpPr>
      <xdr:spPr bwMode="auto">
        <a:xfrm>
          <a:off x="3706091" y="4325793"/>
          <a:ext cx="95250" cy="448496"/>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36</xdr:row>
      <xdr:rowOff>504825</xdr:rowOff>
    </xdr:from>
    <xdr:ext cx="95250" cy="442269"/>
    <xdr:sp macro="" textlink="">
      <xdr:nvSpPr>
        <xdr:cNvPr id="1574" name="Text Box 15">
          <a:extLst>
            <a:ext uri="{FF2B5EF4-FFF2-40B4-BE49-F238E27FC236}">
              <a16:creationId xmlns:a16="http://schemas.microsoft.com/office/drawing/2014/main" id="{00000000-0008-0000-0500-000026060000}"/>
            </a:ext>
          </a:extLst>
        </xdr:cNvPr>
        <xdr:cNvSpPr txBox="1">
          <a:spLocks noChangeArrowheads="1"/>
        </xdr:cNvSpPr>
      </xdr:nvSpPr>
      <xdr:spPr bwMode="auto">
        <a:xfrm>
          <a:off x="6768234" y="4325793"/>
          <a:ext cx="95250" cy="442269"/>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36</xdr:row>
      <xdr:rowOff>504825</xdr:rowOff>
    </xdr:from>
    <xdr:ext cx="95250" cy="213632"/>
    <xdr:sp macro="" textlink="">
      <xdr:nvSpPr>
        <xdr:cNvPr id="1576" name="Text Box 15">
          <a:extLst>
            <a:ext uri="{FF2B5EF4-FFF2-40B4-BE49-F238E27FC236}">
              <a16:creationId xmlns:a16="http://schemas.microsoft.com/office/drawing/2014/main" id="{00000000-0008-0000-0500-000028060000}"/>
            </a:ext>
          </a:extLst>
        </xdr:cNvPr>
        <xdr:cNvSpPr txBox="1">
          <a:spLocks noChangeArrowheads="1"/>
        </xdr:cNvSpPr>
      </xdr:nvSpPr>
      <xdr:spPr bwMode="auto">
        <a:xfrm>
          <a:off x="3706091" y="4325793"/>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36</xdr:row>
      <xdr:rowOff>504825</xdr:rowOff>
    </xdr:from>
    <xdr:ext cx="95250" cy="444331"/>
    <xdr:sp macro="" textlink="">
      <xdr:nvSpPr>
        <xdr:cNvPr id="1577" name="Text Box 15">
          <a:extLst>
            <a:ext uri="{FF2B5EF4-FFF2-40B4-BE49-F238E27FC236}">
              <a16:creationId xmlns:a16="http://schemas.microsoft.com/office/drawing/2014/main" id="{00000000-0008-0000-0500-000029060000}"/>
            </a:ext>
          </a:extLst>
        </xdr:cNvPr>
        <xdr:cNvSpPr txBox="1">
          <a:spLocks noChangeArrowheads="1"/>
        </xdr:cNvSpPr>
      </xdr:nvSpPr>
      <xdr:spPr bwMode="auto">
        <a:xfrm>
          <a:off x="3706091" y="4325793"/>
          <a:ext cx="95250" cy="444331"/>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36</xdr:row>
      <xdr:rowOff>504825</xdr:rowOff>
    </xdr:from>
    <xdr:ext cx="95250" cy="213632"/>
    <xdr:sp macro="" textlink="">
      <xdr:nvSpPr>
        <xdr:cNvPr id="1578" name="Text Box 15">
          <a:extLst>
            <a:ext uri="{FF2B5EF4-FFF2-40B4-BE49-F238E27FC236}">
              <a16:creationId xmlns:a16="http://schemas.microsoft.com/office/drawing/2014/main" id="{00000000-0008-0000-0500-00002A060000}"/>
            </a:ext>
          </a:extLst>
        </xdr:cNvPr>
        <xdr:cNvSpPr txBox="1">
          <a:spLocks noChangeArrowheads="1"/>
        </xdr:cNvSpPr>
      </xdr:nvSpPr>
      <xdr:spPr bwMode="auto">
        <a:xfrm>
          <a:off x="6768234" y="4325793"/>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42</xdr:row>
      <xdr:rowOff>0</xdr:rowOff>
    </xdr:from>
    <xdr:ext cx="95250" cy="171450"/>
    <xdr:sp macro="" textlink="">
      <xdr:nvSpPr>
        <xdr:cNvPr id="1579" name="Text Box 16">
          <a:extLst>
            <a:ext uri="{FF2B5EF4-FFF2-40B4-BE49-F238E27FC236}">
              <a16:creationId xmlns:a16="http://schemas.microsoft.com/office/drawing/2014/main" id="{00000000-0008-0000-0500-00002B060000}"/>
            </a:ext>
          </a:extLst>
        </xdr:cNvPr>
        <xdr:cNvSpPr txBox="1">
          <a:spLocks noChangeArrowheads="1"/>
        </xdr:cNvSpPr>
      </xdr:nvSpPr>
      <xdr:spPr bwMode="auto">
        <a:xfrm>
          <a:off x="3706091" y="4675909"/>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42</xdr:row>
      <xdr:rowOff>0</xdr:rowOff>
    </xdr:from>
    <xdr:ext cx="95250" cy="171450"/>
    <xdr:sp macro="" textlink="">
      <xdr:nvSpPr>
        <xdr:cNvPr id="1580" name="Text Box 17">
          <a:extLst>
            <a:ext uri="{FF2B5EF4-FFF2-40B4-BE49-F238E27FC236}">
              <a16:creationId xmlns:a16="http://schemas.microsoft.com/office/drawing/2014/main" id="{00000000-0008-0000-0500-00002C060000}"/>
            </a:ext>
          </a:extLst>
        </xdr:cNvPr>
        <xdr:cNvSpPr txBox="1">
          <a:spLocks noChangeArrowheads="1"/>
        </xdr:cNvSpPr>
      </xdr:nvSpPr>
      <xdr:spPr bwMode="auto">
        <a:xfrm>
          <a:off x="3706091" y="4675909"/>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42</xdr:row>
      <xdr:rowOff>0</xdr:rowOff>
    </xdr:from>
    <xdr:ext cx="95250" cy="171450"/>
    <xdr:sp macro="" textlink="">
      <xdr:nvSpPr>
        <xdr:cNvPr id="1581" name="Text Box 18">
          <a:extLst>
            <a:ext uri="{FF2B5EF4-FFF2-40B4-BE49-F238E27FC236}">
              <a16:creationId xmlns:a16="http://schemas.microsoft.com/office/drawing/2014/main" id="{00000000-0008-0000-0500-00002D060000}"/>
            </a:ext>
          </a:extLst>
        </xdr:cNvPr>
        <xdr:cNvSpPr txBox="1">
          <a:spLocks noChangeArrowheads="1"/>
        </xdr:cNvSpPr>
      </xdr:nvSpPr>
      <xdr:spPr bwMode="auto">
        <a:xfrm>
          <a:off x="3706091" y="4675909"/>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42</xdr:row>
      <xdr:rowOff>0</xdr:rowOff>
    </xdr:from>
    <xdr:ext cx="95250" cy="171450"/>
    <xdr:sp macro="" textlink="">
      <xdr:nvSpPr>
        <xdr:cNvPr id="1582" name="Text Box 19">
          <a:extLst>
            <a:ext uri="{FF2B5EF4-FFF2-40B4-BE49-F238E27FC236}">
              <a16:creationId xmlns:a16="http://schemas.microsoft.com/office/drawing/2014/main" id="{00000000-0008-0000-0500-00002E060000}"/>
            </a:ext>
          </a:extLst>
        </xdr:cNvPr>
        <xdr:cNvSpPr txBox="1">
          <a:spLocks noChangeArrowheads="1"/>
        </xdr:cNvSpPr>
      </xdr:nvSpPr>
      <xdr:spPr bwMode="auto">
        <a:xfrm>
          <a:off x="3706091" y="4675909"/>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42</xdr:row>
      <xdr:rowOff>0</xdr:rowOff>
    </xdr:from>
    <xdr:ext cx="95250" cy="171450"/>
    <xdr:sp macro="" textlink="">
      <xdr:nvSpPr>
        <xdr:cNvPr id="1583" name="Text Box 16">
          <a:extLst>
            <a:ext uri="{FF2B5EF4-FFF2-40B4-BE49-F238E27FC236}">
              <a16:creationId xmlns:a16="http://schemas.microsoft.com/office/drawing/2014/main" id="{00000000-0008-0000-0500-00002F060000}"/>
            </a:ext>
          </a:extLst>
        </xdr:cNvPr>
        <xdr:cNvSpPr txBox="1">
          <a:spLocks noChangeArrowheads="1"/>
        </xdr:cNvSpPr>
      </xdr:nvSpPr>
      <xdr:spPr bwMode="auto">
        <a:xfrm>
          <a:off x="6768234" y="4675909"/>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42</xdr:row>
      <xdr:rowOff>0</xdr:rowOff>
    </xdr:from>
    <xdr:ext cx="95250" cy="171450"/>
    <xdr:sp macro="" textlink="">
      <xdr:nvSpPr>
        <xdr:cNvPr id="1584" name="Text Box 17">
          <a:extLst>
            <a:ext uri="{FF2B5EF4-FFF2-40B4-BE49-F238E27FC236}">
              <a16:creationId xmlns:a16="http://schemas.microsoft.com/office/drawing/2014/main" id="{00000000-0008-0000-0500-000030060000}"/>
            </a:ext>
          </a:extLst>
        </xdr:cNvPr>
        <xdr:cNvSpPr txBox="1">
          <a:spLocks noChangeArrowheads="1"/>
        </xdr:cNvSpPr>
      </xdr:nvSpPr>
      <xdr:spPr bwMode="auto">
        <a:xfrm>
          <a:off x="6768234" y="4675909"/>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42</xdr:row>
      <xdr:rowOff>0</xdr:rowOff>
    </xdr:from>
    <xdr:ext cx="95250" cy="171450"/>
    <xdr:sp macro="" textlink="">
      <xdr:nvSpPr>
        <xdr:cNvPr id="1585" name="Text Box 18">
          <a:extLst>
            <a:ext uri="{FF2B5EF4-FFF2-40B4-BE49-F238E27FC236}">
              <a16:creationId xmlns:a16="http://schemas.microsoft.com/office/drawing/2014/main" id="{00000000-0008-0000-0500-000031060000}"/>
            </a:ext>
          </a:extLst>
        </xdr:cNvPr>
        <xdr:cNvSpPr txBox="1">
          <a:spLocks noChangeArrowheads="1"/>
        </xdr:cNvSpPr>
      </xdr:nvSpPr>
      <xdr:spPr bwMode="auto">
        <a:xfrm>
          <a:off x="6768234" y="4675909"/>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42</xdr:row>
      <xdr:rowOff>0</xdr:rowOff>
    </xdr:from>
    <xdr:ext cx="95250" cy="171450"/>
    <xdr:sp macro="" textlink="">
      <xdr:nvSpPr>
        <xdr:cNvPr id="1586" name="Text Box 19">
          <a:extLst>
            <a:ext uri="{FF2B5EF4-FFF2-40B4-BE49-F238E27FC236}">
              <a16:creationId xmlns:a16="http://schemas.microsoft.com/office/drawing/2014/main" id="{00000000-0008-0000-0500-000032060000}"/>
            </a:ext>
          </a:extLst>
        </xdr:cNvPr>
        <xdr:cNvSpPr txBox="1">
          <a:spLocks noChangeArrowheads="1"/>
        </xdr:cNvSpPr>
      </xdr:nvSpPr>
      <xdr:spPr bwMode="auto">
        <a:xfrm>
          <a:off x="6768234" y="4675909"/>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21</xdr:col>
      <xdr:colOff>0</xdr:colOff>
      <xdr:row>42</xdr:row>
      <xdr:rowOff>0</xdr:rowOff>
    </xdr:from>
    <xdr:ext cx="95250" cy="171450"/>
    <xdr:sp macro="" textlink="">
      <xdr:nvSpPr>
        <xdr:cNvPr id="1587" name="Text Box 16">
          <a:extLst>
            <a:ext uri="{FF2B5EF4-FFF2-40B4-BE49-F238E27FC236}">
              <a16:creationId xmlns:a16="http://schemas.microsoft.com/office/drawing/2014/main" id="{00000000-0008-0000-0500-000033060000}"/>
            </a:ext>
          </a:extLst>
        </xdr:cNvPr>
        <xdr:cNvSpPr txBox="1">
          <a:spLocks noChangeArrowheads="1"/>
        </xdr:cNvSpPr>
      </xdr:nvSpPr>
      <xdr:spPr bwMode="auto">
        <a:xfrm>
          <a:off x="15690273" y="4675909"/>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21</xdr:col>
      <xdr:colOff>0</xdr:colOff>
      <xdr:row>42</xdr:row>
      <xdr:rowOff>0</xdr:rowOff>
    </xdr:from>
    <xdr:ext cx="95250" cy="171450"/>
    <xdr:sp macro="" textlink="">
      <xdr:nvSpPr>
        <xdr:cNvPr id="1588" name="Text Box 17">
          <a:extLst>
            <a:ext uri="{FF2B5EF4-FFF2-40B4-BE49-F238E27FC236}">
              <a16:creationId xmlns:a16="http://schemas.microsoft.com/office/drawing/2014/main" id="{00000000-0008-0000-0500-000034060000}"/>
            </a:ext>
          </a:extLst>
        </xdr:cNvPr>
        <xdr:cNvSpPr txBox="1">
          <a:spLocks noChangeArrowheads="1"/>
        </xdr:cNvSpPr>
      </xdr:nvSpPr>
      <xdr:spPr bwMode="auto">
        <a:xfrm>
          <a:off x="15690273" y="4675909"/>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21</xdr:col>
      <xdr:colOff>0</xdr:colOff>
      <xdr:row>42</xdr:row>
      <xdr:rowOff>0</xdr:rowOff>
    </xdr:from>
    <xdr:ext cx="95250" cy="171450"/>
    <xdr:sp macro="" textlink="">
      <xdr:nvSpPr>
        <xdr:cNvPr id="1589" name="Text Box 18">
          <a:extLst>
            <a:ext uri="{FF2B5EF4-FFF2-40B4-BE49-F238E27FC236}">
              <a16:creationId xmlns:a16="http://schemas.microsoft.com/office/drawing/2014/main" id="{00000000-0008-0000-0500-000035060000}"/>
            </a:ext>
          </a:extLst>
        </xdr:cNvPr>
        <xdr:cNvSpPr txBox="1">
          <a:spLocks noChangeArrowheads="1"/>
        </xdr:cNvSpPr>
      </xdr:nvSpPr>
      <xdr:spPr bwMode="auto">
        <a:xfrm>
          <a:off x="15690273" y="4675909"/>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21</xdr:col>
      <xdr:colOff>0</xdr:colOff>
      <xdr:row>42</xdr:row>
      <xdr:rowOff>0</xdr:rowOff>
    </xdr:from>
    <xdr:ext cx="95250" cy="171450"/>
    <xdr:sp macro="" textlink="">
      <xdr:nvSpPr>
        <xdr:cNvPr id="1590" name="Text Box 19">
          <a:extLst>
            <a:ext uri="{FF2B5EF4-FFF2-40B4-BE49-F238E27FC236}">
              <a16:creationId xmlns:a16="http://schemas.microsoft.com/office/drawing/2014/main" id="{00000000-0008-0000-0500-000036060000}"/>
            </a:ext>
          </a:extLst>
        </xdr:cNvPr>
        <xdr:cNvSpPr txBox="1">
          <a:spLocks noChangeArrowheads="1"/>
        </xdr:cNvSpPr>
      </xdr:nvSpPr>
      <xdr:spPr bwMode="auto">
        <a:xfrm>
          <a:off x="15690273" y="4675909"/>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42</xdr:row>
      <xdr:rowOff>0</xdr:rowOff>
    </xdr:from>
    <xdr:ext cx="95250" cy="171450"/>
    <xdr:sp macro="" textlink="">
      <xdr:nvSpPr>
        <xdr:cNvPr id="1591" name="Text Box 16">
          <a:extLst>
            <a:ext uri="{FF2B5EF4-FFF2-40B4-BE49-F238E27FC236}">
              <a16:creationId xmlns:a16="http://schemas.microsoft.com/office/drawing/2014/main" id="{00000000-0008-0000-0500-000037060000}"/>
            </a:ext>
          </a:extLst>
        </xdr:cNvPr>
        <xdr:cNvSpPr txBox="1">
          <a:spLocks noChangeArrowheads="1"/>
        </xdr:cNvSpPr>
      </xdr:nvSpPr>
      <xdr:spPr bwMode="auto">
        <a:xfrm>
          <a:off x="3706091" y="4675909"/>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42</xdr:row>
      <xdr:rowOff>0</xdr:rowOff>
    </xdr:from>
    <xdr:ext cx="95250" cy="171450"/>
    <xdr:sp macro="" textlink="">
      <xdr:nvSpPr>
        <xdr:cNvPr id="1592" name="Text Box 17">
          <a:extLst>
            <a:ext uri="{FF2B5EF4-FFF2-40B4-BE49-F238E27FC236}">
              <a16:creationId xmlns:a16="http://schemas.microsoft.com/office/drawing/2014/main" id="{00000000-0008-0000-0500-000038060000}"/>
            </a:ext>
          </a:extLst>
        </xdr:cNvPr>
        <xdr:cNvSpPr txBox="1">
          <a:spLocks noChangeArrowheads="1"/>
        </xdr:cNvSpPr>
      </xdr:nvSpPr>
      <xdr:spPr bwMode="auto">
        <a:xfrm>
          <a:off x="3706091" y="4675909"/>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42</xdr:row>
      <xdr:rowOff>0</xdr:rowOff>
    </xdr:from>
    <xdr:ext cx="95250" cy="171450"/>
    <xdr:sp macro="" textlink="">
      <xdr:nvSpPr>
        <xdr:cNvPr id="1593" name="Text Box 18">
          <a:extLst>
            <a:ext uri="{FF2B5EF4-FFF2-40B4-BE49-F238E27FC236}">
              <a16:creationId xmlns:a16="http://schemas.microsoft.com/office/drawing/2014/main" id="{00000000-0008-0000-0500-000039060000}"/>
            </a:ext>
          </a:extLst>
        </xdr:cNvPr>
        <xdr:cNvSpPr txBox="1">
          <a:spLocks noChangeArrowheads="1"/>
        </xdr:cNvSpPr>
      </xdr:nvSpPr>
      <xdr:spPr bwMode="auto">
        <a:xfrm>
          <a:off x="3706091" y="4675909"/>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42</xdr:row>
      <xdr:rowOff>0</xdr:rowOff>
    </xdr:from>
    <xdr:ext cx="95250" cy="171450"/>
    <xdr:sp macro="" textlink="">
      <xdr:nvSpPr>
        <xdr:cNvPr id="1594" name="Text Box 19">
          <a:extLst>
            <a:ext uri="{FF2B5EF4-FFF2-40B4-BE49-F238E27FC236}">
              <a16:creationId xmlns:a16="http://schemas.microsoft.com/office/drawing/2014/main" id="{00000000-0008-0000-0500-00003A060000}"/>
            </a:ext>
          </a:extLst>
        </xdr:cNvPr>
        <xdr:cNvSpPr txBox="1">
          <a:spLocks noChangeArrowheads="1"/>
        </xdr:cNvSpPr>
      </xdr:nvSpPr>
      <xdr:spPr bwMode="auto">
        <a:xfrm>
          <a:off x="3706091" y="4675909"/>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42</xdr:row>
      <xdr:rowOff>0</xdr:rowOff>
    </xdr:from>
    <xdr:ext cx="95250" cy="171450"/>
    <xdr:sp macro="" textlink="">
      <xdr:nvSpPr>
        <xdr:cNvPr id="1595" name="Text Box 16">
          <a:extLst>
            <a:ext uri="{FF2B5EF4-FFF2-40B4-BE49-F238E27FC236}">
              <a16:creationId xmlns:a16="http://schemas.microsoft.com/office/drawing/2014/main" id="{00000000-0008-0000-0500-00003B060000}"/>
            </a:ext>
          </a:extLst>
        </xdr:cNvPr>
        <xdr:cNvSpPr txBox="1">
          <a:spLocks noChangeArrowheads="1"/>
        </xdr:cNvSpPr>
      </xdr:nvSpPr>
      <xdr:spPr bwMode="auto">
        <a:xfrm>
          <a:off x="6768234" y="4675909"/>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42</xdr:row>
      <xdr:rowOff>0</xdr:rowOff>
    </xdr:from>
    <xdr:ext cx="95250" cy="171450"/>
    <xdr:sp macro="" textlink="">
      <xdr:nvSpPr>
        <xdr:cNvPr id="1596" name="Text Box 17">
          <a:extLst>
            <a:ext uri="{FF2B5EF4-FFF2-40B4-BE49-F238E27FC236}">
              <a16:creationId xmlns:a16="http://schemas.microsoft.com/office/drawing/2014/main" id="{00000000-0008-0000-0500-00003C060000}"/>
            </a:ext>
          </a:extLst>
        </xdr:cNvPr>
        <xdr:cNvSpPr txBox="1">
          <a:spLocks noChangeArrowheads="1"/>
        </xdr:cNvSpPr>
      </xdr:nvSpPr>
      <xdr:spPr bwMode="auto">
        <a:xfrm>
          <a:off x="6768234" y="4675909"/>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42</xdr:row>
      <xdr:rowOff>0</xdr:rowOff>
    </xdr:from>
    <xdr:ext cx="95250" cy="171450"/>
    <xdr:sp macro="" textlink="">
      <xdr:nvSpPr>
        <xdr:cNvPr id="1597" name="Text Box 18">
          <a:extLst>
            <a:ext uri="{FF2B5EF4-FFF2-40B4-BE49-F238E27FC236}">
              <a16:creationId xmlns:a16="http://schemas.microsoft.com/office/drawing/2014/main" id="{00000000-0008-0000-0500-00003D060000}"/>
            </a:ext>
          </a:extLst>
        </xdr:cNvPr>
        <xdr:cNvSpPr txBox="1">
          <a:spLocks noChangeArrowheads="1"/>
        </xdr:cNvSpPr>
      </xdr:nvSpPr>
      <xdr:spPr bwMode="auto">
        <a:xfrm>
          <a:off x="6768234" y="4675909"/>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42</xdr:row>
      <xdr:rowOff>0</xdr:rowOff>
    </xdr:from>
    <xdr:ext cx="95250" cy="171450"/>
    <xdr:sp macro="" textlink="">
      <xdr:nvSpPr>
        <xdr:cNvPr id="1598" name="Text Box 16">
          <a:extLst>
            <a:ext uri="{FF2B5EF4-FFF2-40B4-BE49-F238E27FC236}">
              <a16:creationId xmlns:a16="http://schemas.microsoft.com/office/drawing/2014/main" id="{00000000-0008-0000-0500-00003E060000}"/>
            </a:ext>
          </a:extLst>
        </xdr:cNvPr>
        <xdr:cNvSpPr txBox="1">
          <a:spLocks noChangeArrowheads="1"/>
        </xdr:cNvSpPr>
      </xdr:nvSpPr>
      <xdr:spPr bwMode="auto">
        <a:xfrm>
          <a:off x="9615343" y="4675909"/>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42</xdr:row>
      <xdr:rowOff>0</xdr:rowOff>
    </xdr:from>
    <xdr:ext cx="95250" cy="171450"/>
    <xdr:sp macro="" textlink="">
      <xdr:nvSpPr>
        <xdr:cNvPr id="1599" name="Text Box 17">
          <a:extLst>
            <a:ext uri="{FF2B5EF4-FFF2-40B4-BE49-F238E27FC236}">
              <a16:creationId xmlns:a16="http://schemas.microsoft.com/office/drawing/2014/main" id="{00000000-0008-0000-0500-00003F060000}"/>
            </a:ext>
          </a:extLst>
        </xdr:cNvPr>
        <xdr:cNvSpPr txBox="1">
          <a:spLocks noChangeArrowheads="1"/>
        </xdr:cNvSpPr>
      </xdr:nvSpPr>
      <xdr:spPr bwMode="auto">
        <a:xfrm>
          <a:off x="9615343" y="4675909"/>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42</xdr:row>
      <xdr:rowOff>0</xdr:rowOff>
    </xdr:from>
    <xdr:ext cx="95250" cy="171450"/>
    <xdr:sp macro="" textlink="">
      <xdr:nvSpPr>
        <xdr:cNvPr id="1600" name="Text Box 18">
          <a:extLst>
            <a:ext uri="{FF2B5EF4-FFF2-40B4-BE49-F238E27FC236}">
              <a16:creationId xmlns:a16="http://schemas.microsoft.com/office/drawing/2014/main" id="{00000000-0008-0000-0500-000040060000}"/>
            </a:ext>
          </a:extLst>
        </xdr:cNvPr>
        <xdr:cNvSpPr txBox="1">
          <a:spLocks noChangeArrowheads="1"/>
        </xdr:cNvSpPr>
      </xdr:nvSpPr>
      <xdr:spPr bwMode="auto">
        <a:xfrm>
          <a:off x="9615343" y="4675909"/>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42</xdr:row>
      <xdr:rowOff>0</xdr:rowOff>
    </xdr:from>
    <xdr:ext cx="95250" cy="171450"/>
    <xdr:sp macro="" textlink="">
      <xdr:nvSpPr>
        <xdr:cNvPr id="1601" name="Text Box 19">
          <a:extLst>
            <a:ext uri="{FF2B5EF4-FFF2-40B4-BE49-F238E27FC236}">
              <a16:creationId xmlns:a16="http://schemas.microsoft.com/office/drawing/2014/main" id="{00000000-0008-0000-0500-000041060000}"/>
            </a:ext>
          </a:extLst>
        </xdr:cNvPr>
        <xdr:cNvSpPr txBox="1">
          <a:spLocks noChangeArrowheads="1"/>
        </xdr:cNvSpPr>
      </xdr:nvSpPr>
      <xdr:spPr bwMode="auto">
        <a:xfrm>
          <a:off x="9615343" y="4675909"/>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42</xdr:row>
      <xdr:rowOff>0</xdr:rowOff>
    </xdr:from>
    <xdr:ext cx="95250" cy="171450"/>
    <xdr:sp macro="" textlink="">
      <xdr:nvSpPr>
        <xdr:cNvPr id="1602" name="Text Box 16">
          <a:extLst>
            <a:ext uri="{FF2B5EF4-FFF2-40B4-BE49-F238E27FC236}">
              <a16:creationId xmlns:a16="http://schemas.microsoft.com/office/drawing/2014/main" id="{00000000-0008-0000-0500-000042060000}"/>
            </a:ext>
          </a:extLst>
        </xdr:cNvPr>
        <xdr:cNvSpPr txBox="1">
          <a:spLocks noChangeArrowheads="1"/>
        </xdr:cNvSpPr>
      </xdr:nvSpPr>
      <xdr:spPr bwMode="auto">
        <a:xfrm>
          <a:off x="9615343" y="4675909"/>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42</xdr:row>
      <xdr:rowOff>0</xdr:rowOff>
    </xdr:from>
    <xdr:ext cx="95250" cy="171450"/>
    <xdr:sp macro="" textlink="">
      <xdr:nvSpPr>
        <xdr:cNvPr id="1603" name="Text Box 17">
          <a:extLst>
            <a:ext uri="{FF2B5EF4-FFF2-40B4-BE49-F238E27FC236}">
              <a16:creationId xmlns:a16="http://schemas.microsoft.com/office/drawing/2014/main" id="{00000000-0008-0000-0500-000043060000}"/>
            </a:ext>
          </a:extLst>
        </xdr:cNvPr>
        <xdr:cNvSpPr txBox="1">
          <a:spLocks noChangeArrowheads="1"/>
        </xdr:cNvSpPr>
      </xdr:nvSpPr>
      <xdr:spPr bwMode="auto">
        <a:xfrm>
          <a:off x="9615343" y="4675909"/>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42</xdr:row>
      <xdr:rowOff>0</xdr:rowOff>
    </xdr:from>
    <xdr:ext cx="95250" cy="171450"/>
    <xdr:sp macro="" textlink="">
      <xdr:nvSpPr>
        <xdr:cNvPr id="1604" name="Text Box 18">
          <a:extLst>
            <a:ext uri="{FF2B5EF4-FFF2-40B4-BE49-F238E27FC236}">
              <a16:creationId xmlns:a16="http://schemas.microsoft.com/office/drawing/2014/main" id="{00000000-0008-0000-0500-000044060000}"/>
            </a:ext>
          </a:extLst>
        </xdr:cNvPr>
        <xdr:cNvSpPr txBox="1">
          <a:spLocks noChangeArrowheads="1"/>
        </xdr:cNvSpPr>
      </xdr:nvSpPr>
      <xdr:spPr bwMode="auto">
        <a:xfrm>
          <a:off x="9615343" y="4675909"/>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42</xdr:row>
      <xdr:rowOff>0</xdr:rowOff>
    </xdr:from>
    <xdr:ext cx="95250" cy="171450"/>
    <xdr:sp macro="" textlink="">
      <xdr:nvSpPr>
        <xdr:cNvPr id="1605" name="Text Box 19">
          <a:extLst>
            <a:ext uri="{FF2B5EF4-FFF2-40B4-BE49-F238E27FC236}">
              <a16:creationId xmlns:a16="http://schemas.microsoft.com/office/drawing/2014/main" id="{00000000-0008-0000-0500-000045060000}"/>
            </a:ext>
          </a:extLst>
        </xdr:cNvPr>
        <xdr:cNvSpPr txBox="1">
          <a:spLocks noChangeArrowheads="1"/>
        </xdr:cNvSpPr>
      </xdr:nvSpPr>
      <xdr:spPr bwMode="auto">
        <a:xfrm>
          <a:off x="9615343" y="4675909"/>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48</xdr:row>
      <xdr:rowOff>0</xdr:rowOff>
    </xdr:from>
    <xdr:ext cx="95250" cy="171450"/>
    <xdr:sp macro="" textlink="">
      <xdr:nvSpPr>
        <xdr:cNvPr id="1606" name="Text Box 16">
          <a:extLst>
            <a:ext uri="{FF2B5EF4-FFF2-40B4-BE49-F238E27FC236}">
              <a16:creationId xmlns:a16="http://schemas.microsoft.com/office/drawing/2014/main" id="{00000000-0008-0000-0500-000046060000}"/>
            </a:ext>
          </a:extLst>
        </xdr:cNvPr>
        <xdr:cNvSpPr txBox="1">
          <a:spLocks noChangeArrowheads="1"/>
        </xdr:cNvSpPr>
      </xdr:nvSpPr>
      <xdr:spPr bwMode="auto">
        <a:xfrm>
          <a:off x="3710214" y="3619500"/>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48</xdr:row>
      <xdr:rowOff>0</xdr:rowOff>
    </xdr:from>
    <xdr:ext cx="95250" cy="171450"/>
    <xdr:sp macro="" textlink="">
      <xdr:nvSpPr>
        <xdr:cNvPr id="1607" name="Text Box 17">
          <a:extLst>
            <a:ext uri="{FF2B5EF4-FFF2-40B4-BE49-F238E27FC236}">
              <a16:creationId xmlns:a16="http://schemas.microsoft.com/office/drawing/2014/main" id="{00000000-0008-0000-0500-000047060000}"/>
            </a:ext>
          </a:extLst>
        </xdr:cNvPr>
        <xdr:cNvSpPr txBox="1">
          <a:spLocks noChangeArrowheads="1"/>
        </xdr:cNvSpPr>
      </xdr:nvSpPr>
      <xdr:spPr bwMode="auto">
        <a:xfrm>
          <a:off x="3710214" y="3619500"/>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48</xdr:row>
      <xdr:rowOff>0</xdr:rowOff>
    </xdr:from>
    <xdr:ext cx="95250" cy="171450"/>
    <xdr:sp macro="" textlink="">
      <xdr:nvSpPr>
        <xdr:cNvPr id="1608" name="Text Box 18">
          <a:extLst>
            <a:ext uri="{FF2B5EF4-FFF2-40B4-BE49-F238E27FC236}">
              <a16:creationId xmlns:a16="http://schemas.microsoft.com/office/drawing/2014/main" id="{00000000-0008-0000-0500-000048060000}"/>
            </a:ext>
          </a:extLst>
        </xdr:cNvPr>
        <xdr:cNvSpPr txBox="1">
          <a:spLocks noChangeArrowheads="1"/>
        </xdr:cNvSpPr>
      </xdr:nvSpPr>
      <xdr:spPr bwMode="auto">
        <a:xfrm>
          <a:off x="3710214" y="3619500"/>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48</xdr:row>
      <xdr:rowOff>0</xdr:rowOff>
    </xdr:from>
    <xdr:ext cx="95250" cy="171450"/>
    <xdr:sp macro="" textlink="">
      <xdr:nvSpPr>
        <xdr:cNvPr id="1609" name="Text Box 19">
          <a:extLst>
            <a:ext uri="{FF2B5EF4-FFF2-40B4-BE49-F238E27FC236}">
              <a16:creationId xmlns:a16="http://schemas.microsoft.com/office/drawing/2014/main" id="{00000000-0008-0000-0500-000049060000}"/>
            </a:ext>
          </a:extLst>
        </xdr:cNvPr>
        <xdr:cNvSpPr txBox="1">
          <a:spLocks noChangeArrowheads="1"/>
        </xdr:cNvSpPr>
      </xdr:nvSpPr>
      <xdr:spPr bwMode="auto">
        <a:xfrm>
          <a:off x="3710214" y="3619500"/>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48</xdr:row>
      <xdr:rowOff>504825</xdr:rowOff>
    </xdr:from>
    <xdr:ext cx="95250" cy="461691"/>
    <xdr:sp macro="" textlink="">
      <xdr:nvSpPr>
        <xdr:cNvPr id="1610" name="Text Box 15">
          <a:extLst>
            <a:ext uri="{FF2B5EF4-FFF2-40B4-BE49-F238E27FC236}">
              <a16:creationId xmlns:a16="http://schemas.microsoft.com/office/drawing/2014/main" id="{00000000-0008-0000-0500-00004A060000}"/>
            </a:ext>
          </a:extLst>
        </xdr:cNvPr>
        <xdr:cNvSpPr txBox="1">
          <a:spLocks noChangeArrowheads="1"/>
        </xdr:cNvSpPr>
      </xdr:nvSpPr>
      <xdr:spPr bwMode="auto">
        <a:xfrm>
          <a:off x="3710214" y="3800475"/>
          <a:ext cx="95250" cy="461691"/>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48</xdr:row>
      <xdr:rowOff>0</xdr:rowOff>
    </xdr:from>
    <xdr:ext cx="95250" cy="171450"/>
    <xdr:sp macro="" textlink="">
      <xdr:nvSpPr>
        <xdr:cNvPr id="1611" name="Text Box 16">
          <a:extLst>
            <a:ext uri="{FF2B5EF4-FFF2-40B4-BE49-F238E27FC236}">
              <a16:creationId xmlns:a16="http://schemas.microsoft.com/office/drawing/2014/main" id="{00000000-0008-0000-0500-00004B060000}"/>
            </a:ext>
          </a:extLst>
        </xdr:cNvPr>
        <xdr:cNvSpPr txBox="1">
          <a:spLocks noChangeArrowheads="1"/>
        </xdr:cNvSpPr>
      </xdr:nvSpPr>
      <xdr:spPr bwMode="auto">
        <a:xfrm>
          <a:off x="6555468" y="3619500"/>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48</xdr:row>
      <xdr:rowOff>0</xdr:rowOff>
    </xdr:from>
    <xdr:ext cx="95250" cy="171450"/>
    <xdr:sp macro="" textlink="">
      <xdr:nvSpPr>
        <xdr:cNvPr id="1612" name="Text Box 17">
          <a:extLst>
            <a:ext uri="{FF2B5EF4-FFF2-40B4-BE49-F238E27FC236}">
              <a16:creationId xmlns:a16="http://schemas.microsoft.com/office/drawing/2014/main" id="{00000000-0008-0000-0500-00004C060000}"/>
            </a:ext>
          </a:extLst>
        </xdr:cNvPr>
        <xdr:cNvSpPr txBox="1">
          <a:spLocks noChangeArrowheads="1"/>
        </xdr:cNvSpPr>
      </xdr:nvSpPr>
      <xdr:spPr bwMode="auto">
        <a:xfrm>
          <a:off x="6555468" y="3619500"/>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48</xdr:row>
      <xdr:rowOff>0</xdr:rowOff>
    </xdr:from>
    <xdr:ext cx="95250" cy="171450"/>
    <xdr:sp macro="" textlink="">
      <xdr:nvSpPr>
        <xdr:cNvPr id="1613" name="Text Box 18">
          <a:extLst>
            <a:ext uri="{FF2B5EF4-FFF2-40B4-BE49-F238E27FC236}">
              <a16:creationId xmlns:a16="http://schemas.microsoft.com/office/drawing/2014/main" id="{00000000-0008-0000-0500-00004D060000}"/>
            </a:ext>
          </a:extLst>
        </xdr:cNvPr>
        <xdr:cNvSpPr txBox="1">
          <a:spLocks noChangeArrowheads="1"/>
        </xdr:cNvSpPr>
      </xdr:nvSpPr>
      <xdr:spPr bwMode="auto">
        <a:xfrm>
          <a:off x="6555468" y="3619500"/>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48</xdr:row>
      <xdr:rowOff>0</xdr:rowOff>
    </xdr:from>
    <xdr:ext cx="95250" cy="171450"/>
    <xdr:sp macro="" textlink="">
      <xdr:nvSpPr>
        <xdr:cNvPr id="1614" name="Text Box 19">
          <a:extLst>
            <a:ext uri="{FF2B5EF4-FFF2-40B4-BE49-F238E27FC236}">
              <a16:creationId xmlns:a16="http://schemas.microsoft.com/office/drawing/2014/main" id="{00000000-0008-0000-0500-00004E060000}"/>
            </a:ext>
          </a:extLst>
        </xdr:cNvPr>
        <xdr:cNvSpPr txBox="1">
          <a:spLocks noChangeArrowheads="1"/>
        </xdr:cNvSpPr>
      </xdr:nvSpPr>
      <xdr:spPr bwMode="auto">
        <a:xfrm>
          <a:off x="6555468" y="3619500"/>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48</xdr:row>
      <xdr:rowOff>504825</xdr:rowOff>
    </xdr:from>
    <xdr:ext cx="95250" cy="442269"/>
    <xdr:sp macro="" textlink="">
      <xdr:nvSpPr>
        <xdr:cNvPr id="1615" name="Text Box 15">
          <a:extLst>
            <a:ext uri="{FF2B5EF4-FFF2-40B4-BE49-F238E27FC236}">
              <a16:creationId xmlns:a16="http://schemas.microsoft.com/office/drawing/2014/main" id="{00000000-0008-0000-0500-00004F060000}"/>
            </a:ext>
          </a:extLst>
        </xdr:cNvPr>
        <xdr:cNvSpPr txBox="1">
          <a:spLocks noChangeArrowheads="1"/>
        </xdr:cNvSpPr>
      </xdr:nvSpPr>
      <xdr:spPr bwMode="auto">
        <a:xfrm>
          <a:off x="6555468" y="3800475"/>
          <a:ext cx="95250" cy="442269"/>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21</xdr:col>
      <xdr:colOff>0</xdr:colOff>
      <xdr:row>48</xdr:row>
      <xdr:rowOff>0</xdr:rowOff>
    </xdr:from>
    <xdr:ext cx="95250" cy="171450"/>
    <xdr:sp macro="" textlink="">
      <xdr:nvSpPr>
        <xdr:cNvPr id="1616" name="Text Box 16">
          <a:extLst>
            <a:ext uri="{FF2B5EF4-FFF2-40B4-BE49-F238E27FC236}">
              <a16:creationId xmlns:a16="http://schemas.microsoft.com/office/drawing/2014/main" id="{00000000-0008-0000-0500-000050060000}"/>
            </a:ext>
          </a:extLst>
        </xdr:cNvPr>
        <xdr:cNvSpPr txBox="1">
          <a:spLocks noChangeArrowheads="1"/>
        </xdr:cNvSpPr>
      </xdr:nvSpPr>
      <xdr:spPr bwMode="auto">
        <a:xfrm>
          <a:off x="15475857" y="3619500"/>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21</xdr:col>
      <xdr:colOff>0</xdr:colOff>
      <xdr:row>48</xdr:row>
      <xdr:rowOff>0</xdr:rowOff>
    </xdr:from>
    <xdr:ext cx="95250" cy="171450"/>
    <xdr:sp macro="" textlink="">
      <xdr:nvSpPr>
        <xdr:cNvPr id="1617" name="Text Box 17">
          <a:extLst>
            <a:ext uri="{FF2B5EF4-FFF2-40B4-BE49-F238E27FC236}">
              <a16:creationId xmlns:a16="http://schemas.microsoft.com/office/drawing/2014/main" id="{00000000-0008-0000-0500-000051060000}"/>
            </a:ext>
          </a:extLst>
        </xdr:cNvPr>
        <xdr:cNvSpPr txBox="1">
          <a:spLocks noChangeArrowheads="1"/>
        </xdr:cNvSpPr>
      </xdr:nvSpPr>
      <xdr:spPr bwMode="auto">
        <a:xfrm>
          <a:off x="15475857" y="3619500"/>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21</xdr:col>
      <xdr:colOff>0</xdr:colOff>
      <xdr:row>48</xdr:row>
      <xdr:rowOff>0</xdr:rowOff>
    </xdr:from>
    <xdr:ext cx="95250" cy="171450"/>
    <xdr:sp macro="" textlink="">
      <xdr:nvSpPr>
        <xdr:cNvPr id="1618" name="Text Box 18">
          <a:extLst>
            <a:ext uri="{FF2B5EF4-FFF2-40B4-BE49-F238E27FC236}">
              <a16:creationId xmlns:a16="http://schemas.microsoft.com/office/drawing/2014/main" id="{00000000-0008-0000-0500-000052060000}"/>
            </a:ext>
          </a:extLst>
        </xdr:cNvPr>
        <xdr:cNvSpPr txBox="1">
          <a:spLocks noChangeArrowheads="1"/>
        </xdr:cNvSpPr>
      </xdr:nvSpPr>
      <xdr:spPr bwMode="auto">
        <a:xfrm>
          <a:off x="15475857" y="3619500"/>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21</xdr:col>
      <xdr:colOff>0</xdr:colOff>
      <xdr:row>48</xdr:row>
      <xdr:rowOff>0</xdr:rowOff>
    </xdr:from>
    <xdr:ext cx="95250" cy="171450"/>
    <xdr:sp macro="" textlink="">
      <xdr:nvSpPr>
        <xdr:cNvPr id="1619" name="Text Box 19">
          <a:extLst>
            <a:ext uri="{FF2B5EF4-FFF2-40B4-BE49-F238E27FC236}">
              <a16:creationId xmlns:a16="http://schemas.microsoft.com/office/drawing/2014/main" id="{00000000-0008-0000-0500-000053060000}"/>
            </a:ext>
          </a:extLst>
        </xdr:cNvPr>
        <xdr:cNvSpPr txBox="1">
          <a:spLocks noChangeArrowheads="1"/>
        </xdr:cNvSpPr>
      </xdr:nvSpPr>
      <xdr:spPr bwMode="auto">
        <a:xfrm>
          <a:off x="15475857" y="3619500"/>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47</xdr:row>
      <xdr:rowOff>504825</xdr:rowOff>
    </xdr:from>
    <xdr:ext cx="95250" cy="444014"/>
    <xdr:sp macro="" textlink="">
      <xdr:nvSpPr>
        <xdr:cNvPr id="1621" name="Text Box 15">
          <a:extLst>
            <a:ext uri="{FF2B5EF4-FFF2-40B4-BE49-F238E27FC236}">
              <a16:creationId xmlns:a16="http://schemas.microsoft.com/office/drawing/2014/main" id="{00000000-0008-0000-0500-000055060000}"/>
            </a:ext>
          </a:extLst>
        </xdr:cNvPr>
        <xdr:cNvSpPr txBox="1">
          <a:spLocks noChangeArrowheads="1"/>
        </xdr:cNvSpPr>
      </xdr:nvSpPr>
      <xdr:spPr bwMode="auto">
        <a:xfrm>
          <a:off x="3710214" y="3612696"/>
          <a:ext cx="95250" cy="444014"/>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48</xdr:row>
      <xdr:rowOff>0</xdr:rowOff>
    </xdr:from>
    <xdr:ext cx="95250" cy="171450"/>
    <xdr:sp macro="" textlink="">
      <xdr:nvSpPr>
        <xdr:cNvPr id="1622" name="Text Box 16">
          <a:extLst>
            <a:ext uri="{FF2B5EF4-FFF2-40B4-BE49-F238E27FC236}">
              <a16:creationId xmlns:a16="http://schemas.microsoft.com/office/drawing/2014/main" id="{00000000-0008-0000-0500-000056060000}"/>
            </a:ext>
          </a:extLst>
        </xdr:cNvPr>
        <xdr:cNvSpPr txBox="1">
          <a:spLocks noChangeArrowheads="1"/>
        </xdr:cNvSpPr>
      </xdr:nvSpPr>
      <xdr:spPr bwMode="auto">
        <a:xfrm>
          <a:off x="3710214" y="3619500"/>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48</xdr:row>
      <xdr:rowOff>0</xdr:rowOff>
    </xdr:from>
    <xdr:ext cx="95250" cy="171450"/>
    <xdr:sp macro="" textlink="">
      <xdr:nvSpPr>
        <xdr:cNvPr id="1623" name="Text Box 17">
          <a:extLst>
            <a:ext uri="{FF2B5EF4-FFF2-40B4-BE49-F238E27FC236}">
              <a16:creationId xmlns:a16="http://schemas.microsoft.com/office/drawing/2014/main" id="{00000000-0008-0000-0500-000057060000}"/>
            </a:ext>
          </a:extLst>
        </xdr:cNvPr>
        <xdr:cNvSpPr txBox="1">
          <a:spLocks noChangeArrowheads="1"/>
        </xdr:cNvSpPr>
      </xdr:nvSpPr>
      <xdr:spPr bwMode="auto">
        <a:xfrm>
          <a:off x="3710214" y="3619500"/>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48</xdr:row>
      <xdr:rowOff>0</xdr:rowOff>
    </xdr:from>
    <xdr:ext cx="95250" cy="171450"/>
    <xdr:sp macro="" textlink="">
      <xdr:nvSpPr>
        <xdr:cNvPr id="1624" name="Text Box 18">
          <a:extLst>
            <a:ext uri="{FF2B5EF4-FFF2-40B4-BE49-F238E27FC236}">
              <a16:creationId xmlns:a16="http://schemas.microsoft.com/office/drawing/2014/main" id="{00000000-0008-0000-0500-000058060000}"/>
            </a:ext>
          </a:extLst>
        </xdr:cNvPr>
        <xdr:cNvSpPr txBox="1">
          <a:spLocks noChangeArrowheads="1"/>
        </xdr:cNvSpPr>
      </xdr:nvSpPr>
      <xdr:spPr bwMode="auto">
        <a:xfrm>
          <a:off x="3710214" y="3619500"/>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48</xdr:row>
      <xdr:rowOff>0</xdr:rowOff>
    </xdr:from>
    <xdr:ext cx="95250" cy="171450"/>
    <xdr:sp macro="" textlink="">
      <xdr:nvSpPr>
        <xdr:cNvPr id="1625" name="Text Box 19">
          <a:extLst>
            <a:ext uri="{FF2B5EF4-FFF2-40B4-BE49-F238E27FC236}">
              <a16:creationId xmlns:a16="http://schemas.microsoft.com/office/drawing/2014/main" id="{00000000-0008-0000-0500-000059060000}"/>
            </a:ext>
          </a:extLst>
        </xdr:cNvPr>
        <xdr:cNvSpPr txBox="1">
          <a:spLocks noChangeArrowheads="1"/>
        </xdr:cNvSpPr>
      </xdr:nvSpPr>
      <xdr:spPr bwMode="auto">
        <a:xfrm>
          <a:off x="3710214" y="3619500"/>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48</xdr:row>
      <xdr:rowOff>504825</xdr:rowOff>
    </xdr:from>
    <xdr:ext cx="95250" cy="213632"/>
    <xdr:sp macro="" textlink="">
      <xdr:nvSpPr>
        <xdr:cNvPr id="1626" name="Text Box 15">
          <a:extLst>
            <a:ext uri="{FF2B5EF4-FFF2-40B4-BE49-F238E27FC236}">
              <a16:creationId xmlns:a16="http://schemas.microsoft.com/office/drawing/2014/main" id="{00000000-0008-0000-0500-00005A060000}"/>
            </a:ext>
          </a:extLst>
        </xdr:cNvPr>
        <xdr:cNvSpPr txBox="1">
          <a:spLocks noChangeArrowheads="1"/>
        </xdr:cNvSpPr>
      </xdr:nvSpPr>
      <xdr:spPr bwMode="auto">
        <a:xfrm>
          <a:off x="3710214" y="380047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48</xdr:row>
      <xdr:rowOff>504825</xdr:rowOff>
    </xdr:from>
    <xdr:ext cx="95250" cy="444331"/>
    <xdr:sp macro="" textlink="">
      <xdr:nvSpPr>
        <xdr:cNvPr id="1627" name="Text Box 15">
          <a:extLst>
            <a:ext uri="{FF2B5EF4-FFF2-40B4-BE49-F238E27FC236}">
              <a16:creationId xmlns:a16="http://schemas.microsoft.com/office/drawing/2014/main" id="{00000000-0008-0000-0500-00005B060000}"/>
            </a:ext>
          </a:extLst>
        </xdr:cNvPr>
        <xdr:cNvSpPr txBox="1">
          <a:spLocks noChangeArrowheads="1"/>
        </xdr:cNvSpPr>
      </xdr:nvSpPr>
      <xdr:spPr bwMode="auto">
        <a:xfrm>
          <a:off x="3710214" y="3800475"/>
          <a:ext cx="95250" cy="444331"/>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47</xdr:row>
      <xdr:rowOff>504825</xdr:rowOff>
    </xdr:from>
    <xdr:ext cx="95250" cy="442269"/>
    <xdr:sp macro="" textlink="">
      <xdr:nvSpPr>
        <xdr:cNvPr id="1628" name="Text Box 15">
          <a:extLst>
            <a:ext uri="{FF2B5EF4-FFF2-40B4-BE49-F238E27FC236}">
              <a16:creationId xmlns:a16="http://schemas.microsoft.com/office/drawing/2014/main" id="{00000000-0008-0000-0500-00005C060000}"/>
            </a:ext>
          </a:extLst>
        </xdr:cNvPr>
        <xdr:cNvSpPr txBox="1">
          <a:spLocks noChangeArrowheads="1"/>
        </xdr:cNvSpPr>
      </xdr:nvSpPr>
      <xdr:spPr bwMode="auto">
        <a:xfrm>
          <a:off x="6555468" y="3612696"/>
          <a:ext cx="95250" cy="442269"/>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48</xdr:row>
      <xdr:rowOff>0</xdr:rowOff>
    </xdr:from>
    <xdr:ext cx="95250" cy="171450"/>
    <xdr:sp macro="" textlink="">
      <xdr:nvSpPr>
        <xdr:cNvPr id="1629" name="Text Box 16">
          <a:extLst>
            <a:ext uri="{FF2B5EF4-FFF2-40B4-BE49-F238E27FC236}">
              <a16:creationId xmlns:a16="http://schemas.microsoft.com/office/drawing/2014/main" id="{00000000-0008-0000-0500-00005D060000}"/>
            </a:ext>
          </a:extLst>
        </xdr:cNvPr>
        <xdr:cNvSpPr txBox="1">
          <a:spLocks noChangeArrowheads="1"/>
        </xdr:cNvSpPr>
      </xdr:nvSpPr>
      <xdr:spPr bwMode="auto">
        <a:xfrm>
          <a:off x="6555468" y="3619500"/>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48</xdr:row>
      <xdr:rowOff>0</xdr:rowOff>
    </xdr:from>
    <xdr:ext cx="95250" cy="171450"/>
    <xdr:sp macro="" textlink="">
      <xdr:nvSpPr>
        <xdr:cNvPr id="1630" name="Text Box 17">
          <a:extLst>
            <a:ext uri="{FF2B5EF4-FFF2-40B4-BE49-F238E27FC236}">
              <a16:creationId xmlns:a16="http://schemas.microsoft.com/office/drawing/2014/main" id="{00000000-0008-0000-0500-00005E060000}"/>
            </a:ext>
          </a:extLst>
        </xdr:cNvPr>
        <xdr:cNvSpPr txBox="1">
          <a:spLocks noChangeArrowheads="1"/>
        </xdr:cNvSpPr>
      </xdr:nvSpPr>
      <xdr:spPr bwMode="auto">
        <a:xfrm>
          <a:off x="6555468" y="3619500"/>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48</xdr:row>
      <xdr:rowOff>0</xdr:rowOff>
    </xdr:from>
    <xdr:ext cx="95250" cy="171450"/>
    <xdr:sp macro="" textlink="">
      <xdr:nvSpPr>
        <xdr:cNvPr id="1631" name="Text Box 18">
          <a:extLst>
            <a:ext uri="{FF2B5EF4-FFF2-40B4-BE49-F238E27FC236}">
              <a16:creationId xmlns:a16="http://schemas.microsoft.com/office/drawing/2014/main" id="{00000000-0008-0000-0500-00005F060000}"/>
            </a:ext>
          </a:extLst>
        </xdr:cNvPr>
        <xdr:cNvSpPr txBox="1">
          <a:spLocks noChangeArrowheads="1"/>
        </xdr:cNvSpPr>
      </xdr:nvSpPr>
      <xdr:spPr bwMode="auto">
        <a:xfrm>
          <a:off x="6555468" y="3619500"/>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48</xdr:row>
      <xdr:rowOff>504825</xdr:rowOff>
    </xdr:from>
    <xdr:ext cx="95250" cy="213632"/>
    <xdr:sp macro="" textlink="">
      <xdr:nvSpPr>
        <xdr:cNvPr id="1632" name="Text Box 15">
          <a:extLst>
            <a:ext uri="{FF2B5EF4-FFF2-40B4-BE49-F238E27FC236}">
              <a16:creationId xmlns:a16="http://schemas.microsoft.com/office/drawing/2014/main" id="{00000000-0008-0000-0500-000060060000}"/>
            </a:ext>
          </a:extLst>
        </xdr:cNvPr>
        <xdr:cNvSpPr txBox="1">
          <a:spLocks noChangeArrowheads="1"/>
        </xdr:cNvSpPr>
      </xdr:nvSpPr>
      <xdr:spPr bwMode="auto">
        <a:xfrm>
          <a:off x="6555468" y="380047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48</xdr:row>
      <xdr:rowOff>0</xdr:rowOff>
    </xdr:from>
    <xdr:ext cx="95250" cy="171450"/>
    <xdr:sp macro="" textlink="">
      <xdr:nvSpPr>
        <xdr:cNvPr id="1633" name="Text Box 16">
          <a:extLst>
            <a:ext uri="{FF2B5EF4-FFF2-40B4-BE49-F238E27FC236}">
              <a16:creationId xmlns:a16="http://schemas.microsoft.com/office/drawing/2014/main" id="{00000000-0008-0000-0500-000061060000}"/>
            </a:ext>
          </a:extLst>
        </xdr:cNvPr>
        <xdr:cNvSpPr txBox="1">
          <a:spLocks noChangeArrowheads="1"/>
        </xdr:cNvSpPr>
      </xdr:nvSpPr>
      <xdr:spPr bwMode="auto">
        <a:xfrm>
          <a:off x="9398454" y="3619500"/>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48</xdr:row>
      <xdr:rowOff>0</xdr:rowOff>
    </xdr:from>
    <xdr:ext cx="95250" cy="171450"/>
    <xdr:sp macro="" textlink="">
      <xdr:nvSpPr>
        <xdr:cNvPr id="1634" name="Text Box 17">
          <a:extLst>
            <a:ext uri="{FF2B5EF4-FFF2-40B4-BE49-F238E27FC236}">
              <a16:creationId xmlns:a16="http://schemas.microsoft.com/office/drawing/2014/main" id="{00000000-0008-0000-0500-000062060000}"/>
            </a:ext>
          </a:extLst>
        </xdr:cNvPr>
        <xdr:cNvSpPr txBox="1">
          <a:spLocks noChangeArrowheads="1"/>
        </xdr:cNvSpPr>
      </xdr:nvSpPr>
      <xdr:spPr bwMode="auto">
        <a:xfrm>
          <a:off x="9398454" y="3619500"/>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48</xdr:row>
      <xdr:rowOff>0</xdr:rowOff>
    </xdr:from>
    <xdr:ext cx="95250" cy="171450"/>
    <xdr:sp macro="" textlink="">
      <xdr:nvSpPr>
        <xdr:cNvPr id="1635" name="Text Box 18">
          <a:extLst>
            <a:ext uri="{FF2B5EF4-FFF2-40B4-BE49-F238E27FC236}">
              <a16:creationId xmlns:a16="http://schemas.microsoft.com/office/drawing/2014/main" id="{00000000-0008-0000-0500-000063060000}"/>
            </a:ext>
          </a:extLst>
        </xdr:cNvPr>
        <xdr:cNvSpPr txBox="1">
          <a:spLocks noChangeArrowheads="1"/>
        </xdr:cNvSpPr>
      </xdr:nvSpPr>
      <xdr:spPr bwMode="auto">
        <a:xfrm>
          <a:off x="9398454" y="3619500"/>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48</xdr:row>
      <xdr:rowOff>0</xdr:rowOff>
    </xdr:from>
    <xdr:ext cx="95250" cy="171450"/>
    <xdr:sp macro="" textlink="">
      <xdr:nvSpPr>
        <xdr:cNvPr id="1636" name="Text Box 19">
          <a:extLst>
            <a:ext uri="{FF2B5EF4-FFF2-40B4-BE49-F238E27FC236}">
              <a16:creationId xmlns:a16="http://schemas.microsoft.com/office/drawing/2014/main" id="{00000000-0008-0000-0500-000064060000}"/>
            </a:ext>
          </a:extLst>
        </xdr:cNvPr>
        <xdr:cNvSpPr txBox="1">
          <a:spLocks noChangeArrowheads="1"/>
        </xdr:cNvSpPr>
      </xdr:nvSpPr>
      <xdr:spPr bwMode="auto">
        <a:xfrm>
          <a:off x="9398454" y="3619500"/>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48</xdr:row>
      <xdr:rowOff>0</xdr:rowOff>
    </xdr:from>
    <xdr:ext cx="95250" cy="171450"/>
    <xdr:sp macro="" textlink="">
      <xdr:nvSpPr>
        <xdr:cNvPr id="1637" name="Text Box 16">
          <a:extLst>
            <a:ext uri="{FF2B5EF4-FFF2-40B4-BE49-F238E27FC236}">
              <a16:creationId xmlns:a16="http://schemas.microsoft.com/office/drawing/2014/main" id="{00000000-0008-0000-0500-000065060000}"/>
            </a:ext>
          </a:extLst>
        </xdr:cNvPr>
        <xdr:cNvSpPr txBox="1">
          <a:spLocks noChangeArrowheads="1"/>
        </xdr:cNvSpPr>
      </xdr:nvSpPr>
      <xdr:spPr bwMode="auto">
        <a:xfrm>
          <a:off x="9398454" y="3619500"/>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48</xdr:row>
      <xdr:rowOff>0</xdr:rowOff>
    </xdr:from>
    <xdr:ext cx="95250" cy="171450"/>
    <xdr:sp macro="" textlink="">
      <xdr:nvSpPr>
        <xdr:cNvPr id="1638" name="Text Box 17">
          <a:extLst>
            <a:ext uri="{FF2B5EF4-FFF2-40B4-BE49-F238E27FC236}">
              <a16:creationId xmlns:a16="http://schemas.microsoft.com/office/drawing/2014/main" id="{00000000-0008-0000-0500-000066060000}"/>
            </a:ext>
          </a:extLst>
        </xdr:cNvPr>
        <xdr:cNvSpPr txBox="1">
          <a:spLocks noChangeArrowheads="1"/>
        </xdr:cNvSpPr>
      </xdr:nvSpPr>
      <xdr:spPr bwMode="auto">
        <a:xfrm>
          <a:off x="9398454" y="3619500"/>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48</xdr:row>
      <xdr:rowOff>0</xdr:rowOff>
    </xdr:from>
    <xdr:ext cx="95250" cy="171450"/>
    <xdr:sp macro="" textlink="">
      <xdr:nvSpPr>
        <xdr:cNvPr id="1639" name="Text Box 18">
          <a:extLst>
            <a:ext uri="{FF2B5EF4-FFF2-40B4-BE49-F238E27FC236}">
              <a16:creationId xmlns:a16="http://schemas.microsoft.com/office/drawing/2014/main" id="{00000000-0008-0000-0500-000067060000}"/>
            </a:ext>
          </a:extLst>
        </xdr:cNvPr>
        <xdr:cNvSpPr txBox="1">
          <a:spLocks noChangeArrowheads="1"/>
        </xdr:cNvSpPr>
      </xdr:nvSpPr>
      <xdr:spPr bwMode="auto">
        <a:xfrm>
          <a:off x="9398454" y="3619500"/>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48</xdr:row>
      <xdr:rowOff>0</xdr:rowOff>
    </xdr:from>
    <xdr:ext cx="95250" cy="171450"/>
    <xdr:sp macro="" textlink="">
      <xdr:nvSpPr>
        <xdr:cNvPr id="1640" name="Text Box 19">
          <a:extLst>
            <a:ext uri="{FF2B5EF4-FFF2-40B4-BE49-F238E27FC236}">
              <a16:creationId xmlns:a16="http://schemas.microsoft.com/office/drawing/2014/main" id="{00000000-0008-0000-0500-000068060000}"/>
            </a:ext>
          </a:extLst>
        </xdr:cNvPr>
        <xdr:cNvSpPr txBox="1">
          <a:spLocks noChangeArrowheads="1"/>
        </xdr:cNvSpPr>
      </xdr:nvSpPr>
      <xdr:spPr bwMode="auto">
        <a:xfrm>
          <a:off x="9398454" y="3619500"/>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54</xdr:row>
      <xdr:rowOff>0</xdr:rowOff>
    </xdr:from>
    <xdr:ext cx="95250" cy="171450"/>
    <xdr:sp macro="" textlink="">
      <xdr:nvSpPr>
        <xdr:cNvPr id="1641" name="Text Box 16">
          <a:extLst>
            <a:ext uri="{FF2B5EF4-FFF2-40B4-BE49-F238E27FC236}">
              <a16:creationId xmlns:a16="http://schemas.microsoft.com/office/drawing/2014/main" id="{00000000-0008-0000-0500-000069060000}"/>
            </a:ext>
          </a:extLst>
        </xdr:cNvPr>
        <xdr:cNvSpPr txBox="1">
          <a:spLocks noChangeArrowheads="1"/>
        </xdr:cNvSpPr>
      </xdr:nvSpPr>
      <xdr:spPr bwMode="auto">
        <a:xfrm>
          <a:off x="3710214" y="4163786"/>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54</xdr:row>
      <xdr:rowOff>0</xdr:rowOff>
    </xdr:from>
    <xdr:ext cx="95250" cy="171450"/>
    <xdr:sp macro="" textlink="">
      <xdr:nvSpPr>
        <xdr:cNvPr id="1642" name="Text Box 17">
          <a:extLst>
            <a:ext uri="{FF2B5EF4-FFF2-40B4-BE49-F238E27FC236}">
              <a16:creationId xmlns:a16="http://schemas.microsoft.com/office/drawing/2014/main" id="{00000000-0008-0000-0500-00006A060000}"/>
            </a:ext>
          </a:extLst>
        </xdr:cNvPr>
        <xdr:cNvSpPr txBox="1">
          <a:spLocks noChangeArrowheads="1"/>
        </xdr:cNvSpPr>
      </xdr:nvSpPr>
      <xdr:spPr bwMode="auto">
        <a:xfrm>
          <a:off x="3710214" y="4163786"/>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54</xdr:row>
      <xdr:rowOff>0</xdr:rowOff>
    </xdr:from>
    <xdr:ext cx="95250" cy="171450"/>
    <xdr:sp macro="" textlink="">
      <xdr:nvSpPr>
        <xdr:cNvPr id="1643" name="Text Box 18">
          <a:extLst>
            <a:ext uri="{FF2B5EF4-FFF2-40B4-BE49-F238E27FC236}">
              <a16:creationId xmlns:a16="http://schemas.microsoft.com/office/drawing/2014/main" id="{00000000-0008-0000-0500-00006B060000}"/>
            </a:ext>
          </a:extLst>
        </xdr:cNvPr>
        <xdr:cNvSpPr txBox="1">
          <a:spLocks noChangeArrowheads="1"/>
        </xdr:cNvSpPr>
      </xdr:nvSpPr>
      <xdr:spPr bwMode="auto">
        <a:xfrm>
          <a:off x="3710214" y="4163786"/>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54</xdr:row>
      <xdr:rowOff>0</xdr:rowOff>
    </xdr:from>
    <xdr:ext cx="95250" cy="171450"/>
    <xdr:sp macro="" textlink="">
      <xdr:nvSpPr>
        <xdr:cNvPr id="1644" name="Text Box 19">
          <a:extLst>
            <a:ext uri="{FF2B5EF4-FFF2-40B4-BE49-F238E27FC236}">
              <a16:creationId xmlns:a16="http://schemas.microsoft.com/office/drawing/2014/main" id="{00000000-0008-0000-0500-00006C060000}"/>
            </a:ext>
          </a:extLst>
        </xdr:cNvPr>
        <xdr:cNvSpPr txBox="1">
          <a:spLocks noChangeArrowheads="1"/>
        </xdr:cNvSpPr>
      </xdr:nvSpPr>
      <xdr:spPr bwMode="auto">
        <a:xfrm>
          <a:off x="3710214" y="4163786"/>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54</xdr:row>
      <xdr:rowOff>0</xdr:rowOff>
    </xdr:from>
    <xdr:ext cx="95250" cy="171450"/>
    <xdr:sp macro="" textlink="">
      <xdr:nvSpPr>
        <xdr:cNvPr id="1645" name="Text Box 16">
          <a:extLst>
            <a:ext uri="{FF2B5EF4-FFF2-40B4-BE49-F238E27FC236}">
              <a16:creationId xmlns:a16="http://schemas.microsoft.com/office/drawing/2014/main" id="{00000000-0008-0000-0500-00006D060000}"/>
            </a:ext>
          </a:extLst>
        </xdr:cNvPr>
        <xdr:cNvSpPr txBox="1">
          <a:spLocks noChangeArrowheads="1"/>
        </xdr:cNvSpPr>
      </xdr:nvSpPr>
      <xdr:spPr bwMode="auto">
        <a:xfrm>
          <a:off x="6555468" y="4163786"/>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54</xdr:row>
      <xdr:rowOff>0</xdr:rowOff>
    </xdr:from>
    <xdr:ext cx="95250" cy="171450"/>
    <xdr:sp macro="" textlink="">
      <xdr:nvSpPr>
        <xdr:cNvPr id="1646" name="Text Box 17">
          <a:extLst>
            <a:ext uri="{FF2B5EF4-FFF2-40B4-BE49-F238E27FC236}">
              <a16:creationId xmlns:a16="http://schemas.microsoft.com/office/drawing/2014/main" id="{00000000-0008-0000-0500-00006E060000}"/>
            </a:ext>
          </a:extLst>
        </xdr:cNvPr>
        <xdr:cNvSpPr txBox="1">
          <a:spLocks noChangeArrowheads="1"/>
        </xdr:cNvSpPr>
      </xdr:nvSpPr>
      <xdr:spPr bwMode="auto">
        <a:xfrm>
          <a:off x="6555468" y="4163786"/>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54</xdr:row>
      <xdr:rowOff>0</xdr:rowOff>
    </xdr:from>
    <xdr:ext cx="95250" cy="171450"/>
    <xdr:sp macro="" textlink="">
      <xdr:nvSpPr>
        <xdr:cNvPr id="1647" name="Text Box 18">
          <a:extLst>
            <a:ext uri="{FF2B5EF4-FFF2-40B4-BE49-F238E27FC236}">
              <a16:creationId xmlns:a16="http://schemas.microsoft.com/office/drawing/2014/main" id="{00000000-0008-0000-0500-00006F060000}"/>
            </a:ext>
          </a:extLst>
        </xdr:cNvPr>
        <xdr:cNvSpPr txBox="1">
          <a:spLocks noChangeArrowheads="1"/>
        </xdr:cNvSpPr>
      </xdr:nvSpPr>
      <xdr:spPr bwMode="auto">
        <a:xfrm>
          <a:off x="6555468" y="4163786"/>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54</xdr:row>
      <xdr:rowOff>0</xdr:rowOff>
    </xdr:from>
    <xdr:ext cx="95250" cy="171450"/>
    <xdr:sp macro="" textlink="">
      <xdr:nvSpPr>
        <xdr:cNvPr id="1648" name="Text Box 19">
          <a:extLst>
            <a:ext uri="{FF2B5EF4-FFF2-40B4-BE49-F238E27FC236}">
              <a16:creationId xmlns:a16="http://schemas.microsoft.com/office/drawing/2014/main" id="{00000000-0008-0000-0500-000070060000}"/>
            </a:ext>
          </a:extLst>
        </xdr:cNvPr>
        <xdr:cNvSpPr txBox="1">
          <a:spLocks noChangeArrowheads="1"/>
        </xdr:cNvSpPr>
      </xdr:nvSpPr>
      <xdr:spPr bwMode="auto">
        <a:xfrm>
          <a:off x="6555468" y="4163786"/>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21</xdr:col>
      <xdr:colOff>0</xdr:colOff>
      <xdr:row>54</xdr:row>
      <xdr:rowOff>0</xdr:rowOff>
    </xdr:from>
    <xdr:ext cx="95250" cy="171450"/>
    <xdr:sp macro="" textlink="">
      <xdr:nvSpPr>
        <xdr:cNvPr id="1649" name="Text Box 16">
          <a:extLst>
            <a:ext uri="{FF2B5EF4-FFF2-40B4-BE49-F238E27FC236}">
              <a16:creationId xmlns:a16="http://schemas.microsoft.com/office/drawing/2014/main" id="{00000000-0008-0000-0500-000071060000}"/>
            </a:ext>
          </a:extLst>
        </xdr:cNvPr>
        <xdr:cNvSpPr txBox="1">
          <a:spLocks noChangeArrowheads="1"/>
        </xdr:cNvSpPr>
      </xdr:nvSpPr>
      <xdr:spPr bwMode="auto">
        <a:xfrm>
          <a:off x="15475857" y="4163786"/>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21</xdr:col>
      <xdr:colOff>0</xdr:colOff>
      <xdr:row>54</xdr:row>
      <xdr:rowOff>0</xdr:rowOff>
    </xdr:from>
    <xdr:ext cx="95250" cy="171450"/>
    <xdr:sp macro="" textlink="">
      <xdr:nvSpPr>
        <xdr:cNvPr id="1650" name="Text Box 17">
          <a:extLst>
            <a:ext uri="{FF2B5EF4-FFF2-40B4-BE49-F238E27FC236}">
              <a16:creationId xmlns:a16="http://schemas.microsoft.com/office/drawing/2014/main" id="{00000000-0008-0000-0500-000072060000}"/>
            </a:ext>
          </a:extLst>
        </xdr:cNvPr>
        <xdr:cNvSpPr txBox="1">
          <a:spLocks noChangeArrowheads="1"/>
        </xdr:cNvSpPr>
      </xdr:nvSpPr>
      <xdr:spPr bwMode="auto">
        <a:xfrm>
          <a:off x="15475857" y="4163786"/>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21</xdr:col>
      <xdr:colOff>0</xdr:colOff>
      <xdr:row>54</xdr:row>
      <xdr:rowOff>0</xdr:rowOff>
    </xdr:from>
    <xdr:ext cx="95250" cy="171450"/>
    <xdr:sp macro="" textlink="">
      <xdr:nvSpPr>
        <xdr:cNvPr id="1651" name="Text Box 18">
          <a:extLst>
            <a:ext uri="{FF2B5EF4-FFF2-40B4-BE49-F238E27FC236}">
              <a16:creationId xmlns:a16="http://schemas.microsoft.com/office/drawing/2014/main" id="{00000000-0008-0000-0500-000073060000}"/>
            </a:ext>
          </a:extLst>
        </xdr:cNvPr>
        <xdr:cNvSpPr txBox="1">
          <a:spLocks noChangeArrowheads="1"/>
        </xdr:cNvSpPr>
      </xdr:nvSpPr>
      <xdr:spPr bwMode="auto">
        <a:xfrm>
          <a:off x="15475857" y="4163786"/>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21</xdr:col>
      <xdr:colOff>0</xdr:colOff>
      <xdr:row>54</xdr:row>
      <xdr:rowOff>0</xdr:rowOff>
    </xdr:from>
    <xdr:ext cx="95250" cy="171450"/>
    <xdr:sp macro="" textlink="">
      <xdr:nvSpPr>
        <xdr:cNvPr id="1652" name="Text Box 19">
          <a:extLst>
            <a:ext uri="{FF2B5EF4-FFF2-40B4-BE49-F238E27FC236}">
              <a16:creationId xmlns:a16="http://schemas.microsoft.com/office/drawing/2014/main" id="{00000000-0008-0000-0500-000074060000}"/>
            </a:ext>
          </a:extLst>
        </xdr:cNvPr>
        <xdr:cNvSpPr txBox="1">
          <a:spLocks noChangeArrowheads="1"/>
        </xdr:cNvSpPr>
      </xdr:nvSpPr>
      <xdr:spPr bwMode="auto">
        <a:xfrm>
          <a:off x="15475857" y="4163786"/>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53</xdr:row>
      <xdr:rowOff>504825</xdr:rowOff>
    </xdr:from>
    <xdr:ext cx="95250" cy="444014"/>
    <xdr:sp macro="" textlink="">
      <xdr:nvSpPr>
        <xdr:cNvPr id="1653" name="Text Box 15">
          <a:extLst>
            <a:ext uri="{FF2B5EF4-FFF2-40B4-BE49-F238E27FC236}">
              <a16:creationId xmlns:a16="http://schemas.microsoft.com/office/drawing/2014/main" id="{00000000-0008-0000-0500-000075060000}"/>
            </a:ext>
          </a:extLst>
        </xdr:cNvPr>
        <xdr:cNvSpPr txBox="1">
          <a:spLocks noChangeArrowheads="1"/>
        </xdr:cNvSpPr>
      </xdr:nvSpPr>
      <xdr:spPr bwMode="auto">
        <a:xfrm>
          <a:off x="3710214" y="4156982"/>
          <a:ext cx="95250" cy="444014"/>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54</xdr:row>
      <xdr:rowOff>0</xdr:rowOff>
    </xdr:from>
    <xdr:ext cx="95250" cy="171450"/>
    <xdr:sp macro="" textlink="">
      <xdr:nvSpPr>
        <xdr:cNvPr id="1654" name="Text Box 16">
          <a:extLst>
            <a:ext uri="{FF2B5EF4-FFF2-40B4-BE49-F238E27FC236}">
              <a16:creationId xmlns:a16="http://schemas.microsoft.com/office/drawing/2014/main" id="{00000000-0008-0000-0500-000076060000}"/>
            </a:ext>
          </a:extLst>
        </xdr:cNvPr>
        <xdr:cNvSpPr txBox="1">
          <a:spLocks noChangeArrowheads="1"/>
        </xdr:cNvSpPr>
      </xdr:nvSpPr>
      <xdr:spPr bwMode="auto">
        <a:xfrm>
          <a:off x="3710214" y="4163786"/>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54</xdr:row>
      <xdr:rowOff>0</xdr:rowOff>
    </xdr:from>
    <xdr:ext cx="95250" cy="171450"/>
    <xdr:sp macro="" textlink="">
      <xdr:nvSpPr>
        <xdr:cNvPr id="1655" name="Text Box 17">
          <a:extLst>
            <a:ext uri="{FF2B5EF4-FFF2-40B4-BE49-F238E27FC236}">
              <a16:creationId xmlns:a16="http://schemas.microsoft.com/office/drawing/2014/main" id="{00000000-0008-0000-0500-000077060000}"/>
            </a:ext>
          </a:extLst>
        </xdr:cNvPr>
        <xdr:cNvSpPr txBox="1">
          <a:spLocks noChangeArrowheads="1"/>
        </xdr:cNvSpPr>
      </xdr:nvSpPr>
      <xdr:spPr bwMode="auto">
        <a:xfrm>
          <a:off x="3710214" y="4163786"/>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54</xdr:row>
      <xdr:rowOff>0</xdr:rowOff>
    </xdr:from>
    <xdr:ext cx="95250" cy="171450"/>
    <xdr:sp macro="" textlink="">
      <xdr:nvSpPr>
        <xdr:cNvPr id="1656" name="Text Box 18">
          <a:extLst>
            <a:ext uri="{FF2B5EF4-FFF2-40B4-BE49-F238E27FC236}">
              <a16:creationId xmlns:a16="http://schemas.microsoft.com/office/drawing/2014/main" id="{00000000-0008-0000-0500-000078060000}"/>
            </a:ext>
          </a:extLst>
        </xdr:cNvPr>
        <xdr:cNvSpPr txBox="1">
          <a:spLocks noChangeArrowheads="1"/>
        </xdr:cNvSpPr>
      </xdr:nvSpPr>
      <xdr:spPr bwMode="auto">
        <a:xfrm>
          <a:off x="3710214" y="4163786"/>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54</xdr:row>
      <xdr:rowOff>0</xdr:rowOff>
    </xdr:from>
    <xdr:ext cx="95250" cy="171450"/>
    <xdr:sp macro="" textlink="">
      <xdr:nvSpPr>
        <xdr:cNvPr id="1657" name="Text Box 19">
          <a:extLst>
            <a:ext uri="{FF2B5EF4-FFF2-40B4-BE49-F238E27FC236}">
              <a16:creationId xmlns:a16="http://schemas.microsoft.com/office/drawing/2014/main" id="{00000000-0008-0000-0500-000079060000}"/>
            </a:ext>
          </a:extLst>
        </xdr:cNvPr>
        <xdr:cNvSpPr txBox="1">
          <a:spLocks noChangeArrowheads="1"/>
        </xdr:cNvSpPr>
      </xdr:nvSpPr>
      <xdr:spPr bwMode="auto">
        <a:xfrm>
          <a:off x="3710214" y="4163786"/>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53</xdr:row>
      <xdr:rowOff>504825</xdr:rowOff>
    </xdr:from>
    <xdr:ext cx="95250" cy="442269"/>
    <xdr:sp macro="" textlink="">
      <xdr:nvSpPr>
        <xdr:cNvPr id="1658" name="Text Box 15">
          <a:extLst>
            <a:ext uri="{FF2B5EF4-FFF2-40B4-BE49-F238E27FC236}">
              <a16:creationId xmlns:a16="http://schemas.microsoft.com/office/drawing/2014/main" id="{00000000-0008-0000-0500-00007A060000}"/>
            </a:ext>
          </a:extLst>
        </xdr:cNvPr>
        <xdr:cNvSpPr txBox="1">
          <a:spLocks noChangeArrowheads="1"/>
        </xdr:cNvSpPr>
      </xdr:nvSpPr>
      <xdr:spPr bwMode="auto">
        <a:xfrm>
          <a:off x="6555468" y="4156982"/>
          <a:ext cx="95250" cy="442269"/>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54</xdr:row>
      <xdr:rowOff>0</xdr:rowOff>
    </xdr:from>
    <xdr:ext cx="95250" cy="171450"/>
    <xdr:sp macro="" textlink="">
      <xdr:nvSpPr>
        <xdr:cNvPr id="1659" name="Text Box 16">
          <a:extLst>
            <a:ext uri="{FF2B5EF4-FFF2-40B4-BE49-F238E27FC236}">
              <a16:creationId xmlns:a16="http://schemas.microsoft.com/office/drawing/2014/main" id="{00000000-0008-0000-0500-00007B060000}"/>
            </a:ext>
          </a:extLst>
        </xdr:cNvPr>
        <xdr:cNvSpPr txBox="1">
          <a:spLocks noChangeArrowheads="1"/>
        </xdr:cNvSpPr>
      </xdr:nvSpPr>
      <xdr:spPr bwMode="auto">
        <a:xfrm>
          <a:off x="6555468" y="4163786"/>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54</xdr:row>
      <xdr:rowOff>0</xdr:rowOff>
    </xdr:from>
    <xdr:ext cx="95250" cy="171450"/>
    <xdr:sp macro="" textlink="">
      <xdr:nvSpPr>
        <xdr:cNvPr id="1660" name="Text Box 17">
          <a:extLst>
            <a:ext uri="{FF2B5EF4-FFF2-40B4-BE49-F238E27FC236}">
              <a16:creationId xmlns:a16="http://schemas.microsoft.com/office/drawing/2014/main" id="{00000000-0008-0000-0500-00007C060000}"/>
            </a:ext>
          </a:extLst>
        </xdr:cNvPr>
        <xdr:cNvSpPr txBox="1">
          <a:spLocks noChangeArrowheads="1"/>
        </xdr:cNvSpPr>
      </xdr:nvSpPr>
      <xdr:spPr bwMode="auto">
        <a:xfrm>
          <a:off x="6555468" y="4163786"/>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54</xdr:row>
      <xdr:rowOff>0</xdr:rowOff>
    </xdr:from>
    <xdr:ext cx="95250" cy="171450"/>
    <xdr:sp macro="" textlink="">
      <xdr:nvSpPr>
        <xdr:cNvPr id="1661" name="Text Box 18">
          <a:extLst>
            <a:ext uri="{FF2B5EF4-FFF2-40B4-BE49-F238E27FC236}">
              <a16:creationId xmlns:a16="http://schemas.microsoft.com/office/drawing/2014/main" id="{00000000-0008-0000-0500-00007D060000}"/>
            </a:ext>
          </a:extLst>
        </xdr:cNvPr>
        <xdr:cNvSpPr txBox="1">
          <a:spLocks noChangeArrowheads="1"/>
        </xdr:cNvSpPr>
      </xdr:nvSpPr>
      <xdr:spPr bwMode="auto">
        <a:xfrm>
          <a:off x="6555468" y="4163786"/>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54</xdr:row>
      <xdr:rowOff>0</xdr:rowOff>
    </xdr:from>
    <xdr:ext cx="95250" cy="171450"/>
    <xdr:sp macro="" textlink="">
      <xdr:nvSpPr>
        <xdr:cNvPr id="1662" name="Text Box 16">
          <a:extLst>
            <a:ext uri="{FF2B5EF4-FFF2-40B4-BE49-F238E27FC236}">
              <a16:creationId xmlns:a16="http://schemas.microsoft.com/office/drawing/2014/main" id="{00000000-0008-0000-0500-00007E060000}"/>
            </a:ext>
          </a:extLst>
        </xdr:cNvPr>
        <xdr:cNvSpPr txBox="1">
          <a:spLocks noChangeArrowheads="1"/>
        </xdr:cNvSpPr>
      </xdr:nvSpPr>
      <xdr:spPr bwMode="auto">
        <a:xfrm>
          <a:off x="9398454" y="4163786"/>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54</xdr:row>
      <xdr:rowOff>0</xdr:rowOff>
    </xdr:from>
    <xdr:ext cx="95250" cy="171450"/>
    <xdr:sp macro="" textlink="">
      <xdr:nvSpPr>
        <xdr:cNvPr id="1663" name="Text Box 17">
          <a:extLst>
            <a:ext uri="{FF2B5EF4-FFF2-40B4-BE49-F238E27FC236}">
              <a16:creationId xmlns:a16="http://schemas.microsoft.com/office/drawing/2014/main" id="{00000000-0008-0000-0500-00007F060000}"/>
            </a:ext>
          </a:extLst>
        </xdr:cNvPr>
        <xdr:cNvSpPr txBox="1">
          <a:spLocks noChangeArrowheads="1"/>
        </xdr:cNvSpPr>
      </xdr:nvSpPr>
      <xdr:spPr bwMode="auto">
        <a:xfrm>
          <a:off x="9398454" y="4163786"/>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54</xdr:row>
      <xdr:rowOff>0</xdr:rowOff>
    </xdr:from>
    <xdr:ext cx="95250" cy="171450"/>
    <xdr:sp macro="" textlink="">
      <xdr:nvSpPr>
        <xdr:cNvPr id="1664" name="Text Box 18">
          <a:extLst>
            <a:ext uri="{FF2B5EF4-FFF2-40B4-BE49-F238E27FC236}">
              <a16:creationId xmlns:a16="http://schemas.microsoft.com/office/drawing/2014/main" id="{00000000-0008-0000-0500-000080060000}"/>
            </a:ext>
          </a:extLst>
        </xdr:cNvPr>
        <xdr:cNvSpPr txBox="1">
          <a:spLocks noChangeArrowheads="1"/>
        </xdr:cNvSpPr>
      </xdr:nvSpPr>
      <xdr:spPr bwMode="auto">
        <a:xfrm>
          <a:off x="9398454" y="4163786"/>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54</xdr:row>
      <xdr:rowOff>0</xdr:rowOff>
    </xdr:from>
    <xdr:ext cx="95250" cy="171450"/>
    <xdr:sp macro="" textlink="">
      <xdr:nvSpPr>
        <xdr:cNvPr id="1665" name="Text Box 19">
          <a:extLst>
            <a:ext uri="{FF2B5EF4-FFF2-40B4-BE49-F238E27FC236}">
              <a16:creationId xmlns:a16="http://schemas.microsoft.com/office/drawing/2014/main" id="{00000000-0008-0000-0500-000081060000}"/>
            </a:ext>
          </a:extLst>
        </xdr:cNvPr>
        <xdr:cNvSpPr txBox="1">
          <a:spLocks noChangeArrowheads="1"/>
        </xdr:cNvSpPr>
      </xdr:nvSpPr>
      <xdr:spPr bwMode="auto">
        <a:xfrm>
          <a:off x="9398454" y="4163786"/>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54</xdr:row>
      <xdr:rowOff>0</xdr:rowOff>
    </xdr:from>
    <xdr:ext cx="95250" cy="171450"/>
    <xdr:sp macro="" textlink="">
      <xdr:nvSpPr>
        <xdr:cNvPr id="1666" name="Text Box 16">
          <a:extLst>
            <a:ext uri="{FF2B5EF4-FFF2-40B4-BE49-F238E27FC236}">
              <a16:creationId xmlns:a16="http://schemas.microsoft.com/office/drawing/2014/main" id="{00000000-0008-0000-0500-000082060000}"/>
            </a:ext>
          </a:extLst>
        </xdr:cNvPr>
        <xdr:cNvSpPr txBox="1">
          <a:spLocks noChangeArrowheads="1"/>
        </xdr:cNvSpPr>
      </xdr:nvSpPr>
      <xdr:spPr bwMode="auto">
        <a:xfrm>
          <a:off x="9398454" y="4163786"/>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54</xdr:row>
      <xdr:rowOff>0</xdr:rowOff>
    </xdr:from>
    <xdr:ext cx="95250" cy="171450"/>
    <xdr:sp macro="" textlink="">
      <xdr:nvSpPr>
        <xdr:cNvPr id="1667" name="Text Box 17">
          <a:extLst>
            <a:ext uri="{FF2B5EF4-FFF2-40B4-BE49-F238E27FC236}">
              <a16:creationId xmlns:a16="http://schemas.microsoft.com/office/drawing/2014/main" id="{00000000-0008-0000-0500-000083060000}"/>
            </a:ext>
          </a:extLst>
        </xdr:cNvPr>
        <xdr:cNvSpPr txBox="1">
          <a:spLocks noChangeArrowheads="1"/>
        </xdr:cNvSpPr>
      </xdr:nvSpPr>
      <xdr:spPr bwMode="auto">
        <a:xfrm>
          <a:off x="9398454" y="4163786"/>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54</xdr:row>
      <xdr:rowOff>0</xdr:rowOff>
    </xdr:from>
    <xdr:ext cx="95250" cy="171450"/>
    <xdr:sp macro="" textlink="">
      <xdr:nvSpPr>
        <xdr:cNvPr id="1668" name="Text Box 18">
          <a:extLst>
            <a:ext uri="{FF2B5EF4-FFF2-40B4-BE49-F238E27FC236}">
              <a16:creationId xmlns:a16="http://schemas.microsoft.com/office/drawing/2014/main" id="{00000000-0008-0000-0500-000084060000}"/>
            </a:ext>
          </a:extLst>
        </xdr:cNvPr>
        <xdr:cNvSpPr txBox="1">
          <a:spLocks noChangeArrowheads="1"/>
        </xdr:cNvSpPr>
      </xdr:nvSpPr>
      <xdr:spPr bwMode="auto">
        <a:xfrm>
          <a:off x="9398454" y="4163786"/>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54</xdr:row>
      <xdr:rowOff>0</xdr:rowOff>
    </xdr:from>
    <xdr:ext cx="95250" cy="171450"/>
    <xdr:sp macro="" textlink="">
      <xdr:nvSpPr>
        <xdr:cNvPr id="1669" name="Text Box 19">
          <a:extLst>
            <a:ext uri="{FF2B5EF4-FFF2-40B4-BE49-F238E27FC236}">
              <a16:creationId xmlns:a16="http://schemas.microsoft.com/office/drawing/2014/main" id="{00000000-0008-0000-0500-000085060000}"/>
            </a:ext>
          </a:extLst>
        </xdr:cNvPr>
        <xdr:cNvSpPr txBox="1">
          <a:spLocks noChangeArrowheads="1"/>
        </xdr:cNvSpPr>
      </xdr:nvSpPr>
      <xdr:spPr bwMode="auto">
        <a:xfrm>
          <a:off x="9398454" y="4163786"/>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54</xdr:row>
      <xdr:rowOff>504825</xdr:rowOff>
    </xdr:from>
    <xdr:ext cx="95250" cy="448496"/>
    <xdr:sp macro="" textlink="">
      <xdr:nvSpPr>
        <xdr:cNvPr id="1670" name="Text Box 15">
          <a:extLst>
            <a:ext uri="{FF2B5EF4-FFF2-40B4-BE49-F238E27FC236}">
              <a16:creationId xmlns:a16="http://schemas.microsoft.com/office/drawing/2014/main" id="{00000000-0008-0000-0500-000086060000}"/>
            </a:ext>
          </a:extLst>
        </xdr:cNvPr>
        <xdr:cNvSpPr txBox="1">
          <a:spLocks noChangeArrowheads="1"/>
        </xdr:cNvSpPr>
      </xdr:nvSpPr>
      <xdr:spPr bwMode="auto">
        <a:xfrm>
          <a:off x="3710214" y="4344761"/>
          <a:ext cx="95250" cy="448496"/>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54</xdr:row>
      <xdr:rowOff>504825</xdr:rowOff>
    </xdr:from>
    <xdr:ext cx="95250" cy="442269"/>
    <xdr:sp macro="" textlink="">
      <xdr:nvSpPr>
        <xdr:cNvPr id="1671" name="Text Box 15">
          <a:extLst>
            <a:ext uri="{FF2B5EF4-FFF2-40B4-BE49-F238E27FC236}">
              <a16:creationId xmlns:a16="http://schemas.microsoft.com/office/drawing/2014/main" id="{00000000-0008-0000-0500-000087060000}"/>
            </a:ext>
          </a:extLst>
        </xdr:cNvPr>
        <xdr:cNvSpPr txBox="1">
          <a:spLocks noChangeArrowheads="1"/>
        </xdr:cNvSpPr>
      </xdr:nvSpPr>
      <xdr:spPr bwMode="auto">
        <a:xfrm>
          <a:off x="6555468" y="4344761"/>
          <a:ext cx="95250" cy="442269"/>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54</xdr:row>
      <xdr:rowOff>504825</xdr:rowOff>
    </xdr:from>
    <xdr:ext cx="95250" cy="213632"/>
    <xdr:sp macro="" textlink="">
      <xdr:nvSpPr>
        <xdr:cNvPr id="1673" name="Text Box 15">
          <a:extLst>
            <a:ext uri="{FF2B5EF4-FFF2-40B4-BE49-F238E27FC236}">
              <a16:creationId xmlns:a16="http://schemas.microsoft.com/office/drawing/2014/main" id="{00000000-0008-0000-0500-000089060000}"/>
            </a:ext>
          </a:extLst>
        </xdr:cNvPr>
        <xdr:cNvSpPr txBox="1">
          <a:spLocks noChangeArrowheads="1"/>
        </xdr:cNvSpPr>
      </xdr:nvSpPr>
      <xdr:spPr bwMode="auto">
        <a:xfrm>
          <a:off x="3710214" y="4344761"/>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54</xdr:row>
      <xdr:rowOff>504825</xdr:rowOff>
    </xdr:from>
    <xdr:ext cx="95250" cy="444331"/>
    <xdr:sp macro="" textlink="">
      <xdr:nvSpPr>
        <xdr:cNvPr id="1674" name="Text Box 15">
          <a:extLst>
            <a:ext uri="{FF2B5EF4-FFF2-40B4-BE49-F238E27FC236}">
              <a16:creationId xmlns:a16="http://schemas.microsoft.com/office/drawing/2014/main" id="{00000000-0008-0000-0500-00008A060000}"/>
            </a:ext>
          </a:extLst>
        </xdr:cNvPr>
        <xdr:cNvSpPr txBox="1">
          <a:spLocks noChangeArrowheads="1"/>
        </xdr:cNvSpPr>
      </xdr:nvSpPr>
      <xdr:spPr bwMode="auto">
        <a:xfrm>
          <a:off x="3710214" y="4344761"/>
          <a:ext cx="95250" cy="444331"/>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54</xdr:row>
      <xdr:rowOff>504825</xdr:rowOff>
    </xdr:from>
    <xdr:ext cx="95250" cy="213632"/>
    <xdr:sp macro="" textlink="">
      <xdr:nvSpPr>
        <xdr:cNvPr id="1675" name="Text Box 15">
          <a:extLst>
            <a:ext uri="{FF2B5EF4-FFF2-40B4-BE49-F238E27FC236}">
              <a16:creationId xmlns:a16="http://schemas.microsoft.com/office/drawing/2014/main" id="{00000000-0008-0000-0500-00008B060000}"/>
            </a:ext>
          </a:extLst>
        </xdr:cNvPr>
        <xdr:cNvSpPr txBox="1">
          <a:spLocks noChangeArrowheads="1"/>
        </xdr:cNvSpPr>
      </xdr:nvSpPr>
      <xdr:spPr bwMode="auto">
        <a:xfrm>
          <a:off x="6555468" y="4344761"/>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60</xdr:row>
      <xdr:rowOff>0</xdr:rowOff>
    </xdr:from>
    <xdr:ext cx="95250" cy="171450"/>
    <xdr:sp macro="" textlink="">
      <xdr:nvSpPr>
        <xdr:cNvPr id="1676" name="Text Box 16">
          <a:extLst>
            <a:ext uri="{FF2B5EF4-FFF2-40B4-BE49-F238E27FC236}">
              <a16:creationId xmlns:a16="http://schemas.microsoft.com/office/drawing/2014/main" id="{00000000-0008-0000-0500-00008C060000}"/>
            </a:ext>
          </a:extLst>
        </xdr:cNvPr>
        <xdr:cNvSpPr txBox="1">
          <a:spLocks noChangeArrowheads="1"/>
        </xdr:cNvSpPr>
      </xdr:nvSpPr>
      <xdr:spPr bwMode="auto">
        <a:xfrm>
          <a:off x="3710214" y="4708071"/>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60</xdr:row>
      <xdr:rowOff>0</xdr:rowOff>
    </xdr:from>
    <xdr:ext cx="95250" cy="171450"/>
    <xdr:sp macro="" textlink="">
      <xdr:nvSpPr>
        <xdr:cNvPr id="1677" name="Text Box 17">
          <a:extLst>
            <a:ext uri="{FF2B5EF4-FFF2-40B4-BE49-F238E27FC236}">
              <a16:creationId xmlns:a16="http://schemas.microsoft.com/office/drawing/2014/main" id="{00000000-0008-0000-0500-00008D060000}"/>
            </a:ext>
          </a:extLst>
        </xdr:cNvPr>
        <xdr:cNvSpPr txBox="1">
          <a:spLocks noChangeArrowheads="1"/>
        </xdr:cNvSpPr>
      </xdr:nvSpPr>
      <xdr:spPr bwMode="auto">
        <a:xfrm>
          <a:off x="3710214" y="4708071"/>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60</xdr:row>
      <xdr:rowOff>0</xdr:rowOff>
    </xdr:from>
    <xdr:ext cx="95250" cy="171450"/>
    <xdr:sp macro="" textlink="">
      <xdr:nvSpPr>
        <xdr:cNvPr id="1678" name="Text Box 18">
          <a:extLst>
            <a:ext uri="{FF2B5EF4-FFF2-40B4-BE49-F238E27FC236}">
              <a16:creationId xmlns:a16="http://schemas.microsoft.com/office/drawing/2014/main" id="{00000000-0008-0000-0500-00008E060000}"/>
            </a:ext>
          </a:extLst>
        </xdr:cNvPr>
        <xdr:cNvSpPr txBox="1">
          <a:spLocks noChangeArrowheads="1"/>
        </xdr:cNvSpPr>
      </xdr:nvSpPr>
      <xdr:spPr bwMode="auto">
        <a:xfrm>
          <a:off x="3710214" y="4708071"/>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60</xdr:row>
      <xdr:rowOff>0</xdr:rowOff>
    </xdr:from>
    <xdr:ext cx="95250" cy="171450"/>
    <xdr:sp macro="" textlink="">
      <xdr:nvSpPr>
        <xdr:cNvPr id="1679" name="Text Box 19">
          <a:extLst>
            <a:ext uri="{FF2B5EF4-FFF2-40B4-BE49-F238E27FC236}">
              <a16:creationId xmlns:a16="http://schemas.microsoft.com/office/drawing/2014/main" id="{00000000-0008-0000-0500-00008F060000}"/>
            </a:ext>
          </a:extLst>
        </xdr:cNvPr>
        <xdr:cNvSpPr txBox="1">
          <a:spLocks noChangeArrowheads="1"/>
        </xdr:cNvSpPr>
      </xdr:nvSpPr>
      <xdr:spPr bwMode="auto">
        <a:xfrm>
          <a:off x="3710214" y="4708071"/>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60</xdr:row>
      <xdr:rowOff>0</xdr:rowOff>
    </xdr:from>
    <xdr:ext cx="95250" cy="171450"/>
    <xdr:sp macro="" textlink="">
      <xdr:nvSpPr>
        <xdr:cNvPr id="1680" name="Text Box 16">
          <a:extLst>
            <a:ext uri="{FF2B5EF4-FFF2-40B4-BE49-F238E27FC236}">
              <a16:creationId xmlns:a16="http://schemas.microsoft.com/office/drawing/2014/main" id="{00000000-0008-0000-0500-000090060000}"/>
            </a:ext>
          </a:extLst>
        </xdr:cNvPr>
        <xdr:cNvSpPr txBox="1">
          <a:spLocks noChangeArrowheads="1"/>
        </xdr:cNvSpPr>
      </xdr:nvSpPr>
      <xdr:spPr bwMode="auto">
        <a:xfrm>
          <a:off x="6555468" y="4708071"/>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60</xdr:row>
      <xdr:rowOff>0</xdr:rowOff>
    </xdr:from>
    <xdr:ext cx="95250" cy="171450"/>
    <xdr:sp macro="" textlink="">
      <xdr:nvSpPr>
        <xdr:cNvPr id="1681" name="Text Box 17">
          <a:extLst>
            <a:ext uri="{FF2B5EF4-FFF2-40B4-BE49-F238E27FC236}">
              <a16:creationId xmlns:a16="http://schemas.microsoft.com/office/drawing/2014/main" id="{00000000-0008-0000-0500-000091060000}"/>
            </a:ext>
          </a:extLst>
        </xdr:cNvPr>
        <xdr:cNvSpPr txBox="1">
          <a:spLocks noChangeArrowheads="1"/>
        </xdr:cNvSpPr>
      </xdr:nvSpPr>
      <xdr:spPr bwMode="auto">
        <a:xfrm>
          <a:off x="6555468" y="4708071"/>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60</xdr:row>
      <xdr:rowOff>0</xdr:rowOff>
    </xdr:from>
    <xdr:ext cx="95250" cy="171450"/>
    <xdr:sp macro="" textlink="">
      <xdr:nvSpPr>
        <xdr:cNvPr id="1682" name="Text Box 18">
          <a:extLst>
            <a:ext uri="{FF2B5EF4-FFF2-40B4-BE49-F238E27FC236}">
              <a16:creationId xmlns:a16="http://schemas.microsoft.com/office/drawing/2014/main" id="{00000000-0008-0000-0500-000092060000}"/>
            </a:ext>
          </a:extLst>
        </xdr:cNvPr>
        <xdr:cNvSpPr txBox="1">
          <a:spLocks noChangeArrowheads="1"/>
        </xdr:cNvSpPr>
      </xdr:nvSpPr>
      <xdr:spPr bwMode="auto">
        <a:xfrm>
          <a:off x="6555468" y="4708071"/>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60</xdr:row>
      <xdr:rowOff>0</xdr:rowOff>
    </xdr:from>
    <xdr:ext cx="95250" cy="171450"/>
    <xdr:sp macro="" textlink="">
      <xdr:nvSpPr>
        <xdr:cNvPr id="1683" name="Text Box 19">
          <a:extLst>
            <a:ext uri="{FF2B5EF4-FFF2-40B4-BE49-F238E27FC236}">
              <a16:creationId xmlns:a16="http://schemas.microsoft.com/office/drawing/2014/main" id="{00000000-0008-0000-0500-000093060000}"/>
            </a:ext>
          </a:extLst>
        </xdr:cNvPr>
        <xdr:cNvSpPr txBox="1">
          <a:spLocks noChangeArrowheads="1"/>
        </xdr:cNvSpPr>
      </xdr:nvSpPr>
      <xdr:spPr bwMode="auto">
        <a:xfrm>
          <a:off x="6555468" y="4708071"/>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21</xdr:col>
      <xdr:colOff>0</xdr:colOff>
      <xdr:row>60</xdr:row>
      <xdr:rowOff>0</xdr:rowOff>
    </xdr:from>
    <xdr:ext cx="95250" cy="171450"/>
    <xdr:sp macro="" textlink="">
      <xdr:nvSpPr>
        <xdr:cNvPr id="1684" name="Text Box 16">
          <a:extLst>
            <a:ext uri="{FF2B5EF4-FFF2-40B4-BE49-F238E27FC236}">
              <a16:creationId xmlns:a16="http://schemas.microsoft.com/office/drawing/2014/main" id="{00000000-0008-0000-0500-000094060000}"/>
            </a:ext>
          </a:extLst>
        </xdr:cNvPr>
        <xdr:cNvSpPr txBox="1">
          <a:spLocks noChangeArrowheads="1"/>
        </xdr:cNvSpPr>
      </xdr:nvSpPr>
      <xdr:spPr bwMode="auto">
        <a:xfrm>
          <a:off x="15475857" y="4708071"/>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21</xdr:col>
      <xdr:colOff>0</xdr:colOff>
      <xdr:row>60</xdr:row>
      <xdr:rowOff>0</xdr:rowOff>
    </xdr:from>
    <xdr:ext cx="95250" cy="171450"/>
    <xdr:sp macro="" textlink="">
      <xdr:nvSpPr>
        <xdr:cNvPr id="1685" name="Text Box 17">
          <a:extLst>
            <a:ext uri="{FF2B5EF4-FFF2-40B4-BE49-F238E27FC236}">
              <a16:creationId xmlns:a16="http://schemas.microsoft.com/office/drawing/2014/main" id="{00000000-0008-0000-0500-000095060000}"/>
            </a:ext>
          </a:extLst>
        </xdr:cNvPr>
        <xdr:cNvSpPr txBox="1">
          <a:spLocks noChangeArrowheads="1"/>
        </xdr:cNvSpPr>
      </xdr:nvSpPr>
      <xdr:spPr bwMode="auto">
        <a:xfrm>
          <a:off x="15475857" y="4708071"/>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21</xdr:col>
      <xdr:colOff>0</xdr:colOff>
      <xdr:row>60</xdr:row>
      <xdr:rowOff>0</xdr:rowOff>
    </xdr:from>
    <xdr:ext cx="95250" cy="171450"/>
    <xdr:sp macro="" textlink="">
      <xdr:nvSpPr>
        <xdr:cNvPr id="1686" name="Text Box 18">
          <a:extLst>
            <a:ext uri="{FF2B5EF4-FFF2-40B4-BE49-F238E27FC236}">
              <a16:creationId xmlns:a16="http://schemas.microsoft.com/office/drawing/2014/main" id="{00000000-0008-0000-0500-000096060000}"/>
            </a:ext>
          </a:extLst>
        </xdr:cNvPr>
        <xdr:cNvSpPr txBox="1">
          <a:spLocks noChangeArrowheads="1"/>
        </xdr:cNvSpPr>
      </xdr:nvSpPr>
      <xdr:spPr bwMode="auto">
        <a:xfrm>
          <a:off x="15475857" y="4708071"/>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21</xdr:col>
      <xdr:colOff>0</xdr:colOff>
      <xdr:row>60</xdr:row>
      <xdr:rowOff>0</xdr:rowOff>
    </xdr:from>
    <xdr:ext cx="95250" cy="171450"/>
    <xdr:sp macro="" textlink="">
      <xdr:nvSpPr>
        <xdr:cNvPr id="1687" name="Text Box 19">
          <a:extLst>
            <a:ext uri="{FF2B5EF4-FFF2-40B4-BE49-F238E27FC236}">
              <a16:creationId xmlns:a16="http://schemas.microsoft.com/office/drawing/2014/main" id="{00000000-0008-0000-0500-000097060000}"/>
            </a:ext>
          </a:extLst>
        </xdr:cNvPr>
        <xdr:cNvSpPr txBox="1">
          <a:spLocks noChangeArrowheads="1"/>
        </xdr:cNvSpPr>
      </xdr:nvSpPr>
      <xdr:spPr bwMode="auto">
        <a:xfrm>
          <a:off x="15475857" y="4708071"/>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59</xdr:row>
      <xdr:rowOff>504825</xdr:rowOff>
    </xdr:from>
    <xdr:ext cx="95250" cy="444014"/>
    <xdr:sp macro="" textlink="">
      <xdr:nvSpPr>
        <xdr:cNvPr id="1688" name="Text Box 15">
          <a:extLst>
            <a:ext uri="{FF2B5EF4-FFF2-40B4-BE49-F238E27FC236}">
              <a16:creationId xmlns:a16="http://schemas.microsoft.com/office/drawing/2014/main" id="{00000000-0008-0000-0500-000098060000}"/>
            </a:ext>
          </a:extLst>
        </xdr:cNvPr>
        <xdr:cNvSpPr txBox="1">
          <a:spLocks noChangeArrowheads="1"/>
        </xdr:cNvSpPr>
      </xdr:nvSpPr>
      <xdr:spPr bwMode="auto">
        <a:xfrm>
          <a:off x="3710214" y="4701268"/>
          <a:ext cx="95250" cy="444014"/>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60</xdr:row>
      <xdr:rowOff>0</xdr:rowOff>
    </xdr:from>
    <xdr:ext cx="95250" cy="171450"/>
    <xdr:sp macro="" textlink="">
      <xdr:nvSpPr>
        <xdr:cNvPr id="1689" name="Text Box 16">
          <a:extLst>
            <a:ext uri="{FF2B5EF4-FFF2-40B4-BE49-F238E27FC236}">
              <a16:creationId xmlns:a16="http://schemas.microsoft.com/office/drawing/2014/main" id="{00000000-0008-0000-0500-000099060000}"/>
            </a:ext>
          </a:extLst>
        </xdr:cNvPr>
        <xdr:cNvSpPr txBox="1">
          <a:spLocks noChangeArrowheads="1"/>
        </xdr:cNvSpPr>
      </xdr:nvSpPr>
      <xdr:spPr bwMode="auto">
        <a:xfrm>
          <a:off x="3710214" y="4708071"/>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60</xdr:row>
      <xdr:rowOff>0</xdr:rowOff>
    </xdr:from>
    <xdr:ext cx="95250" cy="171450"/>
    <xdr:sp macro="" textlink="">
      <xdr:nvSpPr>
        <xdr:cNvPr id="1690" name="Text Box 17">
          <a:extLst>
            <a:ext uri="{FF2B5EF4-FFF2-40B4-BE49-F238E27FC236}">
              <a16:creationId xmlns:a16="http://schemas.microsoft.com/office/drawing/2014/main" id="{00000000-0008-0000-0500-00009A060000}"/>
            </a:ext>
          </a:extLst>
        </xdr:cNvPr>
        <xdr:cNvSpPr txBox="1">
          <a:spLocks noChangeArrowheads="1"/>
        </xdr:cNvSpPr>
      </xdr:nvSpPr>
      <xdr:spPr bwMode="auto">
        <a:xfrm>
          <a:off x="3710214" y="4708071"/>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60</xdr:row>
      <xdr:rowOff>0</xdr:rowOff>
    </xdr:from>
    <xdr:ext cx="95250" cy="171450"/>
    <xdr:sp macro="" textlink="">
      <xdr:nvSpPr>
        <xdr:cNvPr id="1691" name="Text Box 18">
          <a:extLst>
            <a:ext uri="{FF2B5EF4-FFF2-40B4-BE49-F238E27FC236}">
              <a16:creationId xmlns:a16="http://schemas.microsoft.com/office/drawing/2014/main" id="{00000000-0008-0000-0500-00009B060000}"/>
            </a:ext>
          </a:extLst>
        </xdr:cNvPr>
        <xdr:cNvSpPr txBox="1">
          <a:spLocks noChangeArrowheads="1"/>
        </xdr:cNvSpPr>
      </xdr:nvSpPr>
      <xdr:spPr bwMode="auto">
        <a:xfrm>
          <a:off x="3710214" y="4708071"/>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60</xdr:row>
      <xdr:rowOff>0</xdr:rowOff>
    </xdr:from>
    <xdr:ext cx="95250" cy="171450"/>
    <xdr:sp macro="" textlink="">
      <xdr:nvSpPr>
        <xdr:cNvPr id="1692" name="Text Box 19">
          <a:extLst>
            <a:ext uri="{FF2B5EF4-FFF2-40B4-BE49-F238E27FC236}">
              <a16:creationId xmlns:a16="http://schemas.microsoft.com/office/drawing/2014/main" id="{00000000-0008-0000-0500-00009C060000}"/>
            </a:ext>
          </a:extLst>
        </xdr:cNvPr>
        <xdr:cNvSpPr txBox="1">
          <a:spLocks noChangeArrowheads="1"/>
        </xdr:cNvSpPr>
      </xdr:nvSpPr>
      <xdr:spPr bwMode="auto">
        <a:xfrm>
          <a:off x="3710214" y="4708071"/>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59</xdr:row>
      <xdr:rowOff>504825</xdr:rowOff>
    </xdr:from>
    <xdr:ext cx="95250" cy="442269"/>
    <xdr:sp macro="" textlink="">
      <xdr:nvSpPr>
        <xdr:cNvPr id="1693" name="Text Box 15">
          <a:extLst>
            <a:ext uri="{FF2B5EF4-FFF2-40B4-BE49-F238E27FC236}">
              <a16:creationId xmlns:a16="http://schemas.microsoft.com/office/drawing/2014/main" id="{00000000-0008-0000-0500-00009D060000}"/>
            </a:ext>
          </a:extLst>
        </xdr:cNvPr>
        <xdr:cNvSpPr txBox="1">
          <a:spLocks noChangeArrowheads="1"/>
        </xdr:cNvSpPr>
      </xdr:nvSpPr>
      <xdr:spPr bwMode="auto">
        <a:xfrm>
          <a:off x="6555468" y="4701268"/>
          <a:ext cx="95250" cy="442269"/>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60</xdr:row>
      <xdr:rowOff>0</xdr:rowOff>
    </xdr:from>
    <xdr:ext cx="95250" cy="171450"/>
    <xdr:sp macro="" textlink="">
      <xdr:nvSpPr>
        <xdr:cNvPr id="1694" name="Text Box 16">
          <a:extLst>
            <a:ext uri="{FF2B5EF4-FFF2-40B4-BE49-F238E27FC236}">
              <a16:creationId xmlns:a16="http://schemas.microsoft.com/office/drawing/2014/main" id="{00000000-0008-0000-0500-00009E060000}"/>
            </a:ext>
          </a:extLst>
        </xdr:cNvPr>
        <xdr:cNvSpPr txBox="1">
          <a:spLocks noChangeArrowheads="1"/>
        </xdr:cNvSpPr>
      </xdr:nvSpPr>
      <xdr:spPr bwMode="auto">
        <a:xfrm>
          <a:off x="6555468" y="4708071"/>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60</xdr:row>
      <xdr:rowOff>0</xdr:rowOff>
    </xdr:from>
    <xdr:ext cx="95250" cy="171450"/>
    <xdr:sp macro="" textlink="">
      <xdr:nvSpPr>
        <xdr:cNvPr id="1695" name="Text Box 17">
          <a:extLst>
            <a:ext uri="{FF2B5EF4-FFF2-40B4-BE49-F238E27FC236}">
              <a16:creationId xmlns:a16="http://schemas.microsoft.com/office/drawing/2014/main" id="{00000000-0008-0000-0500-00009F060000}"/>
            </a:ext>
          </a:extLst>
        </xdr:cNvPr>
        <xdr:cNvSpPr txBox="1">
          <a:spLocks noChangeArrowheads="1"/>
        </xdr:cNvSpPr>
      </xdr:nvSpPr>
      <xdr:spPr bwMode="auto">
        <a:xfrm>
          <a:off x="6555468" y="4708071"/>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60</xdr:row>
      <xdr:rowOff>0</xdr:rowOff>
    </xdr:from>
    <xdr:ext cx="95250" cy="171450"/>
    <xdr:sp macro="" textlink="">
      <xdr:nvSpPr>
        <xdr:cNvPr id="1696" name="Text Box 18">
          <a:extLst>
            <a:ext uri="{FF2B5EF4-FFF2-40B4-BE49-F238E27FC236}">
              <a16:creationId xmlns:a16="http://schemas.microsoft.com/office/drawing/2014/main" id="{00000000-0008-0000-0500-0000A0060000}"/>
            </a:ext>
          </a:extLst>
        </xdr:cNvPr>
        <xdr:cNvSpPr txBox="1">
          <a:spLocks noChangeArrowheads="1"/>
        </xdr:cNvSpPr>
      </xdr:nvSpPr>
      <xdr:spPr bwMode="auto">
        <a:xfrm>
          <a:off x="6555468" y="4708071"/>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60</xdr:row>
      <xdr:rowOff>0</xdr:rowOff>
    </xdr:from>
    <xdr:ext cx="95250" cy="171450"/>
    <xdr:sp macro="" textlink="">
      <xdr:nvSpPr>
        <xdr:cNvPr id="1697" name="Text Box 16">
          <a:extLst>
            <a:ext uri="{FF2B5EF4-FFF2-40B4-BE49-F238E27FC236}">
              <a16:creationId xmlns:a16="http://schemas.microsoft.com/office/drawing/2014/main" id="{00000000-0008-0000-0500-0000A1060000}"/>
            </a:ext>
          </a:extLst>
        </xdr:cNvPr>
        <xdr:cNvSpPr txBox="1">
          <a:spLocks noChangeArrowheads="1"/>
        </xdr:cNvSpPr>
      </xdr:nvSpPr>
      <xdr:spPr bwMode="auto">
        <a:xfrm>
          <a:off x="9398454" y="4708071"/>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60</xdr:row>
      <xdr:rowOff>0</xdr:rowOff>
    </xdr:from>
    <xdr:ext cx="95250" cy="171450"/>
    <xdr:sp macro="" textlink="">
      <xdr:nvSpPr>
        <xdr:cNvPr id="1698" name="Text Box 17">
          <a:extLst>
            <a:ext uri="{FF2B5EF4-FFF2-40B4-BE49-F238E27FC236}">
              <a16:creationId xmlns:a16="http://schemas.microsoft.com/office/drawing/2014/main" id="{00000000-0008-0000-0500-0000A2060000}"/>
            </a:ext>
          </a:extLst>
        </xdr:cNvPr>
        <xdr:cNvSpPr txBox="1">
          <a:spLocks noChangeArrowheads="1"/>
        </xdr:cNvSpPr>
      </xdr:nvSpPr>
      <xdr:spPr bwMode="auto">
        <a:xfrm>
          <a:off x="9398454" y="4708071"/>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60</xdr:row>
      <xdr:rowOff>0</xdr:rowOff>
    </xdr:from>
    <xdr:ext cx="95250" cy="171450"/>
    <xdr:sp macro="" textlink="">
      <xdr:nvSpPr>
        <xdr:cNvPr id="1699" name="Text Box 18">
          <a:extLst>
            <a:ext uri="{FF2B5EF4-FFF2-40B4-BE49-F238E27FC236}">
              <a16:creationId xmlns:a16="http://schemas.microsoft.com/office/drawing/2014/main" id="{00000000-0008-0000-0500-0000A3060000}"/>
            </a:ext>
          </a:extLst>
        </xdr:cNvPr>
        <xdr:cNvSpPr txBox="1">
          <a:spLocks noChangeArrowheads="1"/>
        </xdr:cNvSpPr>
      </xdr:nvSpPr>
      <xdr:spPr bwMode="auto">
        <a:xfrm>
          <a:off x="9398454" y="4708071"/>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60</xdr:row>
      <xdr:rowOff>0</xdr:rowOff>
    </xdr:from>
    <xdr:ext cx="95250" cy="171450"/>
    <xdr:sp macro="" textlink="">
      <xdr:nvSpPr>
        <xdr:cNvPr id="1700" name="Text Box 19">
          <a:extLst>
            <a:ext uri="{FF2B5EF4-FFF2-40B4-BE49-F238E27FC236}">
              <a16:creationId xmlns:a16="http://schemas.microsoft.com/office/drawing/2014/main" id="{00000000-0008-0000-0500-0000A4060000}"/>
            </a:ext>
          </a:extLst>
        </xdr:cNvPr>
        <xdr:cNvSpPr txBox="1">
          <a:spLocks noChangeArrowheads="1"/>
        </xdr:cNvSpPr>
      </xdr:nvSpPr>
      <xdr:spPr bwMode="auto">
        <a:xfrm>
          <a:off x="9398454" y="4708071"/>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60</xdr:row>
      <xdr:rowOff>0</xdr:rowOff>
    </xdr:from>
    <xdr:ext cx="95250" cy="171450"/>
    <xdr:sp macro="" textlink="">
      <xdr:nvSpPr>
        <xdr:cNvPr id="1701" name="Text Box 16">
          <a:extLst>
            <a:ext uri="{FF2B5EF4-FFF2-40B4-BE49-F238E27FC236}">
              <a16:creationId xmlns:a16="http://schemas.microsoft.com/office/drawing/2014/main" id="{00000000-0008-0000-0500-0000A5060000}"/>
            </a:ext>
          </a:extLst>
        </xdr:cNvPr>
        <xdr:cNvSpPr txBox="1">
          <a:spLocks noChangeArrowheads="1"/>
        </xdr:cNvSpPr>
      </xdr:nvSpPr>
      <xdr:spPr bwMode="auto">
        <a:xfrm>
          <a:off x="9398454" y="4708071"/>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60</xdr:row>
      <xdr:rowOff>0</xdr:rowOff>
    </xdr:from>
    <xdr:ext cx="95250" cy="171450"/>
    <xdr:sp macro="" textlink="">
      <xdr:nvSpPr>
        <xdr:cNvPr id="1702" name="Text Box 17">
          <a:extLst>
            <a:ext uri="{FF2B5EF4-FFF2-40B4-BE49-F238E27FC236}">
              <a16:creationId xmlns:a16="http://schemas.microsoft.com/office/drawing/2014/main" id="{00000000-0008-0000-0500-0000A6060000}"/>
            </a:ext>
          </a:extLst>
        </xdr:cNvPr>
        <xdr:cNvSpPr txBox="1">
          <a:spLocks noChangeArrowheads="1"/>
        </xdr:cNvSpPr>
      </xdr:nvSpPr>
      <xdr:spPr bwMode="auto">
        <a:xfrm>
          <a:off x="9398454" y="4708071"/>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60</xdr:row>
      <xdr:rowOff>0</xdr:rowOff>
    </xdr:from>
    <xdr:ext cx="95250" cy="171450"/>
    <xdr:sp macro="" textlink="">
      <xdr:nvSpPr>
        <xdr:cNvPr id="1703" name="Text Box 18">
          <a:extLst>
            <a:ext uri="{FF2B5EF4-FFF2-40B4-BE49-F238E27FC236}">
              <a16:creationId xmlns:a16="http://schemas.microsoft.com/office/drawing/2014/main" id="{00000000-0008-0000-0500-0000A7060000}"/>
            </a:ext>
          </a:extLst>
        </xdr:cNvPr>
        <xdr:cNvSpPr txBox="1">
          <a:spLocks noChangeArrowheads="1"/>
        </xdr:cNvSpPr>
      </xdr:nvSpPr>
      <xdr:spPr bwMode="auto">
        <a:xfrm>
          <a:off x="9398454" y="4708071"/>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60</xdr:row>
      <xdr:rowOff>0</xdr:rowOff>
    </xdr:from>
    <xdr:ext cx="95250" cy="171450"/>
    <xdr:sp macro="" textlink="">
      <xdr:nvSpPr>
        <xdr:cNvPr id="1704" name="Text Box 19">
          <a:extLst>
            <a:ext uri="{FF2B5EF4-FFF2-40B4-BE49-F238E27FC236}">
              <a16:creationId xmlns:a16="http://schemas.microsoft.com/office/drawing/2014/main" id="{00000000-0008-0000-0500-0000A8060000}"/>
            </a:ext>
          </a:extLst>
        </xdr:cNvPr>
        <xdr:cNvSpPr txBox="1">
          <a:spLocks noChangeArrowheads="1"/>
        </xdr:cNvSpPr>
      </xdr:nvSpPr>
      <xdr:spPr bwMode="auto">
        <a:xfrm>
          <a:off x="9398454" y="4708071"/>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66</xdr:row>
      <xdr:rowOff>0</xdr:rowOff>
    </xdr:from>
    <xdr:ext cx="95250" cy="171450"/>
    <xdr:sp macro="" textlink="">
      <xdr:nvSpPr>
        <xdr:cNvPr id="1705" name="Text Box 16">
          <a:extLst>
            <a:ext uri="{FF2B5EF4-FFF2-40B4-BE49-F238E27FC236}">
              <a16:creationId xmlns:a16="http://schemas.microsoft.com/office/drawing/2014/main" id="{00000000-0008-0000-0500-0000A9060000}"/>
            </a:ext>
          </a:extLst>
        </xdr:cNvPr>
        <xdr:cNvSpPr txBox="1">
          <a:spLocks noChangeArrowheads="1"/>
        </xdr:cNvSpPr>
      </xdr:nvSpPr>
      <xdr:spPr bwMode="auto">
        <a:xfrm>
          <a:off x="3710214" y="5252357"/>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66</xdr:row>
      <xdr:rowOff>0</xdr:rowOff>
    </xdr:from>
    <xdr:ext cx="95250" cy="171450"/>
    <xdr:sp macro="" textlink="">
      <xdr:nvSpPr>
        <xdr:cNvPr id="1706" name="Text Box 17">
          <a:extLst>
            <a:ext uri="{FF2B5EF4-FFF2-40B4-BE49-F238E27FC236}">
              <a16:creationId xmlns:a16="http://schemas.microsoft.com/office/drawing/2014/main" id="{00000000-0008-0000-0500-0000AA060000}"/>
            </a:ext>
          </a:extLst>
        </xdr:cNvPr>
        <xdr:cNvSpPr txBox="1">
          <a:spLocks noChangeArrowheads="1"/>
        </xdr:cNvSpPr>
      </xdr:nvSpPr>
      <xdr:spPr bwMode="auto">
        <a:xfrm>
          <a:off x="3710214" y="5252357"/>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66</xdr:row>
      <xdr:rowOff>0</xdr:rowOff>
    </xdr:from>
    <xdr:ext cx="95250" cy="171450"/>
    <xdr:sp macro="" textlink="">
      <xdr:nvSpPr>
        <xdr:cNvPr id="1707" name="Text Box 18">
          <a:extLst>
            <a:ext uri="{FF2B5EF4-FFF2-40B4-BE49-F238E27FC236}">
              <a16:creationId xmlns:a16="http://schemas.microsoft.com/office/drawing/2014/main" id="{00000000-0008-0000-0500-0000AB060000}"/>
            </a:ext>
          </a:extLst>
        </xdr:cNvPr>
        <xdr:cNvSpPr txBox="1">
          <a:spLocks noChangeArrowheads="1"/>
        </xdr:cNvSpPr>
      </xdr:nvSpPr>
      <xdr:spPr bwMode="auto">
        <a:xfrm>
          <a:off x="3710214" y="5252357"/>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66</xdr:row>
      <xdr:rowOff>0</xdr:rowOff>
    </xdr:from>
    <xdr:ext cx="95250" cy="171450"/>
    <xdr:sp macro="" textlink="">
      <xdr:nvSpPr>
        <xdr:cNvPr id="1708" name="Text Box 19">
          <a:extLst>
            <a:ext uri="{FF2B5EF4-FFF2-40B4-BE49-F238E27FC236}">
              <a16:creationId xmlns:a16="http://schemas.microsoft.com/office/drawing/2014/main" id="{00000000-0008-0000-0500-0000AC060000}"/>
            </a:ext>
          </a:extLst>
        </xdr:cNvPr>
        <xdr:cNvSpPr txBox="1">
          <a:spLocks noChangeArrowheads="1"/>
        </xdr:cNvSpPr>
      </xdr:nvSpPr>
      <xdr:spPr bwMode="auto">
        <a:xfrm>
          <a:off x="3710214" y="5252357"/>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66</xdr:row>
      <xdr:rowOff>504825</xdr:rowOff>
    </xdr:from>
    <xdr:ext cx="95250" cy="448496"/>
    <xdr:sp macro="" textlink="">
      <xdr:nvSpPr>
        <xdr:cNvPr id="1709" name="Text Box 15">
          <a:extLst>
            <a:ext uri="{FF2B5EF4-FFF2-40B4-BE49-F238E27FC236}">
              <a16:creationId xmlns:a16="http://schemas.microsoft.com/office/drawing/2014/main" id="{00000000-0008-0000-0500-0000AD060000}"/>
            </a:ext>
          </a:extLst>
        </xdr:cNvPr>
        <xdr:cNvSpPr txBox="1">
          <a:spLocks noChangeArrowheads="1"/>
        </xdr:cNvSpPr>
      </xdr:nvSpPr>
      <xdr:spPr bwMode="auto">
        <a:xfrm>
          <a:off x="3710214" y="5433332"/>
          <a:ext cx="95250" cy="448496"/>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66</xdr:row>
      <xdr:rowOff>0</xdr:rowOff>
    </xdr:from>
    <xdr:ext cx="95250" cy="171450"/>
    <xdr:sp macro="" textlink="">
      <xdr:nvSpPr>
        <xdr:cNvPr id="1710" name="Text Box 16">
          <a:extLst>
            <a:ext uri="{FF2B5EF4-FFF2-40B4-BE49-F238E27FC236}">
              <a16:creationId xmlns:a16="http://schemas.microsoft.com/office/drawing/2014/main" id="{00000000-0008-0000-0500-0000AE060000}"/>
            </a:ext>
          </a:extLst>
        </xdr:cNvPr>
        <xdr:cNvSpPr txBox="1">
          <a:spLocks noChangeArrowheads="1"/>
        </xdr:cNvSpPr>
      </xdr:nvSpPr>
      <xdr:spPr bwMode="auto">
        <a:xfrm>
          <a:off x="6555468" y="5252357"/>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66</xdr:row>
      <xdr:rowOff>0</xdr:rowOff>
    </xdr:from>
    <xdr:ext cx="95250" cy="171450"/>
    <xdr:sp macro="" textlink="">
      <xdr:nvSpPr>
        <xdr:cNvPr id="1711" name="Text Box 17">
          <a:extLst>
            <a:ext uri="{FF2B5EF4-FFF2-40B4-BE49-F238E27FC236}">
              <a16:creationId xmlns:a16="http://schemas.microsoft.com/office/drawing/2014/main" id="{00000000-0008-0000-0500-0000AF060000}"/>
            </a:ext>
          </a:extLst>
        </xdr:cNvPr>
        <xdr:cNvSpPr txBox="1">
          <a:spLocks noChangeArrowheads="1"/>
        </xdr:cNvSpPr>
      </xdr:nvSpPr>
      <xdr:spPr bwMode="auto">
        <a:xfrm>
          <a:off x="6555468" y="5252357"/>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66</xdr:row>
      <xdr:rowOff>0</xdr:rowOff>
    </xdr:from>
    <xdr:ext cx="95250" cy="171450"/>
    <xdr:sp macro="" textlink="">
      <xdr:nvSpPr>
        <xdr:cNvPr id="1712" name="Text Box 18">
          <a:extLst>
            <a:ext uri="{FF2B5EF4-FFF2-40B4-BE49-F238E27FC236}">
              <a16:creationId xmlns:a16="http://schemas.microsoft.com/office/drawing/2014/main" id="{00000000-0008-0000-0500-0000B0060000}"/>
            </a:ext>
          </a:extLst>
        </xdr:cNvPr>
        <xdr:cNvSpPr txBox="1">
          <a:spLocks noChangeArrowheads="1"/>
        </xdr:cNvSpPr>
      </xdr:nvSpPr>
      <xdr:spPr bwMode="auto">
        <a:xfrm>
          <a:off x="6555468" y="5252357"/>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66</xdr:row>
      <xdr:rowOff>0</xdr:rowOff>
    </xdr:from>
    <xdr:ext cx="95250" cy="171450"/>
    <xdr:sp macro="" textlink="">
      <xdr:nvSpPr>
        <xdr:cNvPr id="1713" name="Text Box 19">
          <a:extLst>
            <a:ext uri="{FF2B5EF4-FFF2-40B4-BE49-F238E27FC236}">
              <a16:creationId xmlns:a16="http://schemas.microsoft.com/office/drawing/2014/main" id="{00000000-0008-0000-0500-0000B1060000}"/>
            </a:ext>
          </a:extLst>
        </xdr:cNvPr>
        <xdr:cNvSpPr txBox="1">
          <a:spLocks noChangeArrowheads="1"/>
        </xdr:cNvSpPr>
      </xdr:nvSpPr>
      <xdr:spPr bwMode="auto">
        <a:xfrm>
          <a:off x="6555468" y="5252357"/>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66</xdr:row>
      <xdr:rowOff>504825</xdr:rowOff>
    </xdr:from>
    <xdr:ext cx="95250" cy="442269"/>
    <xdr:sp macro="" textlink="">
      <xdr:nvSpPr>
        <xdr:cNvPr id="1714" name="Text Box 15">
          <a:extLst>
            <a:ext uri="{FF2B5EF4-FFF2-40B4-BE49-F238E27FC236}">
              <a16:creationId xmlns:a16="http://schemas.microsoft.com/office/drawing/2014/main" id="{00000000-0008-0000-0500-0000B2060000}"/>
            </a:ext>
          </a:extLst>
        </xdr:cNvPr>
        <xdr:cNvSpPr txBox="1">
          <a:spLocks noChangeArrowheads="1"/>
        </xdr:cNvSpPr>
      </xdr:nvSpPr>
      <xdr:spPr bwMode="auto">
        <a:xfrm>
          <a:off x="6555468" y="5433332"/>
          <a:ext cx="95250" cy="442269"/>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21</xdr:col>
      <xdr:colOff>0</xdr:colOff>
      <xdr:row>66</xdr:row>
      <xdr:rowOff>0</xdr:rowOff>
    </xdr:from>
    <xdr:ext cx="95250" cy="171450"/>
    <xdr:sp macro="" textlink="">
      <xdr:nvSpPr>
        <xdr:cNvPr id="1715" name="Text Box 16">
          <a:extLst>
            <a:ext uri="{FF2B5EF4-FFF2-40B4-BE49-F238E27FC236}">
              <a16:creationId xmlns:a16="http://schemas.microsoft.com/office/drawing/2014/main" id="{00000000-0008-0000-0500-0000B3060000}"/>
            </a:ext>
          </a:extLst>
        </xdr:cNvPr>
        <xdr:cNvSpPr txBox="1">
          <a:spLocks noChangeArrowheads="1"/>
        </xdr:cNvSpPr>
      </xdr:nvSpPr>
      <xdr:spPr bwMode="auto">
        <a:xfrm>
          <a:off x="15475857" y="5252357"/>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21</xdr:col>
      <xdr:colOff>0</xdr:colOff>
      <xdr:row>66</xdr:row>
      <xdr:rowOff>0</xdr:rowOff>
    </xdr:from>
    <xdr:ext cx="95250" cy="171450"/>
    <xdr:sp macro="" textlink="">
      <xdr:nvSpPr>
        <xdr:cNvPr id="1716" name="Text Box 17">
          <a:extLst>
            <a:ext uri="{FF2B5EF4-FFF2-40B4-BE49-F238E27FC236}">
              <a16:creationId xmlns:a16="http://schemas.microsoft.com/office/drawing/2014/main" id="{00000000-0008-0000-0500-0000B4060000}"/>
            </a:ext>
          </a:extLst>
        </xdr:cNvPr>
        <xdr:cNvSpPr txBox="1">
          <a:spLocks noChangeArrowheads="1"/>
        </xdr:cNvSpPr>
      </xdr:nvSpPr>
      <xdr:spPr bwMode="auto">
        <a:xfrm>
          <a:off x="15475857" y="5252357"/>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21</xdr:col>
      <xdr:colOff>0</xdr:colOff>
      <xdr:row>66</xdr:row>
      <xdr:rowOff>0</xdr:rowOff>
    </xdr:from>
    <xdr:ext cx="95250" cy="171450"/>
    <xdr:sp macro="" textlink="">
      <xdr:nvSpPr>
        <xdr:cNvPr id="1717" name="Text Box 18">
          <a:extLst>
            <a:ext uri="{FF2B5EF4-FFF2-40B4-BE49-F238E27FC236}">
              <a16:creationId xmlns:a16="http://schemas.microsoft.com/office/drawing/2014/main" id="{00000000-0008-0000-0500-0000B5060000}"/>
            </a:ext>
          </a:extLst>
        </xdr:cNvPr>
        <xdr:cNvSpPr txBox="1">
          <a:spLocks noChangeArrowheads="1"/>
        </xdr:cNvSpPr>
      </xdr:nvSpPr>
      <xdr:spPr bwMode="auto">
        <a:xfrm>
          <a:off x="15475857" y="5252357"/>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21</xdr:col>
      <xdr:colOff>0</xdr:colOff>
      <xdr:row>66</xdr:row>
      <xdr:rowOff>0</xdr:rowOff>
    </xdr:from>
    <xdr:ext cx="95250" cy="171450"/>
    <xdr:sp macro="" textlink="">
      <xdr:nvSpPr>
        <xdr:cNvPr id="1718" name="Text Box 19">
          <a:extLst>
            <a:ext uri="{FF2B5EF4-FFF2-40B4-BE49-F238E27FC236}">
              <a16:creationId xmlns:a16="http://schemas.microsoft.com/office/drawing/2014/main" id="{00000000-0008-0000-0500-0000B6060000}"/>
            </a:ext>
          </a:extLst>
        </xdr:cNvPr>
        <xdr:cNvSpPr txBox="1">
          <a:spLocks noChangeArrowheads="1"/>
        </xdr:cNvSpPr>
      </xdr:nvSpPr>
      <xdr:spPr bwMode="auto">
        <a:xfrm>
          <a:off x="15475857" y="5252357"/>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65</xdr:row>
      <xdr:rowOff>504825</xdr:rowOff>
    </xdr:from>
    <xdr:ext cx="95250" cy="444014"/>
    <xdr:sp macro="" textlink="">
      <xdr:nvSpPr>
        <xdr:cNvPr id="1720" name="Text Box 15">
          <a:extLst>
            <a:ext uri="{FF2B5EF4-FFF2-40B4-BE49-F238E27FC236}">
              <a16:creationId xmlns:a16="http://schemas.microsoft.com/office/drawing/2014/main" id="{00000000-0008-0000-0500-0000B8060000}"/>
            </a:ext>
          </a:extLst>
        </xdr:cNvPr>
        <xdr:cNvSpPr txBox="1">
          <a:spLocks noChangeArrowheads="1"/>
        </xdr:cNvSpPr>
      </xdr:nvSpPr>
      <xdr:spPr bwMode="auto">
        <a:xfrm>
          <a:off x="3710214" y="5245554"/>
          <a:ext cx="95250" cy="444014"/>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66</xdr:row>
      <xdr:rowOff>0</xdr:rowOff>
    </xdr:from>
    <xdr:ext cx="95250" cy="171450"/>
    <xdr:sp macro="" textlink="">
      <xdr:nvSpPr>
        <xdr:cNvPr id="1721" name="Text Box 16">
          <a:extLst>
            <a:ext uri="{FF2B5EF4-FFF2-40B4-BE49-F238E27FC236}">
              <a16:creationId xmlns:a16="http://schemas.microsoft.com/office/drawing/2014/main" id="{00000000-0008-0000-0500-0000B9060000}"/>
            </a:ext>
          </a:extLst>
        </xdr:cNvPr>
        <xdr:cNvSpPr txBox="1">
          <a:spLocks noChangeArrowheads="1"/>
        </xdr:cNvSpPr>
      </xdr:nvSpPr>
      <xdr:spPr bwMode="auto">
        <a:xfrm>
          <a:off x="3710214" y="5252357"/>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66</xdr:row>
      <xdr:rowOff>0</xdr:rowOff>
    </xdr:from>
    <xdr:ext cx="95250" cy="171450"/>
    <xdr:sp macro="" textlink="">
      <xdr:nvSpPr>
        <xdr:cNvPr id="1722" name="Text Box 17">
          <a:extLst>
            <a:ext uri="{FF2B5EF4-FFF2-40B4-BE49-F238E27FC236}">
              <a16:creationId xmlns:a16="http://schemas.microsoft.com/office/drawing/2014/main" id="{00000000-0008-0000-0500-0000BA060000}"/>
            </a:ext>
          </a:extLst>
        </xdr:cNvPr>
        <xdr:cNvSpPr txBox="1">
          <a:spLocks noChangeArrowheads="1"/>
        </xdr:cNvSpPr>
      </xdr:nvSpPr>
      <xdr:spPr bwMode="auto">
        <a:xfrm>
          <a:off x="3710214" y="5252357"/>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66</xdr:row>
      <xdr:rowOff>0</xdr:rowOff>
    </xdr:from>
    <xdr:ext cx="95250" cy="171450"/>
    <xdr:sp macro="" textlink="">
      <xdr:nvSpPr>
        <xdr:cNvPr id="1723" name="Text Box 18">
          <a:extLst>
            <a:ext uri="{FF2B5EF4-FFF2-40B4-BE49-F238E27FC236}">
              <a16:creationId xmlns:a16="http://schemas.microsoft.com/office/drawing/2014/main" id="{00000000-0008-0000-0500-0000BB060000}"/>
            </a:ext>
          </a:extLst>
        </xdr:cNvPr>
        <xdr:cNvSpPr txBox="1">
          <a:spLocks noChangeArrowheads="1"/>
        </xdr:cNvSpPr>
      </xdr:nvSpPr>
      <xdr:spPr bwMode="auto">
        <a:xfrm>
          <a:off x="3710214" y="5252357"/>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66</xdr:row>
      <xdr:rowOff>0</xdr:rowOff>
    </xdr:from>
    <xdr:ext cx="95250" cy="171450"/>
    <xdr:sp macro="" textlink="">
      <xdr:nvSpPr>
        <xdr:cNvPr id="1724" name="Text Box 19">
          <a:extLst>
            <a:ext uri="{FF2B5EF4-FFF2-40B4-BE49-F238E27FC236}">
              <a16:creationId xmlns:a16="http://schemas.microsoft.com/office/drawing/2014/main" id="{00000000-0008-0000-0500-0000BC060000}"/>
            </a:ext>
          </a:extLst>
        </xdr:cNvPr>
        <xdr:cNvSpPr txBox="1">
          <a:spLocks noChangeArrowheads="1"/>
        </xdr:cNvSpPr>
      </xdr:nvSpPr>
      <xdr:spPr bwMode="auto">
        <a:xfrm>
          <a:off x="3710214" y="5252357"/>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66</xdr:row>
      <xdr:rowOff>504825</xdr:rowOff>
    </xdr:from>
    <xdr:ext cx="95250" cy="213632"/>
    <xdr:sp macro="" textlink="">
      <xdr:nvSpPr>
        <xdr:cNvPr id="1725" name="Text Box 15">
          <a:extLst>
            <a:ext uri="{FF2B5EF4-FFF2-40B4-BE49-F238E27FC236}">
              <a16:creationId xmlns:a16="http://schemas.microsoft.com/office/drawing/2014/main" id="{00000000-0008-0000-0500-0000BD060000}"/>
            </a:ext>
          </a:extLst>
        </xdr:cNvPr>
        <xdr:cNvSpPr txBox="1">
          <a:spLocks noChangeArrowheads="1"/>
        </xdr:cNvSpPr>
      </xdr:nvSpPr>
      <xdr:spPr bwMode="auto">
        <a:xfrm>
          <a:off x="3710214" y="543333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66</xdr:row>
      <xdr:rowOff>504825</xdr:rowOff>
    </xdr:from>
    <xdr:ext cx="95250" cy="444331"/>
    <xdr:sp macro="" textlink="">
      <xdr:nvSpPr>
        <xdr:cNvPr id="1726" name="Text Box 15">
          <a:extLst>
            <a:ext uri="{FF2B5EF4-FFF2-40B4-BE49-F238E27FC236}">
              <a16:creationId xmlns:a16="http://schemas.microsoft.com/office/drawing/2014/main" id="{00000000-0008-0000-0500-0000BE060000}"/>
            </a:ext>
          </a:extLst>
        </xdr:cNvPr>
        <xdr:cNvSpPr txBox="1">
          <a:spLocks noChangeArrowheads="1"/>
        </xdr:cNvSpPr>
      </xdr:nvSpPr>
      <xdr:spPr bwMode="auto">
        <a:xfrm>
          <a:off x="3710214" y="5433332"/>
          <a:ext cx="95250" cy="444331"/>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65</xdr:row>
      <xdr:rowOff>504825</xdr:rowOff>
    </xdr:from>
    <xdr:ext cx="95250" cy="442269"/>
    <xdr:sp macro="" textlink="">
      <xdr:nvSpPr>
        <xdr:cNvPr id="1727" name="Text Box 15">
          <a:extLst>
            <a:ext uri="{FF2B5EF4-FFF2-40B4-BE49-F238E27FC236}">
              <a16:creationId xmlns:a16="http://schemas.microsoft.com/office/drawing/2014/main" id="{00000000-0008-0000-0500-0000BF060000}"/>
            </a:ext>
          </a:extLst>
        </xdr:cNvPr>
        <xdr:cNvSpPr txBox="1">
          <a:spLocks noChangeArrowheads="1"/>
        </xdr:cNvSpPr>
      </xdr:nvSpPr>
      <xdr:spPr bwMode="auto">
        <a:xfrm>
          <a:off x="6555468" y="5245554"/>
          <a:ext cx="95250" cy="442269"/>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66</xdr:row>
      <xdr:rowOff>0</xdr:rowOff>
    </xdr:from>
    <xdr:ext cx="95250" cy="171450"/>
    <xdr:sp macro="" textlink="">
      <xdr:nvSpPr>
        <xdr:cNvPr id="1728" name="Text Box 16">
          <a:extLst>
            <a:ext uri="{FF2B5EF4-FFF2-40B4-BE49-F238E27FC236}">
              <a16:creationId xmlns:a16="http://schemas.microsoft.com/office/drawing/2014/main" id="{00000000-0008-0000-0500-0000C0060000}"/>
            </a:ext>
          </a:extLst>
        </xdr:cNvPr>
        <xdr:cNvSpPr txBox="1">
          <a:spLocks noChangeArrowheads="1"/>
        </xdr:cNvSpPr>
      </xdr:nvSpPr>
      <xdr:spPr bwMode="auto">
        <a:xfrm>
          <a:off x="6555468" y="5252357"/>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66</xdr:row>
      <xdr:rowOff>0</xdr:rowOff>
    </xdr:from>
    <xdr:ext cx="95250" cy="171450"/>
    <xdr:sp macro="" textlink="">
      <xdr:nvSpPr>
        <xdr:cNvPr id="1729" name="Text Box 17">
          <a:extLst>
            <a:ext uri="{FF2B5EF4-FFF2-40B4-BE49-F238E27FC236}">
              <a16:creationId xmlns:a16="http://schemas.microsoft.com/office/drawing/2014/main" id="{00000000-0008-0000-0500-0000C1060000}"/>
            </a:ext>
          </a:extLst>
        </xdr:cNvPr>
        <xdr:cNvSpPr txBox="1">
          <a:spLocks noChangeArrowheads="1"/>
        </xdr:cNvSpPr>
      </xdr:nvSpPr>
      <xdr:spPr bwMode="auto">
        <a:xfrm>
          <a:off x="6555468" y="5252357"/>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66</xdr:row>
      <xdr:rowOff>0</xdr:rowOff>
    </xdr:from>
    <xdr:ext cx="95250" cy="171450"/>
    <xdr:sp macro="" textlink="">
      <xdr:nvSpPr>
        <xdr:cNvPr id="1730" name="Text Box 18">
          <a:extLst>
            <a:ext uri="{FF2B5EF4-FFF2-40B4-BE49-F238E27FC236}">
              <a16:creationId xmlns:a16="http://schemas.microsoft.com/office/drawing/2014/main" id="{00000000-0008-0000-0500-0000C2060000}"/>
            </a:ext>
          </a:extLst>
        </xdr:cNvPr>
        <xdr:cNvSpPr txBox="1">
          <a:spLocks noChangeArrowheads="1"/>
        </xdr:cNvSpPr>
      </xdr:nvSpPr>
      <xdr:spPr bwMode="auto">
        <a:xfrm>
          <a:off x="6555468" y="5252357"/>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66</xdr:row>
      <xdr:rowOff>504825</xdr:rowOff>
    </xdr:from>
    <xdr:ext cx="95250" cy="213632"/>
    <xdr:sp macro="" textlink="">
      <xdr:nvSpPr>
        <xdr:cNvPr id="1731" name="Text Box 15">
          <a:extLst>
            <a:ext uri="{FF2B5EF4-FFF2-40B4-BE49-F238E27FC236}">
              <a16:creationId xmlns:a16="http://schemas.microsoft.com/office/drawing/2014/main" id="{00000000-0008-0000-0500-0000C3060000}"/>
            </a:ext>
          </a:extLst>
        </xdr:cNvPr>
        <xdr:cNvSpPr txBox="1">
          <a:spLocks noChangeArrowheads="1"/>
        </xdr:cNvSpPr>
      </xdr:nvSpPr>
      <xdr:spPr bwMode="auto">
        <a:xfrm>
          <a:off x="6555468" y="543333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66</xdr:row>
      <xdr:rowOff>0</xdr:rowOff>
    </xdr:from>
    <xdr:ext cx="95250" cy="171450"/>
    <xdr:sp macro="" textlink="">
      <xdr:nvSpPr>
        <xdr:cNvPr id="1732" name="Text Box 16">
          <a:extLst>
            <a:ext uri="{FF2B5EF4-FFF2-40B4-BE49-F238E27FC236}">
              <a16:creationId xmlns:a16="http://schemas.microsoft.com/office/drawing/2014/main" id="{00000000-0008-0000-0500-0000C4060000}"/>
            </a:ext>
          </a:extLst>
        </xdr:cNvPr>
        <xdr:cNvSpPr txBox="1">
          <a:spLocks noChangeArrowheads="1"/>
        </xdr:cNvSpPr>
      </xdr:nvSpPr>
      <xdr:spPr bwMode="auto">
        <a:xfrm>
          <a:off x="9398454" y="5252357"/>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66</xdr:row>
      <xdr:rowOff>0</xdr:rowOff>
    </xdr:from>
    <xdr:ext cx="95250" cy="171450"/>
    <xdr:sp macro="" textlink="">
      <xdr:nvSpPr>
        <xdr:cNvPr id="1733" name="Text Box 17">
          <a:extLst>
            <a:ext uri="{FF2B5EF4-FFF2-40B4-BE49-F238E27FC236}">
              <a16:creationId xmlns:a16="http://schemas.microsoft.com/office/drawing/2014/main" id="{00000000-0008-0000-0500-0000C5060000}"/>
            </a:ext>
          </a:extLst>
        </xdr:cNvPr>
        <xdr:cNvSpPr txBox="1">
          <a:spLocks noChangeArrowheads="1"/>
        </xdr:cNvSpPr>
      </xdr:nvSpPr>
      <xdr:spPr bwMode="auto">
        <a:xfrm>
          <a:off x="9398454" y="5252357"/>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66</xdr:row>
      <xdr:rowOff>0</xdr:rowOff>
    </xdr:from>
    <xdr:ext cx="95250" cy="171450"/>
    <xdr:sp macro="" textlink="">
      <xdr:nvSpPr>
        <xdr:cNvPr id="1734" name="Text Box 18">
          <a:extLst>
            <a:ext uri="{FF2B5EF4-FFF2-40B4-BE49-F238E27FC236}">
              <a16:creationId xmlns:a16="http://schemas.microsoft.com/office/drawing/2014/main" id="{00000000-0008-0000-0500-0000C6060000}"/>
            </a:ext>
          </a:extLst>
        </xdr:cNvPr>
        <xdr:cNvSpPr txBox="1">
          <a:spLocks noChangeArrowheads="1"/>
        </xdr:cNvSpPr>
      </xdr:nvSpPr>
      <xdr:spPr bwMode="auto">
        <a:xfrm>
          <a:off x="9398454" y="5252357"/>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66</xdr:row>
      <xdr:rowOff>0</xdr:rowOff>
    </xdr:from>
    <xdr:ext cx="95250" cy="171450"/>
    <xdr:sp macro="" textlink="">
      <xdr:nvSpPr>
        <xdr:cNvPr id="1735" name="Text Box 19">
          <a:extLst>
            <a:ext uri="{FF2B5EF4-FFF2-40B4-BE49-F238E27FC236}">
              <a16:creationId xmlns:a16="http://schemas.microsoft.com/office/drawing/2014/main" id="{00000000-0008-0000-0500-0000C7060000}"/>
            </a:ext>
          </a:extLst>
        </xdr:cNvPr>
        <xdr:cNvSpPr txBox="1">
          <a:spLocks noChangeArrowheads="1"/>
        </xdr:cNvSpPr>
      </xdr:nvSpPr>
      <xdr:spPr bwMode="auto">
        <a:xfrm>
          <a:off x="9398454" y="5252357"/>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66</xdr:row>
      <xdr:rowOff>0</xdr:rowOff>
    </xdr:from>
    <xdr:ext cx="95250" cy="171450"/>
    <xdr:sp macro="" textlink="">
      <xdr:nvSpPr>
        <xdr:cNvPr id="1736" name="Text Box 16">
          <a:extLst>
            <a:ext uri="{FF2B5EF4-FFF2-40B4-BE49-F238E27FC236}">
              <a16:creationId xmlns:a16="http://schemas.microsoft.com/office/drawing/2014/main" id="{00000000-0008-0000-0500-0000C8060000}"/>
            </a:ext>
          </a:extLst>
        </xdr:cNvPr>
        <xdr:cNvSpPr txBox="1">
          <a:spLocks noChangeArrowheads="1"/>
        </xdr:cNvSpPr>
      </xdr:nvSpPr>
      <xdr:spPr bwMode="auto">
        <a:xfrm>
          <a:off x="9398454" y="5252357"/>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66</xdr:row>
      <xdr:rowOff>0</xdr:rowOff>
    </xdr:from>
    <xdr:ext cx="95250" cy="171450"/>
    <xdr:sp macro="" textlink="">
      <xdr:nvSpPr>
        <xdr:cNvPr id="1737" name="Text Box 17">
          <a:extLst>
            <a:ext uri="{FF2B5EF4-FFF2-40B4-BE49-F238E27FC236}">
              <a16:creationId xmlns:a16="http://schemas.microsoft.com/office/drawing/2014/main" id="{00000000-0008-0000-0500-0000C9060000}"/>
            </a:ext>
          </a:extLst>
        </xdr:cNvPr>
        <xdr:cNvSpPr txBox="1">
          <a:spLocks noChangeArrowheads="1"/>
        </xdr:cNvSpPr>
      </xdr:nvSpPr>
      <xdr:spPr bwMode="auto">
        <a:xfrm>
          <a:off x="9398454" y="5252357"/>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66</xdr:row>
      <xdr:rowOff>0</xdr:rowOff>
    </xdr:from>
    <xdr:ext cx="95250" cy="171450"/>
    <xdr:sp macro="" textlink="">
      <xdr:nvSpPr>
        <xdr:cNvPr id="1738" name="Text Box 18">
          <a:extLst>
            <a:ext uri="{FF2B5EF4-FFF2-40B4-BE49-F238E27FC236}">
              <a16:creationId xmlns:a16="http://schemas.microsoft.com/office/drawing/2014/main" id="{00000000-0008-0000-0500-0000CA060000}"/>
            </a:ext>
          </a:extLst>
        </xdr:cNvPr>
        <xdr:cNvSpPr txBox="1">
          <a:spLocks noChangeArrowheads="1"/>
        </xdr:cNvSpPr>
      </xdr:nvSpPr>
      <xdr:spPr bwMode="auto">
        <a:xfrm>
          <a:off x="9398454" y="5252357"/>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66</xdr:row>
      <xdr:rowOff>0</xdr:rowOff>
    </xdr:from>
    <xdr:ext cx="95250" cy="171450"/>
    <xdr:sp macro="" textlink="">
      <xdr:nvSpPr>
        <xdr:cNvPr id="1739" name="Text Box 19">
          <a:extLst>
            <a:ext uri="{FF2B5EF4-FFF2-40B4-BE49-F238E27FC236}">
              <a16:creationId xmlns:a16="http://schemas.microsoft.com/office/drawing/2014/main" id="{00000000-0008-0000-0500-0000CB060000}"/>
            </a:ext>
          </a:extLst>
        </xdr:cNvPr>
        <xdr:cNvSpPr txBox="1">
          <a:spLocks noChangeArrowheads="1"/>
        </xdr:cNvSpPr>
      </xdr:nvSpPr>
      <xdr:spPr bwMode="auto">
        <a:xfrm>
          <a:off x="9398454" y="5252357"/>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72</xdr:row>
      <xdr:rowOff>0</xdr:rowOff>
    </xdr:from>
    <xdr:ext cx="95250" cy="171450"/>
    <xdr:sp macro="" textlink="">
      <xdr:nvSpPr>
        <xdr:cNvPr id="1740" name="Text Box 16">
          <a:extLst>
            <a:ext uri="{FF2B5EF4-FFF2-40B4-BE49-F238E27FC236}">
              <a16:creationId xmlns:a16="http://schemas.microsoft.com/office/drawing/2014/main" id="{00000000-0008-0000-0500-0000CC060000}"/>
            </a:ext>
          </a:extLst>
        </xdr:cNvPr>
        <xdr:cNvSpPr txBox="1">
          <a:spLocks noChangeArrowheads="1"/>
        </xdr:cNvSpPr>
      </xdr:nvSpPr>
      <xdr:spPr bwMode="auto">
        <a:xfrm>
          <a:off x="3710214" y="5796643"/>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72</xdr:row>
      <xdr:rowOff>0</xdr:rowOff>
    </xdr:from>
    <xdr:ext cx="95250" cy="171450"/>
    <xdr:sp macro="" textlink="">
      <xdr:nvSpPr>
        <xdr:cNvPr id="1741" name="Text Box 17">
          <a:extLst>
            <a:ext uri="{FF2B5EF4-FFF2-40B4-BE49-F238E27FC236}">
              <a16:creationId xmlns:a16="http://schemas.microsoft.com/office/drawing/2014/main" id="{00000000-0008-0000-0500-0000CD060000}"/>
            </a:ext>
          </a:extLst>
        </xdr:cNvPr>
        <xdr:cNvSpPr txBox="1">
          <a:spLocks noChangeArrowheads="1"/>
        </xdr:cNvSpPr>
      </xdr:nvSpPr>
      <xdr:spPr bwMode="auto">
        <a:xfrm>
          <a:off x="3710214" y="5796643"/>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72</xdr:row>
      <xdr:rowOff>0</xdr:rowOff>
    </xdr:from>
    <xdr:ext cx="95250" cy="171450"/>
    <xdr:sp macro="" textlink="">
      <xdr:nvSpPr>
        <xdr:cNvPr id="1742" name="Text Box 18">
          <a:extLst>
            <a:ext uri="{FF2B5EF4-FFF2-40B4-BE49-F238E27FC236}">
              <a16:creationId xmlns:a16="http://schemas.microsoft.com/office/drawing/2014/main" id="{00000000-0008-0000-0500-0000CE060000}"/>
            </a:ext>
          </a:extLst>
        </xdr:cNvPr>
        <xdr:cNvSpPr txBox="1">
          <a:spLocks noChangeArrowheads="1"/>
        </xdr:cNvSpPr>
      </xdr:nvSpPr>
      <xdr:spPr bwMode="auto">
        <a:xfrm>
          <a:off x="3710214" y="5796643"/>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72</xdr:row>
      <xdr:rowOff>0</xdr:rowOff>
    </xdr:from>
    <xdr:ext cx="95250" cy="171450"/>
    <xdr:sp macro="" textlink="">
      <xdr:nvSpPr>
        <xdr:cNvPr id="1743" name="Text Box 19">
          <a:extLst>
            <a:ext uri="{FF2B5EF4-FFF2-40B4-BE49-F238E27FC236}">
              <a16:creationId xmlns:a16="http://schemas.microsoft.com/office/drawing/2014/main" id="{00000000-0008-0000-0500-0000CF060000}"/>
            </a:ext>
          </a:extLst>
        </xdr:cNvPr>
        <xdr:cNvSpPr txBox="1">
          <a:spLocks noChangeArrowheads="1"/>
        </xdr:cNvSpPr>
      </xdr:nvSpPr>
      <xdr:spPr bwMode="auto">
        <a:xfrm>
          <a:off x="3710214" y="5796643"/>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72</xdr:row>
      <xdr:rowOff>0</xdr:rowOff>
    </xdr:from>
    <xdr:ext cx="95250" cy="171450"/>
    <xdr:sp macro="" textlink="">
      <xdr:nvSpPr>
        <xdr:cNvPr id="1744" name="Text Box 16">
          <a:extLst>
            <a:ext uri="{FF2B5EF4-FFF2-40B4-BE49-F238E27FC236}">
              <a16:creationId xmlns:a16="http://schemas.microsoft.com/office/drawing/2014/main" id="{00000000-0008-0000-0500-0000D0060000}"/>
            </a:ext>
          </a:extLst>
        </xdr:cNvPr>
        <xdr:cNvSpPr txBox="1">
          <a:spLocks noChangeArrowheads="1"/>
        </xdr:cNvSpPr>
      </xdr:nvSpPr>
      <xdr:spPr bwMode="auto">
        <a:xfrm>
          <a:off x="6555468" y="5796643"/>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72</xdr:row>
      <xdr:rowOff>0</xdr:rowOff>
    </xdr:from>
    <xdr:ext cx="95250" cy="171450"/>
    <xdr:sp macro="" textlink="">
      <xdr:nvSpPr>
        <xdr:cNvPr id="1745" name="Text Box 17">
          <a:extLst>
            <a:ext uri="{FF2B5EF4-FFF2-40B4-BE49-F238E27FC236}">
              <a16:creationId xmlns:a16="http://schemas.microsoft.com/office/drawing/2014/main" id="{00000000-0008-0000-0500-0000D1060000}"/>
            </a:ext>
          </a:extLst>
        </xdr:cNvPr>
        <xdr:cNvSpPr txBox="1">
          <a:spLocks noChangeArrowheads="1"/>
        </xdr:cNvSpPr>
      </xdr:nvSpPr>
      <xdr:spPr bwMode="auto">
        <a:xfrm>
          <a:off x="6555468" y="5796643"/>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72</xdr:row>
      <xdr:rowOff>0</xdr:rowOff>
    </xdr:from>
    <xdr:ext cx="95250" cy="171450"/>
    <xdr:sp macro="" textlink="">
      <xdr:nvSpPr>
        <xdr:cNvPr id="1746" name="Text Box 18">
          <a:extLst>
            <a:ext uri="{FF2B5EF4-FFF2-40B4-BE49-F238E27FC236}">
              <a16:creationId xmlns:a16="http://schemas.microsoft.com/office/drawing/2014/main" id="{00000000-0008-0000-0500-0000D2060000}"/>
            </a:ext>
          </a:extLst>
        </xdr:cNvPr>
        <xdr:cNvSpPr txBox="1">
          <a:spLocks noChangeArrowheads="1"/>
        </xdr:cNvSpPr>
      </xdr:nvSpPr>
      <xdr:spPr bwMode="auto">
        <a:xfrm>
          <a:off x="6555468" y="5796643"/>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72</xdr:row>
      <xdr:rowOff>0</xdr:rowOff>
    </xdr:from>
    <xdr:ext cx="95250" cy="171450"/>
    <xdr:sp macro="" textlink="">
      <xdr:nvSpPr>
        <xdr:cNvPr id="1747" name="Text Box 19">
          <a:extLst>
            <a:ext uri="{FF2B5EF4-FFF2-40B4-BE49-F238E27FC236}">
              <a16:creationId xmlns:a16="http://schemas.microsoft.com/office/drawing/2014/main" id="{00000000-0008-0000-0500-0000D3060000}"/>
            </a:ext>
          </a:extLst>
        </xdr:cNvPr>
        <xdr:cNvSpPr txBox="1">
          <a:spLocks noChangeArrowheads="1"/>
        </xdr:cNvSpPr>
      </xdr:nvSpPr>
      <xdr:spPr bwMode="auto">
        <a:xfrm>
          <a:off x="6555468" y="5796643"/>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21</xdr:col>
      <xdr:colOff>0</xdr:colOff>
      <xdr:row>72</xdr:row>
      <xdr:rowOff>0</xdr:rowOff>
    </xdr:from>
    <xdr:ext cx="95250" cy="171450"/>
    <xdr:sp macro="" textlink="">
      <xdr:nvSpPr>
        <xdr:cNvPr id="1748" name="Text Box 16">
          <a:extLst>
            <a:ext uri="{FF2B5EF4-FFF2-40B4-BE49-F238E27FC236}">
              <a16:creationId xmlns:a16="http://schemas.microsoft.com/office/drawing/2014/main" id="{00000000-0008-0000-0500-0000D4060000}"/>
            </a:ext>
          </a:extLst>
        </xdr:cNvPr>
        <xdr:cNvSpPr txBox="1">
          <a:spLocks noChangeArrowheads="1"/>
        </xdr:cNvSpPr>
      </xdr:nvSpPr>
      <xdr:spPr bwMode="auto">
        <a:xfrm>
          <a:off x="15475857" y="5796643"/>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21</xdr:col>
      <xdr:colOff>0</xdr:colOff>
      <xdr:row>72</xdr:row>
      <xdr:rowOff>0</xdr:rowOff>
    </xdr:from>
    <xdr:ext cx="95250" cy="171450"/>
    <xdr:sp macro="" textlink="">
      <xdr:nvSpPr>
        <xdr:cNvPr id="1749" name="Text Box 17">
          <a:extLst>
            <a:ext uri="{FF2B5EF4-FFF2-40B4-BE49-F238E27FC236}">
              <a16:creationId xmlns:a16="http://schemas.microsoft.com/office/drawing/2014/main" id="{00000000-0008-0000-0500-0000D5060000}"/>
            </a:ext>
          </a:extLst>
        </xdr:cNvPr>
        <xdr:cNvSpPr txBox="1">
          <a:spLocks noChangeArrowheads="1"/>
        </xdr:cNvSpPr>
      </xdr:nvSpPr>
      <xdr:spPr bwMode="auto">
        <a:xfrm>
          <a:off x="15475857" y="5796643"/>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21</xdr:col>
      <xdr:colOff>0</xdr:colOff>
      <xdr:row>72</xdr:row>
      <xdr:rowOff>0</xdr:rowOff>
    </xdr:from>
    <xdr:ext cx="95250" cy="171450"/>
    <xdr:sp macro="" textlink="">
      <xdr:nvSpPr>
        <xdr:cNvPr id="1750" name="Text Box 18">
          <a:extLst>
            <a:ext uri="{FF2B5EF4-FFF2-40B4-BE49-F238E27FC236}">
              <a16:creationId xmlns:a16="http://schemas.microsoft.com/office/drawing/2014/main" id="{00000000-0008-0000-0500-0000D6060000}"/>
            </a:ext>
          </a:extLst>
        </xdr:cNvPr>
        <xdr:cNvSpPr txBox="1">
          <a:spLocks noChangeArrowheads="1"/>
        </xdr:cNvSpPr>
      </xdr:nvSpPr>
      <xdr:spPr bwMode="auto">
        <a:xfrm>
          <a:off x="15475857" y="5796643"/>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21</xdr:col>
      <xdr:colOff>0</xdr:colOff>
      <xdr:row>72</xdr:row>
      <xdr:rowOff>0</xdr:rowOff>
    </xdr:from>
    <xdr:ext cx="95250" cy="171450"/>
    <xdr:sp macro="" textlink="">
      <xdr:nvSpPr>
        <xdr:cNvPr id="1751" name="Text Box 19">
          <a:extLst>
            <a:ext uri="{FF2B5EF4-FFF2-40B4-BE49-F238E27FC236}">
              <a16:creationId xmlns:a16="http://schemas.microsoft.com/office/drawing/2014/main" id="{00000000-0008-0000-0500-0000D7060000}"/>
            </a:ext>
          </a:extLst>
        </xdr:cNvPr>
        <xdr:cNvSpPr txBox="1">
          <a:spLocks noChangeArrowheads="1"/>
        </xdr:cNvSpPr>
      </xdr:nvSpPr>
      <xdr:spPr bwMode="auto">
        <a:xfrm>
          <a:off x="15475857" y="5796643"/>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71</xdr:row>
      <xdr:rowOff>504825</xdr:rowOff>
    </xdr:from>
    <xdr:ext cx="95250" cy="444014"/>
    <xdr:sp macro="" textlink="">
      <xdr:nvSpPr>
        <xdr:cNvPr id="1752" name="Text Box 15">
          <a:extLst>
            <a:ext uri="{FF2B5EF4-FFF2-40B4-BE49-F238E27FC236}">
              <a16:creationId xmlns:a16="http://schemas.microsoft.com/office/drawing/2014/main" id="{00000000-0008-0000-0500-0000D8060000}"/>
            </a:ext>
          </a:extLst>
        </xdr:cNvPr>
        <xdr:cNvSpPr txBox="1">
          <a:spLocks noChangeArrowheads="1"/>
        </xdr:cNvSpPr>
      </xdr:nvSpPr>
      <xdr:spPr bwMode="auto">
        <a:xfrm>
          <a:off x="3710214" y="5789839"/>
          <a:ext cx="95250" cy="444014"/>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72</xdr:row>
      <xdr:rowOff>0</xdr:rowOff>
    </xdr:from>
    <xdr:ext cx="95250" cy="171450"/>
    <xdr:sp macro="" textlink="">
      <xdr:nvSpPr>
        <xdr:cNvPr id="1753" name="Text Box 16">
          <a:extLst>
            <a:ext uri="{FF2B5EF4-FFF2-40B4-BE49-F238E27FC236}">
              <a16:creationId xmlns:a16="http://schemas.microsoft.com/office/drawing/2014/main" id="{00000000-0008-0000-0500-0000D9060000}"/>
            </a:ext>
          </a:extLst>
        </xdr:cNvPr>
        <xdr:cNvSpPr txBox="1">
          <a:spLocks noChangeArrowheads="1"/>
        </xdr:cNvSpPr>
      </xdr:nvSpPr>
      <xdr:spPr bwMode="auto">
        <a:xfrm>
          <a:off x="3710214" y="5796643"/>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72</xdr:row>
      <xdr:rowOff>0</xdr:rowOff>
    </xdr:from>
    <xdr:ext cx="95250" cy="171450"/>
    <xdr:sp macro="" textlink="">
      <xdr:nvSpPr>
        <xdr:cNvPr id="1754" name="Text Box 17">
          <a:extLst>
            <a:ext uri="{FF2B5EF4-FFF2-40B4-BE49-F238E27FC236}">
              <a16:creationId xmlns:a16="http://schemas.microsoft.com/office/drawing/2014/main" id="{00000000-0008-0000-0500-0000DA060000}"/>
            </a:ext>
          </a:extLst>
        </xdr:cNvPr>
        <xdr:cNvSpPr txBox="1">
          <a:spLocks noChangeArrowheads="1"/>
        </xdr:cNvSpPr>
      </xdr:nvSpPr>
      <xdr:spPr bwMode="auto">
        <a:xfrm>
          <a:off x="3710214" y="5796643"/>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72</xdr:row>
      <xdr:rowOff>0</xdr:rowOff>
    </xdr:from>
    <xdr:ext cx="95250" cy="171450"/>
    <xdr:sp macro="" textlink="">
      <xdr:nvSpPr>
        <xdr:cNvPr id="1755" name="Text Box 18">
          <a:extLst>
            <a:ext uri="{FF2B5EF4-FFF2-40B4-BE49-F238E27FC236}">
              <a16:creationId xmlns:a16="http://schemas.microsoft.com/office/drawing/2014/main" id="{00000000-0008-0000-0500-0000DB060000}"/>
            </a:ext>
          </a:extLst>
        </xdr:cNvPr>
        <xdr:cNvSpPr txBox="1">
          <a:spLocks noChangeArrowheads="1"/>
        </xdr:cNvSpPr>
      </xdr:nvSpPr>
      <xdr:spPr bwMode="auto">
        <a:xfrm>
          <a:off x="3710214" y="5796643"/>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72</xdr:row>
      <xdr:rowOff>0</xdr:rowOff>
    </xdr:from>
    <xdr:ext cx="95250" cy="171450"/>
    <xdr:sp macro="" textlink="">
      <xdr:nvSpPr>
        <xdr:cNvPr id="1756" name="Text Box 19">
          <a:extLst>
            <a:ext uri="{FF2B5EF4-FFF2-40B4-BE49-F238E27FC236}">
              <a16:creationId xmlns:a16="http://schemas.microsoft.com/office/drawing/2014/main" id="{00000000-0008-0000-0500-0000DC060000}"/>
            </a:ext>
          </a:extLst>
        </xdr:cNvPr>
        <xdr:cNvSpPr txBox="1">
          <a:spLocks noChangeArrowheads="1"/>
        </xdr:cNvSpPr>
      </xdr:nvSpPr>
      <xdr:spPr bwMode="auto">
        <a:xfrm>
          <a:off x="3710214" y="5796643"/>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71</xdr:row>
      <xdr:rowOff>504825</xdr:rowOff>
    </xdr:from>
    <xdr:ext cx="95250" cy="442269"/>
    <xdr:sp macro="" textlink="">
      <xdr:nvSpPr>
        <xdr:cNvPr id="1757" name="Text Box 15">
          <a:extLst>
            <a:ext uri="{FF2B5EF4-FFF2-40B4-BE49-F238E27FC236}">
              <a16:creationId xmlns:a16="http://schemas.microsoft.com/office/drawing/2014/main" id="{00000000-0008-0000-0500-0000DD060000}"/>
            </a:ext>
          </a:extLst>
        </xdr:cNvPr>
        <xdr:cNvSpPr txBox="1">
          <a:spLocks noChangeArrowheads="1"/>
        </xdr:cNvSpPr>
      </xdr:nvSpPr>
      <xdr:spPr bwMode="auto">
        <a:xfrm>
          <a:off x="6555468" y="5789839"/>
          <a:ext cx="95250" cy="442269"/>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72</xdr:row>
      <xdr:rowOff>0</xdr:rowOff>
    </xdr:from>
    <xdr:ext cx="95250" cy="171450"/>
    <xdr:sp macro="" textlink="">
      <xdr:nvSpPr>
        <xdr:cNvPr id="1758" name="Text Box 16">
          <a:extLst>
            <a:ext uri="{FF2B5EF4-FFF2-40B4-BE49-F238E27FC236}">
              <a16:creationId xmlns:a16="http://schemas.microsoft.com/office/drawing/2014/main" id="{00000000-0008-0000-0500-0000DE060000}"/>
            </a:ext>
          </a:extLst>
        </xdr:cNvPr>
        <xdr:cNvSpPr txBox="1">
          <a:spLocks noChangeArrowheads="1"/>
        </xdr:cNvSpPr>
      </xdr:nvSpPr>
      <xdr:spPr bwMode="auto">
        <a:xfrm>
          <a:off x="6555468" y="5796643"/>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72</xdr:row>
      <xdr:rowOff>0</xdr:rowOff>
    </xdr:from>
    <xdr:ext cx="95250" cy="171450"/>
    <xdr:sp macro="" textlink="">
      <xdr:nvSpPr>
        <xdr:cNvPr id="1759" name="Text Box 17">
          <a:extLst>
            <a:ext uri="{FF2B5EF4-FFF2-40B4-BE49-F238E27FC236}">
              <a16:creationId xmlns:a16="http://schemas.microsoft.com/office/drawing/2014/main" id="{00000000-0008-0000-0500-0000DF060000}"/>
            </a:ext>
          </a:extLst>
        </xdr:cNvPr>
        <xdr:cNvSpPr txBox="1">
          <a:spLocks noChangeArrowheads="1"/>
        </xdr:cNvSpPr>
      </xdr:nvSpPr>
      <xdr:spPr bwMode="auto">
        <a:xfrm>
          <a:off x="6555468" y="5796643"/>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72</xdr:row>
      <xdr:rowOff>0</xdr:rowOff>
    </xdr:from>
    <xdr:ext cx="95250" cy="171450"/>
    <xdr:sp macro="" textlink="">
      <xdr:nvSpPr>
        <xdr:cNvPr id="1760" name="Text Box 18">
          <a:extLst>
            <a:ext uri="{FF2B5EF4-FFF2-40B4-BE49-F238E27FC236}">
              <a16:creationId xmlns:a16="http://schemas.microsoft.com/office/drawing/2014/main" id="{00000000-0008-0000-0500-0000E0060000}"/>
            </a:ext>
          </a:extLst>
        </xdr:cNvPr>
        <xdr:cNvSpPr txBox="1">
          <a:spLocks noChangeArrowheads="1"/>
        </xdr:cNvSpPr>
      </xdr:nvSpPr>
      <xdr:spPr bwMode="auto">
        <a:xfrm>
          <a:off x="6555468" y="5796643"/>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72</xdr:row>
      <xdr:rowOff>0</xdr:rowOff>
    </xdr:from>
    <xdr:ext cx="95250" cy="171450"/>
    <xdr:sp macro="" textlink="">
      <xdr:nvSpPr>
        <xdr:cNvPr id="1761" name="Text Box 16">
          <a:extLst>
            <a:ext uri="{FF2B5EF4-FFF2-40B4-BE49-F238E27FC236}">
              <a16:creationId xmlns:a16="http://schemas.microsoft.com/office/drawing/2014/main" id="{00000000-0008-0000-0500-0000E1060000}"/>
            </a:ext>
          </a:extLst>
        </xdr:cNvPr>
        <xdr:cNvSpPr txBox="1">
          <a:spLocks noChangeArrowheads="1"/>
        </xdr:cNvSpPr>
      </xdr:nvSpPr>
      <xdr:spPr bwMode="auto">
        <a:xfrm>
          <a:off x="9398454" y="5796643"/>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72</xdr:row>
      <xdr:rowOff>0</xdr:rowOff>
    </xdr:from>
    <xdr:ext cx="95250" cy="171450"/>
    <xdr:sp macro="" textlink="">
      <xdr:nvSpPr>
        <xdr:cNvPr id="1762" name="Text Box 17">
          <a:extLst>
            <a:ext uri="{FF2B5EF4-FFF2-40B4-BE49-F238E27FC236}">
              <a16:creationId xmlns:a16="http://schemas.microsoft.com/office/drawing/2014/main" id="{00000000-0008-0000-0500-0000E2060000}"/>
            </a:ext>
          </a:extLst>
        </xdr:cNvPr>
        <xdr:cNvSpPr txBox="1">
          <a:spLocks noChangeArrowheads="1"/>
        </xdr:cNvSpPr>
      </xdr:nvSpPr>
      <xdr:spPr bwMode="auto">
        <a:xfrm>
          <a:off x="9398454" y="5796643"/>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72</xdr:row>
      <xdr:rowOff>0</xdr:rowOff>
    </xdr:from>
    <xdr:ext cx="95250" cy="171450"/>
    <xdr:sp macro="" textlink="">
      <xdr:nvSpPr>
        <xdr:cNvPr id="1763" name="Text Box 18">
          <a:extLst>
            <a:ext uri="{FF2B5EF4-FFF2-40B4-BE49-F238E27FC236}">
              <a16:creationId xmlns:a16="http://schemas.microsoft.com/office/drawing/2014/main" id="{00000000-0008-0000-0500-0000E3060000}"/>
            </a:ext>
          </a:extLst>
        </xdr:cNvPr>
        <xdr:cNvSpPr txBox="1">
          <a:spLocks noChangeArrowheads="1"/>
        </xdr:cNvSpPr>
      </xdr:nvSpPr>
      <xdr:spPr bwMode="auto">
        <a:xfrm>
          <a:off x="9398454" y="5796643"/>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72</xdr:row>
      <xdr:rowOff>0</xdr:rowOff>
    </xdr:from>
    <xdr:ext cx="95250" cy="171450"/>
    <xdr:sp macro="" textlink="">
      <xdr:nvSpPr>
        <xdr:cNvPr id="1764" name="Text Box 19">
          <a:extLst>
            <a:ext uri="{FF2B5EF4-FFF2-40B4-BE49-F238E27FC236}">
              <a16:creationId xmlns:a16="http://schemas.microsoft.com/office/drawing/2014/main" id="{00000000-0008-0000-0500-0000E4060000}"/>
            </a:ext>
          </a:extLst>
        </xdr:cNvPr>
        <xdr:cNvSpPr txBox="1">
          <a:spLocks noChangeArrowheads="1"/>
        </xdr:cNvSpPr>
      </xdr:nvSpPr>
      <xdr:spPr bwMode="auto">
        <a:xfrm>
          <a:off x="9398454" y="5796643"/>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72</xdr:row>
      <xdr:rowOff>0</xdr:rowOff>
    </xdr:from>
    <xdr:ext cx="95250" cy="171450"/>
    <xdr:sp macro="" textlink="">
      <xdr:nvSpPr>
        <xdr:cNvPr id="1765" name="Text Box 16">
          <a:extLst>
            <a:ext uri="{FF2B5EF4-FFF2-40B4-BE49-F238E27FC236}">
              <a16:creationId xmlns:a16="http://schemas.microsoft.com/office/drawing/2014/main" id="{00000000-0008-0000-0500-0000E5060000}"/>
            </a:ext>
          </a:extLst>
        </xdr:cNvPr>
        <xdr:cNvSpPr txBox="1">
          <a:spLocks noChangeArrowheads="1"/>
        </xdr:cNvSpPr>
      </xdr:nvSpPr>
      <xdr:spPr bwMode="auto">
        <a:xfrm>
          <a:off x="9398454" y="5796643"/>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72</xdr:row>
      <xdr:rowOff>0</xdr:rowOff>
    </xdr:from>
    <xdr:ext cx="95250" cy="171450"/>
    <xdr:sp macro="" textlink="">
      <xdr:nvSpPr>
        <xdr:cNvPr id="1766" name="Text Box 17">
          <a:extLst>
            <a:ext uri="{FF2B5EF4-FFF2-40B4-BE49-F238E27FC236}">
              <a16:creationId xmlns:a16="http://schemas.microsoft.com/office/drawing/2014/main" id="{00000000-0008-0000-0500-0000E6060000}"/>
            </a:ext>
          </a:extLst>
        </xdr:cNvPr>
        <xdr:cNvSpPr txBox="1">
          <a:spLocks noChangeArrowheads="1"/>
        </xdr:cNvSpPr>
      </xdr:nvSpPr>
      <xdr:spPr bwMode="auto">
        <a:xfrm>
          <a:off x="9398454" y="5796643"/>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72</xdr:row>
      <xdr:rowOff>0</xdr:rowOff>
    </xdr:from>
    <xdr:ext cx="95250" cy="171450"/>
    <xdr:sp macro="" textlink="">
      <xdr:nvSpPr>
        <xdr:cNvPr id="1767" name="Text Box 18">
          <a:extLst>
            <a:ext uri="{FF2B5EF4-FFF2-40B4-BE49-F238E27FC236}">
              <a16:creationId xmlns:a16="http://schemas.microsoft.com/office/drawing/2014/main" id="{00000000-0008-0000-0500-0000E7060000}"/>
            </a:ext>
          </a:extLst>
        </xdr:cNvPr>
        <xdr:cNvSpPr txBox="1">
          <a:spLocks noChangeArrowheads="1"/>
        </xdr:cNvSpPr>
      </xdr:nvSpPr>
      <xdr:spPr bwMode="auto">
        <a:xfrm>
          <a:off x="9398454" y="5796643"/>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72</xdr:row>
      <xdr:rowOff>0</xdr:rowOff>
    </xdr:from>
    <xdr:ext cx="95250" cy="171450"/>
    <xdr:sp macro="" textlink="">
      <xdr:nvSpPr>
        <xdr:cNvPr id="1768" name="Text Box 19">
          <a:extLst>
            <a:ext uri="{FF2B5EF4-FFF2-40B4-BE49-F238E27FC236}">
              <a16:creationId xmlns:a16="http://schemas.microsoft.com/office/drawing/2014/main" id="{00000000-0008-0000-0500-0000E8060000}"/>
            </a:ext>
          </a:extLst>
        </xdr:cNvPr>
        <xdr:cNvSpPr txBox="1">
          <a:spLocks noChangeArrowheads="1"/>
        </xdr:cNvSpPr>
      </xdr:nvSpPr>
      <xdr:spPr bwMode="auto">
        <a:xfrm>
          <a:off x="9398454" y="5796643"/>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72</xdr:row>
      <xdr:rowOff>504825</xdr:rowOff>
    </xdr:from>
    <xdr:ext cx="95250" cy="448496"/>
    <xdr:sp macro="" textlink="">
      <xdr:nvSpPr>
        <xdr:cNvPr id="1769" name="Text Box 15">
          <a:extLst>
            <a:ext uri="{FF2B5EF4-FFF2-40B4-BE49-F238E27FC236}">
              <a16:creationId xmlns:a16="http://schemas.microsoft.com/office/drawing/2014/main" id="{00000000-0008-0000-0500-0000E9060000}"/>
            </a:ext>
          </a:extLst>
        </xdr:cNvPr>
        <xdr:cNvSpPr txBox="1">
          <a:spLocks noChangeArrowheads="1"/>
        </xdr:cNvSpPr>
      </xdr:nvSpPr>
      <xdr:spPr bwMode="auto">
        <a:xfrm>
          <a:off x="3710214" y="5977618"/>
          <a:ext cx="95250" cy="448496"/>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72</xdr:row>
      <xdr:rowOff>504825</xdr:rowOff>
    </xdr:from>
    <xdr:ext cx="95250" cy="442269"/>
    <xdr:sp macro="" textlink="">
      <xdr:nvSpPr>
        <xdr:cNvPr id="1770" name="Text Box 15">
          <a:extLst>
            <a:ext uri="{FF2B5EF4-FFF2-40B4-BE49-F238E27FC236}">
              <a16:creationId xmlns:a16="http://schemas.microsoft.com/office/drawing/2014/main" id="{00000000-0008-0000-0500-0000EA060000}"/>
            </a:ext>
          </a:extLst>
        </xdr:cNvPr>
        <xdr:cNvSpPr txBox="1">
          <a:spLocks noChangeArrowheads="1"/>
        </xdr:cNvSpPr>
      </xdr:nvSpPr>
      <xdr:spPr bwMode="auto">
        <a:xfrm>
          <a:off x="6555468" y="5977618"/>
          <a:ext cx="95250" cy="442269"/>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72</xdr:row>
      <xdr:rowOff>504825</xdr:rowOff>
    </xdr:from>
    <xdr:ext cx="95250" cy="213632"/>
    <xdr:sp macro="" textlink="">
      <xdr:nvSpPr>
        <xdr:cNvPr id="1772" name="Text Box 15">
          <a:extLst>
            <a:ext uri="{FF2B5EF4-FFF2-40B4-BE49-F238E27FC236}">
              <a16:creationId xmlns:a16="http://schemas.microsoft.com/office/drawing/2014/main" id="{00000000-0008-0000-0500-0000EC060000}"/>
            </a:ext>
          </a:extLst>
        </xdr:cNvPr>
        <xdr:cNvSpPr txBox="1">
          <a:spLocks noChangeArrowheads="1"/>
        </xdr:cNvSpPr>
      </xdr:nvSpPr>
      <xdr:spPr bwMode="auto">
        <a:xfrm>
          <a:off x="3710214" y="5977618"/>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72</xdr:row>
      <xdr:rowOff>504825</xdr:rowOff>
    </xdr:from>
    <xdr:ext cx="95250" cy="444331"/>
    <xdr:sp macro="" textlink="">
      <xdr:nvSpPr>
        <xdr:cNvPr id="1773" name="Text Box 15">
          <a:extLst>
            <a:ext uri="{FF2B5EF4-FFF2-40B4-BE49-F238E27FC236}">
              <a16:creationId xmlns:a16="http://schemas.microsoft.com/office/drawing/2014/main" id="{00000000-0008-0000-0500-0000ED060000}"/>
            </a:ext>
          </a:extLst>
        </xdr:cNvPr>
        <xdr:cNvSpPr txBox="1">
          <a:spLocks noChangeArrowheads="1"/>
        </xdr:cNvSpPr>
      </xdr:nvSpPr>
      <xdr:spPr bwMode="auto">
        <a:xfrm>
          <a:off x="3710214" y="5977618"/>
          <a:ext cx="95250" cy="444331"/>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72</xdr:row>
      <xdr:rowOff>504825</xdr:rowOff>
    </xdr:from>
    <xdr:ext cx="95250" cy="213632"/>
    <xdr:sp macro="" textlink="">
      <xdr:nvSpPr>
        <xdr:cNvPr id="1774" name="Text Box 15">
          <a:extLst>
            <a:ext uri="{FF2B5EF4-FFF2-40B4-BE49-F238E27FC236}">
              <a16:creationId xmlns:a16="http://schemas.microsoft.com/office/drawing/2014/main" id="{00000000-0008-0000-0500-0000EE060000}"/>
            </a:ext>
          </a:extLst>
        </xdr:cNvPr>
        <xdr:cNvSpPr txBox="1">
          <a:spLocks noChangeArrowheads="1"/>
        </xdr:cNvSpPr>
      </xdr:nvSpPr>
      <xdr:spPr bwMode="auto">
        <a:xfrm>
          <a:off x="6555468" y="5977618"/>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78</xdr:row>
      <xdr:rowOff>0</xdr:rowOff>
    </xdr:from>
    <xdr:ext cx="95250" cy="171450"/>
    <xdr:sp macro="" textlink="">
      <xdr:nvSpPr>
        <xdr:cNvPr id="1775" name="Text Box 16">
          <a:extLst>
            <a:ext uri="{FF2B5EF4-FFF2-40B4-BE49-F238E27FC236}">
              <a16:creationId xmlns:a16="http://schemas.microsoft.com/office/drawing/2014/main" id="{00000000-0008-0000-0500-0000EF060000}"/>
            </a:ext>
          </a:extLst>
        </xdr:cNvPr>
        <xdr:cNvSpPr txBox="1">
          <a:spLocks noChangeArrowheads="1"/>
        </xdr:cNvSpPr>
      </xdr:nvSpPr>
      <xdr:spPr bwMode="auto">
        <a:xfrm>
          <a:off x="3710214" y="6340929"/>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78</xdr:row>
      <xdr:rowOff>0</xdr:rowOff>
    </xdr:from>
    <xdr:ext cx="95250" cy="171450"/>
    <xdr:sp macro="" textlink="">
      <xdr:nvSpPr>
        <xdr:cNvPr id="1776" name="Text Box 17">
          <a:extLst>
            <a:ext uri="{FF2B5EF4-FFF2-40B4-BE49-F238E27FC236}">
              <a16:creationId xmlns:a16="http://schemas.microsoft.com/office/drawing/2014/main" id="{00000000-0008-0000-0500-0000F0060000}"/>
            </a:ext>
          </a:extLst>
        </xdr:cNvPr>
        <xdr:cNvSpPr txBox="1">
          <a:spLocks noChangeArrowheads="1"/>
        </xdr:cNvSpPr>
      </xdr:nvSpPr>
      <xdr:spPr bwMode="auto">
        <a:xfrm>
          <a:off x="3710214" y="6340929"/>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78</xdr:row>
      <xdr:rowOff>0</xdr:rowOff>
    </xdr:from>
    <xdr:ext cx="95250" cy="171450"/>
    <xdr:sp macro="" textlink="">
      <xdr:nvSpPr>
        <xdr:cNvPr id="1777" name="Text Box 18">
          <a:extLst>
            <a:ext uri="{FF2B5EF4-FFF2-40B4-BE49-F238E27FC236}">
              <a16:creationId xmlns:a16="http://schemas.microsoft.com/office/drawing/2014/main" id="{00000000-0008-0000-0500-0000F1060000}"/>
            </a:ext>
          </a:extLst>
        </xdr:cNvPr>
        <xdr:cNvSpPr txBox="1">
          <a:spLocks noChangeArrowheads="1"/>
        </xdr:cNvSpPr>
      </xdr:nvSpPr>
      <xdr:spPr bwMode="auto">
        <a:xfrm>
          <a:off x="3710214" y="6340929"/>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78</xdr:row>
      <xdr:rowOff>0</xdr:rowOff>
    </xdr:from>
    <xdr:ext cx="95250" cy="171450"/>
    <xdr:sp macro="" textlink="">
      <xdr:nvSpPr>
        <xdr:cNvPr id="1778" name="Text Box 19">
          <a:extLst>
            <a:ext uri="{FF2B5EF4-FFF2-40B4-BE49-F238E27FC236}">
              <a16:creationId xmlns:a16="http://schemas.microsoft.com/office/drawing/2014/main" id="{00000000-0008-0000-0500-0000F2060000}"/>
            </a:ext>
          </a:extLst>
        </xdr:cNvPr>
        <xdr:cNvSpPr txBox="1">
          <a:spLocks noChangeArrowheads="1"/>
        </xdr:cNvSpPr>
      </xdr:nvSpPr>
      <xdr:spPr bwMode="auto">
        <a:xfrm>
          <a:off x="3710214" y="6340929"/>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78</xdr:row>
      <xdr:rowOff>0</xdr:rowOff>
    </xdr:from>
    <xdr:ext cx="95250" cy="171450"/>
    <xdr:sp macro="" textlink="">
      <xdr:nvSpPr>
        <xdr:cNvPr id="1779" name="Text Box 16">
          <a:extLst>
            <a:ext uri="{FF2B5EF4-FFF2-40B4-BE49-F238E27FC236}">
              <a16:creationId xmlns:a16="http://schemas.microsoft.com/office/drawing/2014/main" id="{00000000-0008-0000-0500-0000F3060000}"/>
            </a:ext>
          </a:extLst>
        </xdr:cNvPr>
        <xdr:cNvSpPr txBox="1">
          <a:spLocks noChangeArrowheads="1"/>
        </xdr:cNvSpPr>
      </xdr:nvSpPr>
      <xdr:spPr bwMode="auto">
        <a:xfrm>
          <a:off x="6555468" y="6340929"/>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78</xdr:row>
      <xdr:rowOff>0</xdr:rowOff>
    </xdr:from>
    <xdr:ext cx="95250" cy="171450"/>
    <xdr:sp macro="" textlink="">
      <xdr:nvSpPr>
        <xdr:cNvPr id="1780" name="Text Box 17">
          <a:extLst>
            <a:ext uri="{FF2B5EF4-FFF2-40B4-BE49-F238E27FC236}">
              <a16:creationId xmlns:a16="http://schemas.microsoft.com/office/drawing/2014/main" id="{00000000-0008-0000-0500-0000F4060000}"/>
            </a:ext>
          </a:extLst>
        </xdr:cNvPr>
        <xdr:cNvSpPr txBox="1">
          <a:spLocks noChangeArrowheads="1"/>
        </xdr:cNvSpPr>
      </xdr:nvSpPr>
      <xdr:spPr bwMode="auto">
        <a:xfrm>
          <a:off x="6555468" y="6340929"/>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78</xdr:row>
      <xdr:rowOff>0</xdr:rowOff>
    </xdr:from>
    <xdr:ext cx="95250" cy="171450"/>
    <xdr:sp macro="" textlink="">
      <xdr:nvSpPr>
        <xdr:cNvPr id="1781" name="Text Box 18">
          <a:extLst>
            <a:ext uri="{FF2B5EF4-FFF2-40B4-BE49-F238E27FC236}">
              <a16:creationId xmlns:a16="http://schemas.microsoft.com/office/drawing/2014/main" id="{00000000-0008-0000-0500-0000F5060000}"/>
            </a:ext>
          </a:extLst>
        </xdr:cNvPr>
        <xdr:cNvSpPr txBox="1">
          <a:spLocks noChangeArrowheads="1"/>
        </xdr:cNvSpPr>
      </xdr:nvSpPr>
      <xdr:spPr bwMode="auto">
        <a:xfrm>
          <a:off x="6555468" y="6340929"/>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78</xdr:row>
      <xdr:rowOff>0</xdr:rowOff>
    </xdr:from>
    <xdr:ext cx="95250" cy="171450"/>
    <xdr:sp macro="" textlink="">
      <xdr:nvSpPr>
        <xdr:cNvPr id="1782" name="Text Box 19">
          <a:extLst>
            <a:ext uri="{FF2B5EF4-FFF2-40B4-BE49-F238E27FC236}">
              <a16:creationId xmlns:a16="http://schemas.microsoft.com/office/drawing/2014/main" id="{00000000-0008-0000-0500-0000F6060000}"/>
            </a:ext>
          </a:extLst>
        </xdr:cNvPr>
        <xdr:cNvSpPr txBox="1">
          <a:spLocks noChangeArrowheads="1"/>
        </xdr:cNvSpPr>
      </xdr:nvSpPr>
      <xdr:spPr bwMode="auto">
        <a:xfrm>
          <a:off x="6555468" y="6340929"/>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21</xdr:col>
      <xdr:colOff>0</xdr:colOff>
      <xdr:row>78</xdr:row>
      <xdr:rowOff>0</xdr:rowOff>
    </xdr:from>
    <xdr:ext cx="95250" cy="171450"/>
    <xdr:sp macro="" textlink="">
      <xdr:nvSpPr>
        <xdr:cNvPr id="1783" name="Text Box 16">
          <a:extLst>
            <a:ext uri="{FF2B5EF4-FFF2-40B4-BE49-F238E27FC236}">
              <a16:creationId xmlns:a16="http://schemas.microsoft.com/office/drawing/2014/main" id="{00000000-0008-0000-0500-0000F7060000}"/>
            </a:ext>
          </a:extLst>
        </xdr:cNvPr>
        <xdr:cNvSpPr txBox="1">
          <a:spLocks noChangeArrowheads="1"/>
        </xdr:cNvSpPr>
      </xdr:nvSpPr>
      <xdr:spPr bwMode="auto">
        <a:xfrm>
          <a:off x="15475857" y="6340929"/>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21</xdr:col>
      <xdr:colOff>0</xdr:colOff>
      <xdr:row>78</xdr:row>
      <xdr:rowOff>0</xdr:rowOff>
    </xdr:from>
    <xdr:ext cx="95250" cy="171450"/>
    <xdr:sp macro="" textlink="">
      <xdr:nvSpPr>
        <xdr:cNvPr id="1784" name="Text Box 17">
          <a:extLst>
            <a:ext uri="{FF2B5EF4-FFF2-40B4-BE49-F238E27FC236}">
              <a16:creationId xmlns:a16="http://schemas.microsoft.com/office/drawing/2014/main" id="{00000000-0008-0000-0500-0000F8060000}"/>
            </a:ext>
          </a:extLst>
        </xdr:cNvPr>
        <xdr:cNvSpPr txBox="1">
          <a:spLocks noChangeArrowheads="1"/>
        </xdr:cNvSpPr>
      </xdr:nvSpPr>
      <xdr:spPr bwMode="auto">
        <a:xfrm>
          <a:off x="15475857" y="6340929"/>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21</xdr:col>
      <xdr:colOff>0</xdr:colOff>
      <xdr:row>78</xdr:row>
      <xdr:rowOff>0</xdr:rowOff>
    </xdr:from>
    <xdr:ext cx="95250" cy="171450"/>
    <xdr:sp macro="" textlink="">
      <xdr:nvSpPr>
        <xdr:cNvPr id="1785" name="Text Box 18">
          <a:extLst>
            <a:ext uri="{FF2B5EF4-FFF2-40B4-BE49-F238E27FC236}">
              <a16:creationId xmlns:a16="http://schemas.microsoft.com/office/drawing/2014/main" id="{00000000-0008-0000-0500-0000F9060000}"/>
            </a:ext>
          </a:extLst>
        </xdr:cNvPr>
        <xdr:cNvSpPr txBox="1">
          <a:spLocks noChangeArrowheads="1"/>
        </xdr:cNvSpPr>
      </xdr:nvSpPr>
      <xdr:spPr bwMode="auto">
        <a:xfrm>
          <a:off x="15475857" y="6340929"/>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21</xdr:col>
      <xdr:colOff>0</xdr:colOff>
      <xdr:row>78</xdr:row>
      <xdr:rowOff>0</xdr:rowOff>
    </xdr:from>
    <xdr:ext cx="95250" cy="171450"/>
    <xdr:sp macro="" textlink="">
      <xdr:nvSpPr>
        <xdr:cNvPr id="1786" name="Text Box 19">
          <a:extLst>
            <a:ext uri="{FF2B5EF4-FFF2-40B4-BE49-F238E27FC236}">
              <a16:creationId xmlns:a16="http://schemas.microsoft.com/office/drawing/2014/main" id="{00000000-0008-0000-0500-0000FA060000}"/>
            </a:ext>
          </a:extLst>
        </xdr:cNvPr>
        <xdr:cNvSpPr txBox="1">
          <a:spLocks noChangeArrowheads="1"/>
        </xdr:cNvSpPr>
      </xdr:nvSpPr>
      <xdr:spPr bwMode="auto">
        <a:xfrm>
          <a:off x="15475857" y="6340929"/>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78</xdr:row>
      <xdr:rowOff>0</xdr:rowOff>
    </xdr:from>
    <xdr:ext cx="95250" cy="171450"/>
    <xdr:sp macro="" textlink="">
      <xdr:nvSpPr>
        <xdr:cNvPr id="1787" name="Text Box 16">
          <a:extLst>
            <a:ext uri="{FF2B5EF4-FFF2-40B4-BE49-F238E27FC236}">
              <a16:creationId xmlns:a16="http://schemas.microsoft.com/office/drawing/2014/main" id="{00000000-0008-0000-0500-0000FB060000}"/>
            </a:ext>
          </a:extLst>
        </xdr:cNvPr>
        <xdr:cNvSpPr txBox="1">
          <a:spLocks noChangeArrowheads="1"/>
        </xdr:cNvSpPr>
      </xdr:nvSpPr>
      <xdr:spPr bwMode="auto">
        <a:xfrm>
          <a:off x="3710214" y="6340929"/>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78</xdr:row>
      <xdr:rowOff>0</xdr:rowOff>
    </xdr:from>
    <xdr:ext cx="95250" cy="171450"/>
    <xdr:sp macro="" textlink="">
      <xdr:nvSpPr>
        <xdr:cNvPr id="1788" name="Text Box 17">
          <a:extLst>
            <a:ext uri="{FF2B5EF4-FFF2-40B4-BE49-F238E27FC236}">
              <a16:creationId xmlns:a16="http://schemas.microsoft.com/office/drawing/2014/main" id="{00000000-0008-0000-0500-0000FC060000}"/>
            </a:ext>
          </a:extLst>
        </xdr:cNvPr>
        <xdr:cNvSpPr txBox="1">
          <a:spLocks noChangeArrowheads="1"/>
        </xdr:cNvSpPr>
      </xdr:nvSpPr>
      <xdr:spPr bwMode="auto">
        <a:xfrm>
          <a:off x="3710214" y="6340929"/>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78</xdr:row>
      <xdr:rowOff>0</xdr:rowOff>
    </xdr:from>
    <xdr:ext cx="95250" cy="171450"/>
    <xdr:sp macro="" textlink="">
      <xdr:nvSpPr>
        <xdr:cNvPr id="1789" name="Text Box 18">
          <a:extLst>
            <a:ext uri="{FF2B5EF4-FFF2-40B4-BE49-F238E27FC236}">
              <a16:creationId xmlns:a16="http://schemas.microsoft.com/office/drawing/2014/main" id="{00000000-0008-0000-0500-0000FD060000}"/>
            </a:ext>
          </a:extLst>
        </xdr:cNvPr>
        <xdr:cNvSpPr txBox="1">
          <a:spLocks noChangeArrowheads="1"/>
        </xdr:cNvSpPr>
      </xdr:nvSpPr>
      <xdr:spPr bwMode="auto">
        <a:xfrm>
          <a:off x="3710214" y="6340929"/>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78</xdr:row>
      <xdr:rowOff>0</xdr:rowOff>
    </xdr:from>
    <xdr:ext cx="95250" cy="171450"/>
    <xdr:sp macro="" textlink="">
      <xdr:nvSpPr>
        <xdr:cNvPr id="1790" name="Text Box 19">
          <a:extLst>
            <a:ext uri="{FF2B5EF4-FFF2-40B4-BE49-F238E27FC236}">
              <a16:creationId xmlns:a16="http://schemas.microsoft.com/office/drawing/2014/main" id="{00000000-0008-0000-0500-0000FE060000}"/>
            </a:ext>
          </a:extLst>
        </xdr:cNvPr>
        <xdr:cNvSpPr txBox="1">
          <a:spLocks noChangeArrowheads="1"/>
        </xdr:cNvSpPr>
      </xdr:nvSpPr>
      <xdr:spPr bwMode="auto">
        <a:xfrm>
          <a:off x="3710214" y="6340929"/>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78</xdr:row>
      <xdr:rowOff>0</xdr:rowOff>
    </xdr:from>
    <xdr:ext cx="95250" cy="171450"/>
    <xdr:sp macro="" textlink="">
      <xdr:nvSpPr>
        <xdr:cNvPr id="1791" name="Text Box 16">
          <a:extLst>
            <a:ext uri="{FF2B5EF4-FFF2-40B4-BE49-F238E27FC236}">
              <a16:creationId xmlns:a16="http://schemas.microsoft.com/office/drawing/2014/main" id="{00000000-0008-0000-0500-0000FF060000}"/>
            </a:ext>
          </a:extLst>
        </xdr:cNvPr>
        <xdr:cNvSpPr txBox="1">
          <a:spLocks noChangeArrowheads="1"/>
        </xdr:cNvSpPr>
      </xdr:nvSpPr>
      <xdr:spPr bwMode="auto">
        <a:xfrm>
          <a:off x="6555468" y="6340929"/>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78</xdr:row>
      <xdr:rowOff>0</xdr:rowOff>
    </xdr:from>
    <xdr:ext cx="95250" cy="171450"/>
    <xdr:sp macro="" textlink="">
      <xdr:nvSpPr>
        <xdr:cNvPr id="1792" name="Text Box 17">
          <a:extLst>
            <a:ext uri="{FF2B5EF4-FFF2-40B4-BE49-F238E27FC236}">
              <a16:creationId xmlns:a16="http://schemas.microsoft.com/office/drawing/2014/main" id="{00000000-0008-0000-0500-000000070000}"/>
            </a:ext>
          </a:extLst>
        </xdr:cNvPr>
        <xdr:cNvSpPr txBox="1">
          <a:spLocks noChangeArrowheads="1"/>
        </xdr:cNvSpPr>
      </xdr:nvSpPr>
      <xdr:spPr bwMode="auto">
        <a:xfrm>
          <a:off x="6555468" y="6340929"/>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78</xdr:row>
      <xdr:rowOff>0</xdr:rowOff>
    </xdr:from>
    <xdr:ext cx="95250" cy="171450"/>
    <xdr:sp macro="" textlink="">
      <xdr:nvSpPr>
        <xdr:cNvPr id="1793" name="Text Box 18">
          <a:extLst>
            <a:ext uri="{FF2B5EF4-FFF2-40B4-BE49-F238E27FC236}">
              <a16:creationId xmlns:a16="http://schemas.microsoft.com/office/drawing/2014/main" id="{00000000-0008-0000-0500-000001070000}"/>
            </a:ext>
          </a:extLst>
        </xdr:cNvPr>
        <xdr:cNvSpPr txBox="1">
          <a:spLocks noChangeArrowheads="1"/>
        </xdr:cNvSpPr>
      </xdr:nvSpPr>
      <xdr:spPr bwMode="auto">
        <a:xfrm>
          <a:off x="6555468" y="6340929"/>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78</xdr:row>
      <xdr:rowOff>0</xdr:rowOff>
    </xdr:from>
    <xdr:ext cx="95250" cy="171450"/>
    <xdr:sp macro="" textlink="">
      <xdr:nvSpPr>
        <xdr:cNvPr id="1794" name="Text Box 16">
          <a:extLst>
            <a:ext uri="{FF2B5EF4-FFF2-40B4-BE49-F238E27FC236}">
              <a16:creationId xmlns:a16="http://schemas.microsoft.com/office/drawing/2014/main" id="{00000000-0008-0000-0500-000002070000}"/>
            </a:ext>
          </a:extLst>
        </xdr:cNvPr>
        <xdr:cNvSpPr txBox="1">
          <a:spLocks noChangeArrowheads="1"/>
        </xdr:cNvSpPr>
      </xdr:nvSpPr>
      <xdr:spPr bwMode="auto">
        <a:xfrm>
          <a:off x="9398454" y="6340929"/>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78</xdr:row>
      <xdr:rowOff>0</xdr:rowOff>
    </xdr:from>
    <xdr:ext cx="95250" cy="171450"/>
    <xdr:sp macro="" textlink="">
      <xdr:nvSpPr>
        <xdr:cNvPr id="1795" name="Text Box 17">
          <a:extLst>
            <a:ext uri="{FF2B5EF4-FFF2-40B4-BE49-F238E27FC236}">
              <a16:creationId xmlns:a16="http://schemas.microsoft.com/office/drawing/2014/main" id="{00000000-0008-0000-0500-000003070000}"/>
            </a:ext>
          </a:extLst>
        </xdr:cNvPr>
        <xdr:cNvSpPr txBox="1">
          <a:spLocks noChangeArrowheads="1"/>
        </xdr:cNvSpPr>
      </xdr:nvSpPr>
      <xdr:spPr bwMode="auto">
        <a:xfrm>
          <a:off x="9398454" y="6340929"/>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78</xdr:row>
      <xdr:rowOff>0</xdr:rowOff>
    </xdr:from>
    <xdr:ext cx="95250" cy="171450"/>
    <xdr:sp macro="" textlink="">
      <xdr:nvSpPr>
        <xdr:cNvPr id="1796" name="Text Box 18">
          <a:extLst>
            <a:ext uri="{FF2B5EF4-FFF2-40B4-BE49-F238E27FC236}">
              <a16:creationId xmlns:a16="http://schemas.microsoft.com/office/drawing/2014/main" id="{00000000-0008-0000-0500-000004070000}"/>
            </a:ext>
          </a:extLst>
        </xdr:cNvPr>
        <xdr:cNvSpPr txBox="1">
          <a:spLocks noChangeArrowheads="1"/>
        </xdr:cNvSpPr>
      </xdr:nvSpPr>
      <xdr:spPr bwMode="auto">
        <a:xfrm>
          <a:off x="9398454" y="6340929"/>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78</xdr:row>
      <xdr:rowOff>0</xdr:rowOff>
    </xdr:from>
    <xdr:ext cx="95250" cy="171450"/>
    <xdr:sp macro="" textlink="">
      <xdr:nvSpPr>
        <xdr:cNvPr id="1797" name="Text Box 19">
          <a:extLst>
            <a:ext uri="{FF2B5EF4-FFF2-40B4-BE49-F238E27FC236}">
              <a16:creationId xmlns:a16="http://schemas.microsoft.com/office/drawing/2014/main" id="{00000000-0008-0000-0500-000005070000}"/>
            </a:ext>
          </a:extLst>
        </xdr:cNvPr>
        <xdr:cNvSpPr txBox="1">
          <a:spLocks noChangeArrowheads="1"/>
        </xdr:cNvSpPr>
      </xdr:nvSpPr>
      <xdr:spPr bwMode="auto">
        <a:xfrm>
          <a:off x="9398454" y="6340929"/>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78</xdr:row>
      <xdr:rowOff>0</xdr:rowOff>
    </xdr:from>
    <xdr:ext cx="95250" cy="171450"/>
    <xdr:sp macro="" textlink="">
      <xdr:nvSpPr>
        <xdr:cNvPr id="1798" name="Text Box 16">
          <a:extLst>
            <a:ext uri="{FF2B5EF4-FFF2-40B4-BE49-F238E27FC236}">
              <a16:creationId xmlns:a16="http://schemas.microsoft.com/office/drawing/2014/main" id="{00000000-0008-0000-0500-000006070000}"/>
            </a:ext>
          </a:extLst>
        </xdr:cNvPr>
        <xdr:cNvSpPr txBox="1">
          <a:spLocks noChangeArrowheads="1"/>
        </xdr:cNvSpPr>
      </xdr:nvSpPr>
      <xdr:spPr bwMode="auto">
        <a:xfrm>
          <a:off x="9398454" y="6340929"/>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78</xdr:row>
      <xdr:rowOff>0</xdr:rowOff>
    </xdr:from>
    <xdr:ext cx="95250" cy="171450"/>
    <xdr:sp macro="" textlink="">
      <xdr:nvSpPr>
        <xdr:cNvPr id="1799" name="Text Box 17">
          <a:extLst>
            <a:ext uri="{FF2B5EF4-FFF2-40B4-BE49-F238E27FC236}">
              <a16:creationId xmlns:a16="http://schemas.microsoft.com/office/drawing/2014/main" id="{00000000-0008-0000-0500-000007070000}"/>
            </a:ext>
          </a:extLst>
        </xdr:cNvPr>
        <xdr:cNvSpPr txBox="1">
          <a:spLocks noChangeArrowheads="1"/>
        </xdr:cNvSpPr>
      </xdr:nvSpPr>
      <xdr:spPr bwMode="auto">
        <a:xfrm>
          <a:off x="9398454" y="6340929"/>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78</xdr:row>
      <xdr:rowOff>0</xdr:rowOff>
    </xdr:from>
    <xdr:ext cx="95250" cy="171450"/>
    <xdr:sp macro="" textlink="">
      <xdr:nvSpPr>
        <xdr:cNvPr id="1800" name="Text Box 18">
          <a:extLst>
            <a:ext uri="{FF2B5EF4-FFF2-40B4-BE49-F238E27FC236}">
              <a16:creationId xmlns:a16="http://schemas.microsoft.com/office/drawing/2014/main" id="{00000000-0008-0000-0500-000008070000}"/>
            </a:ext>
          </a:extLst>
        </xdr:cNvPr>
        <xdr:cNvSpPr txBox="1">
          <a:spLocks noChangeArrowheads="1"/>
        </xdr:cNvSpPr>
      </xdr:nvSpPr>
      <xdr:spPr bwMode="auto">
        <a:xfrm>
          <a:off x="9398454" y="6340929"/>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78</xdr:row>
      <xdr:rowOff>0</xdr:rowOff>
    </xdr:from>
    <xdr:ext cx="95250" cy="171450"/>
    <xdr:sp macro="" textlink="">
      <xdr:nvSpPr>
        <xdr:cNvPr id="1801" name="Text Box 19">
          <a:extLst>
            <a:ext uri="{FF2B5EF4-FFF2-40B4-BE49-F238E27FC236}">
              <a16:creationId xmlns:a16="http://schemas.microsoft.com/office/drawing/2014/main" id="{00000000-0008-0000-0500-000009070000}"/>
            </a:ext>
          </a:extLst>
        </xdr:cNvPr>
        <xdr:cNvSpPr txBox="1">
          <a:spLocks noChangeArrowheads="1"/>
        </xdr:cNvSpPr>
      </xdr:nvSpPr>
      <xdr:spPr bwMode="auto">
        <a:xfrm>
          <a:off x="9398454" y="6340929"/>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84</xdr:row>
      <xdr:rowOff>0</xdr:rowOff>
    </xdr:from>
    <xdr:ext cx="95250" cy="171450"/>
    <xdr:sp macro="" textlink="">
      <xdr:nvSpPr>
        <xdr:cNvPr id="1802" name="Text Box 16">
          <a:extLst>
            <a:ext uri="{FF2B5EF4-FFF2-40B4-BE49-F238E27FC236}">
              <a16:creationId xmlns:a16="http://schemas.microsoft.com/office/drawing/2014/main" id="{00000000-0008-0000-0500-00000A070000}"/>
            </a:ext>
          </a:extLst>
        </xdr:cNvPr>
        <xdr:cNvSpPr txBox="1">
          <a:spLocks noChangeArrowheads="1"/>
        </xdr:cNvSpPr>
      </xdr:nvSpPr>
      <xdr:spPr bwMode="auto">
        <a:xfrm>
          <a:off x="3710214" y="3619500"/>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84</xdr:row>
      <xdr:rowOff>0</xdr:rowOff>
    </xdr:from>
    <xdr:ext cx="95250" cy="171450"/>
    <xdr:sp macro="" textlink="">
      <xdr:nvSpPr>
        <xdr:cNvPr id="1803" name="Text Box 17">
          <a:extLst>
            <a:ext uri="{FF2B5EF4-FFF2-40B4-BE49-F238E27FC236}">
              <a16:creationId xmlns:a16="http://schemas.microsoft.com/office/drawing/2014/main" id="{00000000-0008-0000-0500-00000B070000}"/>
            </a:ext>
          </a:extLst>
        </xdr:cNvPr>
        <xdr:cNvSpPr txBox="1">
          <a:spLocks noChangeArrowheads="1"/>
        </xdr:cNvSpPr>
      </xdr:nvSpPr>
      <xdr:spPr bwMode="auto">
        <a:xfrm>
          <a:off x="3710214" y="3619500"/>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84</xdr:row>
      <xdr:rowOff>0</xdr:rowOff>
    </xdr:from>
    <xdr:ext cx="95250" cy="171450"/>
    <xdr:sp macro="" textlink="">
      <xdr:nvSpPr>
        <xdr:cNvPr id="1804" name="Text Box 18">
          <a:extLst>
            <a:ext uri="{FF2B5EF4-FFF2-40B4-BE49-F238E27FC236}">
              <a16:creationId xmlns:a16="http://schemas.microsoft.com/office/drawing/2014/main" id="{00000000-0008-0000-0500-00000C070000}"/>
            </a:ext>
          </a:extLst>
        </xdr:cNvPr>
        <xdr:cNvSpPr txBox="1">
          <a:spLocks noChangeArrowheads="1"/>
        </xdr:cNvSpPr>
      </xdr:nvSpPr>
      <xdr:spPr bwMode="auto">
        <a:xfrm>
          <a:off x="3710214" y="3619500"/>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84</xdr:row>
      <xdr:rowOff>0</xdr:rowOff>
    </xdr:from>
    <xdr:ext cx="95250" cy="171450"/>
    <xdr:sp macro="" textlink="">
      <xdr:nvSpPr>
        <xdr:cNvPr id="1805" name="Text Box 19">
          <a:extLst>
            <a:ext uri="{FF2B5EF4-FFF2-40B4-BE49-F238E27FC236}">
              <a16:creationId xmlns:a16="http://schemas.microsoft.com/office/drawing/2014/main" id="{00000000-0008-0000-0500-00000D070000}"/>
            </a:ext>
          </a:extLst>
        </xdr:cNvPr>
        <xdr:cNvSpPr txBox="1">
          <a:spLocks noChangeArrowheads="1"/>
        </xdr:cNvSpPr>
      </xdr:nvSpPr>
      <xdr:spPr bwMode="auto">
        <a:xfrm>
          <a:off x="3710214" y="3619500"/>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84</xdr:row>
      <xdr:rowOff>504825</xdr:rowOff>
    </xdr:from>
    <xdr:ext cx="95250" cy="461691"/>
    <xdr:sp macro="" textlink="">
      <xdr:nvSpPr>
        <xdr:cNvPr id="1806" name="Text Box 15">
          <a:extLst>
            <a:ext uri="{FF2B5EF4-FFF2-40B4-BE49-F238E27FC236}">
              <a16:creationId xmlns:a16="http://schemas.microsoft.com/office/drawing/2014/main" id="{00000000-0008-0000-0500-00000E070000}"/>
            </a:ext>
          </a:extLst>
        </xdr:cNvPr>
        <xdr:cNvSpPr txBox="1">
          <a:spLocks noChangeArrowheads="1"/>
        </xdr:cNvSpPr>
      </xdr:nvSpPr>
      <xdr:spPr bwMode="auto">
        <a:xfrm>
          <a:off x="3710214" y="3800475"/>
          <a:ext cx="95250" cy="461691"/>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84</xdr:row>
      <xdr:rowOff>0</xdr:rowOff>
    </xdr:from>
    <xdr:ext cx="95250" cy="171450"/>
    <xdr:sp macro="" textlink="">
      <xdr:nvSpPr>
        <xdr:cNvPr id="1807" name="Text Box 16">
          <a:extLst>
            <a:ext uri="{FF2B5EF4-FFF2-40B4-BE49-F238E27FC236}">
              <a16:creationId xmlns:a16="http://schemas.microsoft.com/office/drawing/2014/main" id="{00000000-0008-0000-0500-00000F070000}"/>
            </a:ext>
          </a:extLst>
        </xdr:cNvPr>
        <xdr:cNvSpPr txBox="1">
          <a:spLocks noChangeArrowheads="1"/>
        </xdr:cNvSpPr>
      </xdr:nvSpPr>
      <xdr:spPr bwMode="auto">
        <a:xfrm>
          <a:off x="6555468" y="3619500"/>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84</xdr:row>
      <xdr:rowOff>0</xdr:rowOff>
    </xdr:from>
    <xdr:ext cx="95250" cy="171450"/>
    <xdr:sp macro="" textlink="">
      <xdr:nvSpPr>
        <xdr:cNvPr id="1808" name="Text Box 17">
          <a:extLst>
            <a:ext uri="{FF2B5EF4-FFF2-40B4-BE49-F238E27FC236}">
              <a16:creationId xmlns:a16="http://schemas.microsoft.com/office/drawing/2014/main" id="{00000000-0008-0000-0500-000010070000}"/>
            </a:ext>
          </a:extLst>
        </xdr:cNvPr>
        <xdr:cNvSpPr txBox="1">
          <a:spLocks noChangeArrowheads="1"/>
        </xdr:cNvSpPr>
      </xdr:nvSpPr>
      <xdr:spPr bwMode="auto">
        <a:xfrm>
          <a:off x="6555468" y="3619500"/>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84</xdr:row>
      <xdr:rowOff>0</xdr:rowOff>
    </xdr:from>
    <xdr:ext cx="95250" cy="171450"/>
    <xdr:sp macro="" textlink="">
      <xdr:nvSpPr>
        <xdr:cNvPr id="1809" name="Text Box 18">
          <a:extLst>
            <a:ext uri="{FF2B5EF4-FFF2-40B4-BE49-F238E27FC236}">
              <a16:creationId xmlns:a16="http://schemas.microsoft.com/office/drawing/2014/main" id="{00000000-0008-0000-0500-000011070000}"/>
            </a:ext>
          </a:extLst>
        </xdr:cNvPr>
        <xdr:cNvSpPr txBox="1">
          <a:spLocks noChangeArrowheads="1"/>
        </xdr:cNvSpPr>
      </xdr:nvSpPr>
      <xdr:spPr bwMode="auto">
        <a:xfrm>
          <a:off x="6555468" y="3619500"/>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84</xdr:row>
      <xdr:rowOff>0</xdr:rowOff>
    </xdr:from>
    <xdr:ext cx="95250" cy="171450"/>
    <xdr:sp macro="" textlink="">
      <xdr:nvSpPr>
        <xdr:cNvPr id="1810" name="Text Box 19">
          <a:extLst>
            <a:ext uri="{FF2B5EF4-FFF2-40B4-BE49-F238E27FC236}">
              <a16:creationId xmlns:a16="http://schemas.microsoft.com/office/drawing/2014/main" id="{00000000-0008-0000-0500-000012070000}"/>
            </a:ext>
          </a:extLst>
        </xdr:cNvPr>
        <xdr:cNvSpPr txBox="1">
          <a:spLocks noChangeArrowheads="1"/>
        </xdr:cNvSpPr>
      </xdr:nvSpPr>
      <xdr:spPr bwMode="auto">
        <a:xfrm>
          <a:off x="6555468" y="3619500"/>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84</xdr:row>
      <xdr:rowOff>504825</xdr:rowOff>
    </xdr:from>
    <xdr:ext cx="95250" cy="442269"/>
    <xdr:sp macro="" textlink="">
      <xdr:nvSpPr>
        <xdr:cNvPr id="1811" name="Text Box 15">
          <a:extLst>
            <a:ext uri="{FF2B5EF4-FFF2-40B4-BE49-F238E27FC236}">
              <a16:creationId xmlns:a16="http://schemas.microsoft.com/office/drawing/2014/main" id="{00000000-0008-0000-0500-000013070000}"/>
            </a:ext>
          </a:extLst>
        </xdr:cNvPr>
        <xdr:cNvSpPr txBox="1">
          <a:spLocks noChangeArrowheads="1"/>
        </xdr:cNvSpPr>
      </xdr:nvSpPr>
      <xdr:spPr bwMode="auto">
        <a:xfrm>
          <a:off x="6555468" y="3800475"/>
          <a:ext cx="95250" cy="442269"/>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21</xdr:col>
      <xdr:colOff>0</xdr:colOff>
      <xdr:row>84</xdr:row>
      <xdr:rowOff>0</xdr:rowOff>
    </xdr:from>
    <xdr:ext cx="95250" cy="171450"/>
    <xdr:sp macro="" textlink="">
      <xdr:nvSpPr>
        <xdr:cNvPr id="1812" name="Text Box 16">
          <a:extLst>
            <a:ext uri="{FF2B5EF4-FFF2-40B4-BE49-F238E27FC236}">
              <a16:creationId xmlns:a16="http://schemas.microsoft.com/office/drawing/2014/main" id="{00000000-0008-0000-0500-000014070000}"/>
            </a:ext>
          </a:extLst>
        </xdr:cNvPr>
        <xdr:cNvSpPr txBox="1">
          <a:spLocks noChangeArrowheads="1"/>
        </xdr:cNvSpPr>
      </xdr:nvSpPr>
      <xdr:spPr bwMode="auto">
        <a:xfrm>
          <a:off x="15475857" y="3619500"/>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21</xdr:col>
      <xdr:colOff>0</xdr:colOff>
      <xdr:row>84</xdr:row>
      <xdr:rowOff>0</xdr:rowOff>
    </xdr:from>
    <xdr:ext cx="95250" cy="171450"/>
    <xdr:sp macro="" textlink="">
      <xdr:nvSpPr>
        <xdr:cNvPr id="1813" name="Text Box 17">
          <a:extLst>
            <a:ext uri="{FF2B5EF4-FFF2-40B4-BE49-F238E27FC236}">
              <a16:creationId xmlns:a16="http://schemas.microsoft.com/office/drawing/2014/main" id="{00000000-0008-0000-0500-000015070000}"/>
            </a:ext>
          </a:extLst>
        </xdr:cNvPr>
        <xdr:cNvSpPr txBox="1">
          <a:spLocks noChangeArrowheads="1"/>
        </xdr:cNvSpPr>
      </xdr:nvSpPr>
      <xdr:spPr bwMode="auto">
        <a:xfrm>
          <a:off x="15475857" y="3619500"/>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21</xdr:col>
      <xdr:colOff>0</xdr:colOff>
      <xdr:row>84</xdr:row>
      <xdr:rowOff>0</xdr:rowOff>
    </xdr:from>
    <xdr:ext cx="95250" cy="171450"/>
    <xdr:sp macro="" textlink="">
      <xdr:nvSpPr>
        <xdr:cNvPr id="1814" name="Text Box 18">
          <a:extLst>
            <a:ext uri="{FF2B5EF4-FFF2-40B4-BE49-F238E27FC236}">
              <a16:creationId xmlns:a16="http://schemas.microsoft.com/office/drawing/2014/main" id="{00000000-0008-0000-0500-000016070000}"/>
            </a:ext>
          </a:extLst>
        </xdr:cNvPr>
        <xdr:cNvSpPr txBox="1">
          <a:spLocks noChangeArrowheads="1"/>
        </xdr:cNvSpPr>
      </xdr:nvSpPr>
      <xdr:spPr bwMode="auto">
        <a:xfrm>
          <a:off x="15475857" y="3619500"/>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21</xdr:col>
      <xdr:colOff>0</xdr:colOff>
      <xdr:row>84</xdr:row>
      <xdr:rowOff>0</xdr:rowOff>
    </xdr:from>
    <xdr:ext cx="95250" cy="171450"/>
    <xdr:sp macro="" textlink="">
      <xdr:nvSpPr>
        <xdr:cNvPr id="1815" name="Text Box 19">
          <a:extLst>
            <a:ext uri="{FF2B5EF4-FFF2-40B4-BE49-F238E27FC236}">
              <a16:creationId xmlns:a16="http://schemas.microsoft.com/office/drawing/2014/main" id="{00000000-0008-0000-0500-000017070000}"/>
            </a:ext>
          </a:extLst>
        </xdr:cNvPr>
        <xdr:cNvSpPr txBox="1">
          <a:spLocks noChangeArrowheads="1"/>
        </xdr:cNvSpPr>
      </xdr:nvSpPr>
      <xdr:spPr bwMode="auto">
        <a:xfrm>
          <a:off x="15475857" y="3619500"/>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83</xdr:row>
      <xdr:rowOff>504825</xdr:rowOff>
    </xdr:from>
    <xdr:ext cx="95250" cy="444014"/>
    <xdr:sp macro="" textlink="">
      <xdr:nvSpPr>
        <xdr:cNvPr id="1817" name="Text Box 15">
          <a:extLst>
            <a:ext uri="{FF2B5EF4-FFF2-40B4-BE49-F238E27FC236}">
              <a16:creationId xmlns:a16="http://schemas.microsoft.com/office/drawing/2014/main" id="{00000000-0008-0000-0500-000019070000}"/>
            </a:ext>
          </a:extLst>
        </xdr:cNvPr>
        <xdr:cNvSpPr txBox="1">
          <a:spLocks noChangeArrowheads="1"/>
        </xdr:cNvSpPr>
      </xdr:nvSpPr>
      <xdr:spPr bwMode="auto">
        <a:xfrm>
          <a:off x="3710214" y="3612696"/>
          <a:ext cx="95250" cy="444014"/>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84</xdr:row>
      <xdr:rowOff>0</xdr:rowOff>
    </xdr:from>
    <xdr:ext cx="95250" cy="171450"/>
    <xdr:sp macro="" textlink="">
      <xdr:nvSpPr>
        <xdr:cNvPr id="1818" name="Text Box 16">
          <a:extLst>
            <a:ext uri="{FF2B5EF4-FFF2-40B4-BE49-F238E27FC236}">
              <a16:creationId xmlns:a16="http://schemas.microsoft.com/office/drawing/2014/main" id="{00000000-0008-0000-0500-00001A070000}"/>
            </a:ext>
          </a:extLst>
        </xdr:cNvPr>
        <xdr:cNvSpPr txBox="1">
          <a:spLocks noChangeArrowheads="1"/>
        </xdr:cNvSpPr>
      </xdr:nvSpPr>
      <xdr:spPr bwMode="auto">
        <a:xfrm>
          <a:off x="3710214" y="3619500"/>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84</xdr:row>
      <xdr:rowOff>0</xdr:rowOff>
    </xdr:from>
    <xdr:ext cx="95250" cy="171450"/>
    <xdr:sp macro="" textlink="">
      <xdr:nvSpPr>
        <xdr:cNvPr id="1819" name="Text Box 17">
          <a:extLst>
            <a:ext uri="{FF2B5EF4-FFF2-40B4-BE49-F238E27FC236}">
              <a16:creationId xmlns:a16="http://schemas.microsoft.com/office/drawing/2014/main" id="{00000000-0008-0000-0500-00001B070000}"/>
            </a:ext>
          </a:extLst>
        </xdr:cNvPr>
        <xdr:cNvSpPr txBox="1">
          <a:spLocks noChangeArrowheads="1"/>
        </xdr:cNvSpPr>
      </xdr:nvSpPr>
      <xdr:spPr bwMode="auto">
        <a:xfrm>
          <a:off x="3710214" y="3619500"/>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84</xdr:row>
      <xdr:rowOff>0</xdr:rowOff>
    </xdr:from>
    <xdr:ext cx="95250" cy="171450"/>
    <xdr:sp macro="" textlink="">
      <xdr:nvSpPr>
        <xdr:cNvPr id="1820" name="Text Box 18">
          <a:extLst>
            <a:ext uri="{FF2B5EF4-FFF2-40B4-BE49-F238E27FC236}">
              <a16:creationId xmlns:a16="http://schemas.microsoft.com/office/drawing/2014/main" id="{00000000-0008-0000-0500-00001C070000}"/>
            </a:ext>
          </a:extLst>
        </xdr:cNvPr>
        <xdr:cNvSpPr txBox="1">
          <a:spLocks noChangeArrowheads="1"/>
        </xdr:cNvSpPr>
      </xdr:nvSpPr>
      <xdr:spPr bwMode="auto">
        <a:xfrm>
          <a:off x="3710214" y="3619500"/>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84</xdr:row>
      <xdr:rowOff>0</xdr:rowOff>
    </xdr:from>
    <xdr:ext cx="95250" cy="171450"/>
    <xdr:sp macro="" textlink="">
      <xdr:nvSpPr>
        <xdr:cNvPr id="1821" name="Text Box 19">
          <a:extLst>
            <a:ext uri="{FF2B5EF4-FFF2-40B4-BE49-F238E27FC236}">
              <a16:creationId xmlns:a16="http://schemas.microsoft.com/office/drawing/2014/main" id="{00000000-0008-0000-0500-00001D070000}"/>
            </a:ext>
          </a:extLst>
        </xdr:cNvPr>
        <xdr:cNvSpPr txBox="1">
          <a:spLocks noChangeArrowheads="1"/>
        </xdr:cNvSpPr>
      </xdr:nvSpPr>
      <xdr:spPr bwMode="auto">
        <a:xfrm>
          <a:off x="3710214" y="3619500"/>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84</xdr:row>
      <xdr:rowOff>504825</xdr:rowOff>
    </xdr:from>
    <xdr:ext cx="95250" cy="213632"/>
    <xdr:sp macro="" textlink="">
      <xdr:nvSpPr>
        <xdr:cNvPr id="1822" name="Text Box 15">
          <a:extLst>
            <a:ext uri="{FF2B5EF4-FFF2-40B4-BE49-F238E27FC236}">
              <a16:creationId xmlns:a16="http://schemas.microsoft.com/office/drawing/2014/main" id="{00000000-0008-0000-0500-00001E070000}"/>
            </a:ext>
          </a:extLst>
        </xdr:cNvPr>
        <xdr:cNvSpPr txBox="1">
          <a:spLocks noChangeArrowheads="1"/>
        </xdr:cNvSpPr>
      </xdr:nvSpPr>
      <xdr:spPr bwMode="auto">
        <a:xfrm>
          <a:off x="3710214" y="380047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84</xdr:row>
      <xdr:rowOff>504825</xdr:rowOff>
    </xdr:from>
    <xdr:ext cx="95250" cy="444331"/>
    <xdr:sp macro="" textlink="">
      <xdr:nvSpPr>
        <xdr:cNvPr id="1823" name="Text Box 15">
          <a:extLst>
            <a:ext uri="{FF2B5EF4-FFF2-40B4-BE49-F238E27FC236}">
              <a16:creationId xmlns:a16="http://schemas.microsoft.com/office/drawing/2014/main" id="{00000000-0008-0000-0500-00001F070000}"/>
            </a:ext>
          </a:extLst>
        </xdr:cNvPr>
        <xdr:cNvSpPr txBox="1">
          <a:spLocks noChangeArrowheads="1"/>
        </xdr:cNvSpPr>
      </xdr:nvSpPr>
      <xdr:spPr bwMode="auto">
        <a:xfrm>
          <a:off x="3710214" y="3800475"/>
          <a:ext cx="95250" cy="444331"/>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83</xdr:row>
      <xdr:rowOff>504825</xdr:rowOff>
    </xdr:from>
    <xdr:ext cx="95250" cy="442269"/>
    <xdr:sp macro="" textlink="">
      <xdr:nvSpPr>
        <xdr:cNvPr id="1824" name="Text Box 15">
          <a:extLst>
            <a:ext uri="{FF2B5EF4-FFF2-40B4-BE49-F238E27FC236}">
              <a16:creationId xmlns:a16="http://schemas.microsoft.com/office/drawing/2014/main" id="{00000000-0008-0000-0500-000020070000}"/>
            </a:ext>
          </a:extLst>
        </xdr:cNvPr>
        <xdr:cNvSpPr txBox="1">
          <a:spLocks noChangeArrowheads="1"/>
        </xdr:cNvSpPr>
      </xdr:nvSpPr>
      <xdr:spPr bwMode="auto">
        <a:xfrm>
          <a:off x="6555468" y="3612696"/>
          <a:ext cx="95250" cy="442269"/>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84</xdr:row>
      <xdr:rowOff>0</xdr:rowOff>
    </xdr:from>
    <xdr:ext cx="95250" cy="171450"/>
    <xdr:sp macro="" textlink="">
      <xdr:nvSpPr>
        <xdr:cNvPr id="1825" name="Text Box 16">
          <a:extLst>
            <a:ext uri="{FF2B5EF4-FFF2-40B4-BE49-F238E27FC236}">
              <a16:creationId xmlns:a16="http://schemas.microsoft.com/office/drawing/2014/main" id="{00000000-0008-0000-0500-000021070000}"/>
            </a:ext>
          </a:extLst>
        </xdr:cNvPr>
        <xdr:cNvSpPr txBox="1">
          <a:spLocks noChangeArrowheads="1"/>
        </xdr:cNvSpPr>
      </xdr:nvSpPr>
      <xdr:spPr bwMode="auto">
        <a:xfrm>
          <a:off x="6555468" y="3619500"/>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84</xdr:row>
      <xdr:rowOff>0</xdr:rowOff>
    </xdr:from>
    <xdr:ext cx="95250" cy="171450"/>
    <xdr:sp macro="" textlink="">
      <xdr:nvSpPr>
        <xdr:cNvPr id="1826" name="Text Box 17">
          <a:extLst>
            <a:ext uri="{FF2B5EF4-FFF2-40B4-BE49-F238E27FC236}">
              <a16:creationId xmlns:a16="http://schemas.microsoft.com/office/drawing/2014/main" id="{00000000-0008-0000-0500-000022070000}"/>
            </a:ext>
          </a:extLst>
        </xdr:cNvPr>
        <xdr:cNvSpPr txBox="1">
          <a:spLocks noChangeArrowheads="1"/>
        </xdr:cNvSpPr>
      </xdr:nvSpPr>
      <xdr:spPr bwMode="auto">
        <a:xfrm>
          <a:off x="6555468" y="3619500"/>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84</xdr:row>
      <xdr:rowOff>0</xdr:rowOff>
    </xdr:from>
    <xdr:ext cx="95250" cy="171450"/>
    <xdr:sp macro="" textlink="">
      <xdr:nvSpPr>
        <xdr:cNvPr id="1827" name="Text Box 18">
          <a:extLst>
            <a:ext uri="{FF2B5EF4-FFF2-40B4-BE49-F238E27FC236}">
              <a16:creationId xmlns:a16="http://schemas.microsoft.com/office/drawing/2014/main" id="{00000000-0008-0000-0500-000023070000}"/>
            </a:ext>
          </a:extLst>
        </xdr:cNvPr>
        <xdr:cNvSpPr txBox="1">
          <a:spLocks noChangeArrowheads="1"/>
        </xdr:cNvSpPr>
      </xdr:nvSpPr>
      <xdr:spPr bwMode="auto">
        <a:xfrm>
          <a:off x="6555468" y="3619500"/>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84</xdr:row>
      <xdr:rowOff>504825</xdr:rowOff>
    </xdr:from>
    <xdr:ext cx="95250" cy="213632"/>
    <xdr:sp macro="" textlink="">
      <xdr:nvSpPr>
        <xdr:cNvPr id="1828" name="Text Box 15">
          <a:extLst>
            <a:ext uri="{FF2B5EF4-FFF2-40B4-BE49-F238E27FC236}">
              <a16:creationId xmlns:a16="http://schemas.microsoft.com/office/drawing/2014/main" id="{00000000-0008-0000-0500-000024070000}"/>
            </a:ext>
          </a:extLst>
        </xdr:cNvPr>
        <xdr:cNvSpPr txBox="1">
          <a:spLocks noChangeArrowheads="1"/>
        </xdr:cNvSpPr>
      </xdr:nvSpPr>
      <xdr:spPr bwMode="auto">
        <a:xfrm>
          <a:off x="6555468" y="380047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84</xdr:row>
      <xdr:rowOff>0</xdr:rowOff>
    </xdr:from>
    <xdr:ext cx="95250" cy="171450"/>
    <xdr:sp macro="" textlink="">
      <xdr:nvSpPr>
        <xdr:cNvPr id="1829" name="Text Box 16">
          <a:extLst>
            <a:ext uri="{FF2B5EF4-FFF2-40B4-BE49-F238E27FC236}">
              <a16:creationId xmlns:a16="http://schemas.microsoft.com/office/drawing/2014/main" id="{00000000-0008-0000-0500-000025070000}"/>
            </a:ext>
          </a:extLst>
        </xdr:cNvPr>
        <xdr:cNvSpPr txBox="1">
          <a:spLocks noChangeArrowheads="1"/>
        </xdr:cNvSpPr>
      </xdr:nvSpPr>
      <xdr:spPr bwMode="auto">
        <a:xfrm>
          <a:off x="9398454" y="3619500"/>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84</xdr:row>
      <xdr:rowOff>0</xdr:rowOff>
    </xdr:from>
    <xdr:ext cx="95250" cy="171450"/>
    <xdr:sp macro="" textlink="">
      <xdr:nvSpPr>
        <xdr:cNvPr id="1830" name="Text Box 17">
          <a:extLst>
            <a:ext uri="{FF2B5EF4-FFF2-40B4-BE49-F238E27FC236}">
              <a16:creationId xmlns:a16="http://schemas.microsoft.com/office/drawing/2014/main" id="{00000000-0008-0000-0500-000026070000}"/>
            </a:ext>
          </a:extLst>
        </xdr:cNvPr>
        <xdr:cNvSpPr txBox="1">
          <a:spLocks noChangeArrowheads="1"/>
        </xdr:cNvSpPr>
      </xdr:nvSpPr>
      <xdr:spPr bwMode="auto">
        <a:xfrm>
          <a:off x="9398454" y="3619500"/>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84</xdr:row>
      <xdr:rowOff>0</xdr:rowOff>
    </xdr:from>
    <xdr:ext cx="95250" cy="171450"/>
    <xdr:sp macro="" textlink="">
      <xdr:nvSpPr>
        <xdr:cNvPr id="1831" name="Text Box 18">
          <a:extLst>
            <a:ext uri="{FF2B5EF4-FFF2-40B4-BE49-F238E27FC236}">
              <a16:creationId xmlns:a16="http://schemas.microsoft.com/office/drawing/2014/main" id="{00000000-0008-0000-0500-000027070000}"/>
            </a:ext>
          </a:extLst>
        </xdr:cNvPr>
        <xdr:cNvSpPr txBox="1">
          <a:spLocks noChangeArrowheads="1"/>
        </xdr:cNvSpPr>
      </xdr:nvSpPr>
      <xdr:spPr bwMode="auto">
        <a:xfrm>
          <a:off x="9398454" y="3619500"/>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84</xdr:row>
      <xdr:rowOff>0</xdr:rowOff>
    </xdr:from>
    <xdr:ext cx="95250" cy="171450"/>
    <xdr:sp macro="" textlink="">
      <xdr:nvSpPr>
        <xdr:cNvPr id="1832" name="Text Box 19">
          <a:extLst>
            <a:ext uri="{FF2B5EF4-FFF2-40B4-BE49-F238E27FC236}">
              <a16:creationId xmlns:a16="http://schemas.microsoft.com/office/drawing/2014/main" id="{00000000-0008-0000-0500-000028070000}"/>
            </a:ext>
          </a:extLst>
        </xdr:cNvPr>
        <xdr:cNvSpPr txBox="1">
          <a:spLocks noChangeArrowheads="1"/>
        </xdr:cNvSpPr>
      </xdr:nvSpPr>
      <xdr:spPr bwMode="auto">
        <a:xfrm>
          <a:off x="9398454" y="3619500"/>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84</xdr:row>
      <xdr:rowOff>0</xdr:rowOff>
    </xdr:from>
    <xdr:ext cx="95250" cy="171450"/>
    <xdr:sp macro="" textlink="">
      <xdr:nvSpPr>
        <xdr:cNvPr id="1833" name="Text Box 16">
          <a:extLst>
            <a:ext uri="{FF2B5EF4-FFF2-40B4-BE49-F238E27FC236}">
              <a16:creationId xmlns:a16="http://schemas.microsoft.com/office/drawing/2014/main" id="{00000000-0008-0000-0500-000029070000}"/>
            </a:ext>
          </a:extLst>
        </xdr:cNvPr>
        <xdr:cNvSpPr txBox="1">
          <a:spLocks noChangeArrowheads="1"/>
        </xdr:cNvSpPr>
      </xdr:nvSpPr>
      <xdr:spPr bwMode="auto">
        <a:xfrm>
          <a:off x="9398454" y="3619500"/>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84</xdr:row>
      <xdr:rowOff>0</xdr:rowOff>
    </xdr:from>
    <xdr:ext cx="95250" cy="171450"/>
    <xdr:sp macro="" textlink="">
      <xdr:nvSpPr>
        <xdr:cNvPr id="1834" name="Text Box 17">
          <a:extLst>
            <a:ext uri="{FF2B5EF4-FFF2-40B4-BE49-F238E27FC236}">
              <a16:creationId xmlns:a16="http://schemas.microsoft.com/office/drawing/2014/main" id="{00000000-0008-0000-0500-00002A070000}"/>
            </a:ext>
          </a:extLst>
        </xdr:cNvPr>
        <xdr:cNvSpPr txBox="1">
          <a:spLocks noChangeArrowheads="1"/>
        </xdr:cNvSpPr>
      </xdr:nvSpPr>
      <xdr:spPr bwMode="auto">
        <a:xfrm>
          <a:off x="9398454" y="3619500"/>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84</xdr:row>
      <xdr:rowOff>0</xdr:rowOff>
    </xdr:from>
    <xdr:ext cx="95250" cy="171450"/>
    <xdr:sp macro="" textlink="">
      <xdr:nvSpPr>
        <xdr:cNvPr id="1835" name="Text Box 18">
          <a:extLst>
            <a:ext uri="{FF2B5EF4-FFF2-40B4-BE49-F238E27FC236}">
              <a16:creationId xmlns:a16="http://schemas.microsoft.com/office/drawing/2014/main" id="{00000000-0008-0000-0500-00002B070000}"/>
            </a:ext>
          </a:extLst>
        </xdr:cNvPr>
        <xdr:cNvSpPr txBox="1">
          <a:spLocks noChangeArrowheads="1"/>
        </xdr:cNvSpPr>
      </xdr:nvSpPr>
      <xdr:spPr bwMode="auto">
        <a:xfrm>
          <a:off x="9398454" y="3619500"/>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84</xdr:row>
      <xdr:rowOff>0</xdr:rowOff>
    </xdr:from>
    <xdr:ext cx="95250" cy="171450"/>
    <xdr:sp macro="" textlink="">
      <xdr:nvSpPr>
        <xdr:cNvPr id="1836" name="Text Box 19">
          <a:extLst>
            <a:ext uri="{FF2B5EF4-FFF2-40B4-BE49-F238E27FC236}">
              <a16:creationId xmlns:a16="http://schemas.microsoft.com/office/drawing/2014/main" id="{00000000-0008-0000-0500-00002C070000}"/>
            </a:ext>
          </a:extLst>
        </xdr:cNvPr>
        <xdr:cNvSpPr txBox="1">
          <a:spLocks noChangeArrowheads="1"/>
        </xdr:cNvSpPr>
      </xdr:nvSpPr>
      <xdr:spPr bwMode="auto">
        <a:xfrm>
          <a:off x="9398454" y="3619500"/>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90</xdr:row>
      <xdr:rowOff>0</xdr:rowOff>
    </xdr:from>
    <xdr:ext cx="95250" cy="171450"/>
    <xdr:sp macro="" textlink="">
      <xdr:nvSpPr>
        <xdr:cNvPr id="1837" name="Text Box 16">
          <a:extLst>
            <a:ext uri="{FF2B5EF4-FFF2-40B4-BE49-F238E27FC236}">
              <a16:creationId xmlns:a16="http://schemas.microsoft.com/office/drawing/2014/main" id="{00000000-0008-0000-0500-00002D070000}"/>
            </a:ext>
          </a:extLst>
        </xdr:cNvPr>
        <xdr:cNvSpPr txBox="1">
          <a:spLocks noChangeArrowheads="1"/>
        </xdr:cNvSpPr>
      </xdr:nvSpPr>
      <xdr:spPr bwMode="auto">
        <a:xfrm>
          <a:off x="3710214" y="4163786"/>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90</xdr:row>
      <xdr:rowOff>0</xdr:rowOff>
    </xdr:from>
    <xdr:ext cx="95250" cy="171450"/>
    <xdr:sp macro="" textlink="">
      <xdr:nvSpPr>
        <xdr:cNvPr id="1838" name="Text Box 17">
          <a:extLst>
            <a:ext uri="{FF2B5EF4-FFF2-40B4-BE49-F238E27FC236}">
              <a16:creationId xmlns:a16="http://schemas.microsoft.com/office/drawing/2014/main" id="{00000000-0008-0000-0500-00002E070000}"/>
            </a:ext>
          </a:extLst>
        </xdr:cNvPr>
        <xdr:cNvSpPr txBox="1">
          <a:spLocks noChangeArrowheads="1"/>
        </xdr:cNvSpPr>
      </xdr:nvSpPr>
      <xdr:spPr bwMode="auto">
        <a:xfrm>
          <a:off x="3710214" y="4163786"/>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90</xdr:row>
      <xdr:rowOff>0</xdr:rowOff>
    </xdr:from>
    <xdr:ext cx="95250" cy="171450"/>
    <xdr:sp macro="" textlink="">
      <xdr:nvSpPr>
        <xdr:cNvPr id="1839" name="Text Box 18">
          <a:extLst>
            <a:ext uri="{FF2B5EF4-FFF2-40B4-BE49-F238E27FC236}">
              <a16:creationId xmlns:a16="http://schemas.microsoft.com/office/drawing/2014/main" id="{00000000-0008-0000-0500-00002F070000}"/>
            </a:ext>
          </a:extLst>
        </xdr:cNvPr>
        <xdr:cNvSpPr txBox="1">
          <a:spLocks noChangeArrowheads="1"/>
        </xdr:cNvSpPr>
      </xdr:nvSpPr>
      <xdr:spPr bwMode="auto">
        <a:xfrm>
          <a:off x="3710214" y="4163786"/>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90</xdr:row>
      <xdr:rowOff>0</xdr:rowOff>
    </xdr:from>
    <xdr:ext cx="95250" cy="171450"/>
    <xdr:sp macro="" textlink="">
      <xdr:nvSpPr>
        <xdr:cNvPr id="1840" name="Text Box 19">
          <a:extLst>
            <a:ext uri="{FF2B5EF4-FFF2-40B4-BE49-F238E27FC236}">
              <a16:creationId xmlns:a16="http://schemas.microsoft.com/office/drawing/2014/main" id="{00000000-0008-0000-0500-000030070000}"/>
            </a:ext>
          </a:extLst>
        </xdr:cNvPr>
        <xdr:cNvSpPr txBox="1">
          <a:spLocks noChangeArrowheads="1"/>
        </xdr:cNvSpPr>
      </xdr:nvSpPr>
      <xdr:spPr bwMode="auto">
        <a:xfrm>
          <a:off x="3710214" y="4163786"/>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90</xdr:row>
      <xdr:rowOff>0</xdr:rowOff>
    </xdr:from>
    <xdr:ext cx="95250" cy="171450"/>
    <xdr:sp macro="" textlink="">
      <xdr:nvSpPr>
        <xdr:cNvPr id="1841" name="Text Box 16">
          <a:extLst>
            <a:ext uri="{FF2B5EF4-FFF2-40B4-BE49-F238E27FC236}">
              <a16:creationId xmlns:a16="http://schemas.microsoft.com/office/drawing/2014/main" id="{00000000-0008-0000-0500-000031070000}"/>
            </a:ext>
          </a:extLst>
        </xdr:cNvPr>
        <xdr:cNvSpPr txBox="1">
          <a:spLocks noChangeArrowheads="1"/>
        </xdr:cNvSpPr>
      </xdr:nvSpPr>
      <xdr:spPr bwMode="auto">
        <a:xfrm>
          <a:off x="6555468" y="4163786"/>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90</xdr:row>
      <xdr:rowOff>0</xdr:rowOff>
    </xdr:from>
    <xdr:ext cx="95250" cy="171450"/>
    <xdr:sp macro="" textlink="">
      <xdr:nvSpPr>
        <xdr:cNvPr id="1842" name="Text Box 17">
          <a:extLst>
            <a:ext uri="{FF2B5EF4-FFF2-40B4-BE49-F238E27FC236}">
              <a16:creationId xmlns:a16="http://schemas.microsoft.com/office/drawing/2014/main" id="{00000000-0008-0000-0500-000032070000}"/>
            </a:ext>
          </a:extLst>
        </xdr:cNvPr>
        <xdr:cNvSpPr txBox="1">
          <a:spLocks noChangeArrowheads="1"/>
        </xdr:cNvSpPr>
      </xdr:nvSpPr>
      <xdr:spPr bwMode="auto">
        <a:xfrm>
          <a:off x="6555468" y="4163786"/>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90</xdr:row>
      <xdr:rowOff>0</xdr:rowOff>
    </xdr:from>
    <xdr:ext cx="95250" cy="171450"/>
    <xdr:sp macro="" textlink="">
      <xdr:nvSpPr>
        <xdr:cNvPr id="1843" name="Text Box 18">
          <a:extLst>
            <a:ext uri="{FF2B5EF4-FFF2-40B4-BE49-F238E27FC236}">
              <a16:creationId xmlns:a16="http://schemas.microsoft.com/office/drawing/2014/main" id="{00000000-0008-0000-0500-000033070000}"/>
            </a:ext>
          </a:extLst>
        </xdr:cNvPr>
        <xdr:cNvSpPr txBox="1">
          <a:spLocks noChangeArrowheads="1"/>
        </xdr:cNvSpPr>
      </xdr:nvSpPr>
      <xdr:spPr bwMode="auto">
        <a:xfrm>
          <a:off x="6555468" y="4163786"/>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90</xdr:row>
      <xdr:rowOff>0</xdr:rowOff>
    </xdr:from>
    <xdr:ext cx="95250" cy="171450"/>
    <xdr:sp macro="" textlink="">
      <xdr:nvSpPr>
        <xdr:cNvPr id="1844" name="Text Box 19">
          <a:extLst>
            <a:ext uri="{FF2B5EF4-FFF2-40B4-BE49-F238E27FC236}">
              <a16:creationId xmlns:a16="http://schemas.microsoft.com/office/drawing/2014/main" id="{00000000-0008-0000-0500-000034070000}"/>
            </a:ext>
          </a:extLst>
        </xdr:cNvPr>
        <xdr:cNvSpPr txBox="1">
          <a:spLocks noChangeArrowheads="1"/>
        </xdr:cNvSpPr>
      </xdr:nvSpPr>
      <xdr:spPr bwMode="auto">
        <a:xfrm>
          <a:off x="6555468" y="4163786"/>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21</xdr:col>
      <xdr:colOff>0</xdr:colOff>
      <xdr:row>90</xdr:row>
      <xdr:rowOff>0</xdr:rowOff>
    </xdr:from>
    <xdr:ext cx="95250" cy="171450"/>
    <xdr:sp macro="" textlink="">
      <xdr:nvSpPr>
        <xdr:cNvPr id="1845" name="Text Box 16">
          <a:extLst>
            <a:ext uri="{FF2B5EF4-FFF2-40B4-BE49-F238E27FC236}">
              <a16:creationId xmlns:a16="http://schemas.microsoft.com/office/drawing/2014/main" id="{00000000-0008-0000-0500-000035070000}"/>
            </a:ext>
          </a:extLst>
        </xdr:cNvPr>
        <xdr:cNvSpPr txBox="1">
          <a:spLocks noChangeArrowheads="1"/>
        </xdr:cNvSpPr>
      </xdr:nvSpPr>
      <xdr:spPr bwMode="auto">
        <a:xfrm>
          <a:off x="15475857" y="4163786"/>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21</xdr:col>
      <xdr:colOff>0</xdr:colOff>
      <xdr:row>90</xdr:row>
      <xdr:rowOff>0</xdr:rowOff>
    </xdr:from>
    <xdr:ext cx="95250" cy="171450"/>
    <xdr:sp macro="" textlink="">
      <xdr:nvSpPr>
        <xdr:cNvPr id="1846" name="Text Box 17">
          <a:extLst>
            <a:ext uri="{FF2B5EF4-FFF2-40B4-BE49-F238E27FC236}">
              <a16:creationId xmlns:a16="http://schemas.microsoft.com/office/drawing/2014/main" id="{00000000-0008-0000-0500-000036070000}"/>
            </a:ext>
          </a:extLst>
        </xdr:cNvPr>
        <xdr:cNvSpPr txBox="1">
          <a:spLocks noChangeArrowheads="1"/>
        </xdr:cNvSpPr>
      </xdr:nvSpPr>
      <xdr:spPr bwMode="auto">
        <a:xfrm>
          <a:off x="15475857" y="4163786"/>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21</xdr:col>
      <xdr:colOff>0</xdr:colOff>
      <xdr:row>90</xdr:row>
      <xdr:rowOff>0</xdr:rowOff>
    </xdr:from>
    <xdr:ext cx="95250" cy="171450"/>
    <xdr:sp macro="" textlink="">
      <xdr:nvSpPr>
        <xdr:cNvPr id="1847" name="Text Box 18">
          <a:extLst>
            <a:ext uri="{FF2B5EF4-FFF2-40B4-BE49-F238E27FC236}">
              <a16:creationId xmlns:a16="http://schemas.microsoft.com/office/drawing/2014/main" id="{00000000-0008-0000-0500-000037070000}"/>
            </a:ext>
          </a:extLst>
        </xdr:cNvPr>
        <xdr:cNvSpPr txBox="1">
          <a:spLocks noChangeArrowheads="1"/>
        </xdr:cNvSpPr>
      </xdr:nvSpPr>
      <xdr:spPr bwMode="auto">
        <a:xfrm>
          <a:off x="15475857" y="4163786"/>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21</xdr:col>
      <xdr:colOff>0</xdr:colOff>
      <xdr:row>90</xdr:row>
      <xdr:rowOff>0</xdr:rowOff>
    </xdr:from>
    <xdr:ext cx="95250" cy="171450"/>
    <xdr:sp macro="" textlink="">
      <xdr:nvSpPr>
        <xdr:cNvPr id="1848" name="Text Box 19">
          <a:extLst>
            <a:ext uri="{FF2B5EF4-FFF2-40B4-BE49-F238E27FC236}">
              <a16:creationId xmlns:a16="http://schemas.microsoft.com/office/drawing/2014/main" id="{00000000-0008-0000-0500-000038070000}"/>
            </a:ext>
          </a:extLst>
        </xdr:cNvPr>
        <xdr:cNvSpPr txBox="1">
          <a:spLocks noChangeArrowheads="1"/>
        </xdr:cNvSpPr>
      </xdr:nvSpPr>
      <xdr:spPr bwMode="auto">
        <a:xfrm>
          <a:off x="15475857" y="4163786"/>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89</xdr:row>
      <xdr:rowOff>504825</xdr:rowOff>
    </xdr:from>
    <xdr:ext cx="95250" cy="444014"/>
    <xdr:sp macro="" textlink="">
      <xdr:nvSpPr>
        <xdr:cNvPr id="1849" name="Text Box 15">
          <a:extLst>
            <a:ext uri="{FF2B5EF4-FFF2-40B4-BE49-F238E27FC236}">
              <a16:creationId xmlns:a16="http://schemas.microsoft.com/office/drawing/2014/main" id="{00000000-0008-0000-0500-000039070000}"/>
            </a:ext>
          </a:extLst>
        </xdr:cNvPr>
        <xdr:cNvSpPr txBox="1">
          <a:spLocks noChangeArrowheads="1"/>
        </xdr:cNvSpPr>
      </xdr:nvSpPr>
      <xdr:spPr bwMode="auto">
        <a:xfrm>
          <a:off x="3710214" y="4156982"/>
          <a:ext cx="95250" cy="444014"/>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90</xdr:row>
      <xdr:rowOff>0</xdr:rowOff>
    </xdr:from>
    <xdr:ext cx="95250" cy="171450"/>
    <xdr:sp macro="" textlink="">
      <xdr:nvSpPr>
        <xdr:cNvPr id="1850" name="Text Box 16">
          <a:extLst>
            <a:ext uri="{FF2B5EF4-FFF2-40B4-BE49-F238E27FC236}">
              <a16:creationId xmlns:a16="http://schemas.microsoft.com/office/drawing/2014/main" id="{00000000-0008-0000-0500-00003A070000}"/>
            </a:ext>
          </a:extLst>
        </xdr:cNvPr>
        <xdr:cNvSpPr txBox="1">
          <a:spLocks noChangeArrowheads="1"/>
        </xdr:cNvSpPr>
      </xdr:nvSpPr>
      <xdr:spPr bwMode="auto">
        <a:xfrm>
          <a:off x="3710214" y="4163786"/>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90</xdr:row>
      <xdr:rowOff>0</xdr:rowOff>
    </xdr:from>
    <xdr:ext cx="95250" cy="171450"/>
    <xdr:sp macro="" textlink="">
      <xdr:nvSpPr>
        <xdr:cNvPr id="1851" name="Text Box 17">
          <a:extLst>
            <a:ext uri="{FF2B5EF4-FFF2-40B4-BE49-F238E27FC236}">
              <a16:creationId xmlns:a16="http://schemas.microsoft.com/office/drawing/2014/main" id="{00000000-0008-0000-0500-00003B070000}"/>
            </a:ext>
          </a:extLst>
        </xdr:cNvPr>
        <xdr:cNvSpPr txBox="1">
          <a:spLocks noChangeArrowheads="1"/>
        </xdr:cNvSpPr>
      </xdr:nvSpPr>
      <xdr:spPr bwMode="auto">
        <a:xfrm>
          <a:off x="3710214" y="4163786"/>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90</xdr:row>
      <xdr:rowOff>0</xdr:rowOff>
    </xdr:from>
    <xdr:ext cx="95250" cy="171450"/>
    <xdr:sp macro="" textlink="">
      <xdr:nvSpPr>
        <xdr:cNvPr id="1852" name="Text Box 18">
          <a:extLst>
            <a:ext uri="{FF2B5EF4-FFF2-40B4-BE49-F238E27FC236}">
              <a16:creationId xmlns:a16="http://schemas.microsoft.com/office/drawing/2014/main" id="{00000000-0008-0000-0500-00003C070000}"/>
            </a:ext>
          </a:extLst>
        </xdr:cNvPr>
        <xdr:cNvSpPr txBox="1">
          <a:spLocks noChangeArrowheads="1"/>
        </xdr:cNvSpPr>
      </xdr:nvSpPr>
      <xdr:spPr bwMode="auto">
        <a:xfrm>
          <a:off x="3710214" y="4163786"/>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90</xdr:row>
      <xdr:rowOff>0</xdr:rowOff>
    </xdr:from>
    <xdr:ext cx="95250" cy="171450"/>
    <xdr:sp macro="" textlink="">
      <xdr:nvSpPr>
        <xdr:cNvPr id="1853" name="Text Box 19">
          <a:extLst>
            <a:ext uri="{FF2B5EF4-FFF2-40B4-BE49-F238E27FC236}">
              <a16:creationId xmlns:a16="http://schemas.microsoft.com/office/drawing/2014/main" id="{00000000-0008-0000-0500-00003D070000}"/>
            </a:ext>
          </a:extLst>
        </xdr:cNvPr>
        <xdr:cNvSpPr txBox="1">
          <a:spLocks noChangeArrowheads="1"/>
        </xdr:cNvSpPr>
      </xdr:nvSpPr>
      <xdr:spPr bwMode="auto">
        <a:xfrm>
          <a:off x="3710214" y="4163786"/>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89</xdr:row>
      <xdr:rowOff>504825</xdr:rowOff>
    </xdr:from>
    <xdr:ext cx="95250" cy="442269"/>
    <xdr:sp macro="" textlink="">
      <xdr:nvSpPr>
        <xdr:cNvPr id="1854" name="Text Box 15">
          <a:extLst>
            <a:ext uri="{FF2B5EF4-FFF2-40B4-BE49-F238E27FC236}">
              <a16:creationId xmlns:a16="http://schemas.microsoft.com/office/drawing/2014/main" id="{00000000-0008-0000-0500-00003E070000}"/>
            </a:ext>
          </a:extLst>
        </xdr:cNvPr>
        <xdr:cNvSpPr txBox="1">
          <a:spLocks noChangeArrowheads="1"/>
        </xdr:cNvSpPr>
      </xdr:nvSpPr>
      <xdr:spPr bwMode="auto">
        <a:xfrm>
          <a:off x="6555468" y="4156982"/>
          <a:ext cx="95250" cy="442269"/>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90</xdr:row>
      <xdr:rowOff>0</xdr:rowOff>
    </xdr:from>
    <xdr:ext cx="95250" cy="171450"/>
    <xdr:sp macro="" textlink="">
      <xdr:nvSpPr>
        <xdr:cNvPr id="1855" name="Text Box 16">
          <a:extLst>
            <a:ext uri="{FF2B5EF4-FFF2-40B4-BE49-F238E27FC236}">
              <a16:creationId xmlns:a16="http://schemas.microsoft.com/office/drawing/2014/main" id="{00000000-0008-0000-0500-00003F070000}"/>
            </a:ext>
          </a:extLst>
        </xdr:cNvPr>
        <xdr:cNvSpPr txBox="1">
          <a:spLocks noChangeArrowheads="1"/>
        </xdr:cNvSpPr>
      </xdr:nvSpPr>
      <xdr:spPr bwMode="auto">
        <a:xfrm>
          <a:off x="6555468" y="4163786"/>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90</xdr:row>
      <xdr:rowOff>0</xdr:rowOff>
    </xdr:from>
    <xdr:ext cx="95250" cy="171450"/>
    <xdr:sp macro="" textlink="">
      <xdr:nvSpPr>
        <xdr:cNvPr id="1856" name="Text Box 17">
          <a:extLst>
            <a:ext uri="{FF2B5EF4-FFF2-40B4-BE49-F238E27FC236}">
              <a16:creationId xmlns:a16="http://schemas.microsoft.com/office/drawing/2014/main" id="{00000000-0008-0000-0500-000040070000}"/>
            </a:ext>
          </a:extLst>
        </xdr:cNvPr>
        <xdr:cNvSpPr txBox="1">
          <a:spLocks noChangeArrowheads="1"/>
        </xdr:cNvSpPr>
      </xdr:nvSpPr>
      <xdr:spPr bwMode="auto">
        <a:xfrm>
          <a:off x="6555468" y="4163786"/>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90</xdr:row>
      <xdr:rowOff>0</xdr:rowOff>
    </xdr:from>
    <xdr:ext cx="95250" cy="171450"/>
    <xdr:sp macro="" textlink="">
      <xdr:nvSpPr>
        <xdr:cNvPr id="1857" name="Text Box 18">
          <a:extLst>
            <a:ext uri="{FF2B5EF4-FFF2-40B4-BE49-F238E27FC236}">
              <a16:creationId xmlns:a16="http://schemas.microsoft.com/office/drawing/2014/main" id="{00000000-0008-0000-0500-000041070000}"/>
            </a:ext>
          </a:extLst>
        </xdr:cNvPr>
        <xdr:cNvSpPr txBox="1">
          <a:spLocks noChangeArrowheads="1"/>
        </xdr:cNvSpPr>
      </xdr:nvSpPr>
      <xdr:spPr bwMode="auto">
        <a:xfrm>
          <a:off x="6555468" y="4163786"/>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90</xdr:row>
      <xdr:rowOff>0</xdr:rowOff>
    </xdr:from>
    <xdr:ext cx="95250" cy="171450"/>
    <xdr:sp macro="" textlink="">
      <xdr:nvSpPr>
        <xdr:cNvPr id="1858" name="Text Box 16">
          <a:extLst>
            <a:ext uri="{FF2B5EF4-FFF2-40B4-BE49-F238E27FC236}">
              <a16:creationId xmlns:a16="http://schemas.microsoft.com/office/drawing/2014/main" id="{00000000-0008-0000-0500-000042070000}"/>
            </a:ext>
          </a:extLst>
        </xdr:cNvPr>
        <xdr:cNvSpPr txBox="1">
          <a:spLocks noChangeArrowheads="1"/>
        </xdr:cNvSpPr>
      </xdr:nvSpPr>
      <xdr:spPr bwMode="auto">
        <a:xfrm>
          <a:off x="9398454" y="4163786"/>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90</xdr:row>
      <xdr:rowOff>0</xdr:rowOff>
    </xdr:from>
    <xdr:ext cx="95250" cy="171450"/>
    <xdr:sp macro="" textlink="">
      <xdr:nvSpPr>
        <xdr:cNvPr id="1859" name="Text Box 17">
          <a:extLst>
            <a:ext uri="{FF2B5EF4-FFF2-40B4-BE49-F238E27FC236}">
              <a16:creationId xmlns:a16="http://schemas.microsoft.com/office/drawing/2014/main" id="{00000000-0008-0000-0500-000043070000}"/>
            </a:ext>
          </a:extLst>
        </xdr:cNvPr>
        <xdr:cNvSpPr txBox="1">
          <a:spLocks noChangeArrowheads="1"/>
        </xdr:cNvSpPr>
      </xdr:nvSpPr>
      <xdr:spPr bwMode="auto">
        <a:xfrm>
          <a:off x="9398454" y="4163786"/>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90</xdr:row>
      <xdr:rowOff>0</xdr:rowOff>
    </xdr:from>
    <xdr:ext cx="95250" cy="171450"/>
    <xdr:sp macro="" textlink="">
      <xdr:nvSpPr>
        <xdr:cNvPr id="1860" name="Text Box 18">
          <a:extLst>
            <a:ext uri="{FF2B5EF4-FFF2-40B4-BE49-F238E27FC236}">
              <a16:creationId xmlns:a16="http://schemas.microsoft.com/office/drawing/2014/main" id="{00000000-0008-0000-0500-000044070000}"/>
            </a:ext>
          </a:extLst>
        </xdr:cNvPr>
        <xdr:cNvSpPr txBox="1">
          <a:spLocks noChangeArrowheads="1"/>
        </xdr:cNvSpPr>
      </xdr:nvSpPr>
      <xdr:spPr bwMode="auto">
        <a:xfrm>
          <a:off x="9398454" y="4163786"/>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90</xdr:row>
      <xdr:rowOff>0</xdr:rowOff>
    </xdr:from>
    <xdr:ext cx="95250" cy="171450"/>
    <xdr:sp macro="" textlink="">
      <xdr:nvSpPr>
        <xdr:cNvPr id="1861" name="Text Box 19">
          <a:extLst>
            <a:ext uri="{FF2B5EF4-FFF2-40B4-BE49-F238E27FC236}">
              <a16:creationId xmlns:a16="http://schemas.microsoft.com/office/drawing/2014/main" id="{00000000-0008-0000-0500-000045070000}"/>
            </a:ext>
          </a:extLst>
        </xdr:cNvPr>
        <xdr:cNvSpPr txBox="1">
          <a:spLocks noChangeArrowheads="1"/>
        </xdr:cNvSpPr>
      </xdr:nvSpPr>
      <xdr:spPr bwMode="auto">
        <a:xfrm>
          <a:off x="9398454" y="4163786"/>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90</xdr:row>
      <xdr:rowOff>0</xdr:rowOff>
    </xdr:from>
    <xdr:ext cx="95250" cy="171450"/>
    <xdr:sp macro="" textlink="">
      <xdr:nvSpPr>
        <xdr:cNvPr id="1862" name="Text Box 16">
          <a:extLst>
            <a:ext uri="{FF2B5EF4-FFF2-40B4-BE49-F238E27FC236}">
              <a16:creationId xmlns:a16="http://schemas.microsoft.com/office/drawing/2014/main" id="{00000000-0008-0000-0500-000046070000}"/>
            </a:ext>
          </a:extLst>
        </xdr:cNvPr>
        <xdr:cNvSpPr txBox="1">
          <a:spLocks noChangeArrowheads="1"/>
        </xdr:cNvSpPr>
      </xdr:nvSpPr>
      <xdr:spPr bwMode="auto">
        <a:xfrm>
          <a:off x="9398454" y="4163786"/>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90</xdr:row>
      <xdr:rowOff>0</xdr:rowOff>
    </xdr:from>
    <xdr:ext cx="95250" cy="171450"/>
    <xdr:sp macro="" textlink="">
      <xdr:nvSpPr>
        <xdr:cNvPr id="1863" name="Text Box 17">
          <a:extLst>
            <a:ext uri="{FF2B5EF4-FFF2-40B4-BE49-F238E27FC236}">
              <a16:creationId xmlns:a16="http://schemas.microsoft.com/office/drawing/2014/main" id="{00000000-0008-0000-0500-000047070000}"/>
            </a:ext>
          </a:extLst>
        </xdr:cNvPr>
        <xdr:cNvSpPr txBox="1">
          <a:spLocks noChangeArrowheads="1"/>
        </xdr:cNvSpPr>
      </xdr:nvSpPr>
      <xdr:spPr bwMode="auto">
        <a:xfrm>
          <a:off x="9398454" y="4163786"/>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90</xdr:row>
      <xdr:rowOff>0</xdr:rowOff>
    </xdr:from>
    <xdr:ext cx="95250" cy="171450"/>
    <xdr:sp macro="" textlink="">
      <xdr:nvSpPr>
        <xdr:cNvPr id="1864" name="Text Box 18">
          <a:extLst>
            <a:ext uri="{FF2B5EF4-FFF2-40B4-BE49-F238E27FC236}">
              <a16:creationId xmlns:a16="http://schemas.microsoft.com/office/drawing/2014/main" id="{00000000-0008-0000-0500-000048070000}"/>
            </a:ext>
          </a:extLst>
        </xdr:cNvPr>
        <xdr:cNvSpPr txBox="1">
          <a:spLocks noChangeArrowheads="1"/>
        </xdr:cNvSpPr>
      </xdr:nvSpPr>
      <xdr:spPr bwMode="auto">
        <a:xfrm>
          <a:off x="9398454" y="4163786"/>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90</xdr:row>
      <xdr:rowOff>0</xdr:rowOff>
    </xdr:from>
    <xdr:ext cx="95250" cy="171450"/>
    <xdr:sp macro="" textlink="">
      <xdr:nvSpPr>
        <xdr:cNvPr id="1865" name="Text Box 19">
          <a:extLst>
            <a:ext uri="{FF2B5EF4-FFF2-40B4-BE49-F238E27FC236}">
              <a16:creationId xmlns:a16="http://schemas.microsoft.com/office/drawing/2014/main" id="{00000000-0008-0000-0500-000049070000}"/>
            </a:ext>
          </a:extLst>
        </xdr:cNvPr>
        <xdr:cNvSpPr txBox="1">
          <a:spLocks noChangeArrowheads="1"/>
        </xdr:cNvSpPr>
      </xdr:nvSpPr>
      <xdr:spPr bwMode="auto">
        <a:xfrm>
          <a:off x="9398454" y="4163786"/>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90</xdr:row>
      <xdr:rowOff>504825</xdr:rowOff>
    </xdr:from>
    <xdr:ext cx="95250" cy="448496"/>
    <xdr:sp macro="" textlink="">
      <xdr:nvSpPr>
        <xdr:cNvPr id="1866" name="Text Box 15">
          <a:extLst>
            <a:ext uri="{FF2B5EF4-FFF2-40B4-BE49-F238E27FC236}">
              <a16:creationId xmlns:a16="http://schemas.microsoft.com/office/drawing/2014/main" id="{00000000-0008-0000-0500-00004A070000}"/>
            </a:ext>
          </a:extLst>
        </xdr:cNvPr>
        <xdr:cNvSpPr txBox="1">
          <a:spLocks noChangeArrowheads="1"/>
        </xdr:cNvSpPr>
      </xdr:nvSpPr>
      <xdr:spPr bwMode="auto">
        <a:xfrm>
          <a:off x="3710214" y="4344761"/>
          <a:ext cx="95250" cy="448496"/>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90</xdr:row>
      <xdr:rowOff>504825</xdr:rowOff>
    </xdr:from>
    <xdr:ext cx="95250" cy="442269"/>
    <xdr:sp macro="" textlink="">
      <xdr:nvSpPr>
        <xdr:cNvPr id="1867" name="Text Box 15">
          <a:extLst>
            <a:ext uri="{FF2B5EF4-FFF2-40B4-BE49-F238E27FC236}">
              <a16:creationId xmlns:a16="http://schemas.microsoft.com/office/drawing/2014/main" id="{00000000-0008-0000-0500-00004B070000}"/>
            </a:ext>
          </a:extLst>
        </xdr:cNvPr>
        <xdr:cNvSpPr txBox="1">
          <a:spLocks noChangeArrowheads="1"/>
        </xdr:cNvSpPr>
      </xdr:nvSpPr>
      <xdr:spPr bwMode="auto">
        <a:xfrm>
          <a:off x="6555468" y="4344761"/>
          <a:ext cx="95250" cy="442269"/>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21</xdr:col>
      <xdr:colOff>0</xdr:colOff>
      <xdr:row>90</xdr:row>
      <xdr:rowOff>504825</xdr:rowOff>
    </xdr:from>
    <xdr:ext cx="95250" cy="442269"/>
    <xdr:sp macro="" textlink="">
      <xdr:nvSpPr>
        <xdr:cNvPr id="1868" name="Text Box 15">
          <a:extLst>
            <a:ext uri="{FF2B5EF4-FFF2-40B4-BE49-F238E27FC236}">
              <a16:creationId xmlns:a16="http://schemas.microsoft.com/office/drawing/2014/main" id="{00000000-0008-0000-0500-00004C070000}"/>
            </a:ext>
          </a:extLst>
        </xdr:cNvPr>
        <xdr:cNvSpPr txBox="1">
          <a:spLocks noChangeArrowheads="1"/>
        </xdr:cNvSpPr>
      </xdr:nvSpPr>
      <xdr:spPr bwMode="auto">
        <a:xfrm>
          <a:off x="15475857" y="4344761"/>
          <a:ext cx="95250" cy="442269"/>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90</xdr:row>
      <xdr:rowOff>504825</xdr:rowOff>
    </xdr:from>
    <xdr:ext cx="95250" cy="213632"/>
    <xdr:sp macro="" textlink="">
      <xdr:nvSpPr>
        <xdr:cNvPr id="1869" name="Text Box 15">
          <a:extLst>
            <a:ext uri="{FF2B5EF4-FFF2-40B4-BE49-F238E27FC236}">
              <a16:creationId xmlns:a16="http://schemas.microsoft.com/office/drawing/2014/main" id="{00000000-0008-0000-0500-00004D070000}"/>
            </a:ext>
          </a:extLst>
        </xdr:cNvPr>
        <xdr:cNvSpPr txBox="1">
          <a:spLocks noChangeArrowheads="1"/>
        </xdr:cNvSpPr>
      </xdr:nvSpPr>
      <xdr:spPr bwMode="auto">
        <a:xfrm>
          <a:off x="3710214" y="4344761"/>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90</xdr:row>
      <xdr:rowOff>504825</xdr:rowOff>
    </xdr:from>
    <xdr:ext cx="95250" cy="444331"/>
    <xdr:sp macro="" textlink="">
      <xdr:nvSpPr>
        <xdr:cNvPr id="1870" name="Text Box 15">
          <a:extLst>
            <a:ext uri="{FF2B5EF4-FFF2-40B4-BE49-F238E27FC236}">
              <a16:creationId xmlns:a16="http://schemas.microsoft.com/office/drawing/2014/main" id="{00000000-0008-0000-0500-00004E070000}"/>
            </a:ext>
          </a:extLst>
        </xdr:cNvPr>
        <xdr:cNvSpPr txBox="1">
          <a:spLocks noChangeArrowheads="1"/>
        </xdr:cNvSpPr>
      </xdr:nvSpPr>
      <xdr:spPr bwMode="auto">
        <a:xfrm>
          <a:off x="3710214" y="4344761"/>
          <a:ext cx="95250" cy="444331"/>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90</xdr:row>
      <xdr:rowOff>504825</xdr:rowOff>
    </xdr:from>
    <xdr:ext cx="95250" cy="213632"/>
    <xdr:sp macro="" textlink="">
      <xdr:nvSpPr>
        <xdr:cNvPr id="1871" name="Text Box 15">
          <a:extLst>
            <a:ext uri="{FF2B5EF4-FFF2-40B4-BE49-F238E27FC236}">
              <a16:creationId xmlns:a16="http://schemas.microsoft.com/office/drawing/2014/main" id="{00000000-0008-0000-0500-00004F070000}"/>
            </a:ext>
          </a:extLst>
        </xdr:cNvPr>
        <xdr:cNvSpPr txBox="1">
          <a:spLocks noChangeArrowheads="1"/>
        </xdr:cNvSpPr>
      </xdr:nvSpPr>
      <xdr:spPr bwMode="auto">
        <a:xfrm>
          <a:off x="6555468" y="4344761"/>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96</xdr:row>
      <xdr:rowOff>0</xdr:rowOff>
    </xdr:from>
    <xdr:ext cx="95250" cy="171450"/>
    <xdr:sp macro="" textlink="">
      <xdr:nvSpPr>
        <xdr:cNvPr id="1872" name="Text Box 16">
          <a:extLst>
            <a:ext uri="{FF2B5EF4-FFF2-40B4-BE49-F238E27FC236}">
              <a16:creationId xmlns:a16="http://schemas.microsoft.com/office/drawing/2014/main" id="{00000000-0008-0000-0500-000050070000}"/>
            </a:ext>
          </a:extLst>
        </xdr:cNvPr>
        <xdr:cNvSpPr txBox="1">
          <a:spLocks noChangeArrowheads="1"/>
        </xdr:cNvSpPr>
      </xdr:nvSpPr>
      <xdr:spPr bwMode="auto">
        <a:xfrm>
          <a:off x="3710214" y="4708071"/>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96</xdr:row>
      <xdr:rowOff>0</xdr:rowOff>
    </xdr:from>
    <xdr:ext cx="95250" cy="171450"/>
    <xdr:sp macro="" textlink="">
      <xdr:nvSpPr>
        <xdr:cNvPr id="1873" name="Text Box 17">
          <a:extLst>
            <a:ext uri="{FF2B5EF4-FFF2-40B4-BE49-F238E27FC236}">
              <a16:creationId xmlns:a16="http://schemas.microsoft.com/office/drawing/2014/main" id="{00000000-0008-0000-0500-000051070000}"/>
            </a:ext>
          </a:extLst>
        </xdr:cNvPr>
        <xdr:cNvSpPr txBox="1">
          <a:spLocks noChangeArrowheads="1"/>
        </xdr:cNvSpPr>
      </xdr:nvSpPr>
      <xdr:spPr bwMode="auto">
        <a:xfrm>
          <a:off x="3710214" y="4708071"/>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96</xdr:row>
      <xdr:rowOff>0</xdr:rowOff>
    </xdr:from>
    <xdr:ext cx="95250" cy="171450"/>
    <xdr:sp macro="" textlink="">
      <xdr:nvSpPr>
        <xdr:cNvPr id="1874" name="Text Box 18">
          <a:extLst>
            <a:ext uri="{FF2B5EF4-FFF2-40B4-BE49-F238E27FC236}">
              <a16:creationId xmlns:a16="http://schemas.microsoft.com/office/drawing/2014/main" id="{00000000-0008-0000-0500-000052070000}"/>
            </a:ext>
          </a:extLst>
        </xdr:cNvPr>
        <xdr:cNvSpPr txBox="1">
          <a:spLocks noChangeArrowheads="1"/>
        </xdr:cNvSpPr>
      </xdr:nvSpPr>
      <xdr:spPr bwMode="auto">
        <a:xfrm>
          <a:off x="3710214" y="4708071"/>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96</xdr:row>
      <xdr:rowOff>0</xdr:rowOff>
    </xdr:from>
    <xdr:ext cx="95250" cy="171450"/>
    <xdr:sp macro="" textlink="">
      <xdr:nvSpPr>
        <xdr:cNvPr id="1875" name="Text Box 19">
          <a:extLst>
            <a:ext uri="{FF2B5EF4-FFF2-40B4-BE49-F238E27FC236}">
              <a16:creationId xmlns:a16="http://schemas.microsoft.com/office/drawing/2014/main" id="{00000000-0008-0000-0500-000053070000}"/>
            </a:ext>
          </a:extLst>
        </xdr:cNvPr>
        <xdr:cNvSpPr txBox="1">
          <a:spLocks noChangeArrowheads="1"/>
        </xdr:cNvSpPr>
      </xdr:nvSpPr>
      <xdr:spPr bwMode="auto">
        <a:xfrm>
          <a:off x="3710214" y="4708071"/>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96</xdr:row>
      <xdr:rowOff>0</xdr:rowOff>
    </xdr:from>
    <xdr:ext cx="95250" cy="171450"/>
    <xdr:sp macro="" textlink="">
      <xdr:nvSpPr>
        <xdr:cNvPr id="1876" name="Text Box 16">
          <a:extLst>
            <a:ext uri="{FF2B5EF4-FFF2-40B4-BE49-F238E27FC236}">
              <a16:creationId xmlns:a16="http://schemas.microsoft.com/office/drawing/2014/main" id="{00000000-0008-0000-0500-000054070000}"/>
            </a:ext>
          </a:extLst>
        </xdr:cNvPr>
        <xdr:cNvSpPr txBox="1">
          <a:spLocks noChangeArrowheads="1"/>
        </xdr:cNvSpPr>
      </xdr:nvSpPr>
      <xdr:spPr bwMode="auto">
        <a:xfrm>
          <a:off x="6555468" y="4708071"/>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96</xdr:row>
      <xdr:rowOff>0</xdr:rowOff>
    </xdr:from>
    <xdr:ext cx="95250" cy="171450"/>
    <xdr:sp macro="" textlink="">
      <xdr:nvSpPr>
        <xdr:cNvPr id="1877" name="Text Box 17">
          <a:extLst>
            <a:ext uri="{FF2B5EF4-FFF2-40B4-BE49-F238E27FC236}">
              <a16:creationId xmlns:a16="http://schemas.microsoft.com/office/drawing/2014/main" id="{00000000-0008-0000-0500-000055070000}"/>
            </a:ext>
          </a:extLst>
        </xdr:cNvPr>
        <xdr:cNvSpPr txBox="1">
          <a:spLocks noChangeArrowheads="1"/>
        </xdr:cNvSpPr>
      </xdr:nvSpPr>
      <xdr:spPr bwMode="auto">
        <a:xfrm>
          <a:off x="6555468" y="4708071"/>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96</xdr:row>
      <xdr:rowOff>0</xdr:rowOff>
    </xdr:from>
    <xdr:ext cx="95250" cy="171450"/>
    <xdr:sp macro="" textlink="">
      <xdr:nvSpPr>
        <xdr:cNvPr id="1878" name="Text Box 18">
          <a:extLst>
            <a:ext uri="{FF2B5EF4-FFF2-40B4-BE49-F238E27FC236}">
              <a16:creationId xmlns:a16="http://schemas.microsoft.com/office/drawing/2014/main" id="{00000000-0008-0000-0500-000056070000}"/>
            </a:ext>
          </a:extLst>
        </xdr:cNvPr>
        <xdr:cNvSpPr txBox="1">
          <a:spLocks noChangeArrowheads="1"/>
        </xdr:cNvSpPr>
      </xdr:nvSpPr>
      <xdr:spPr bwMode="auto">
        <a:xfrm>
          <a:off x="6555468" y="4708071"/>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96</xdr:row>
      <xdr:rowOff>0</xdr:rowOff>
    </xdr:from>
    <xdr:ext cx="95250" cy="171450"/>
    <xdr:sp macro="" textlink="">
      <xdr:nvSpPr>
        <xdr:cNvPr id="1879" name="Text Box 19">
          <a:extLst>
            <a:ext uri="{FF2B5EF4-FFF2-40B4-BE49-F238E27FC236}">
              <a16:creationId xmlns:a16="http://schemas.microsoft.com/office/drawing/2014/main" id="{00000000-0008-0000-0500-000057070000}"/>
            </a:ext>
          </a:extLst>
        </xdr:cNvPr>
        <xdr:cNvSpPr txBox="1">
          <a:spLocks noChangeArrowheads="1"/>
        </xdr:cNvSpPr>
      </xdr:nvSpPr>
      <xdr:spPr bwMode="auto">
        <a:xfrm>
          <a:off x="6555468" y="4708071"/>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21</xdr:col>
      <xdr:colOff>0</xdr:colOff>
      <xdr:row>96</xdr:row>
      <xdr:rowOff>0</xdr:rowOff>
    </xdr:from>
    <xdr:ext cx="95250" cy="171450"/>
    <xdr:sp macro="" textlink="">
      <xdr:nvSpPr>
        <xdr:cNvPr id="1880" name="Text Box 16">
          <a:extLst>
            <a:ext uri="{FF2B5EF4-FFF2-40B4-BE49-F238E27FC236}">
              <a16:creationId xmlns:a16="http://schemas.microsoft.com/office/drawing/2014/main" id="{00000000-0008-0000-0500-000058070000}"/>
            </a:ext>
          </a:extLst>
        </xdr:cNvPr>
        <xdr:cNvSpPr txBox="1">
          <a:spLocks noChangeArrowheads="1"/>
        </xdr:cNvSpPr>
      </xdr:nvSpPr>
      <xdr:spPr bwMode="auto">
        <a:xfrm>
          <a:off x="15475857" y="4708071"/>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21</xdr:col>
      <xdr:colOff>0</xdr:colOff>
      <xdr:row>96</xdr:row>
      <xdr:rowOff>0</xdr:rowOff>
    </xdr:from>
    <xdr:ext cx="95250" cy="171450"/>
    <xdr:sp macro="" textlink="">
      <xdr:nvSpPr>
        <xdr:cNvPr id="1881" name="Text Box 17">
          <a:extLst>
            <a:ext uri="{FF2B5EF4-FFF2-40B4-BE49-F238E27FC236}">
              <a16:creationId xmlns:a16="http://schemas.microsoft.com/office/drawing/2014/main" id="{00000000-0008-0000-0500-000059070000}"/>
            </a:ext>
          </a:extLst>
        </xdr:cNvPr>
        <xdr:cNvSpPr txBox="1">
          <a:spLocks noChangeArrowheads="1"/>
        </xdr:cNvSpPr>
      </xdr:nvSpPr>
      <xdr:spPr bwMode="auto">
        <a:xfrm>
          <a:off x="15475857" y="4708071"/>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21</xdr:col>
      <xdr:colOff>0</xdr:colOff>
      <xdr:row>96</xdr:row>
      <xdr:rowOff>0</xdr:rowOff>
    </xdr:from>
    <xdr:ext cx="95250" cy="171450"/>
    <xdr:sp macro="" textlink="">
      <xdr:nvSpPr>
        <xdr:cNvPr id="1882" name="Text Box 18">
          <a:extLst>
            <a:ext uri="{FF2B5EF4-FFF2-40B4-BE49-F238E27FC236}">
              <a16:creationId xmlns:a16="http://schemas.microsoft.com/office/drawing/2014/main" id="{00000000-0008-0000-0500-00005A070000}"/>
            </a:ext>
          </a:extLst>
        </xdr:cNvPr>
        <xdr:cNvSpPr txBox="1">
          <a:spLocks noChangeArrowheads="1"/>
        </xdr:cNvSpPr>
      </xdr:nvSpPr>
      <xdr:spPr bwMode="auto">
        <a:xfrm>
          <a:off x="15475857" y="4708071"/>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21</xdr:col>
      <xdr:colOff>0</xdr:colOff>
      <xdr:row>96</xdr:row>
      <xdr:rowOff>0</xdr:rowOff>
    </xdr:from>
    <xdr:ext cx="95250" cy="171450"/>
    <xdr:sp macro="" textlink="">
      <xdr:nvSpPr>
        <xdr:cNvPr id="1883" name="Text Box 19">
          <a:extLst>
            <a:ext uri="{FF2B5EF4-FFF2-40B4-BE49-F238E27FC236}">
              <a16:creationId xmlns:a16="http://schemas.microsoft.com/office/drawing/2014/main" id="{00000000-0008-0000-0500-00005B070000}"/>
            </a:ext>
          </a:extLst>
        </xdr:cNvPr>
        <xdr:cNvSpPr txBox="1">
          <a:spLocks noChangeArrowheads="1"/>
        </xdr:cNvSpPr>
      </xdr:nvSpPr>
      <xdr:spPr bwMode="auto">
        <a:xfrm>
          <a:off x="15475857" y="4708071"/>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95</xdr:row>
      <xdr:rowOff>504825</xdr:rowOff>
    </xdr:from>
    <xdr:ext cx="95250" cy="444014"/>
    <xdr:sp macro="" textlink="">
      <xdr:nvSpPr>
        <xdr:cNvPr id="1884" name="Text Box 15">
          <a:extLst>
            <a:ext uri="{FF2B5EF4-FFF2-40B4-BE49-F238E27FC236}">
              <a16:creationId xmlns:a16="http://schemas.microsoft.com/office/drawing/2014/main" id="{00000000-0008-0000-0500-00005C070000}"/>
            </a:ext>
          </a:extLst>
        </xdr:cNvPr>
        <xdr:cNvSpPr txBox="1">
          <a:spLocks noChangeArrowheads="1"/>
        </xdr:cNvSpPr>
      </xdr:nvSpPr>
      <xdr:spPr bwMode="auto">
        <a:xfrm>
          <a:off x="3710214" y="4701268"/>
          <a:ext cx="95250" cy="444014"/>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96</xdr:row>
      <xdr:rowOff>0</xdr:rowOff>
    </xdr:from>
    <xdr:ext cx="95250" cy="171450"/>
    <xdr:sp macro="" textlink="">
      <xdr:nvSpPr>
        <xdr:cNvPr id="1885" name="Text Box 16">
          <a:extLst>
            <a:ext uri="{FF2B5EF4-FFF2-40B4-BE49-F238E27FC236}">
              <a16:creationId xmlns:a16="http://schemas.microsoft.com/office/drawing/2014/main" id="{00000000-0008-0000-0500-00005D070000}"/>
            </a:ext>
          </a:extLst>
        </xdr:cNvPr>
        <xdr:cNvSpPr txBox="1">
          <a:spLocks noChangeArrowheads="1"/>
        </xdr:cNvSpPr>
      </xdr:nvSpPr>
      <xdr:spPr bwMode="auto">
        <a:xfrm>
          <a:off x="3710214" y="4708071"/>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96</xdr:row>
      <xdr:rowOff>0</xdr:rowOff>
    </xdr:from>
    <xdr:ext cx="95250" cy="171450"/>
    <xdr:sp macro="" textlink="">
      <xdr:nvSpPr>
        <xdr:cNvPr id="1886" name="Text Box 17">
          <a:extLst>
            <a:ext uri="{FF2B5EF4-FFF2-40B4-BE49-F238E27FC236}">
              <a16:creationId xmlns:a16="http://schemas.microsoft.com/office/drawing/2014/main" id="{00000000-0008-0000-0500-00005E070000}"/>
            </a:ext>
          </a:extLst>
        </xdr:cNvPr>
        <xdr:cNvSpPr txBox="1">
          <a:spLocks noChangeArrowheads="1"/>
        </xdr:cNvSpPr>
      </xdr:nvSpPr>
      <xdr:spPr bwMode="auto">
        <a:xfrm>
          <a:off x="3710214" y="4708071"/>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96</xdr:row>
      <xdr:rowOff>0</xdr:rowOff>
    </xdr:from>
    <xdr:ext cx="95250" cy="171450"/>
    <xdr:sp macro="" textlink="">
      <xdr:nvSpPr>
        <xdr:cNvPr id="1887" name="Text Box 18">
          <a:extLst>
            <a:ext uri="{FF2B5EF4-FFF2-40B4-BE49-F238E27FC236}">
              <a16:creationId xmlns:a16="http://schemas.microsoft.com/office/drawing/2014/main" id="{00000000-0008-0000-0500-00005F070000}"/>
            </a:ext>
          </a:extLst>
        </xdr:cNvPr>
        <xdr:cNvSpPr txBox="1">
          <a:spLocks noChangeArrowheads="1"/>
        </xdr:cNvSpPr>
      </xdr:nvSpPr>
      <xdr:spPr bwMode="auto">
        <a:xfrm>
          <a:off x="3710214" y="4708071"/>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96</xdr:row>
      <xdr:rowOff>0</xdr:rowOff>
    </xdr:from>
    <xdr:ext cx="95250" cy="171450"/>
    <xdr:sp macro="" textlink="">
      <xdr:nvSpPr>
        <xdr:cNvPr id="1888" name="Text Box 19">
          <a:extLst>
            <a:ext uri="{FF2B5EF4-FFF2-40B4-BE49-F238E27FC236}">
              <a16:creationId xmlns:a16="http://schemas.microsoft.com/office/drawing/2014/main" id="{00000000-0008-0000-0500-000060070000}"/>
            </a:ext>
          </a:extLst>
        </xdr:cNvPr>
        <xdr:cNvSpPr txBox="1">
          <a:spLocks noChangeArrowheads="1"/>
        </xdr:cNvSpPr>
      </xdr:nvSpPr>
      <xdr:spPr bwMode="auto">
        <a:xfrm>
          <a:off x="3710214" y="4708071"/>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95</xdr:row>
      <xdr:rowOff>504825</xdr:rowOff>
    </xdr:from>
    <xdr:ext cx="95250" cy="442269"/>
    <xdr:sp macro="" textlink="">
      <xdr:nvSpPr>
        <xdr:cNvPr id="1889" name="Text Box 15">
          <a:extLst>
            <a:ext uri="{FF2B5EF4-FFF2-40B4-BE49-F238E27FC236}">
              <a16:creationId xmlns:a16="http://schemas.microsoft.com/office/drawing/2014/main" id="{00000000-0008-0000-0500-000061070000}"/>
            </a:ext>
          </a:extLst>
        </xdr:cNvPr>
        <xdr:cNvSpPr txBox="1">
          <a:spLocks noChangeArrowheads="1"/>
        </xdr:cNvSpPr>
      </xdr:nvSpPr>
      <xdr:spPr bwMode="auto">
        <a:xfrm>
          <a:off x="6555468" y="4701268"/>
          <a:ext cx="95250" cy="442269"/>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96</xdr:row>
      <xdr:rowOff>0</xdr:rowOff>
    </xdr:from>
    <xdr:ext cx="95250" cy="171450"/>
    <xdr:sp macro="" textlink="">
      <xdr:nvSpPr>
        <xdr:cNvPr id="1890" name="Text Box 16">
          <a:extLst>
            <a:ext uri="{FF2B5EF4-FFF2-40B4-BE49-F238E27FC236}">
              <a16:creationId xmlns:a16="http://schemas.microsoft.com/office/drawing/2014/main" id="{00000000-0008-0000-0500-000062070000}"/>
            </a:ext>
          </a:extLst>
        </xdr:cNvPr>
        <xdr:cNvSpPr txBox="1">
          <a:spLocks noChangeArrowheads="1"/>
        </xdr:cNvSpPr>
      </xdr:nvSpPr>
      <xdr:spPr bwMode="auto">
        <a:xfrm>
          <a:off x="6555468" y="4708071"/>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96</xdr:row>
      <xdr:rowOff>0</xdr:rowOff>
    </xdr:from>
    <xdr:ext cx="95250" cy="171450"/>
    <xdr:sp macro="" textlink="">
      <xdr:nvSpPr>
        <xdr:cNvPr id="1891" name="Text Box 17">
          <a:extLst>
            <a:ext uri="{FF2B5EF4-FFF2-40B4-BE49-F238E27FC236}">
              <a16:creationId xmlns:a16="http://schemas.microsoft.com/office/drawing/2014/main" id="{00000000-0008-0000-0500-000063070000}"/>
            </a:ext>
          </a:extLst>
        </xdr:cNvPr>
        <xdr:cNvSpPr txBox="1">
          <a:spLocks noChangeArrowheads="1"/>
        </xdr:cNvSpPr>
      </xdr:nvSpPr>
      <xdr:spPr bwMode="auto">
        <a:xfrm>
          <a:off x="6555468" y="4708071"/>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96</xdr:row>
      <xdr:rowOff>0</xdr:rowOff>
    </xdr:from>
    <xdr:ext cx="95250" cy="171450"/>
    <xdr:sp macro="" textlink="">
      <xdr:nvSpPr>
        <xdr:cNvPr id="1892" name="Text Box 18">
          <a:extLst>
            <a:ext uri="{FF2B5EF4-FFF2-40B4-BE49-F238E27FC236}">
              <a16:creationId xmlns:a16="http://schemas.microsoft.com/office/drawing/2014/main" id="{00000000-0008-0000-0500-000064070000}"/>
            </a:ext>
          </a:extLst>
        </xdr:cNvPr>
        <xdr:cNvSpPr txBox="1">
          <a:spLocks noChangeArrowheads="1"/>
        </xdr:cNvSpPr>
      </xdr:nvSpPr>
      <xdr:spPr bwMode="auto">
        <a:xfrm>
          <a:off x="6555468" y="4708071"/>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96</xdr:row>
      <xdr:rowOff>0</xdr:rowOff>
    </xdr:from>
    <xdr:ext cx="95250" cy="171450"/>
    <xdr:sp macro="" textlink="">
      <xdr:nvSpPr>
        <xdr:cNvPr id="1893" name="Text Box 16">
          <a:extLst>
            <a:ext uri="{FF2B5EF4-FFF2-40B4-BE49-F238E27FC236}">
              <a16:creationId xmlns:a16="http://schemas.microsoft.com/office/drawing/2014/main" id="{00000000-0008-0000-0500-000065070000}"/>
            </a:ext>
          </a:extLst>
        </xdr:cNvPr>
        <xdr:cNvSpPr txBox="1">
          <a:spLocks noChangeArrowheads="1"/>
        </xdr:cNvSpPr>
      </xdr:nvSpPr>
      <xdr:spPr bwMode="auto">
        <a:xfrm>
          <a:off x="9398454" y="4708071"/>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96</xdr:row>
      <xdr:rowOff>0</xdr:rowOff>
    </xdr:from>
    <xdr:ext cx="95250" cy="171450"/>
    <xdr:sp macro="" textlink="">
      <xdr:nvSpPr>
        <xdr:cNvPr id="1894" name="Text Box 17">
          <a:extLst>
            <a:ext uri="{FF2B5EF4-FFF2-40B4-BE49-F238E27FC236}">
              <a16:creationId xmlns:a16="http://schemas.microsoft.com/office/drawing/2014/main" id="{00000000-0008-0000-0500-000066070000}"/>
            </a:ext>
          </a:extLst>
        </xdr:cNvPr>
        <xdr:cNvSpPr txBox="1">
          <a:spLocks noChangeArrowheads="1"/>
        </xdr:cNvSpPr>
      </xdr:nvSpPr>
      <xdr:spPr bwMode="auto">
        <a:xfrm>
          <a:off x="9398454" y="4708071"/>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96</xdr:row>
      <xdr:rowOff>0</xdr:rowOff>
    </xdr:from>
    <xdr:ext cx="95250" cy="171450"/>
    <xdr:sp macro="" textlink="">
      <xdr:nvSpPr>
        <xdr:cNvPr id="1895" name="Text Box 18">
          <a:extLst>
            <a:ext uri="{FF2B5EF4-FFF2-40B4-BE49-F238E27FC236}">
              <a16:creationId xmlns:a16="http://schemas.microsoft.com/office/drawing/2014/main" id="{00000000-0008-0000-0500-000067070000}"/>
            </a:ext>
          </a:extLst>
        </xdr:cNvPr>
        <xdr:cNvSpPr txBox="1">
          <a:spLocks noChangeArrowheads="1"/>
        </xdr:cNvSpPr>
      </xdr:nvSpPr>
      <xdr:spPr bwMode="auto">
        <a:xfrm>
          <a:off x="9398454" y="4708071"/>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96</xdr:row>
      <xdr:rowOff>0</xdr:rowOff>
    </xdr:from>
    <xdr:ext cx="95250" cy="171450"/>
    <xdr:sp macro="" textlink="">
      <xdr:nvSpPr>
        <xdr:cNvPr id="1896" name="Text Box 19">
          <a:extLst>
            <a:ext uri="{FF2B5EF4-FFF2-40B4-BE49-F238E27FC236}">
              <a16:creationId xmlns:a16="http://schemas.microsoft.com/office/drawing/2014/main" id="{00000000-0008-0000-0500-000068070000}"/>
            </a:ext>
          </a:extLst>
        </xdr:cNvPr>
        <xdr:cNvSpPr txBox="1">
          <a:spLocks noChangeArrowheads="1"/>
        </xdr:cNvSpPr>
      </xdr:nvSpPr>
      <xdr:spPr bwMode="auto">
        <a:xfrm>
          <a:off x="9398454" y="4708071"/>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96</xdr:row>
      <xdr:rowOff>0</xdr:rowOff>
    </xdr:from>
    <xdr:ext cx="95250" cy="171450"/>
    <xdr:sp macro="" textlink="">
      <xdr:nvSpPr>
        <xdr:cNvPr id="1897" name="Text Box 16">
          <a:extLst>
            <a:ext uri="{FF2B5EF4-FFF2-40B4-BE49-F238E27FC236}">
              <a16:creationId xmlns:a16="http://schemas.microsoft.com/office/drawing/2014/main" id="{00000000-0008-0000-0500-000069070000}"/>
            </a:ext>
          </a:extLst>
        </xdr:cNvPr>
        <xdr:cNvSpPr txBox="1">
          <a:spLocks noChangeArrowheads="1"/>
        </xdr:cNvSpPr>
      </xdr:nvSpPr>
      <xdr:spPr bwMode="auto">
        <a:xfrm>
          <a:off x="9398454" y="4708071"/>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96</xdr:row>
      <xdr:rowOff>0</xdr:rowOff>
    </xdr:from>
    <xdr:ext cx="95250" cy="171450"/>
    <xdr:sp macro="" textlink="">
      <xdr:nvSpPr>
        <xdr:cNvPr id="1898" name="Text Box 17">
          <a:extLst>
            <a:ext uri="{FF2B5EF4-FFF2-40B4-BE49-F238E27FC236}">
              <a16:creationId xmlns:a16="http://schemas.microsoft.com/office/drawing/2014/main" id="{00000000-0008-0000-0500-00006A070000}"/>
            </a:ext>
          </a:extLst>
        </xdr:cNvPr>
        <xdr:cNvSpPr txBox="1">
          <a:spLocks noChangeArrowheads="1"/>
        </xdr:cNvSpPr>
      </xdr:nvSpPr>
      <xdr:spPr bwMode="auto">
        <a:xfrm>
          <a:off x="9398454" y="4708071"/>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96</xdr:row>
      <xdr:rowOff>0</xdr:rowOff>
    </xdr:from>
    <xdr:ext cx="95250" cy="171450"/>
    <xdr:sp macro="" textlink="">
      <xdr:nvSpPr>
        <xdr:cNvPr id="1899" name="Text Box 18">
          <a:extLst>
            <a:ext uri="{FF2B5EF4-FFF2-40B4-BE49-F238E27FC236}">
              <a16:creationId xmlns:a16="http://schemas.microsoft.com/office/drawing/2014/main" id="{00000000-0008-0000-0500-00006B070000}"/>
            </a:ext>
          </a:extLst>
        </xdr:cNvPr>
        <xdr:cNvSpPr txBox="1">
          <a:spLocks noChangeArrowheads="1"/>
        </xdr:cNvSpPr>
      </xdr:nvSpPr>
      <xdr:spPr bwMode="auto">
        <a:xfrm>
          <a:off x="9398454" y="4708071"/>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96</xdr:row>
      <xdr:rowOff>0</xdr:rowOff>
    </xdr:from>
    <xdr:ext cx="95250" cy="171450"/>
    <xdr:sp macro="" textlink="">
      <xdr:nvSpPr>
        <xdr:cNvPr id="1900" name="Text Box 19">
          <a:extLst>
            <a:ext uri="{FF2B5EF4-FFF2-40B4-BE49-F238E27FC236}">
              <a16:creationId xmlns:a16="http://schemas.microsoft.com/office/drawing/2014/main" id="{00000000-0008-0000-0500-00006C070000}"/>
            </a:ext>
          </a:extLst>
        </xdr:cNvPr>
        <xdr:cNvSpPr txBox="1">
          <a:spLocks noChangeArrowheads="1"/>
        </xdr:cNvSpPr>
      </xdr:nvSpPr>
      <xdr:spPr bwMode="auto">
        <a:xfrm>
          <a:off x="9398454" y="4708071"/>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102</xdr:row>
      <xdr:rowOff>0</xdr:rowOff>
    </xdr:from>
    <xdr:ext cx="95250" cy="171450"/>
    <xdr:sp macro="" textlink="">
      <xdr:nvSpPr>
        <xdr:cNvPr id="1901" name="Text Box 16">
          <a:extLst>
            <a:ext uri="{FF2B5EF4-FFF2-40B4-BE49-F238E27FC236}">
              <a16:creationId xmlns:a16="http://schemas.microsoft.com/office/drawing/2014/main" id="{00000000-0008-0000-0500-00006D070000}"/>
            </a:ext>
          </a:extLst>
        </xdr:cNvPr>
        <xdr:cNvSpPr txBox="1">
          <a:spLocks noChangeArrowheads="1"/>
        </xdr:cNvSpPr>
      </xdr:nvSpPr>
      <xdr:spPr bwMode="auto">
        <a:xfrm>
          <a:off x="3710214" y="5252357"/>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102</xdr:row>
      <xdr:rowOff>0</xdr:rowOff>
    </xdr:from>
    <xdr:ext cx="95250" cy="171450"/>
    <xdr:sp macro="" textlink="">
      <xdr:nvSpPr>
        <xdr:cNvPr id="1902" name="Text Box 17">
          <a:extLst>
            <a:ext uri="{FF2B5EF4-FFF2-40B4-BE49-F238E27FC236}">
              <a16:creationId xmlns:a16="http://schemas.microsoft.com/office/drawing/2014/main" id="{00000000-0008-0000-0500-00006E070000}"/>
            </a:ext>
          </a:extLst>
        </xdr:cNvPr>
        <xdr:cNvSpPr txBox="1">
          <a:spLocks noChangeArrowheads="1"/>
        </xdr:cNvSpPr>
      </xdr:nvSpPr>
      <xdr:spPr bwMode="auto">
        <a:xfrm>
          <a:off x="3710214" y="5252357"/>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102</xdr:row>
      <xdr:rowOff>0</xdr:rowOff>
    </xdr:from>
    <xdr:ext cx="95250" cy="171450"/>
    <xdr:sp macro="" textlink="">
      <xdr:nvSpPr>
        <xdr:cNvPr id="1903" name="Text Box 18">
          <a:extLst>
            <a:ext uri="{FF2B5EF4-FFF2-40B4-BE49-F238E27FC236}">
              <a16:creationId xmlns:a16="http://schemas.microsoft.com/office/drawing/2014/main" id="{00000000-0008-0000-0500-00006F070000}"/>
            </a:ext>
          </a:extLst>
        </xdr:cNvPr>
        <xdr:cNvSpPr txBox="1">
          <a:spLocks noChangeArrowheads="1"/>
        </xdr:cNvSpPr>
      </xdr:nvSpPr>
      <xdr:spPr bwMode="auto">
        <a:xfrm>
          <a:off x="3710214" y="5252357"/>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102</xdr:row>
      <xdr:rowOff>0</xdr:rowOff>
    </xdr:from>
    <xdr:ext cx="95250" cy="171450"/>
    <xdr:sp macro="" textlink="">
      <xdr:nvSpPr>
        <xdr:cNvPr id="1904" name="Text Box 19">
          <a:extLst>
            <a:ext uri="{FF2B5EF4-FFF2-40B4-BE49-F238E27FC236}">
              <a16:creationId xmlns:a16="http://schemas.microsoft.com/office/drawing/2014/main" id="{00000000-0008-0000-0500-000070070000}"/>
            </a:ext>
          </a:extLst>
        </xdr:cNvPr>
        <xdr:cNvSpPr txBox="1">
          <a:spLocks noChangeArrowheads="1"/>
        </xdr:cNvSpPr>
      </xdr:nvSpPr>
      <xdr:spPr bwMode="auto">
        <a:xfrm>
          <a:off x="3710214" y="5252357"/>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102</xdr:row>
      <xdr:rowOff>504825</xdr:rowOff>
    </xdr:from>
    <xdr:ext cx="95250" cy="448496"/>
    <xdr:sp macro="" textlink="">
      <xdr:nvSpPr>
        <xdr:cNvPr id="1905" name="Text Box 15">
          <a:extLst>
            <a:ext uri="{FF2B5EF4-FFF2-40B4-BE49-F238E27FC236}">
              <a16:creationId xmlns:a16="http://schemas.microsoft.com/office/drawing/2014/main" id="{00000000-0008-0000-0500-000071070000}"/>
            </a:ext>
          </a:extLst>
        </xdr:cNvPr>
        <xdr:cNvSpPr txBox="1">
          <a:spLocks noChangeArrowheads="1"/>
        </xdr:cNvSpPr>
      </xdr:nvSpPr>
      <xdr:spPr bwMode="auto">
        <a:xfrm>
          <a:off x="3710214" y="5433332"/>
          <a:ext cx="95250" cy="448496"/>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102</xdr:row>
      <xdr:rowOff>0</xdr:rowOff>
    </xdr:from>
    <xdr:ext cx="95250" cy="171450"/>
    <xdr:sp macro="" textlink="">
      <xdr:nvSpPr>
        <xdr:cNvPr id="1906" name="Text Box 16">
          <a:extLst>
            <a:ext uri="{FF2B5EF4-FFF2-40B4-BE49-F238E27FC236}">
              <a16:creationId xmlns:a16="http://schemas.microsoft.com/office/drawing/2014/main" id="{00000000-0008-0000-0500-000072070000}"/>
            </a:ext>
          </a:extLst>
        </xdr:cNvPr>
        <xdr:cNvSpPr txBox="1">
          <a:spLocks noChangeArrowheads="1"/>
        </xdr:cNvSpPr>
      </xdr:nvSpPr>
      <xdr:spPr bwMode="auto">
        <a:xfrm>
          <a:off x="6555468" y="5252357"/>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102</xdr:row>
      <xdr:rowOff>0</xdr:rowOff>
    </xdr:from>
    <xdr:ext cx="95250" cy="171450"/>
    <xdr:sp macro="" textlink="">
      <xdr:nvSpPr>
        <xdr:cNvPr id="1907" name="Text Box 17">
          <a:extLst>
            <a:ext uri="{FF2B5EF4-FFF2-40B4-BE49-F238E27FC236}">
              <a16:creationId xmlns:a16="http://schemas.microsoft.com/office/drawing/2014/main" id="{00000000-0008-0000-0500-000073070000}"/>
            </a:ext>
          </a:extLst>
        </xdr:cNvPr>
        <xdr:cNvSpPr txBox="1">
          <a:spLocks noChangeArrowheads="1"/>
        </xdr:cNvSpPr>
      </xdr:nvSpPr>
      <xdr:spPr bwMode="auto">
        <a:xfrm>
          <a:off x="6555468" y="5252357"/>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102</xdr:row>
      <xdr:rowOff>0</xdr:rowOff>
    </xdr:from>
    <xdr:ext cx="95250" cy="171450"/>
    <xdr:sp macro="" textlink="">
      <xdr:nvSpPr>
        <xdr:cNvPr id="1908" name="Text Box 18">
          <a:extLst>
            <a:ext uri="{FF2B5EF4-FFF2-40B4-BE49-F238E27FC236}">
              <a16:creationId xmlns:a16="http://schemas.microsoft.com/office/drawing/2014/main" id="{00000000-0008-0000-0500-000074070000}"/>
            </a:ext>
          </a:extLst>
        </xdr:cNvPr>
        <xdr:cNvSpPr txBox="1">
          <a:spLocks noChangeArrowheads="1"/>
        </xdr:cNvSpPr>
      </xdr:nvSpPr>
      <xdr:spPr bwMode="auto">
        <a:xfrm>
          <a:off x="6555468" y="5252357"/>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102</xdr:row>
      <xdr:rowOff>0</xdr:rowOff>
    </xdr:from>
    <xdr:ext cx="95250" cy="171450"/>
    <xdr:sp macro="" textlink="">
      <xdr:nvSpPr>
        <xdr:cNvPr id="1909" name="Text Box 19">
          <a:extLst>
            <a:ext uri="{FF2B5EF4-FFF2-40B4-BE49-F238E27FC236}">
              <a16:creationId xmlns:a16="http://schemas.microsoft.com/office/drawing/2014/main" id="{00000000-0008-0000-0500-000075070000}"/>
            </a:ext>
          </a:extLst>
        </xdr:cNvPr>
        <xdr:cNvSpPr txBox="1">
          <a:spLocks noChangeArrowheads="1"/>
        </xdr:cNvSpPr>
      </xdr:nvSpPr>
      <xdr:spPr bwMode="auto">
        <a:xfrm>
          <a:off x="6555468" y="5252357"/>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102</xdr:row>
      <xdr:rowOff>504825</xdr:rowOff>
    </xdr:from>
    <xdr:ext cx="95250" cy="442269"/>
    <xdr:sp macro="" textlink="">
      <xdr:nvSpPr>
        <xdr:cNvPr id="1910" name="Text Box 15">
          <a:extLst>
            <a:ext uri="{FF2B5EF4-FFF2-40B4-BE49-F238E27FC236}">
              <a16:creationId xmlns:a16="http://schemas.microsoft.com/office/drawing/2014/main" id="{00000000-0008-0000-0500-000076070000}"/>
            </a:ext>
          </a:extLst>
        </xdr:cNvPr>
        <xdr:cNvSpPr txBox="1">
          <a:spLocks noChangeArrowheads="1"/>
        </xdr:cNvSpPr>
      </xdr:nvSpPr>
      <xdr:spPr bwMode="auto">
        <a:xfrm>
          <a:off x="6555468" y="5433332"/>
          <a:ext cx="95250" cy="442269"/>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21</xdr:col>
      <xdr:colOff>0</xdr:colOff>
      <xdr:row>102</xdr:row>
      <xdr:rowOff>0</xdr:rowOff>
    </xdr:from>
    <xdr:ext cx="95250" cy="171450"/>
    <xdr:sp macro="" textlink="">
      <xdr:nvSpPr>
        <xdr:cNvPr id="1911" name="Text Box 16">
          <a:extLst>
            <a:ext uri="{FF2B5EF4-FFF2-40B4-BE49-F238E27FC236}">
              <a16:creationId xmlns:a16="http://schemas.microsoft.com/office/drawing/2014/main" id="{00000000-0008-0000-0500-000077070000}"/>
            </a:ext>
          </a:extLst>
        </xdr:cNvPr>
        <xdr:cNvSpPr txBox="1">
          <a:spLocks noChangeArrowheads="1"/>
        </xdr:cNvSpPr>
      </xdr:nvSpPr>
      <xdr:spPr bwMode="auto">
        <a:xfrm>
          <a:off x="15475857" y="5252357"/>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21</xdr:col>
      <xdr:colOff>0</xdr:colOff>
      <xdr:row>102</xdr:row>
      <xdr:rowOff>0</xdr:rowOff>
    </xdr:from>
    <xdr:ext cx="95250" cy="171450"/>
    <xdr:sp macro="" textlink="">
      <xdr:nvSpPr>
        <xdr:cNvPr id="1912" name="Text Box 17">
          <a:extLst>
            <a:ext uri="{FF2B5EF4-FFF2-40B4-BE49-F238E27FC236}">
              <a16:creationId xmlns:a16="http://schemas.microsoft.com/office/drawing/2014/main" id="{00000000-0008-0000-0500-000078070000}"/>
            </a:ext>
          </a:extLst>
        </xdr:cNvPr>
        <xdr:cNvSpPr txBox="1">
          <a:spLocks noChangeArrowheads="1"/>
        </xdr:cNvSpPr>
      </xdr:nvSpPr>
      <xdr:spPr bwMode="auto">
        <a:xfrm>
          <a:off x="15475857" y="5252357"/>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21</xdr:col>
      <xdr:colOff>0</xdr:colOff>
      <xdr:row>102</xdr:row>
      <xdr:rowOff>0</xdr:rowOff>
    </xdr:from>
    <xdr:ext cx="95250" cy="171450"/>
    <xdr:sp macro="" textlink="">
      <xdr:nvSpPr>
        <xdr:cNvPr id="1913" name="Text Box 18">
          <a:extLst>
            <a:ext uri="{FF2B5EF4-FFF2-40B4-BE49-F238E27FC236}">
              <a16:creationId xmlns:a16="http://schemas.microsoft.com/office/drawing/2014/main" id="{00000000-0008-0000-0500-000079070000}"/>
            </a:ext>
          </a:extLst>
        </xdr:cNvPr>
        <xdr:cNvSpPr txBox="1">
          <a:spLocks noChangeArrowheads="1"/>
        </xdr:cNvSpPr>
      </xdr:nvSpPr>
      <xdr:spPr bwMode="auto">
        <a:xfrm>
          <a:off x="15475857" y="5252357"/>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21</xdr:col>
      <xdr:colOff>0</xdr:colOff>
      <xdr:row>102</xdr:row>
      <xdr:rowOff>0</xdr:rowOff>
    </xdr:from>
    <xdr:ext cx="95250" cy="171450"/>
    <xdr:sp macro="" textlink="">
      <xdr:nvSpPr>
        <xdr:cNvPr id="1914" name="Text Box 19">
          <a:extLst>
            <a:ext uri="{FF2B5EF4-FFF2-40B4-BE49-F238E27FC236}">
              <a16:creationId xmlns:a16="http://schemas.microsoft.com/office/drawing/2014/main" id="{00000000-0008-0000-0500-00007A070000}"/>
            </a:ext>
          </a:extLst>
        </xdr:cNvPr>
        <xdr:cNvSpPr txBox="1">
          <a:spLocks noChangeArrowheads="1"/>
        </xdr:cNvSpPr>
      </xdr:nvSpPr>
      <xdr:spPr bwMode="auto">
        <a:xfrm>
          <a:off x="15475857" y="5252357"/>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21</xdr:col>
      <xdr:colOff>0</xdr:colOff>
      <xdr:row>102</xdr:row>
      <xdr:rowOff>504825</xdr:rowOff>
    </xdr:from>
    <xdr:ext cx="95250" cy="442269"/>
    <xdr:sp macro="" textlink="">
      <xdr:nvSpPr>
        <xdr:cNvPr id="1915" name="Text Box 15">
          <a:extLst>
            <a:ext uri="{FF2B5EF4-FFF2-40B4-BE49-F238E27FC236}">
              <a16:creationId xmlns:a16="http://schemas.microsoft.com/office/drawing/2014/main" id="{00000000-0008-0000-0500-00007B070000}"/>
            </a:ext>
          </a:extLst>
        </xdr:cNvPr>
        <xdr:cNvSpPr txBox="1">
          <a:spLocks noChangeArrowheads="1"/>
        </xdr:cNvSpPr>
      </xdr:nvSpPr>
      <xdr:spPr bwMode="auto">
        <a:xfrm>
          <a:off x="15475857" y="5433332"/>
          <a:ext cx="95250" cy="442269"/>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101</xdr:row>
      <xdr:rowOff>504825</xdr:rowOff>
    </xdr:from>
    <xdr:ext cx="95250" cy="444014"/>
    <xdr:sp macro="" textlink="">
      <xdr:nvSpPr>
        <xdr:cNvPr id="1916" name="Text Box 15">
          <a:extLst>
            <a:ext uri="{FF2B5EF4-FFF2-40B4-BE49-F238E27FC236}">
              <a16:creationId xmlns:a16="http://schemas.microsoft.com/office/drawing/2014/main" id="{00000000-0008-0000-0500-00007C070000}"/>
            </a:ext>
          </a:extLst>
        </xdr:cNvPr>
        <xdr:cNvSpPr txBox="1">
          <a:spLocks noChangeArrowheads="1"/>
        </xdr:cNvSpPr>
      </xdr:nvSpPr>
      <xdr:spPr bwMode="auto">
        <a:xfrm>
          <a:off x="3710214" y="5245554"/>
          <a:ext cx="95250" cy="444014"/>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102</xdr:row>
      <xdr:rowOff>0</xdr:rowOff>
    </xdr:from>
    <xdr:ext cx="95250" cy="171450"/>
    <xdr:sp macro="" textlink="">
      <xdr:nvSpPr>
        <xdr:cNvPr id="1917" name="Text Box 16">
          <a:extLst>
            <a:ext uri="{FF2B5EF4-FFF2-40B4-BE49-F238E27FC236}">
              <a16:creationId xmlns:a16="http://schemas.microsoft.com/office/drawing/2014/main" id="{00000000-0008-0000-0500-00007D070000}"/>
            </a:ext>
          </a:extLst>
        </xdr:cNvPr>
        <xdr:cNvSpPr txBox="1">
          <a:spLocks noChangeArrowheads="1"/>
        </xdr:cNvSpPr>
      </xdr:nvSpPr>
      <xdr:spPr bwMode="auto">
        <a:xfrm>
          <a:off x="3710214" y="5252357"/>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102</xdr:row>
      <xdr:rowOff>0</xdr:rowOff>
    </xdr:from>
    <xdr:ext cx="95250" cy="171450"/>
    <xdr:sp macro="" textlink="">
      <xdr:nvSpPr>
        <xdr:cNvPr id="1918" name="Text Box 17">
          <a:extLst>
            <a:ext uri="{FF2B5EF4-FFF2-40B4-BE49-F238E27FC236}">
              <a16:creationId xmlns:a16="http://schemas.microsoft.com/office/drawing/2014/main" id="{00000000-0008-0000-0500-00007E070000}"/>
            </a:ext>
          </a:extLst>
        </xdr:cNvPr>
        <xdr:cNvSpPr txBox="1">
          <a:spLocks noChangeArrowheads="1"/>
        </xdr:cNvSpPr>
      </xdr:nvSpPr>
      <xdr:spPr bwMode="auto">
        <a:xfrm>
          <a:off x="3710214" y="5252357"/>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102</xdr:row>
      <xdr:rowOff>0</xdr:rowOff>
    </xdr:from>
    <xdr:ext cx="95250" cy="171450"/>
    <xdr:sp macro="" textlink="">
      <xdr:nvSpPr>
        <xdr:cNvPr id="1919" name="Text Box 18">
          <a:extLst>
            <a:ext uri="{FF2B5EF4-FFF2-40B4-BE49-F238E27FC236}">
              <a16:creationId xmlns:a16="http://schemas.microsoft.com/office/drawing/2014/main" id="{00000000-0008-0000-0500-00007F070000}"/>
            </a:ext>
          </a:extLst>
        </xdr:cNvPr>
        <xdr:cNvSpPr txBox="1">
          <a:spLocks noChangeArrowheads="1"/>
        </xdr:cNvSpPr>
      </xdr:nvSpPr>
      <xdr:spPr bwMode="auto">
        <a:xfrm>
          <a:off x="3710214" y="5252357"/>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102</xdr:row>
      <xdr:rowOff>0</xdr:rowOff>
    </xdr:from>
    <xdr:ext cx="95250" cy="171450"/>
    <xdr:sp macro="" textlink="">
      <xdr:nvSpPr>
        <xdr:cNvPr id="1920" name="Text Box 19">
          <a:extLst>
            <a:ext uri="{FF2B5EF4-FFF2-40B4-BE49-F238E27FC236}">
              <a16:creationId xmlns:a16="http://schemas.microsoft.com/office/drawing/2014/main" id="{00000000-0008-0000-0500-000080070000}"/>
            </a:ext>
          </a:extLst>
        </xdr:cNvPr>
        <xdr:cNvSpPr txBox="1">
          <a:spLocks noChangeArrowheads="1"/>
        </xdr:cNvSpPr>
      </xdr:nvSpPr>
      <xdr:spPr bwMode="auto">
        <a:xfrm>
          <a:off x="3710214" y="5252357"/>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102</xdr:row>
      <xdr:rowOff>504825</xdr:rowOff>
    </xdr:from>
    <xdr:ext cx="95250" cy="213632"/>
    <xdr:sp macro="" textlink="">
      <xdr:nvSpPr>
        <xdr:cNvPr id="1921" name="Text Box 15">
          <a:extLst>
            <a:ext uri="{FF2B5EF4-FFF2-40B4-BE49-F238E27FC236}">
              <a16:creationId xmlns:a16="http://schemas.microsoft.com/office/drawing/2014/main" id="{00000000-0008-0000-0500-000081070000}"/>
            </a:ext>
          </a:extLst>
        </xdr:cNvPr>
        <xdr:cNvSpPr txBox="1">
          <a:spLocks noChangeArrowheads="1"/>
        </xdr:cNvSpPr>
      </xdr:nvSpPr>
      <xdr:spPr bwMode="auto">
        <a:xfrm>
          <a:off x="3710214" y="543333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102</xdr:row>
      <xdr:rowOff>504825</xdr:rowOff>
    </xdr:from>
    <xdr:ext cx="95250" cy="444331"/>
    <xdr:sp macro="" textlink="">
      <xdr:nvSpPr>
        <xdr:cNvPr id="1922" name="Text Box 15">
          <a:extLst>
            <a:ext uri="{FF2B5EF4-FFF2-40B4-BE49-F238E27FC236}">
              <a16:creationId xmlns:a16="http://schemas.microsoft.com/office/drawing/2014/main" id="{00000000-0008-0000-0500-000082070000}"/>
            </a:ext>
          </a:extLst>
        </xdr:cNvPr>
        <xdr:cNvSpPr txBox="1">
          <a:spLocks noChangeArrowheads="1"/>
        </xdr:cNvSpPr>
      </xdr:nvSpPr>
      <xdr:spPr bwMode="auto">
        <a:xfrm>
          <a:off x="3710214" y="5433332"/>
          <a:ext cx="95250" cy="444331"/>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101</xdr:row>
      <xdr:rowOff>504825</xdr:rowOff>
    </xdr:from>
    <xdr:ext cx="95250" cy="442269"/>
    <xdr:sp macro="" textlink="">
      <xdr:nvSpPr>
        <xdr:cNvPr id="1923" name="Text Box 15">
          <a:extLst>
            <a:ext uri="{FF2B5EF4-FFF2-40B4-BE49-F238E27FC236}">
              <a16:creationId xmlns:a16="http://schemas.microsoft.com/office/drawing/2014/main" id="{00000000-0008-0000-0500-000083070000}"/>
            </a:ext>
          </a:extLst>
        </xdr:cNvPr>
        <xdr:cNvSpPr txBox="1">
          <a:spLocks noChangeArrowheads="1"/>
        </xdr:cNvSpPr>
      </xdr:nvSpPr>
      <xdr:spPr bwMode="auto">
        <a:xfrm>
          <a:off x="6555468" y="5245554"/>
          <a:ext cx="95250" cy="442269"/>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102</xdr:row>
      <xdr:rowOff>0</xdr:rowOff>
    </xdr:from>
    <xdr:ext cx="95250" cy="171450"/>
    <xdr:sp macro="" textlink="">
      <xdr:nvSpPr>
        <xdr:cNvPr id="1924" name="Text Box 16">
          <a:extLst>
            <a:ext uri="{FF2B5EF4-FFF2-40B4-BE49-F238E27FC236}">
              <a16:creationId xmlns:a16="http://schemas.microsoft.com/office/drawing/2014/main" id="{00000000-0008-0000-0500-000084070000}"/>
            </a:ext>
          </a:extLst>
        </xdr:cNvPr>
        <xdr:cNvSpPr txBox="1">
          <a:spLocks noChangeArrowheads="1"/>
        </xdr:cNvSpPr>
      </xdr:nvSpPr>
      <xdr:spPr bwMode="auto">
        <a:xfrm>
          <a:off x="6555468" y="5252357"/>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102</xdr:row>
      <xdr:rowOff>0</xdr:rowOff>
    </xdr:from>
    <xdr:ext cx="95250" cy="171450"/>
    <xdr:sp macro="" textlink="">
      <xdr:nvSpPr>
        <xdr:cNvPr id="1925" name="Text Box 17">
          <a:extLst>
            <a:ext uri="{FF2B5EF4-FFF2-40B4-BE49-F238E27FC236}">
              <a16:creationId xmlns:a16="http://schemas.microsoft.com/office/drawing/2014/main" id="{00000000-0008-0000-0500-000085070000}"/>
            </a:ext>
          </a:extLst>
        </xdr:cNvPr>
        <xdr:cNvSpPr txBox="1">
          <a:spLocks noChangeArrowheads="1"/>
        </xdr:cNvSpPr>
      </xdr:nvSpPr>
      <xdr:spPr bwMode="auto">
        <a:xfrm>
          <a:off x="6555468" y="5252357"/>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102</xdr:row>
      <xdr:rowOff>0</xdr:rowOff>
    </xdr:from>
    <xdr:ext cx="95250" cy="171450"/>
    <xdr:sp macro="" textlink="">
      <xdr:nvSpPr>
        <xdr:cNvPr id="1926" name="Text Box 18">
          <a:extLst>
            <a:ext uri="{FF2B5EF4-FFF2-40B4-BE49-F238E27FC236}">
              <a16:creationId xmlns:a16="http://schemas.microsoft.com/office/drawing/2014/main" id="{00000000-0008-0000-0500-000086070000}"/>
            </a:ext>
          </a:extLst>
        </xdr:cNvPr>
        <xdr:cNvSpPr txBox="1">
          <a:spLocks noChangeArrowheads="1"/>
        </xdr:cNvSpPr>
      </xdr:nvSpPr>
      <xdr:spPr bwMode="auto">
        <a:xfrm>
          <a:off x="6555468" y="5252357"/>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102</xdr:row>
      <xdr:rowOff>504825</xdr:rowOff>
    </xdr:from>
    <xdr:ext cx="95250" cy="213632"/>
    <xdr:sp macro="" textlink="">
      <xdr:nvSpPr>
        <xdr:cNvPr id="1927" name="Text Box 15">
          <a:extLst>
            <a:ext uri="{FF2B5EF4-FFF2-40B4-BE49-F238E27FC236}">
              <a16:creationId xmlns:a16="http://schemas.microsoft.com/office/drawing/2014/main" id="{00000000-0008-0000-0500-000087070000}"/>
            </a:ext>
          </a:extLst>
        </xdr:cNvPr>
        <xdr:cNvSpPr txBox="1">
          <a:spLocks noChangeArrowheads="1"/>
        </xdr:cNvSpPr>
      </xdr:nvSpPr>
      <xdr:spPr bwMode="auto">
        <a:xfrm>
          <a:off x="6555468" y="5433332"/>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102</xdr:row>
      <xdr:rowOff>0</xdr:rowOff>
    </xdr:from>
    <xdr:ext cx="95250" cy="171450"/>
    <xdr:sp macro="" textlink="">
      <xdr:nvSpPr>
        <xdr:cNvPr id="1928" name="Text Box 16">
          <a:extLst>
            <a:ext uri="{FF2B5EF4-FFF2-40B4-BE49-F238E27FC236}">
              <a16:creationId xmlns:a16="http://schemas.microsoft.com/office/drawing/2014/main" id="{00000000-0008-0000-0500-000088070000}"/>
            </a:ext>
          </a:extLst>
        </xdr:cNvPr>
        <xdr:cNvSpPr txBox="1">
          <a:spLocks noChangeArrowheads="1"/>
        </xdr:cNvSpPr>
      </xdr:nvSpPr>
      <xdr:spPr bwMode="auto">
        <a:xfrm>
          <a:off x="9398454" y="5252357"/>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102</xdr:row>
      <xdr:rowOff>0</xdr:rowOff>
    </xdr:from>
    <xdr:ext cx="95250" cy="171450"/>
    <xdr:sp macro="" textlink="">
      <xdr:nvSpPr>
        <xdr:cNvPr id="1929" name="Text Box 17">
          <a:extLst>
            <a:ext uri="{FF2B5EF4-FFF2-40B4-BE49-F238E27FC236}">
              <a16:creationId xmlns:a16="http://schemas.microsoft.com/office/drawing/2014/main" id="{00000000-0008-0000-0500-000089070000}"/>
            </a:ext>
          </a:extLst>
        </xdr:cNvPr>
        <xdr:cNvSpPr txBox="1">
          <a:spLocks noChangeArrowheads="1"/>
        </xdr:cNvSpPr>
      </xdr:nvSpPr>
      <xdr:spPr bwMode="auto">
        <a:xfrm>
          <a:off x="9398454" y="5252357"/>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102</xdr:row>
      <xdr:rowOff>0</xdr:rowOff>
    </xdr:from>
    <xdr:ext cx="95250" cy="171450"/>
    <xdr:sp macro="" textlink="">
      <xdr:nvSpPr>
        <xdr:cNvPr id="1930" name="Text Box 18">
          <a:extLst>
            <a:ext uri="{FF2B5EF4-FFF2-40B4-BE49-F238E27FC236}">
              <a16:creationId xmlns:a16="http://schemas.microsoft.com/office/drawing/2014/main" id="{00000000-0008-0000-0500-00008A070000}"/>
            </a:ext>
          </a:extLst>
        </xdr:cNvPr>
        <xdr:cNvSpPr txBox="1">
          <a:spLocks noChangeArrowheads="1"/>
        </xdr:cNvSpPr>
      </xdr:nvSpPr>
      <xdr:spPr bwMode="auto">
        <a:xfrm>
          <a:off x="9398454" y="5252357"/>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102</xdr:row>
      <xdr:rowOff>0</xdr:rowOff>
    </xdr:from>
    <xdr:ext cx="95250" cy="171450"/>
    <xdr:sp macro="" textlink="">
      <xdr:nvSpPr>
        <xdr:cNvPr id="1931" name="Text Box 19">
          <a:extLst>
            <a:ext uri="{FF2B5EF4-FFF2-40B4-BE49-F238E27FC236}">
              <a16:creationId xmlns:a16="http://schemas.microsoft.com/office/drawing/2014/main" id="{00000000-0008-0000-0500-00008B070000}"/>
            </a:ext>
          </a:extLst>
        </xdr:cNvPr>
        <xdr:cNvSpPr txBox="1">
          <a:spLocks noChangeArrowheads="1"/>
        </xdr:cNvSpPr>
      </xdr:nvSpPr>
      <xdr:spPr bwMode="auto">
        <a:xfrm>
          <a:off x="9398454" y="5252357"/>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102</xdr:row>
      <xdr:rowOff>0</xdr:rowOff>
    </xdr:from>
    <xdr:ext cx="95250" cy="171450"/>
    <xdr:sp macro="" textlink="">
      <xdr:nvSpPr>
        <xdr:cNvPr id="1932" name="Text Box 16">
          <a:extLst>
            <a:ext uri="{FF2B5EF4-FFF2-40B4-BE49-F238E27FC236}">
              <a16:creationId xmlns:a16="http://schemas.microsoft.com/office/drawing/2014/main" id="{00000000-0008-0000-0500-00008C070000}"/>
            </a:ext>
          </a:extLst>
        </xdr:cNvPr>
        <xdr:cNvSpPr txBox="1">
          <a:spLocks noChangeArrowheads="1"/>
        </xdr:cNvSpPr>
      </xdr:nvSpPr>
      <xdr:spPr bwMode="auto">
        <a:xfrm>
          <a:off x="9398454" y="5252357"/>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102</xdr:row>
      <xdr:rowOff>0</xdr:rowOff>
    </xdr:from>
    <xdr:ext cx="95250" cy="171450"/>
    <xdr:sp macro="" textlink="">
      <xdr:nvSpPr>
        <xdr:cNvPr id="1933" name="Text Box 17">
          <a:extLst>
            <a:ext uri="{FF2B5EF4-FFF2-40B4-BE49-F238E27FC236}">
              <a16:creationId xmlns:a16="http://schemas.microsoft.com/office/drawing/2014/main" id="{00000000-0008-0000-0500-00008D070000}"/>
            </a:ext>
          </a:extLst>
        </xdr:cNvPr>
        <xdr:cNvSpPr txBox="1">
          <a:spLocks noChangeArrowheads="1"/>
        </xdr:cNvSpPr>
      </xdr:nvSpPr>
      <xdr:spPr bwMode="auto">
        <a:xfrm>
          <a:off x="9398454" y="5252357"/>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102</xdr:row>
      <xdr:rowOff>0</xdr:rowOff>
    </xdr:from>
    <xdr:ext cx="95250" cy="171450"/>
    <xdr:sp macro="" textlink="">
      <xdr:nvSpPr>
        <xdr:cNvPr id="1934" name="Text Box 18">
          <a:extLst>
            <a:ext uri="{FF2B5EF4-FFF2-40B4-BE49-F238E27FC236}">
              <a16:creationId xmlns:a16="http://schemas.microsoft.com/office/drawing/2014/main" id="{00000000-0008-0000-0500-00008E070000}"/>
            </a:ext>
          </a:extLst>
        </xdr:cNvPr>
        <xdr:cNvSpPr txBox="1">
          <a:spLocks noChangeArrowheads="1"/>
        </xdr:cNvSpPr>
      </xdr:nvSpPr>
      <xdr:spPr bwMode="auto">
        <a:xfrm>
          <a:off x="9398454" y="5252357"/>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102</xdr:row>
      <xdr:rowOff>0</xdr:rowOff>
    </xdr:from>
    <xdr:ext cx="95250" cy="171450"/>
    <xdr:sp macro="" textlink="">
      <xdr:nvSpPr>
        <xdr:cNvPr id="1935" name="Text Box 19">
          <a:extLst>
            <a:ext uri="{FF2B5EF4-FFF2-40B4-BE49-F238E27FC236}">
              <a16:creationId xmlns:a16="http://schemas.microsoft.com/office/drawing/2014/main" id="{00000000-0008-0000-0500-00008F070000}"/>
            </a:ext>
          </a:extLst>
        </xdr:cNvPr>
        <xdr:cNvSpPr txBox="1">
          <a:spLocks noChangeArrowheads="1"/>
        </xdr:cNvSpPr>
      </xdr:nvSpPr>
      <xdr:spPr bwMode="auto">
        <a:xfrm>
          <a:off x="9398454" y="5252357"/>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108</xdr:row>
      <xdr:rowOff>0</xdr:rowOff>
    </xdr:from>
    <xdr:ext cx="95250" cy="171450"/>
    <xdr:sp macro="" textlink="">
      <xdr:nvSpPr>
        <xdr:cNvPr id="1936" name="Text Box 16">
          <a:extLst>
            <a:ext uri="{FF2B5EF4-FFF2-40B4-BE49-F238E27FC236}">
              <a16:creationId xmlns:a16="http://schemas.microsoft.com/office/drawing/2014/main" id="{00000000-0008-0000-0500-000090070000}"/>
            </a:ext>
          </a:extLst>
        </xdr:cNvPr>
        <xdr:cNvSpPr txBox="1">
          <a:spLocks noChangeArrowheads="1"/>
        </xdr:cNvSpPr>
      </xdr:nvSpPr>
      <xdr:spPr bwMode="auto">
        <a:xfrm>
          <a:off x="3710214" y="5796643"/>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108</xdr:row>
      <xdr:rowOff>0</xdr:rowOff>
    </xdr:from>
    <xdr:ext cx="95250" cy="171450"/>
    <xdr:sp macro="" textlink="">
      <xdr:nvSpPr>
        <xdr:cNvPr id="1937" name="Text Box 17">
          <a:extLst>
            <a:ext uri="{FF2B5EF4-FFF2-40B4-BE49-F238E27FC236}">
              <a16:creationId xmlns:a16="http://schemas.microsoft.com/office/drawing/2014/main" id="{00000000-0008-0000-0500-000091070000}"/>
            </a:ext>
          </a:extLst>
        </xdr:cNvPr>
        <xdr:cNvSpPr txBox="1">
          <a:spLocks noChangeArrowheads="1"/>
        </xdr:cNvSpPr>
      </xdr:nvSpPr>
      <xdr:spPr bwMode="auto">
        <a:xfrm>
          <a:off x="3710214" y="5796643"/>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108</xdr:row>
      <xdr:rowOff>0</xdr:rowOff>
    </xdr:from>
    <xdr:ext cx="95250" cy="171450"/>
    <xdr:sp macro="" textlink="">
      <xdr:nvSpPr>
        <xdr:cNvPr id="1938" name="Text Box 18">
          <a:extLst>
            <a:ext uri="{FF2B5EF4-FFF2-40B4-BE49-F238E27FC236}">
              <a16:creationId xmlns:a16="http://schemas.microsoft.com/office/drawing/2014/main" id="{00000000-0008-0000-0500-000092070000}"/>
            </a:ext>
          </a:extLst>
        </xdr:cNvPr>
        <xdr:cNvSpPr txBox="1">
          <a:spLocks noChangeArrowheads="1"/>
        </xdr:cNvSpPr>
      </xdr:nvSpPr>
      <xdr:spPr bwMode="auto">
        <a:xfrm>
          <a:off x="3710214" y="5796643"/>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108</xdr:row>
      <xdr:rowOff>0</xdr:rowOff>
    </xdr:from>
    <xdr:ext cx="95250" cy="171450"/>
    <xdr:sp macro="" textlink="">
      <xdr:nvSpPr>
        <xdr:cNvPr id="1939" name="Text Box 19">
          <a:extLst>
            <a:ext uri="{FF2B5EF4-FFF2-40B4-BE49-F238E27FC236}">
              <a16:creationId xmlns:a16="http://schemas.microsoft.com/office/drawing/2014/main" id="{00000000-0008-0000-0500-000093070000}"/>
            </a:ext>
          </a:extLst>
        </xdr:cNvPr>
        <xdr:cNvSpPr txBox="1">
          <a:spLocks noChangeArrowheads="1"/>
        </xdr:cNvSpPr>
      </xdr:nvSpPr>
      <xdr:spPr bwMode="auto">
        <a:xfrm>
          <a:off x="3710214" y="5796643"/>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108</xdr:row>
      <xdr:rowOff>0</xdr:rowOff>
    </xdr:from>
    <xdr:ext cx="95250" cy="171450"/>
    <xdr:sp macro="" textlink="">
      <xdr:nvSpPr>
        <xdr:cNvPr id="1940" name="Text Box 16">
          <a:extLst>
            <a:ext uri="{FF2B5EF4-FFF2-40B4-BE49-F238E27FC236}">
              <a16:creationId xmlns:a16="http://schemas.microsoft.com/office/drawing/2014/main" id="{00000000-0008-0000-0500-000094070000}"/>
            </a:ext>
          </a:extLst>
        </xdr:cNvPr>
        <xdr:cNvSpPr txBox="1">
          <a:spLocks noChangeArrowheads="1"/>
        </xdr:cNvSpPr>
      </xdr:nvSpPr>
      <xdr:spPr bwMode="auto">
        <a:xfrm>
          <a:off x="6555468" y="5796643"/>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108</xdr:row>
      <xdr:rowOff>0</xdr:rowOff>
    </xdr:from>
    <xdr:ext cx="95250" cy="171450"/>
    <xdr:sp macro="" textlink="">
      <xdr:nvSpPr>
        <xdr:cNvPr id="1941" name="Text Box 17">
          <a:extLst>
            <a:ext uri="{FF2B5EF4-FFF2-40B4-BE49-F238E27FC236}">
              <a16:creationId xmlns:a16="http://schemas.microsoft.com/office/drawing/2014/main" id="{00000000-0008-0000-0500-000095070000}"/>
            </a:ext>
          </a:extLst>
        </xdr:cNvPr>
        <xdr:cNvSpPr txBox="1">
          <a:spLocks noChangeArrowheads="1"/>
        </xdr:cNvSpPr>
      </xdr:nvSpPr>
      <xdr:spPr bwMode="auto">
        <a:xfrm>
          <a:off x="6555468" y="5796643"/>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108</xdr:row>
      <xdr:rowOff>0</xdr:rowOff>
    </xdr:from>
    <xdr:ext cx="95250" cy="171450"/>
    <xdr:sp macro="" textlink="">
      <xdr:nvSpPr>
        <xdr:cNvPr id="1942" name="Text Box 18">
          <a:extLst>
            <a:ext uri="{FF2B5EF4-FFF2-40B4-BE49-F238E27FC236}">
              <a16:creationId xmlns:a16="http://schemas.microsoft.com/office/drawing/2014/main" id="{00000000-0008-0000-0500-000096070000}"/>
            </a:ext>
          </a:extLst>
        </xdr:cNvPr>
        <xdr:cNvSpPr txBox="1">
          <a:spLocks noChangeArrowheads="1"/>
        </xdr:cNvSpPr>
      </xdr:nvSpPr>
      <xdr:spPr bwMode="auto">
        <a:xfrm>
          <a:off x="6555468" y="5796643"/>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108</xdr:row>
      <xdr:rowOff>0</xdr:rowOff>
    </xdr:from>
    <xdr:ext cx="95250" cy="171450"/>
    <xdr:sp macro="" textlink="">
      <xdr:nvSpPr>
        <xdr:cNvPr id="1943" name="Text Box 19">
          <a:extLst>
            <a:ext uri="{FF2B5EF4-FFF2-40B4-BE49-F238E27FC236}">
              <a16:creationId xmlns:a16="http://schemas.microsoft.com/office/drawing/2014/main" id="{00000000-0008-0000-0500-000097070000}"/>
            </a:ext>
          </a:extLst>
        </xdr:cNvPr>
        <xdr:cNvSpPr txBox="1">
          <a:spLocks noChangeArrowheads="1"/>
        </xdr:cNvSpPr>
      </xdr:nvSpPr>
      <xdr:spPr bwMode="auto">
        <a:xfrm>
          <a:off x="6555468" y="5796643"/>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21</xdr:col>
      <xdr:colOff>0</xdr:colOff>
      <xdr:row>108</xdr:row>
      <xdr:rowOff>0</xdr:rowOff>
    </xdr:from>
    <xdr:ext cx="95250" cy="171450"/>
    <xdr:sp macro="" textlink="">
      <xdr:nvSpPr>
        <xdr:cNvPr id="1944" name="Text Box 16">
          <a:extLst>
            <a:ext uri="{FF2B5EF4-FFF2-40B4-BE49-F238E27FC236}">
              <a16:creationId xmlns:a16="http://schemas.microsoft.com/office/drawing/2014/main" id="{00000000-0008-0000-0500-000098070000}"/>
            </a:ext>
          </a:extLst>
        </xdr:cNvPr>
        <xdr:cNvSpPr txBox="1">
          <a:spLocks noChangeArrowheads="1"/>
        </xdr:cNvSpPr>
      </xdr:nvSpPr>
      <xdr:spPr bwMode="auto">
        <a:xfrm>
          <a:off x="15475857" y="5796643"/>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21</xdr:col>
      <xdr:colOff>0</xdr:colOff>
      <xdr:row>108</xdr:row>
      <xdr:rowOff>0</xdr:rowOff>
    </xdr:from>
    <xdr:ext cx="95250" cy="171450"/>
    <xdr:sp macro="" textlink="">
      <xdr:nvSpPr>
        <xdr:cNvPr id="1945" name="Text Box 17">
          <a:extLst>
            <a:ext uri="{FF2B5EF4-FFF2-40B4-BE49-F238E27FC236}">
              <a16:creationId xmlns:a16="http://schemas.microsoft.com/office/drawing/2014/main" id="{00000000-0008-0000-0500-000099070000}"/>
            </a:ext>
          </a:extLst>
        </xdr:cNvPr>
        <xdr:cNvSpPr txBox="1">
          <a:spLocks noChangeArrowheads="1"/>
        </xdr:cNvSpPr>
      </xdr:nvSpPr>
      <xdr:spPr bwMode="auto">
        <a:xfrm>
          <a:off x="15475857" y="5796643"/>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21</xdr:col>
      <xdr:colOff>0</xdr:colOff>
      <xdr:row>108</xdr:row>
      <xdr:rowOff>0</xdr:rowOff>
    </xdr:from>
    <xdr:ext cx="95250" cy="171450"/>
    <xdr:sp macro="" textlink="">
      <xdr:nvSpPr>
        <xdr:cNvPr id="1946" name="Text Box 18">
          <a:extLst>
            <a:ext uri="{FF2B5EF4-FFF2-40B4-BE49-F238E27FC236}">
              <a16:creationId xmlns:a16="http://schemas.microsoft.com/office/drawing/2014/main" id="{00000000-0008-0000-0500-00009A070000}"/>
            </a:ext>
          </a:extLst>
        </xdr:cNvPr>
        <xdr:cNvSpPr txBox="1">
          <a:spLocks noChangeArrowheads="1"/>
        </xdr:cNvSpPr>
      </xdr:nvSpPr>
      <xdr:spPr bwMode="auto">
        <a:xfrm>
          <a:off x="15475857" y="5796643"/>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21</xdr:col>
      <xdr:colOff>0</xdr:colOff>
      <xdr:row>108</xdr:row>
      <xdr:rowOff>0</xdr:rowOff>
    </xdr:from>
    <xdr:ext cx="95250" cy="171450"/>
    <xdr:sp macro="" textlink="">
      <xdr:nvSpPr>
        <xdr:cNvPr id="1947" name="Text Box 19">
          <a:extLst>
            <a:ext uri="{FF2B5EF4-FFF2-40B4-BE49-F238E27FC236}">
              <a16:creationId xmlns:a16="http://schemas.microsoft.com/office/drawing/2014/main" id="{00000000-0008-0000-0500-00009B070000}"/>
            </a:ext>
          </a:extLst>
        </xdr:cNvPr>
        <xdr:cNvSpPr txBox="1">
          <a:spLocks noChangeArrowheads="1"/>
        </xdr:cNvSpPr>
      </xdr:nvSpPr>
      <xdr:spPr bwMode="auto">
        <a:xfrm>
          <a:off x="15475857" y="5796643"/>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107</xdr:row>
      <xdr:rowOff>504825</xdr:rowOff>
    </xdr:from>
    <xdr:ext cx="95250" cy="444014"/>
    <xdr:sp macro="" textlink="">
      <xdr:nvSpPr>
        <xdr:cNvPr id="1948" name="Text Box 15">
          <a:extLst>
            <a:ext uri="{FF2B5EF4-FFF2-40B4-BE49-F238E27FC236}">
              <a16:creationId xmlns:a16="http://schemas.microsoft.com/office/drawing/2014/main" id="{00000000-0008-0000-0500-00009C070000}"/>
            </a:ext>
          </a:extLst>
        </xdr:cNvPr>
        <xdr:cNvSpPr txBox="1">
          <a:spLocks noChangeArrowheads="1"/>
        </xdr:cNvSpPr>
      </xdr:nvSpPr>
      <xdr:spPr bwMode="auto">
        <a:xfrm>
          <a:off x="3710214" y="5789839"/>
          <a:ext cx="95250" cy="444014"/>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108</xdr:row>
      <xdr:rowOff>0</xdr:rowOff>
    </xdr:from>
    <xdr:ext cx="95250" cy="171450"/>
    <xdr:sp macro="" textlink="">
      <xdr:nvSpPr>
        <xdr:cNvPr id="1949" name="Text Box 16">
          <a:extLst>
            <a:ext uri="{FF2B5EF4-FFF2-40B4-BE49-F238E27FC236}">
              <a16:creationId xmlns:a16="http://schemas.microsoft.com/office/drawing/2014/main" id="{00000000-0008-0000-0500-00009D070000}"/>
            </a:ext>
          </a:extLst>
        </xdr:cNvPr>
        <xdr:cNvSpPr txBox="1">
          <a:spLocks noChangeArrowheads="1"/>
        </xdr:cNvSpPr>
      </xdr:nvSpPr>
      <xdr:spPr bwMode="auto">
        <a:xfrm>
          <a:off x="3710214" y="5796643"/>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108</xdr:row>
      <xdr:rowOff>0</xdr:rowOff>
    </xdr:from>
    <xdr:ext cx="95250" cy="171450"/>
    <xdr:sp macro="" textlink="">
      <xdr:nvSpPr>
        <xdr:cNvPr id="1950" name="Text Box 17">
          <a:extLst>
            <a:ext uri="{FF2B5EF4-FFF2-40B4-BE49-F238E27FC236}">
              <a16:creationId xmlns:a16="http://schemas.microsoft.com/office/drawing/2014/main" id="{00000000-0008-0000-0500-00009E070000}"/>
            </a:ext>
          </a:extLst>
        </xdr:cNvPr>
        <xdr:cNvSpPr txBox="1">
          <a:spLocks noChangeArrowheads="1"/>
        </xdr:cNvSpPr>
      </xdr:nvSpPr>
      <xdr:spPr bwMode="auto">
        <a:xfrm>
          <a:off x="3710214" y="5796643"/>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108</xdr:row>
      <xdr:rowOff>0</xdr:rowOff>
    </xdr:from>
    <xdr:ext cx="95250" cy="171450"/>
    <xdr:sp macro="" textlink="">
      <xdr:nvSpPr>
        <xdr:cNvPr id="1951" name="Text Box 18">
          <a:extLst>
            <a:ext uri="{FF2B5EF4-FFF2-40B4-BE49-F238E27FC236}">
              <a16:creationId xmlns:a16="http://schemas.microsoft.com/office/drawing/2014/main" id="{00000000-0008-0000-0500-00009F070000}"/>
            </a:ext>
          </a:extLst>
        </xdr:cNvPr>
        <xdr:cNvSpPr txBox="1">
          <a:spLocks noChangeArrowheads="1"/>
        </xdr:cNvSpPr>
      </xdr:nvSpPr>
      <xdr:spPr bwMode="auto">
        <a:xfrm>
          <a:off x="3710214" y="5796643"/>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108</xdr:row>
      <xdr:rowOff>0</xdr:rowOff>
    </xdr:from>
    <xdr:ext cx="95250" cy="171450"/>
    <xdr:sp macro="" textlink="">
      <xdr:nvSpPr>
        <xdr:cNvPr id="1952" name="Text Box 19">
          <a:extLst>
            <a:ext uri="{FF2B5EF4-FFF2-40B4-BE49-F238E27FC236}">
              <a16:creationId xmlns:a16="http://schemas.microsoft.com/office/drawing/2014/main" id="{00000000-0008-0000-0500-0000A0070000}"/>
            </a:ext>
          </a:extLst>
        </xdr:cNvPr>
        <xdr:cNvSpPr txBox="1">
          <a:spLocks noChangeArrowheads="1"/>
        </xdr:cNvSpPr>
      </xdr:nvSpPr>
      <xdr:spPr bwMode="auto">
        <a:xfrm>
          <a:off x="3710214" y="5796643"/>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107</xdr:row>
      <xdr:rowOff>504825</xdr:rowOff>
    </xdr:from>
    <xdr:ext cx="95250" cy="442269"/>
    <xdr:sp macro="" textlink="">
      <xdr:nvSpPr>
        <xdr:cNvPr id="1953" name="Text Box 15">
          <a:extLst>
            <a:ext uri="{FF2B5EF4-FFF2-40B4-BE49-F238E27FC236}">
              <a16:creationId xmlns:a16="http://schemas.microsoft.com/office/drawing/2014/main" id="{00000000-0008-0000-0500-0000A1070000}"/>
            </a:ext>
          </a:extLst>
        </xdr:cNvPr>
        <xdr:cNvSpPr txBox="1">
          <a:spLocks noChangeArrowheads="1"/>
        </xdr:cNvSpPr>
      </xdr:nvSpPr>
      <xdr:spPr bwMode="auto">
        <a:xfrm>
          <a:off x="6555468" y="5789839"/>
          <a:ext cx="95250" cy="442269"/>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108</xdr:row>
      <xdr:rowOff>0</xdr:rowOff>
    </xdr:from>
    <xdr:ext cx="95250" cy="171450"/>
    <xdr:sp macro="" textlink="">
      <xdr:nvSpPr>
        <xdr:cNvPr id="1954" name="Text Box 16">
          <a:extLst>
            <a:ext uri="{FF2B5EF4-FFF2-40B4-BE49-F238E27FC236}">
              <a16:creationId xmlns:a16="http://schemas.microsoft.com/office/drawing/2014/main" id="{00000000-0008-0000-0500-0000A2070000}"/>
            </a:ext>
          </a:extLst>
        </xdr:cNvPr>
        <xdr:cNvSpPr txBox="1">
          <a:spLocks noChangeArrowheads="1"/>
        </xdr:cNvSpPr>
      </xdr:nvSpPr>
      <xdr:spPr bwMode="auto">
        <a:xfrm>
          <a:off x="6555468" y="5796643"/>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108</xdr:row>
      <xdr:rowOff>0</xdr:rowOff>
    </xdr:from>
    <xdr:ext cx="95250" cy="171450"/>
    <xdr:sp macro="" textlink="">
      <xdr:nvSpPr>
        <xdr:cNvPr id="1955" name="Text Box 17">
          <a:extLst>
            <a:ext uri="{FF2B5EF4-FFF2-40B4-BE49-F238E27FC236}">
              <a16:creationId xmlns:a16="http://schemas.microsoft.com/office/drawing/2014/main" id="{00000000-0008-0000-0500-0000A3070000}"/>
            </a:ext>
          </a:extLst>
        </xdr:cNvPr>
        <xdr:cNvSpPr txBox="1">
          <a:spLocks noChangeArrowheads="1"/>
        </xdr:cNvSpPr>
      </xdr:nvSpPr>
      <xdr:spPr bwMode="auto">
        <a:xfrm>
          <a:off x="6555468" y="5796643"/>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108</xdr:row>
      <xdr:rowOff>0</xdr:rowOff>
    </xdr:from>
    <xdr:ext cx="95250" cy="171450"/>
    <xdr:sp macro="" textlink="">
      <xdr:nvSpPr>
        <xdr:cNvPr id="1956" name="Text Box 18">
          <a:extLst>
            <a:ext uri="{FF2B5EF4-FFF2-40B4-BE49-F238E27FC236}">
              <a16:creationId xmlns:a16="http://schemas.microsoft.com/office/drawing/2014/main" id="{00000000-0008-0000-0500-0000A4070000}"/>
            </a:ext>
          </a:extLst>
        </xdr:cNvPr>
        <xdr:cNvSpPr txBox="1">
          <a:spLocks noChangeArrowheads="1"/>
        </xdr:cNvSpPr>
      </xdr:nvSpPr>
      <xdr:spPr bwMode="auto">
        <a:xfrm>
          <a:off x="6555468" y="5796643"/>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108</xdr:row>
      <xdr:rowOff>0</xdr:rowOff>
    </xdr:from>
    <xdr:ext cx="95250" cy="171450"/>
    <xdr:sp macro="" textlink="">
      <xdr:nvSpPr>
        <xdr:cNvPr id="1957" name="Text Box 16">
          <a:extLst>
            <a:ext uri="{FF2B5EF4-FFF2-40B4-BE49-F238E27FC236}">
              <a16:creationId xmlns:a16="http://schemas.microsoft.com/office/drawing/2014/main" id="{00000000-0008-0000-0500-0000A5070000}"/>
            </a:ext>
          </a:extLst>
        </xdr:cNvPr>
        <xdr:cNvSpPr txBox="1">
          <a:spLocks noChangeArrowheads="1"/>
        </xdr:cNvSpPr>
      </xdr:nvSpPr>
      <xdr:spPr bwMode="auto">
        <a:xfrm>
          <a:off x="9398454" y="5796643"/>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108</xdr:row>
      <xdr:rowOff>0</xdr:rowOff>
    </xdr:from>
    <xdr:ext cx="95250" cy="171450"/>
    <xdr:sp macro="" textlink="">
      <xdr:nvSpPr>
        <xdr:cNvPr id="1958" name="Text Box 17">
          <a:extLst>
            <a:ext uri="{FF2B5EF4-FFF2-40B4-BE49-F238E27FC236}">
              <a16:creationId xmlns:a16="http://schemas.microsoft.com/office/drawing/2014/main" id="{00000000-0008-0000-0500-0000A6070000}"/>
            </a:ext>
          </a:extLst>
        </xdr:cNvPr>
        <xdr:cNvSpPr txBox="1">
          <a:spLocks noChangeArrowheads="1"/>
        </xdr:cNvSpPr>
      </xdr:nvSpPr>
      <xdr:spPr bwMode="auto">
        <a:xfrm>
          <a:off x="9398454" y="5796643"/>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108</xdr:row>
      <xdr:rowOff>0</xdr:rowOff>
    </xdr:from>
    <xdr:ext cx="95250" cy="171450"/>
    <xdr:sp macro="" textlink="">
      <xdr:nvSpPr>
        <xdr:cNvPr id="1959" name="Text Box 18">
          <a:extLst>
            <a:ext uri="{FF2B5EF4-FFF2-40B4-BE49-F238E27FC236}">
              <a16:creationId xmlns:a16="http://schemas.microsoft.com/office/drawing/2014/main" id="{00000000-0008-0000-0500-0000A7070000}"/>
            </a:ext>
          </a:extLst>
        </xdr:cNvPr>
        <xdr:cNvSpPr txBox="1">
          <a:spLocks noChangeArrowheads="1"/>
        </xdr:cNvSpPr>
      </xdr:nvSpPr>
      <xdr:spPr bwMode="auto">
        <a:xfrm>
          <a:off x="9398454" y="5796643"/>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108</xdr:row>
      <xdr:rowOff>0</xdr:rowOff>
    </xdr:from>
    <xdr:ext cx="95250" cy="171450"/>
    <xdr:sp macro="" textlink="">
      <xdr:nvSpPr>
        <xdr:cNvPr id="1960" name="Text Box 19">
          <a:extLst>
            <a:ext uri="{FF2B5EF4-FFF2-40B4-BE49-F238E27FC236}">
              <a16:creationId xmlns:a16="http://schemas.microsoft.com/office/drawing/2014/main" id="{00000000-0008-0000-0500-0000A8070000}"/>
            </a:ext>
          </a:extLst>
        </xdr:cNvPr>
        <xdr:cNvSpPr txBox="1">
          <a:spLocks noChangeArrowheads="1"/>
        </xdr:cNvSpPr>
      </xdr:nvSpPr>
      <xdr:spPr bwMode="auto">
        <a:xfrm>
          <a:off x="9398454" y="5796643"/>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108</xdr:row>
      <xdr:rowOff>0</xdr:rowOff>
    </xdr:from>
    <xdr:ext cx="95250" cy="171450"/>
    <xdr:sp macro="" textlink="">
      <xdr:nvSpPr>
        <xdr:cNvPr id="1961" name="Text Box 16">
          <a:extLst>
            <a:ext uri="{FF2B5EF4-FFF2-40B4-BE49-F238E27FC236}">
              <a16:creationId xmlns:a16="http://schemas.microsoft.com/office/drawing/2014/main" id="{00000000-0008-0000-0500-0000A9070000}"/>
            </a:ext>
          </a:extLst>
        </xdr:cNvPr>
        <xdr:cNvSpPr txBox="1">
          <a:spLocks noChangeArrowheads="1"/>
        </xdr:cNvSpPr>
      </xdr:nvSpPr>
      <xdr:spPr bwMode="auto">
        <a:xfrm>
          <a:off x="9398454" y="5796643"/>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108</xdr:row>
      <xdr:rowOff>0</xdr:rowOff>
    </xdr:from>
    <xdr:ext cx="95250" cy="171450"/>
    <xdr:sp macro="" textlink="">
      <xdr:nvSpPr>
        <xdr:cNvPr id="1962" name="Text Box 17">
          <a:extLst>
            <a:ext uri="{FF2B5EF4-FFF2-40B4-BE49-F238E27FC236}">
              <a16:creationId xmlns:a16="http://schemas.microsoft.com/office/drawing/2014/main" id="{00000000-0008-0000-0500-0000AA070000}"/>
            </a:ext>
          </a:extLst>
        </xdr:cNvPr>
        <xdr:cNvSpPr txBox="1">
          <a:spLocks noChangeArrowheads="1"/>
        </xdr:cNvSpPr>
      </xdr:nvSpPr>
      <xdr:spPr bwMode="auto">
        <a:xfrm>
          <a:off x="9398454" y="5796643"/>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108</xdr:row>
      <xdr:rowOff>0</xdr:rowOff>
    </xdr:from>
    <xdr:ext cx="95250" cy="171450"/>
    <xdr:sp macro="" textlink="">
      <xdr:nvSpPr>
        <xdr:cNvPr id="1963" name="Text Box 18">
          <a:extLst>
            <a:ext uri="{FF2B5EF4-FFF2-40B4-BE49-F238E27FC236}">
              <a16:creationId xmlns:a16="http://schemas.microsoft.com/office/drawing/2014/main" id="{00000000-0008-0000-0500-0000AB070000}"/>
            </a:ext>
          </a:extLst>
        </xdr:cNvPr>
        <xdr:cNvSpPr txBox="1">
          <a:spLocks noChangeArrowheads="1"/>
        </xdr:cNvSpPr>
      </xdr:nvSpPr>
      <xdr:spPr bwMode="auto">
        <a:xfrm>
          <a:off x="9398454" y="5796643"/>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108</xdr:row>
      <xdr:rowOff>0</xdr:rowOff>
    </xdr:from>
    <xdr:ext cx="95250" cy="171450"/>
    <xdr:sp macro="" textlink="">
      <xdr:nvSpPr>
        <xdr:cNvPr id="1964" name="Text Box 19">
          <a:extLst>
            <a:ext uri="{FF2B5EF4-FFF2-40B4-BE49-F238E27FC236}">
              <a16:creationId xmlns:a16="http://schemas.microsoft.com/office/drawing/2014/main" id="{00000000-0008-0000-0500-0000AC070000}"/>
            </a:ext>
          </a:extLst>
        </xdr:cNvPr>
        <xdr:cNvSpPr txBox="1">
          <a:spLocks noChangeArrowheads="1"/>
        </xdr:cNvSpPr>
      </xdr:nvSpPr>
      <xdr:spPr bwMode="auto">
        <a:xfrm>
          <a:off x="9398454" y="5796643"/>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108</xdr:row>
      <xdr:rowOff>504825</xdr:rowOff>
    </xdr:from>
    <xdr:ext cx="95250" cy="448496"/>
    <xdr:sp macro="" textlink="">
      <xdr:nvSpPr>
        <xdr:cNvPr id="1965" name="Text Box 15">
          <a:extLst>
            <a:ext uri="{FF2B5EF4-FFF2-40B4-BE49-F238E27FC236}">
              <a16:creationId xmlns:a16="http://schemas.microsoft.com/office/drawing/2014/main" id="{00000000-0008-0000-0500-0000AD070000}"/>
            </a:ext>
          </a:extLst>
        </xdr:cNvPr>
        <xdr:cNvSpPr txBox="1">
          <a:spLocks noChangeArrowheads="1"/>
        </xdr:cNvSpPr>
      </xdr:nvSpPr>
      <xdr:spPr bwMode="auto">
        <a:xfrm>
          <a:off x="3710214" y="5977618"/>
          <a:ext cx="95250" cy="448496"/>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108</xdr:row>
      <xdr:rowOff>504825</xdr:rowOff>
    </xdr:from>
    <xdr:ext cx="95250" cy="442269"/>
    <xdr:sp macro="" textlink="">
      <xdr:nvSpPr>
        <xdr:cNvPr id="1966" name="Text Box 15">
          <a:extLst>
            <a:ext uri="{FF2B5EF4-FFF2-40B4-BE49-F238E27FC236}">
              <a16:creationId xmlns:a16="http://schemas.microsoft.com/office/drawing/2014/main" id="{00000000-0008-0000-0500-0000AE070000}"/>
            </a:ext>
          </a:extLst>
        </xdr:cNvPr>
        <xdr:cNvSpPr txBox="1">
          <a:spLocks noChangeArrowheads="1"/>
        </xdr:cNvSpPr>
      </xdr:nvSpPr>
      <xdr:spPr bwMode="auto">
        <a:xfrm>
          <a:off x="6555468" y="5977618"/>
          <a:ext cx="95250" cy="442269"/>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21</xdr:col>
      <xdr:colOff>0</xdr:colOff>
      <xdr:row>108</xdr:row>
      <xdr:rowOff>504825</xdr:rowOff>
    </xdr:from>
    <xdr:ext cx="95250" cy="442269"/>
    <xdr:sp macro="" textlink="">
      <xdr:nvSpPr>
        <xdr:cNvPr id="1967" name="Text Box 15">
          <a:extLst>
            <a:ext uri="{FF2B5EF4-FFF2-40B4-BE49-F238E27FC236}">
              <a16:creationId xmlns:a16="http://schemas.microsoft.com/office/drawing/2014/main" id="{00000000-0008-0000-0500-0000AF070000}"/>
            </a:ext>
          </a:extLst>
        </xdr:cNvPr>
        <xdr:cNvSpPr txBox="1">
          <a:spLocks noChangeArrowheads="1"/>
        </xdr:cNvSpPr>
      </xdr:nvSpPr>
      <xdr:spPr bwMode="auto">
        <a:xfrm>
          <a:off x="15475857" y="5977618"/>
          <a:ext cx="95250" cy="442269"/>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108</xdr:row>
      <xdr:rowOff>504825</xdr:rowOff>
    </xdr:from>
    <xdr:ext cx="95250" cy="213632"/>
    <xdr:sp macro="" textlink="">
      <xdr:nvSpPr>
        <xdr:cNvPr id="1968" name="Text Box 15">
          <a:extLst>
            <a:ext uri="{FF2B5EF4-FFF2-40B4-BE49-F238E27FC236}">
              <a16:creationId xmlns:a16="http://schemas.microsoft.com/office/drawing/2014/main" id="{00000000-0008-0000-0500-0000B0070000}"/>
            </a:ext>
          </a:extLst>
        </xdr:cNvPr>
        <xdr:cNvSpPr txBox="1">
          <a:spLocks noChangeArrowheads="1"/>
        </xdr:cNvSpPr>
      </xdr:nvSpPr>
      <xdr:spPr bwMode="auto">
        <a:xfrm>
          <a:off x="3710214" y="5977618"/>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108</xdr:row>
      <xdr:rowOff>504825</xdr:rowOff>
    </xdr:from>
    <xdr:ext cx="95250" cy="444331"/>
    <xdr:sp macro="" textlink="">
      <xdr:nvSpPr>
        <xdr:cNvPr id="1969" name="Text Box 15">
          <a:extLst>
            <a:ext uri="{FF2B5EF4-FFF2-40B4-BE49-F238E27FC236}">
              <a16:creationId xmlns:a16="http://schemas.microsoft.com/office/drawing/2014/main" id="{00000000-0008-0000-0500-0000B1070000}"/>
            </a:ext>
          </a:extLst>
        </xdr:cNvPr>
        <xdr:cNvSpPr txBox="1">
          <a:spLocks noChangeArrowheads="1"/>
        </xdr:cNvSpPr>
      </xdr:nvSpPr>
      <xdr:spPr bwMode="auto">
        <a:xfrm>
          <a:off x="3710214" y="5977618"/>
          <a:ext cx="95250" cy="444331"/>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108</xdr:row>
      <xdr:rowOff>504825</xdr:rowOff>
    </xdr:from>
    <xdr:ext cx="95250" cy="213632"/>
    <xdr:sp macro="" textlink="">
      <xdr:nvSpPr>
        <xdr:cNvPr id="1970" name="Text Box 15">
          <a:extLst>
            <a:ext uri="{FF2B5EF4-FFF2-40B4-BE49-F238E27FC236}">
              <a16:creationId xmlns:a16="http://schemas.microsoft.com/office/drawing/2014/main" id="{00000000-0008-0000-0500-0000B2070000}"/>
            </a:ext>
          </a:extLst>
        </xdr:cNvPr>
        <xdr:cNvSpPr txBox="1">
          <a:spLocks noChangeArrowheads="1"/>
        </xdr:cNvSpPr>
      </xdr:nvSpPr>
      <xdr:spPr bwMode="auto">
        <a:xfrm>
          <a:off x="6555468" y="5977618"/>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114</xdr:row>
      <xdr:rowOff>0</xdr:rowOff>
    </xdr:from>
    <xdr:ext cx="95250" cy="171450"/>
    <xdr:sp macro="" textlink="">
      <xdr:nvSpPr>
        <xdr:cNvPr id="1971" name="Text Box 16">
          <a:extLst>
            <a:ext uri="{FF2B5EF4-FFF2-40B4-BE49-F238E27FC236}">
              <a16:creationId xmlns:a16="http://schemas.microsoft.com/office/drawing/2014/main" id="{00000000-0008-0000-0500-0000B3070000}"/>
            </a:ext>
          </a:extLst>
        </xdr:cNvPr>
        <xdr:cNvSpPr txBox="1">
          <a:spLocks noChangeArrowheads="1"/>
        </xdr:cNvSpPr>
      </xdr:nvSpPr>
      <xdr:spPr bwMode="auto">
        <a:xfrm>
          <a:off x="3710214" y="6340929"/>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114</xdr:row>
      <xdr:rowOff>0</xdr:rowOff>
    </xdr:from>
    <xdr:ext cx="95250" cy="171450"/>
    <xdr:sp macro="" textlink="">
      <xdr:nvSpPr>
        <xdr:cNvPr id="1972" name="Text Box 17">
          <a:extLst>
            <a:ext uri="{FF2B5EF4-FFF2-40B4-BE49-F238E27FC236}">
              <a16:creationId xmlns:a16="http://schemas.microsoft.com/office/drawing/2014/main" id="{00000000-0008-0000-0500-0000B4070000}"/>
            </a:ext>
          </a:extLst>
        </xdr:cNvPr>
        <xdr:cNvSpPr txBox="1">
          <a:spLocks noChangeArrowheads="1"/>
        </xdr:cNvSpPr>
      </xdr:nvSpPr>
      <xdr:spPr bwMode="auto">
        <a:xfrm>
          <a:off x="3710214" y="6340929"/>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114</xdr:row>
      <xdr:rowOff>0</xdr:rowOff>
    </xdr:from>
    <xdr:ext cx="95250" cy="171450"/>
    <xdr:sp macro="" textlink="">
      <xdr:nvSpPr>
        <xdr:cNvPr id="1973" name="Text Box 18">
          <a:extLst>
            <a:ext uri="{FF2B5EF4-FFF2-40B4-BE49-F238E27FC236}">
              <a16:creationId xmlns:a16="http://schemas.microsoft.com/office/drawing/2014/main" id="{00000000-0008-0000-0500-0000B5070000}"/>
            </a:ext>
          </a:extLst>
        </xdr:cNvPr>
        <xdr:cNvSpPr txBox="1">
          <a:spLocks noChangeArrowheads="1"/>
        </xdr:cNvSpPr>
      </xdr:nvSpPr>
      <xdr:spPr bwMode="auto">
        <a:xfrm>
          <a:off x="3710214" y="6340929"/>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114</xdr:row>
      <xdr:rowOff>0</xdr:rowOff>
    </xdr:from>
    <xdr:ext cx="95250" cy="171450"/>
    <xdr:sp macro="" textlink="">
      <xdr:nvSpPr>
        <xdr:cNvPr id="1974" name="Text Box 19">
          <a:extLst>
            <a:ext uri="{FF2B5EF4-FFF2-40B4-BE49-F238E27FC236}">
              <a16:creationId xmlns:a16="http://schemas.microsoft.com/office/drawing/2014/main" id="{00000000-0008-0000-0500-0000B6070000}"/>
            </a:ext>
          </a:extLst>
        </xdr:cNvPr>
        <xdr:cNvSpPr txBox="1">
          <a:spLocks noChangeArrowheads="1"/>
        </xdr:cNvSpPr>
      </xdr:nvSpPr>
      <xdr:spPr bwMode="auto">
        <a:xfrm>
          <a:off x="3710214" y="6340929"/>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114</xdr:row>
      <xdr:rowOff>0</xdr:rowOff>
    </xdr:from>
    <xdr:ext cx="95250" cy="171450"/>
    <xdr:sp macro="" textlink="">
      <xdr:nvSpPr>
        <xdr:cNvPr id="1975" name="Text Box 16">
          <a:extLst>
            <a:ext uri="{FF2B5EF4-FFF2-40B4-BE49-F238E27FC236}">
              <a16:creationId xmlns:a16="http://schemas.microsoft.com/office/drawing/2014/main" id="{00000000-0008-0000-0500-0000B7070000}"/>
            </a:ext>
          </a:extLst>
        </xdr:cNvPr>
        <xdr:cNvSpPr txBox="1">
          <a:spLocks noChangeArrowheads="1"/>
        </xdr:cNvSpPr>
      </xdr:nvSpPr>
      <xdr:spPr bwMode="auto">
        <a:xfrm>
          <a:off x="6555468" y="6340929"/>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114</xdr:row>
      <xdr:rowOff>0</xdr:rowOff>
    </xdr:from>
    <xdr:ext cx="95250" cy="171450"/>
    <xdr:sp macro="" textlink="">
      <xdr:nvSpPr>
        <xdr:cNvPr id="1976" name="Text Box 17">
          <a:extLst>
            <a:ext uri="{FF2B5EF4-FFF2-40B4-BE49-F238E27FC236}">
              <a16:creationId xmlns:a16="http://schemas.microsoft.com/office/drawing/2014/main" id="{00000000-0008-0000-0500-0000B8070000}"/>
            </a:ext>
          </a:extLst>
        </xdr:cNvPr>
        <xdr:cNvSpPr txBox="1">
          <a:spLocks noChangeArrowheads="1"/>
        </xdr:cNvSpPr>
      </xdr:nvSpPr>
      <xdr:spPr bwMode="auto">
        <a:xfrm>
          <a:off x="6555468" y="6340929"/>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114</xdr:row>
      <xdr:rowOff>0</xdr:rowOff>
    </xdr:from>
    <xdr:ext cx="95250" cy="171450"/>
    <xdr:sp macro="" textlink="">
      <xdr:nvSpPr>
        <xdr:cNvPr id="1977" name="Text Box 18">
          <a:extLst>
            <a:ext uri="{FF2B5EF4-FFF2-40B4-BE49-F238E27FC236}">
              <a16:creationId xmlns:a16="http://schemas.microsoft.com/office/drawing/2014/main" id="{00000000-0008-0000-0500-0000B9070000}"/>
            </a:ext>
          </a:extLst>
        </xdr:cNvPr>
        <xdr:cNvSpPr txBox="1">
          <a:spLocks noChangeArrowheads="1"/>
        </xdr:cNvSpPr>
      </xdr:nvSpPr>
      <xdr:spPr bwMode="auto">
        <a:xfrm>
          <a:off x="6555468" y="6340929"/>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114</xdr:row>
      <xdr:rowOff>0</xdr:rowOff>
    </xdr:from>
    <xdr:ext cx="95250" cy="171450"/>
    <xdr:sp macro="" textlink="">
      <xdr:nvSpPr>
        <xdr:cNvPr id="1978" name="Text Box 19">
          <a:extLst>
            <a:ext uri="{FF2B5EF4-FFF2-40B4-BE49-F238E27FC236}">
              <a16:creationId xmlns:a16="http://schemas.microsoft.com/office/drawing/2014/main" id="{00000000-0008-0000-0500-0000BA070000}"/>
            </a:ext>
          </a:extLst>
        </xdr:cNvPr>
        <xdr:cNvSpPr txBox="1">
          <a:spLocks noChangeArrowheads="1"/>
        </xdr:cNvSpPr>
      </xdr:nvSpPr>
      <xdr:spPr bwMode="auto">
        <a:xfrm>
          <a:off x="6555468" y="6340929"/>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21</xdr:col>
      <xdr:colOff>0</xdr:colOff>
      <xdr:row>114</xdr:row>
      <xdr:rowOff>0</xdr:rowOff>
    </xdr:from>
    <xdr:ext cx="95250" cy="171450"/>
    <xdr:sp macro="" textlink="">
      <xdr:nvSpPr>
        <xdr:cNvPr id="1979" name="Text Box 16">
          <a:extLst>
            <a:ext uri="{FF2B5EF4-FFF2-40B4-BE49-F238E27FC236}">
              <a16:creationId xmlns:a16="http://schemas.microsoft.com/office/drawing/2014/main" id="{00000000-0008-0000-0500-0000BB070000}"/>
            </a:ext>
          </a:extLst>
        </xdr:cNvPr>
        <xdr:cNvSpPr txBox="1">
          <a:spLocks noChangeArrowheads="1"/>
        </xdr:cNvSpPr>
      </xdr:nvSpPr>
      <xdr:spPr bwMode="auto">
        <a:xfrm>
          <a:off x="15475857" y="6340929"/>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21</xdr:col>
      <xdr:colOff>0</xdr:colOff>
      <xdr:row>114</xdr:row>
      <xdr:rowOff>0</xdr:rowOff>
    </xdr:from>
    <xdr:ext cx="95250" cy="171450"/>
    <xdr:sp macro="" textlink="">
      <xdr:nvSpPr>
        <xdr:cNvPr id="1980" name="Text Box 17">
          <a:extLst>
            <a:ext uri="{FF2B5EF4-FFF2-40B4-BE49-F238E27FC236}">
              <a16:creationId xmlns:a16="http://schemas.microsoft.com/office/drawing/2014/main" id="{00000000-0008-0000-0500-0000BC070000}"/>
            </a:ext>
          </a:extLst>
        </xdr:cNvPr>
        <xdr:cNvSpPr txBox="1">
          <a:spLocks noChangeArrowheads="1"/>
        </xdr:cNvSpPr>
      </xdr:nvSpPr>
      <xdr:spPr bwMode="auto">
        <a:xfrm>
          <a:off x="15475857" y="6340929"/>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21</xdr:col>
      <xdr:colOff>0</xdr:colOff>
      <xdr:row>114</xdr:row>
      <xdr:rowOff>0</xdr:rowOff>
    </xdr:from>
    <xdr:ext cx="95250" cy="171450"/>
    <xdr:sp macro="" textlink="">
      <xdr:nvSpPr>
        <xdr:cNvPr id="1981" name="Text Box 18">
          <a:extLst>
            <a:ext uri="{FF2B5EF4-FFF2-40B4-BE49-F238E27FC236}">
              <a16:creationId xmlns:a16="http://schemas.microsoft.com/office/drawing/2014/main" id="{00000000-0008-0000-0500-0000BD070000}"/>
            </a:ext>
          </a:extLst>
        </xdr:cNvPr>
        <xdr:cNvSpPr txBox="1">
          <a:spLocks noChangeArrowheads="1"/>
        </xdr:cNvSpPr>
      </xdr:nvSpPr>
      <xdr:spPr bwMode="auto">
        <a:xfrm>
          <a:off x="15475857" y="6340929"/>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21</xdr:col>
      <xdr:colOff>0</xdr:colOff>
      <xdr:row>114</xdr:row>
      <xdr:rowOff>0</xdr:rowOff>
    </xdr:from>
    <xdr:ext cx="95250" cy="171450"/>
    <xdr:sp macro="" textlink="">
      <xdr:nvSpPr>
        <xdr:cNvPr id="1982" name="Text Box 19">
          <a:extLst>
            <a:ext uri="{FF2B5EF4-FFF2-40B4-BE49-F238E27FC236}">
              <a16:creationId xmlns:a16="http://schemas.microsoft.com/office/drawing/2014/main" id="{00000000-0008-0000-0500-0000BE070000}"/>
            </a:ext>
          </a:extLst>
        </xdr:cNvPr>
        <xdr:cNvSpPr txBox="1">
          <a:spLocks noChangeArrowheads="1"/>
        </xdr:cNvSpPr>
      </xdr:nvSpPr>
      <xdr:spPr bwMode="auto">
        <a:xfrm>
          <a:off x="15475857" y="6340929"/>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114</xdr:row>
      <xdr:rowOff>0</xdr:rowOff>
    </xdr:from>
    <xdr:ext cx="95250" cy="171450"/>
    <xdr:sp macro="" textlink="">
      <xdr:nvSpPr>
        <xdr:cNvPr id="1983" name="Text Box 16">
          <a:extLst>
            <a:ext uri="{FF2B5EF4-FFF2-40B4-BE49-F238E27FC236}">
              <a16:creationId xmlns:a16="http://schemas.microsoft.com/office/drawing/2014/main" id="{00000000-0008-0000-0500-0000BF070000}"/>
            </a:ext>
          </a:extLst>
        </xdr:cNvPr>
        <xdr:cNvSpPr txBox="1">
          <a:spLocks noChangeArrowheads="1"/>
        </xdr:cNvSpPr>
      </xdr:nvSpPr>
      <xdr:spPr bwMode="auto">
        <a:xfrm>
          <a:off x="3710214" y="6340929"/>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114</xdr:row>
      <xdr:rowOff>0</xdr:rowOff>
    </xdr:from>
    <xdr:ext cx="95250" cy="171450"/>
    <xdr:sp macro="" textlink="">
      <xdr:nvSpPr>
        <xdr:cNvPr id="1984" name="Text Box 17">
          <a:extLst>
            <a:ext uri="{FF2B5EF4-FFF2-40B4-BE49-F238E27FC236}">
              <a16:creationId xmlns:a16="http://schemas.microsoft.com/office/drawing/2014/main" id="{00000000-0008-0000-0500-0000C0070000}"/>
            </a:ext>
          </a:extLst>
        </xdr:cNvPr>
        <xdr:cNvSpPr txBox="1">
          <a:spLocks noChangeArrowheads="1"/>
        </xdr:cNvSpPr>
      </xdr:nvSpPr>
      <xdr:spPr bwMode="auto">
        <a:xfrm>
          <a:off x="3710214" y="6340929"/>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114</xdr:row>
      <xdr:rowOff>0</xdr:rowOff>
    </xdr:from>
    <xdr:ext cx="95250" cy="171450"/>
    <xdr:sp macro="" textlink="">
      <xdr:nvSpPr>
        <xdr:cNvPr id="1985" name="Text Box 18">
          <a:extLst>
            <a:ext uri="{FF2B5EF4-FFF2-40B4-BE49-F238E27FC236}">
              <a16:creationId xmlns:a16="http://schemas.microsoft.com/office/drawing/2014/main" id="{00000000-0008-0000-0500-0000C1070000}"/>
            </a:ext>
          </a:extLst>
        </xdr:cNvPr>
        <xdr:cNvSpPr txBox="1">
          <a:spLocks noChangeArrowheads="1"/>
        </xdr:cNvSpPr>
      </xdr:nvSpPr>
      <xdr:spPr bwMode="auto">
        <a:xfrm>
          <a:off x="3710214" y="6340929"/>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114</xdr:row>
      <xdr:rowOff>0</xdr:rowOff>
    </xdr:from>
    <xdr:ext cx="95250" cy="171450"/>
    <xdr:sp macro="" textlink="">
      <xdr:nvSpPr>
        <xdr:cNvPr id="1986" name="Text Box 19">
          <a:extLst>
            <a:ext uri="{FF2B5EF4-FFF2-40B4-BE49-F238E27FC236}">
              <a16:creationId xmlns:a16="http://schemas.microsoft.com/office/drawing/2014/main" id="{00000000-0008-0000-0500-0000C2070000}"/>
            </a:ext>
          </a:extLst>
        </xdr:cNvPr>
        <xdr:cNvSpPr txBox="1">
          <a:spLocks noChangeArrowheads="1"/>
        </xdr:cNvSpPr>
      </xdr:nvSpPr>
      <xdr:spPr bwMode="auto">
        <a:xfrm>
          <a:off x="3710214" y="6340929"/>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114</xdr:row>
      <xdr:rowOff>0</xdr:rowOff>
    </xdr:from>
    <xdr:ext cx="95250" cy="171450"/>
    <xdr:sp macro="" textlink="">
      <xdr:nvSpPr>
        <xdr:cNvPr id="1987" name="Text Box 16">
          <a:extLst>
            <a:ext uri="{FF2B5EF4-FFF2-40B4-BE49-F238E27FC236}">
              <a16:creationId xmlns:a16="http://schemas.microsoft.com/office/drawing/2014/main" id="{00000000-0008-0000-0500-0000C3070000}"/>
            </a:ext>
          </a:extLst>
        </xdr:cNvPr>
        <xdr:cNvSpPr txBox="1">
          <a:spLocks noChangeArrowheads="1"/>
        </xdr:cNvSpPr>
      </xdr:nvSpPr>
      <xdr:spPr bwMode="auto">
        <a:xfrm>
          <a:off x="6555468" y="6340929"/>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114</xdr:row>
      <xdr:rowOff>0</xdr:rowOff>
    </xdr:from>
    <xdr:ext cx="95250" cy="171450"/>
    <xdr:sp macro="" textlink="">
      <xdr:nvSpPr>
        <xdr:cNvPr id="1988" name="Text Box 17">
          <a:extLst>
            <a:ext uri="{FF2B5EF4-FFF2-40B4-BE49-F238E27FC236}">
              <a16:creationId xmlns:a16="http://schemas.microsoft.com/office/drawing/2014/main" id="{00000000-0008-0000-0500-0000C4070000}"/>
            </a:ext>
          </a:extLst>
        </xdr:cNvPr>
        <xdr:cNvSpPr txBox="1">
          <a:spLocks noChangeArrowheads="1"/>
        </xdr:cNvSpPr>
      </xdr:nvSpPr>
      <xdr:spPr bwMode="auto">
        <a:xfrm>
          <a:off x="6555468" y="6340929"/>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114</xdr:row>
      <xdr:rowOff>0</xdr:rowOff>
    </xdr:from>
    <xdr:ext cx="95250" cy="171450"/>
    <xdr:sp macro="" textlink="">
      <xdr:nvSpPr>
        <xdr:cNvPr id="1989" name="Text Box 18">
          <a:extLst>
            <a:ext uri="{FF2B5EF4-FFF2-40B4-BE49-F238E27FC236}">
              <a16:creationId xmlns:a16="http://schemas.microsoft.com/office/drawing/2014/main" id="{00000000-0008-0000-0500-0000C5070000}"/>
            </a:ext>
          </a:extLst>
        </xdr:cNvPr>
        <xdr:cNvSpPr txBox="1">
          <a:spLocks noChangeArrowheads="1"/>
        </xdr:cNvSpPr>
      </xdr:nvSpPr>
      <xdr:spPr bwMode="auto">
        <a:xfrm>
          <a:off x="6555468" y="6340929"/>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114</xdr:row>
      <xdr:rowOff>0</xdr:rowOff>
    </xdr:from>
    <xdr:ext cx="95250" cy="171450"/>
    <xdr:sp macro="" textlink="">
      <xdr:nvSpPr>
        <xdr:cNvPr id="1990" name="Text Box 16">
          <a:extLst>
            <a:ext uri="{FF2B5EF4-FFF2-40B4-BE49-F238E27FC236}">
              <a16:creationId xmlns:a16="http://schemas.microsoft.com/office/drawing/2014/main" id="{00000000-0008-0000-0500-0000C6070000}"/>
            </a:ext>
          </a:extLst>
        </xdr:cNvPr>
        <xdr:cNvSpPr txBox="1">
          <a:spLocks noChangeArrowheads="1"/>
        </xdr:cNvSpPr>
      </xdr:nvSpPr>
      <xdr:spPr bwMode="auto">
        <a:xfrm>
          <a:off x="9398454" y="6340929"/>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114</xdr:row>
      <xdr:rowOff>0</xdr:rowOff>
    </xdr:from>
    <xdr:ext cx="95250" cy="171450"/>
    <xdr:sp macro="" textlink="">
      <xdr:nvSpPr>
        <xdr:cNvPr id="1991" name="Text Box 17">
          <a:extLst>
            <a:ext uri="{FF2B5EF4-FFF2-40B4-BE49-F238E27FC236}">
              <a16:creationId xmlns:a16="http://schemas.microsoft.com/office/drawing/2014/main" id="{00000000-0008-0000-0500-0000C7070000}"/>
            </a:ext>
          </a:extLst>
        </xdr:cNvPr>
        <xdr:cNvSpPr txBox="1">
          <a:spLocks noChangeArrowheads="1"/>
        </xdr:cNvSpPr>
      </xdr:nvSpPr>
      <xdr:spPr bwMode="auto">
        <a:xfrm>
          <a:off x="9398454" y="6340929"/>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114</xdr:row>
      <xdr:rowOff>0</xdr:rowOff>
    </xdr:from>
    <xdr:ext cx="95250" cy="171450"/>
    <xdr:sp macro="" textlink="">
      <xdr:nvSpPr>
        <xdr:cNvPr id="1992" name="Text Box 18">
          <a:extLst>
            <a:ext uri="{FF2B5EF4-FFF2-40B4-BE49-F238E27FC236}">
              <a16:creationId xmlns:a16="http://schemas.microsoft.com/office/drawing/2014/main" id="{00000000-0008-0000-0500-0000C8070000}"/>
            </a:ext>
          </a:extLst>
        </xdr:cNvPr>
        <xdr:cNvSpPr txBox="1">
          <a:spLocks noChangeArrowheads="1"/>
        </xdr:cNvSpPr>
      </xdr:nvSpPr>
      <xdr:spPr bwMode="auto">
        <a:xfrm>
          <a:off x="9398454" y="6340929"/>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114</xdr:row>
      <xdr:rowOff>0</xdr:rowOff>
    </xdr:from>
    <xdr:ext cx="95250" cy="171450"/>
    <xdr:sp macro="" textlink="">
      <xdr:nvSpPr>
        <xdr:cNvPr id="1993" name="Text Box 19">
          <a:extLst>
            <a:ext uri="{FF2B5EF4-FFF2-40B4-BE49-F238E27FC236}">
              <a16:creationId xmlns:a16="http://schemas.microsoft.com/office/drawing/2014/main" id="{00000000-0008-0000-0500-0000C9070000}"/>
            </a:ext>
          </a:extLst>
        </xdr:cNvPr>
        <xdr:cNvSpPr txBox="1">
          <a:spLocks noChangeArrowheads="1"/>
        </xdr:cNvSpPr>
      </xdr:nvSpPr>
      <xdr:spPr bwMode="auto">
        <a:xfrm>
          <a:off x="9398454" y="6340929"/>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114</xdr:row>
      <xdr:rowOff>0</xdr:rowOff>
    </xdr:from>
    <xdr:ext cx="95250" cy="171450"/>
    <xdr:sp macro="" textlink="">
      <xdr:nvSpPr>
        <xdr:cNvPr id="1994" name="Text Box 16">
          <a:extLst>
            <a:ext uri="{FF2B5EF4-FFF2-40B4-BE49-F238E27FC236}">
              <a16:creationId xmlns:a16="http://schemas.microsoft.com/office/drawing/2014/main" id="{00000000-0008-0000-0500-0000CA070000}"/>
            </a:ext>
          </a:extLst>
        </xdr:cNvPr>
        <xdr:cNvSpPr txBox="1">
          <a:spLocks noChangeArrowheads="1"/>
        </xdr:cNvSpPr>
      </xdr:nvSpPr>
      <xdr:spPr bwMode="auto">
        <a:xfrm>
          <a:off x="9398454" y="6340929"/>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114</xdr:row>
      <xdr:rowOff>0</xdr:rowOff>
    </xdr:from>
    <xdr:ext cx="95250" cy="171450"/>
    <xdr:sp macro="" textlink="">
      <xdr:nvSpPr>
        <xdr:cNvPr id="1995" name="Text Box 17">
          <a:extLst>
            <a:ext uri="{FF2B5EF4-FFF2-40B4-BE49-F238E27FC236}">
              <a16:creationId xmlns:a16="http://schemas.microsoft.com/office/drawing/2014/main" id="{00000000-0008-0000-0500-0000CB070000}"/>
            </a:ext>
          </a:extLst>
        </xdr:cNvPr>
        <xdr:cNvSpPr txBox="1">
          <a:spLocks noChangeArrowheads="1"/>
        </xdr:cNvSpPr>
      </xdr:nvSpPr>
      <xdr:spPr bwMode="auto">
        <a:xfrm>
          <a:off x="9398454" y="6340929"/>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114</xdr:row>
      <xdr:rowOff>0</xdr:rowOff>
    </xdr:from>
    <xdr:ext cx="95250" cy="171450"/>
    <xdr:sp macro="" textlink="">
      <xdr:nvSpPr>
        <xdr:cNvPr id="1996" name="Text Box 18">
          <a:extLst>
            <a:ext uri="{FF2B5EF4-FFF2-40B4-BE49-F238E27FC236}">
              <a16:creationId xmlns:a16="http://schemas.microsoft.com/office/drawing/2014/main" id="{00000000-0008-0000-0500-0000CC070000}"/>
            </a:ext>
          </a:extLst>
        </xdr:cNvPr>
        <xdr:cNvSpPr txBox="1">
          <a:spLocks noChangeArrowheads="1"/>
        </xdr:cNvSpPr>
      </xdr:nvSpPr>
      <xdr:spPr bwMode="auto">
        <a:xfrm>
          <a:off x="9398454" y="6340929"/>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114</xdr:row>
      <xdr:rowOff>0</xdr:rowOff>
    </xdr:from>
    <xdr:ext cx="95250" cy="171450"/>
    <xdr:sp macro="" textlink="">
      <xdr:nvSpPr>
        <xdr:cNvPr id="1997" name="Text Box 19">
          <a:extLst>
            <a:ext uri="{FF2B5EF4-FFF2-40B4-BE49-F238E27FC236}">
              <a16:creationId xmlns:a16="http://schemas.microsoft.com/office/drawing/2014/main" id="{00000000-0008-0000-0500-0000CD070000}"/>
            </a:ext>
          </a:extLst>
        </xdr:cNvPr>
        <xdr:cNvSpPr txBox="1">
          <a:spLocks noChangeArrowheads="1"/>
        </xdr:cNvSpPr>
      </xdr:nvSpPr>
      <xdr:spPr bwMode="auto">
        <a:xfrm>
          <a:off x="9398454" y="6340929"/>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120</xdr:row>
      <xdr:rowOff>0</xdr:rowOff>
    </xdr:from>
    <xdr:ext cx="95250" cy="171450"/>
    <xdr:sp macro="" textlink="">
      <xdr:nvSpPr>
        <xdr:cNvPr id="1998" name="Text Box 16">
          <a:extLst>
            <a:ext uri="{FF2B5EF4-FFF2-40B4-BE49-F238E27FC236}">
              <a16:creationId xmlns:a16="http://schemas.microsoft.com/office/drawing/2014/main" id="{00000000-0008-0000-0500-0000CE070000}"/>
            </a:ext>
          </a:extLst>
        </xdr:cNvPr>
        <xdr:cNvSpPr txBox="1">
          <a:spLocks noChangeArrowheads="1"/>
        </xdr:cNvSpPr>
      </xdr:nvSpPr>
      <xdr:spPr bwMode="auto">
        <a:xfrm>
          <a:off x="3710214" y="6885214"/>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120</xdr:row>
      <xdr:rowOff>0</xdr:rowOff>
    </xdr:from>
    <xdr:ext cx="95250" cy="171450"/>
    <xdr:sp macro="" textlink="">
      <xdr:nvSpPr>
        <xdr:cNvPr id="1999" name="Text Box 17">
          <a:extLst>
            <a:ext uri="{FF2B5EF4-FFF2-40B4-BE49-F238E27FC236}">
              <a16:creationId xmlns:a16="http://schemas.microsoft.com/office/drawing/2014/main" id="{00000000-0008-0000-0500-0000CF070000}"/>
            </a:ext>
          </a:extLst>
        </xdr:cNvPr>
        <xdr:cNvSpPr txBox="1">
          <a:spLocks noChangeArrowheads="1"/>
        </xdr:cNvSpPr>
      </xdr:nvSpPr>
      <xdr:spPr bwMode="auto">
        <a:xfrm>
          <a:off x="3710214" y="6885214"/>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120</xdr:row>
      <xdr:rowOff>0</xdr:rowOff>
    </xdr:from>
    <xdr:ext cx="95250" cy="171450"/>
    <xdr:sp macro="" textlink="">
      <xdr:nvSpPr>
        <xdr:cNvPr id="2000" name="Text Box 18">
          <a:extLst>
            <a:ext uri="{FF2B5EF4-FFF2-40B4-BE49-F238E27FC236}">
              <a16:creationId xmlns:a16="http://schemas.microsoft.com/office/drawing/2014/main" id="{00000000-0008-0000-0500-0000D0070000}"/>
            </a:ext>
          </a:extLst>
        </xdr:cNvPr>
        <xdr:cNvSpPr txBox="1">
          <a:spLocks noChangeArrowheads="1"/>
        </xdr:cNvSpPr>
      </xdr:nvSpPr>
      <xdr:spPr bwMode="auto">
        <a:xfrm>
          <a:off x="3710214" y="6885214"/>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120</xdr:row>
      <xdr:rowOff>0</xdr:rowOff>
    </xdr:from>
    <xdr:ext cx="95250" cy="171450"/>
    <xdr:sp macro="" textlink="">
      <xdr:nvSpPr>
        <xdr:cNvPr id="2001" name="Text Box 19">
          <a:extLst>
            <a:ext uri="{FF2B5EF4-FFF2-40B4-BE49-F238E27FC236}">
              <a16:creationId xmlns:a16="http://schemas.microsoft.com/office/drawing/2014/main" id="{00000000-0008-0000-0500-0000D1070000}"/>
            </a:ext>
          </a:extLst>
        </xdr:cNvPr>
        <xdr:cNvSpPr txBox="1">
          <a:spLocks noChangeArrowheads="1"/>
        </xdr:cNvSpPr>
      </xdr:nvSpPr>
      <xdr:spPr bwMode="auto">
        <a:xfrm>
          <a:off x="3710214" y="6885214"/>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120</xdr:row>
      <xdr:rowOff>504825</xdr:rowOff>
    </xdr:from>
    <xdr:ext cx="95250" cy="461691"/>
    <xdr:sp macro="" textlink="">
      <xdr:nvSpPr>
        <xdr:cNvPr id="2002" name="Text Box 15">
          <a:extLst>
            <a:ext uri="{FF2B5EF4-FFF2-40B4-BE49-F238E27FC236}">
              <a16:creationId xmlns:a16="http://schemas.microsoft.com/office/drawing/2014/main" id="{00000000-0008-0000-0500-0000D2070000}"/>
            </a:ext>
          </a:extLst>
        </xdr:cNvPr>
        <xdr:cNvSpPr txBox="1">
          <a:spLocks noChangeArrowheads="1"/>
        </xdr:cNvSpPr>
      </xdr:nvSpPr>
      <xdr:spPr bwMode="auto">
        <a:xfrm>
          <a:off x="3710214" y="7066189"/>
          <a:ext cx="95250" cy="461691"/>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120</xdr:row>
      <xdr:rowOff>0</xdr:rowOff>
    </xdr:from>
    <xdr:ext cx="95250" cy="171450"/>
    <xdr:sp macro="" textlink="">
      <xdr:nvSpPr>
        <xdr:cNvPr id="2003" name="Text Box 16">
          <a:extLst>
            <a:ext uri="{FF2B5EF4-FFF2-40B4-BE49-F238E27FC236}">
              <a16:creationId xmlns:a16="http://schemas.microsoft.com/office/drawing/2014/main" id="{00000000-0008-0000-0500-0000D3070000}"/>
            </a:ext>
          </a:extLst>
        </xdr:cNvPr>
        <xdr:cNvSpPr txBox="1">
          <a:spLocks noChangeArrowheads="1"/>
        </xdr:cNvSpPr>
      </xdr:nvSpPr>
      <xdr:spPr bwMode="auto">
        <a:xfrm>
          <a:off x="6555468" y="6885214"/>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120</xdr:row>
      <xdr:rowOff>0</xdr:rowOff>
    </xdr:from>
    <xdr:ext cx="95250" cy="171450"/>
    <xdr:sp macro="" textlink="">
      <xdr:nvSpPr>
        <xdr:cNvPr id="2004" name="Text Box 17">
          <a:extLst>
            <a:ext uri="{FF2B5EF4-FFF2-40B4-BE49-F238E27FC236}">
              <a16:creationId xmlns:a16="http://schemas.microsoft.com/office/drawing/2014/main" id="{00000000-0008-0000-0500-0000D4070000}"/>
            </a:ext>
          </a:extLst>
        </xdr:cNvPr>
        <xdr:cNvSpPr txBox="1">
          <a:spLocks noChangeArrowheads="1"/>
        </xdr:cNvSpPr>
      </xdr:nvSpPr>
      <xdr:spPr bwMode="auto">
        <a:xfrm>
          <a:off x="6555468" y="6885214"/>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120</xdr:row>
      <xdr:rowOff>0</xdr:rowOff>
    </xdr:from>
    <xdr:ext cx="95250" cy="171450"/>
    <xdr:sp macro="" textlink="">
      <xdr:nvSpPr>
        <xdr:cNvPr id="2005" name="Text Box 18">
          <a:extLst>
            <a:ext uri="{FF2B5EF4-FFF2-40B4-BE49-F238E27FC236}">
              <a16:creationId xmlns:a16="http://schemas.microsoft.com/office/drawing/2014/main" id="{00000000-0008-0000-0500-0000D5070000}"/>
            </a:ext>
          </a:extLst>
        </xdr:cNvPr>
        <xdr:cNvSpPr txBox="1">
          <a:spLocks noChangeArrowheads="1"/>
        </xdr:cNvSpPr>
      </xdr:nvSpPr>
      <xdr:spPr bwMode="auto">
        <a:xfrm>
          <a:off x="6555468" y="6885214"/>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120</xdr:row>
      <xdr:rowOff>0</xdr:rowOff>
    </xdr:from>
    <xdr:ext cx="95250" cy="171450"/>
    <xdr:sp macro="" textlink="">
      <xdr:nvSpPr>
        <xdr:cNvPr id="2006" name="Text Box 19">
          <a:extLst>
            <a:ext uri="{FF2B5EF4-FFF2-40B4-BE49-F238E27FC236}">
              <a16:creationId xmlns:a16="http://schemas.microsoft.com/office/drawing/2014/main" id="{00000000-0008-0000-0500-0000D6070000}"/>
            </a:ext>
          </a:extLst>
        </xdr:cNvPr>
        <xdr:cNvSpPr txBox="1">
          <a:spLocks noChangeArrowheads="1"/>
        </xdr:cNvSpPr>
      </xdr:nvSpPr>
      <xdr:spPr bwMode="auto">
        <a:xfrm>
          <a:off x="6555468" y="6885214"/>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120</xdr:row>
      <xdr:rowOff>504825</xdr:rowOff>
    </xdr:from>
    <xdr:ext cx="95250" cy="442269"/>
    <xdr:sp macro="" textlink="">
      <xdr:nvSpPr>
        <xdr:cNvPr id="2007" name="Text Box 15">
          <a:extLst>
            <a:ext uri="{FF2B5EF4-FFF2-40B4-BE49-F238E27FC236}">
              <a16:creationId xmlns:a16="http://schemas.microsoft.com/office/drawing/2014/main" id="{00000000-0008-0000-0500-0000D7070000}"/>
            </a:ext>
          </a:extLst>
        </xdr:cNvPr>
        <xdr:cNvSpPr txBox="1">
          <a:spLocks noChangeArrowheads="1"/>
        </xdr:cNvSpPr>
      </xdr:nvSpPr>
      <xdr:spPr bwMode="auto">
        <a:xfrm>
          <a:off x="6555468" y="7066189"/>
          <a:ext cx="95250" cy="442269"/>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21</xdr:col>
      <xdr:colOff>0</xdr:colOff>
      <xdr:row>120</xdr:row>
      <xdr:rowOff>0</xdr:rowOff>
    </xdr:from>
    <xdr:ext cx="95250" cy="171450"/>
    <xdr:sp macro="" textlink="">
      <xdr:nvSpPr>
        <xdr:cNvPr id="2008" name="Text Box 16">
          <a:extLst>
            <a:ext uri="{FF2B5EF4-FFF2-40B4-BE49-F238E27FC236}">
              <a16:creationId xmlns:a16="http://schemas.microsoft.com/office/drawing/2014/main" id="{00000000-0008-0000-0500-0000D8070000}"/>
            </a:ext>
          </a:extLst>
        </xdr:cNvPr>
        <xdr:cNvSpPr txBox="1">
          <a:spLocks noChangeArrowheads="1"/>
        </xdr:cNvSpPr>
      </xdr:nvSpPr>
      <xdr:spPr bwMode="auto">
        <a:xfrm>
          <a:off x="15475857" y="6885214"/>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21</xdr:col>
      <xdr:colOff>0</xdr:colOff>
      <xdr:row>120</xdr:row>
      <xdr:rowOff>0</xdr:rowOff>
    </xdr:from>
    <xdr:ext cx="95250" cy="171450"/>
    <xdr:sp macro="" textlink="">
      <xdr:nvSpPr>
        <xdr:cNvPr id="2009" name="Text Box 17">
          <a:extLst>
            <a:ext uri="{FF2B5EF4-FFF2-40B4-BE49-F238E27FC236}">
              <a16:creationId xmlns:a16="http://schemas.microsoft.com/office/drawing/2014/main" id="{00000000-0008-0000-0500-0000D9070000}"/>
            </a:ext>
          </a:extLst>
        </xdr:cNvPr>
        <xdr:cNvSpPr txBox="1">
          <a:spLocks noChangeArrowheads="1"/>
        </xdr:cNvSpPr>
      </xdr:nvSpPr>
      <xdr:spPr bwMode="auto">
        <a:xfrm>
          <a:off x="15475857" y="6885214"/>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21</xdr:col>
      <xdr:colOff>0</xdr:colOff>
      <xdr:row>120</xdr:row>
      <xdr:rowOff>0</xdr:rowOff>
    </xdr:from>
    <xdr:ext cx="95250" cy="171450"/>
    <xdr:sp macro="" textlink="">
      <xdr:nvSpPr>
        <xdr:cNvPr id="2010" name="Text Box 18">
          <a:extLst>
            <a:ext uri="{FF2B5EF4-FFF2-40B4-BE49-F238E27FC236}">
              <a16:creationId xmlns:a16="http://schemas.microsoft.com/office/drawing/2014/main" id="{00000000-0008-0000-0500-0000DA070000}"/>
            </a:ext>
          </a:extLst>
        </xdr:cNvPr>
        <xdr:cNvSpPr txBox="1">
          <a:spLocks noChangeArrowheads="1"/>
        </xdr:cNvSpPr>
      </xdr:nvSpPr>
      <xdr:spPr bwMode="auto">
        <a:xfrm>
          <a:off x="15475857" y="6885214"/>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21</xdr:col>
      <xdr:colOff>0</xdr:colOff>
      <xdr:row>120</xdr:row>
      <xdr:rowOff>0</xdr:rowOff>
    </xdr:from>
    <xdr:ext cx="95250" cy="171450"/>
    <xdr:sp macro="" textlink="">
      <xdr:nvSpPr>
        <xdr:cNvPr id="2011" name="Text Box 19">
          <a:extLst>
            <a:ext uri="{FF2B5EF4-FFF2-40B4-BE49-F238E27FC236}">
              <a16:creationId xmlns:a16="http://schemas.microsoft.com/office/drawing/2014/main" id="{00000000-0008-0000-0500-0000DB070000}"/>
            </a:ext>
          </a:extLst>
        </xdr:cNvPr>
        <xdr:cNvSpPr txBox="1">
          <a:spLocks noChangeArrowheads="1"/>
        </xdr:cNvSpPr>
      </xdr:nvSpPr>
      <xdr:spPr bwMode="auto">
        <a:xfrm>
          <a:off x="15475857" y="6885214"/>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21</xdr:col>
      <xdr:colOff>0</xdr:colOff>
      <xdr:row>120</xdr:row>
      <xdr:rowOff>504825</xdr:rowOff>
    </xdr:from>
    <xdr:ext cx="95250" cy="442269"/>
    <xdr:sp macro="" textlink="">
      <xdr:nvSpPr>
        <xdr:cNvPr id="2012" name="Text Box 15">
          <a:extLst>
            <a:ext uri="{FF2B5EF4-FFF2-40B4-BE49-F238E27FC236}">
              <a16:creationId xmlns:a16="http://schemas.microsoft.com/office/drawing/2014/main" id="{00000000-0008-0000-0500-0000DC070000}"/>
            </a:ext>
          </a:extLst>
        </xdr:cNvPr>
        <xdr:cNvSpPr txBox="1">
          <a:spLocks noChangeArrowheads="1"/>
        </xdr:cNvSpPr>
      </xdr:nvSpPr>
      <xdr:spPr bwMode="auto">
        <a:xfrm>
          <a:off x="15475857" y="7066189"/>
          <a:ext cx="95250" cy="442269"/>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119</xdr:row>
      <xdr:rowOff>504825</xdr:rowOff>
    </xdr:from>
    <xdr:ext cx="95250" cy="444014"/>
    <xdr:sp macro="" textlink="">
      <xdr:nvSpPr>
        <xdr:cNvPr id="2013" name="Text Box 15">
          <a:extLst>
            <a:ext uri="{FF2B5EF4-FFF2-40B4-BE49-F238E27FC236}">
              <a16:creationId xmlns:a16="http://schemas.microsoft.com/office/drawing/2014/main" id="{00000000-0008-0000-0500-0000DD070000}"/>
            </a:ext>
          </a:extLst>
        </xdr:cNvPr>
        <xdr:cNvSpPr txBox="1">
          <a:spLocks noChangeArrowheads="1"/>
        </xdr:cNvSpPr>
      </xdr:nvSpPr>
      <xdr:spPr bwMode="auto">
        <a:xfrm>
          <a:off x="3710214" y="6878411"/>
          <a:ext cx="95250" cy="444014"/>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120</xdr:row>
      <xdr:rowOff>0</xdr:rowOff>
    </xdr:from>
    <xdr:ext cx="95250" cy="171450"/>
    <xdr:sp macro="" textlink="">
      <xdr:nvSpPr>
        <xdr:cNvPr id="2014" name="Text Box 16">
          <a:extLst>
            <a:ext uri="{FF2B5EF4-FFF2-40B4-BE49-F238E27FC236}">
              <a16:creationId xmlns:a16="http://schemas.microsoft.com/office/drawing/2014/main" id="{00000000-0008-0000-0500-0000DE070000}"/>
            </a:ext>
          </a:extLst>
        </xdr:cNvPr>
        <xdr:cNvSpPr txBox="1">
          <a:spLocks noChangeArrowheads="1"/>
        </xdr:cNvSpPr>
      </xdr:nvSpPr>
      <xdr:spPr bwMode="auto">
        <a:xfrm>
          <a:off x="3710214" y="6885214"/>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120</xdr:row>
      <xdr:rowOff>0</xdr:rowOff>
    </xdr:from>
    <xdr:ext cx="95250" cy="171450"/>
    <xdr:sp macro="" textlink="">
      <xdr:nvSpPr>
        <xdr:cNvPr id="2015" name="Text Box 17">
          <a:extLst>
            <a:ext uri="{FF2B5EF4-FFF2-40B4-BE49-F238E27FC236}">
              <a16:creationId xmlns:a16="http://schemas.microsoft.com/office/drawing/2014/main" id="{00000000-0008-0000-0500-0000DF070000}"/>
            </a:ext>
          </a:extLst>
        </xdr:cNvPr>
        <xdr:cNvSpPr txBox="1">
          <a:spLocks noChangeArrowheads="1"/>
        </xdr:cNvSpPr>
      </xdr:nvSpPr>
      <xdr:spPr bwMode="auto">
        <a:xfrm>
          <a:off x="3710214" y="6885214"/>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120</xdr:row>
      <xdr:rowOff>0</xdr:rowOff>
    </xdr:from>
    <xdr:ext cx="95250" cy="171450"/>
    <xdr:sp macro="" textlink="">
      <xdr:nvSpPr>
        <xdr:cNvPr id="2016" name="Text Box 18">
          <a:extLst>
            <a:ext uri="{FF2B5EF4-FFF2-40B4-BE49-F238E27FC236}">
              <a16:creationId xmlns:a16="http://schemas.microsoft.com/office/drawing/2014/main" id="{00000000-0008-0000-0500-0000E0070000}"/>
            </a:ext>
          </a:extLst>
        </xdr:cNvPr>
        <xdr:cNvSpPr txBox="1">
          <a:spLocks noChangeArrowheads="1"/>
        </xdr:cNvSpPr>
      </xdr:nvSpPr>
      <xdr:spPr bwMode="auto">
        <a:xfrm>
          <a:off x="3710214" y="6885214"/>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120</xdr:row>
      <xdr:rowOff>0</xdr:rowOff>
    </xdr:from>
    <xdr:ext cx="95250" cy="171450"/>
    <xdr:sp macro="" textlink="">
      <xdr:nvSpPr>
        <xdr:cNvPr id="2017" name="Text Box 19">
          <a:extLst>
            <a:ext uri="{FF2B5EF4-FFF2-40B4-BE49-F238E27FC236}">
              <a16:creationId xmlns:a16="http://schemas.microsoft.com/office/drawing/2014/main" id="{00000000-0008-0000-0500-0000E1070000}"/>
            </a:ext>
          </a:extLst>
        </xdr:cNvPr>
        <xdr:cNvSpPr txBox="1">
          <a:spLocks noChangeArrowheads="1"/>
        </xdr:cNvSpPr>
      </xdr:nvSpPr>
      <xdr:spPr bwMode="auto">
        <a:xfrm>
          <a:off x="3710214" y="6885214"/>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120</xdr:row>
      <xdr:rowOff>504825</xdr:rowOff>
    </xdr:from>
    <xdr:ext cx="95250" cy="213632"/>
    <xdr:sp macro="" textlink="">
      <xdr:nvSpPr>
        <xdr:cNvPr id="2018" name="Text Box 15">
          <a:extLst>
            <a:ext uri="{FF2B5EF4-FFF2-40B4-BE49-F238E27FC236}">
              <a16:creationId xmlns:a16="http://schemas.microsoft.com/office/drawing/2014/main" id="{00000000-0008-0000-0500-0000E2070000}"/>
            </a:ext>
          </a:extLst>
        </xdr:cNvPr>
        <xdr:cNvSpPr txBox="1">
          <a:spLocks noChangeArrowheads="1"/>
        </xdr:cNvSpPr>
      </xdr:nvSpPr>
      <xdr:spPr bwMode="auto">
        <a:xfrm>
          <a:off x="3710214" y="7066189"/>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120</xdr:row>
      <xdr:rowOff>504825</xdr:rowOff>
    </xdr:from>
    <xdr:ext cx="95250" cy="444331"/>
    <xdr:sp macro="" textlink="">
      <xdr:nvSpPr>
        <xdr:cNvPr id="2019" name="Text Box 15">
          <a:extLst>
            <a:ext uri="{FF2B5EF4-FFF2-40B4-BE49-F238E27FC236}">
              <a16:creationId xmlns:a16="http://schemas.microsoft.com/office/drawing/2014/main" id="{00000000-0008-0000-0500-0000E3070000}"/>
            </a:ext>
          </a:extLst>
        </xdr:cNvPr>
        <xdr:cNvSpPr txBox="1">
          <a:spLocks noChangeArrowheads="1"/>
        </xdr:cNvSpPr>
      </xdr:nvSpPr>
      <xdr:spPr bwMode="auto">
        <a:xfrm>
          <a:off x="3710214" y="7066189"/>
          <a:ext cx="95250" cy="444331"/>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119</xdr:row>
      <xdr:rowOff>504825</xdr:rowOff>
    </xdr:from>
    <xdr:ext cx="95250" cy="442269"/>
    <xdr:sp macro="" textlink="">
      <xdr:nvSpPr>
        <xdr:cNvPr id="2020" name="Text Box 15">
          <a:extLst>
            <a:ext uri="{FF2B5EF4-FFF2-40B4-BE49-F238E27FC236}">
              <a16:creationId xmlns:a16="http://schemas.microsoft.com/office/drawing/2014/main" id="{00000000-0008-0000-0500-0000E4070000}"/>
            </a:ext>
          </a:extLst>
        </xdr:cNvPr>
        <xdr:cNvSpPr txBox="1">
          <a:spLocks noChangeArrowheads="1"/>
        </xdr:cNvSpPr>
      </xdr:nvSpPr>
      <xdr:spPr bwMode="auto">
        <a:xfrm>
          <a:off x="6555468" y="6878411"/>
          <a:ext cx="95250" cy="442269"/>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120</xdr:row>
      <xdr:rowOff>0</xdr:rowOff>
    </xdr:from>
    <xdr:ext cx="95250" cy="171450"/>
    <xdr:sp macro="" textlink="">
      <xdr:nvSpPr>
        <xdr:cNvPr id="2021" name="Text Box 16">
          <a:extLst>
            <a:ext uri="{FF2B5EF4-FFF2-40B4-BE49-F238E27FC236}">
              <a16:creationId xmlns:a16="http://schemas.microsoft.com/office/drawing/2014/main" id="{00000000-0008-0000-0500-0000E5070000}"/>
            </a:ext>
          </a:extLst>
        </xdr:cNvPr>
        <xdr:cNvSpPr txBox="1">
          <a:spLocks noChangeArrowheads="1"/>
        </xdr:cNvSpPr>
      </xdr:nvSpPr>
      <xdr:spPr bwMode="auto">
        <a:xfrm>
          <a:off x="6555468" y="6885214"/>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120</xdr:row>
      <xdr:rowOff>0</xdr:rowOff>
    </xdr:from>
    <xdr:ext cx="95250" cy="171450"/>
    <xdr:sp macro="" textlink="">
      <xdr:nvSpPr>
        <xdr:cNvPr id="2022" name="Text Box 17">
          <a:extLst>
            <a:ext uri="{FF2B5EF4-FFF2-40B4-BE49-F238E27FC236}">
              <a16:creationId xmlns:a16="http://schemas.microsoft.com/office/drawing/2014/main" id="{00000000-0008-0000-0500-0000E6070000}"/>
            </a:ext>
          </a:extLst>
        </xdr:cNvPr>
        <xdr:cNvSpPr txBox="1">
          <a:spLocks noChangeArrowheads="1"/>
        </xdr:cNvSpPr>
      </xdr:nvSpPr>
      <xdr:spPr bwMode="auto">
        <a:xfrm>
          <a:off x="6555468" y="6885214"/>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120</xdr:row>
      <xdr:rowOff>0</xdr:rowOff>
    </xdr:from>
    <xdr:ext cx="95250" cy="171450"/>
    <xdr:sp macro="" textlink="">
      <xdr:nvSpPr>
        <xdr:cNvPr id="2023" name="Text Box 18">
          <a:extLst>
            <a:ext uri="{FF2B5EF4-FFF2-40B4-BE49-F238E27FC236}">
              <a16:creationId xmlns:a16="http://schemas.microsoft.com/office/drawing/2014/main" id="{00000000-0008-0000-0500-0000E7070000}"/>
            </a:ext>
          </a:extLst>
        </xdr:cNvPr>
        <xdr:cNvSpPr txBox="1">
          <a:spLocks noChangeArrowheads="1"/>
        </xdr:cNvSpPr>
      </xdr:nvSpPr>
      <xdr:spPr bwMode="auto">
        <a:xfrm>
          <a:off x="6555468" y="6885214"/>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120</xdr:row>
      <xdr:rowOff>504825</xdr:rowOff>
    </xdr:from>
    <xdr:ext cx="95250" cy="213632"/>
    <xdr:sp macro="" textlink="">
      <xdr:nvSpPr>
        <xdr:cNvPr id="2024" name="Text Box 15">
          <a:extLst>
            <a:ext uri="{FF2B5EF4-FFF2-40B4-BE49-F238E27FC236}">
              <a16:creationId xmlns:a16="http://schemas.microsoft.com/office/drawing/2014/main" id="{00000000-0008-0000-0500-0000E8070000}"/>
            </a:ext>
          </a:extLst>
        </xdr:cNvPr>
        <xdr:cNvSpPr txBox="1">
          <a:spLocks noChangeArrowheads="1"/>
        </xdr:cNvSpPr>
      </xdr:nvSpPr>
      <xdr:spPr bwMode="auto">
        <a:xfrm>
          <a:off x="6555468" y="7066189"/>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120</xdr:row>
      <xdr:rowOff>0</xdr:rowOff>
    </xdr:from>
    <xdr:ext cx="95250" cy="171450"/>
    <xdr:sp macro="" textlink="">
      <xdr:nvSpPr>
        <xdr:cNvPr id="2025" name="Text Box 16">
          <a:extLst>
            <a:ext uri="{FF2B5EF4-FFF2-40B4-BE49-F238E27FC236}">
              <a16:creationId xmlns:a16="http://schemas.microsoft.com/office/drawing/2014/main" id="{00000000-0008-0000-0500-0000E9070000}"/>
            </a:ext>
          </a:extLst>
        </xdr:cNvPr>
        <xdr:cNvSpPr txBox="1">
          <a:spLocks noChangeArrowheads="1"/>
        </xdr:cNvSpPr>
      </xdr:nvSpPr>
      <xdr:spPr bwMode="auto">
        <a:xfrm>
          <a:off x="9398454" y="6885214"/>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120</xdr:row>
      <xdr:rowOff>0</xdr:rowOff>
    </xdr:from>
    <xdr:ext cx="95250" cy="171450"/>
    <xdr:sp macro="" textlink="">
      <xdr:nvSpPr>
        <xdr:cNvPr id="2026" name="Text Box 17">
          <a:extLst>
            <a:ext uri="{FF2B5EF4-FFF2-40B4-BE49-F238E27FC236}">
              <a16:creationId xmlns:a16="http://schemas.microsoft.com/office/drawing/2014/main" id="{00000000-0008-0000-0500-0000EA070000}"/>
            </a:ext>
          </a:extLst>
        </xdr:cNvPr>
        <xdr:cNvSpPr txBox="1">
          <a:spLocks noChangeArrowheads="1"/>
        </xdr:cNvSpPr>
      </xdr:nvSpPr>
      <xdr:spPr bwMode="auto">
        <a:xfrm>
          <a:off x="9398454" y="6885214"/>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120</xdr:row>
      <xdr:rowOff>0</xdr:rowOff>
    </xdr:from>
    <xdr:ext cx="95250" cy="171450"/>
    <xdr:sp macro="" textlink="">
      <xdr:nvSpPr>
        <xdr:cNvPr id="2027" name="Text Box 18">
          <a:extLst>
            <a:ext uri="{FF2B5EF4-FFF2-40B4-BE49-F238E27FC236}">
              <a16:creationId xmlns:a16="http://schemas.microsoft.com/office/drawing/2014/main" id="{00000000-0008-0000-0500-0000EB070000}"/>
            </a:ext>
          </a:extLst>
        </xdr:cNvPr>
        <xdr:cNvSpPr txBox="1">
          <a:spLocks noChangeArrowheads="1"/>
        </xdr:cNvSpPr>
      </xdr:nvSpPr>
      <xdr:spPr bwMode="auto">
        <a:xfrm>
          <a:off x="9398454" y="6885214"/>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120</xdr:row>
      <xdr:rowOff>0</xdr:rowOff>
    </xdr:from>
    <xdr:ext cx="95250" cy="171450"/>
    <xdr:sp macro="" textlink="">
      <xdr:nvSpPr>
        <xdr:cNvPr id="2028" name="Text Box 19">
          <a:extLst>
            <a:ext uri="{FF2B5EF4-FFF2-40B4-BE49-F238E27FC236}">
              <a16:creationId xmlns:a16="http://schemas.microsoft.com/office/drawing/2014/main" id="{00000000-0008-0000-0500-0000EC070000}"/>
            </a:ext>
          </a:extLst>
        </xdr:cNvPr>
        <xdr:cNvSpPr txBox="1">
          <a:spLocks noChangeArrowheads="1"/>
        </xdr:cNvSpPr>
      </xdr:nvSpPr>
      <xdr:spPr bwMode="auto">
        <a:xfrm>
          <a:off x="9398454" y="6885214"/>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120</xdr:row>
      <xdr:rowOff>0</xdr:rowOff>
    </xdr:from>
    <xdr:ext cx="95250" cy="171450"/>
    <xdr:sp macro="" textlink="">
      <xdr:nvSpPr>
        <xdr:cNvPr id="2029" name="Text Box 16">
          <a:extLst>
            <a:ext uri="{FF2B5EF4-FFF2-40B4-BE49-F238E27FC236}">
              <a16:creationId xmlns:a16="http://schemas.microsoft.com/office/drawing/2014/main" id="{00000000-0008-0000-0500-0000ED070000}"/>
            </a:ext>
          </a:extLst>
        </xdr:cNvPr>
        <xdr:cNvSpPr txBox="1">
          <a:spLocks noChangeArrowheads="1"/>
        </xdr:cNvSpPr>
      </xdr:nvSpPr>
      <xdr:spPr bwMode="auto">
        <a:xfrm>
          <a:off x="9398454" y="6885214"/>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120</xdr:row>
      <xdr:rowOff>0</xdr:rowOff>
    </xdr:from>
    <xdr:ext cx="95250" cy="171450"/>
    <xdr:sp macro="" textlink="">
      <xdr:nvSpPr>
        <xdr:cNvPr id="2030" name="Text Box 17">
          <a:extLst>
            <a:ext uri="{FF2B5EF4-FFF2-40B4-BE49-F238E27FC236}">
              <a16:creationId xmlns:a16="http://schemas.microsoft.com/office/drawing/2014/main" id="{00000000-0008-0000-0500-0000EE070000}"/>
            </a:ext>
          </a:extLst>
        </xdr:cNvPr>
        <xdr:cNvSpPr txBox="1">
          <a:spLocks noChangeArrowheads="1"/>
        </xdr:cNvSpPr>
      </xdr:nvSpPr>
      <xdr:spPr bwMode="auto">
        <a:xfrm>
          <a:off x="9398454" y="6885214"/>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120</xdr:row>
      <xdr:rowOff>0</xdr:rowOff>
    </xdr:from>
    <xdr:ext cx="95250" cy="171450"/>
    <xdr:sp macro="" textlink="">
      <xdr:nvSpPr>
        <xdr:cNvPr id="2031" name="Text Box 18">
          <a:extLst>
            <a:ext uri="{FF2B5EF4-FFF2-40B4-BE49-F238E27FC236}">
              <a16:creationId xmlns:a16="http://schemas.microsoft.com/office/drawing/2014/main" id="{00000000-0008-0000-0500-0000EF070000}"/>
            </a:ext>
          </a:extLst>
        </xdr:cNvPr>
        <xdr:cNvSpPr txBox="1">
          <a:spLocks noChangeArrowheads="1"/>
        </xdr:cNvSpPr>
      </xdr:nvSpPr>
      <xdr:spPr bwMode="auto">
        <a:xfrm>
          <a:off x="9398454" y="6885214"/>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120</xdr:row>
      <xdr:rowOff>0</xdr:rowOff>
    </xdr:from>
    <xdr:ext cx="95250" cy="171450"/>
    <xdr:sp macro="" textlink="">
      <xdr:nvSpPr>
        <xdr:cNvPr id="2032" name="Text Box 19">
          <a:extLst>
            <a:ext uri="{FF2B5EF4-FFF2-40B4-BE49-F238E27FC236}">
              <a16:creationId xmlns:a16="http://schemas.microsoft.com/office/drawing/2014/main" id="{00000000-0008-0000-0500-0000F0070000}"/>
            </a:ext>
          </a:extLst>
        </xdr:cNvPr>
        <xdr:cNvSpPr txBox="1">
          <a:spLocks noChangeArrowheads="1"/>
        </xdr:cNvSpPr>
      </xdr:nvSpPr>
      <xdr:spPr bwMode="auto">
        <a:xfrm>
          <a:off x="9398454" y="6885214"/>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126</xdr:row>
      <xdr:rowOff>0</xdr:rowOff>
    </xdr:from>
    <xdr:ext cx="95250" cy="171450"/>
    <xdr:sp macro="" textlink="">
      <xdr:nvSpPr>
        <xdr:cNvPr id="2033" name="Text Box 16">
          <a:extLst>
            <a:ext uri="{FF2B5EF4-FFF2-40B4-BE49-F238E27FC236}">
              <a16:creationId xmlns:a16="http://schemas.microsoft.com/office/drawing/2014/main" id="{00000000-0008-0000-0500-0000F1070000}"/>
            </a:ext>
          </a:extLst>
        </xdr:cNvPr>
        <xdr:cNvSpPr txBox="1">
          <a:spLocks noChangeArrowheads="1"/>
        </xdr:cNvSpPr>
      </xdr:nvSpPr>
      <xdr:spPr bwMode="auto">
        <a:xfrm>
          <a:off x="3710214" y="7429500"/>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126</xdr:row>
      <xdr:rowOff>0</xdr:rowOff>
    </xdr:from>
    <xdr:ext cx="95250" cy="171450"/>
    <xdr:sp macro="" textlink="">
      <xdr:nvSpPr>
        <xdr:cNvPr id="2034" name="Text Box 17">
          <a:extLst>
            <a:ext uri="{FF2B5EF4-FFF2-40B4-BE49-F238E27FC236}">
              <a16:creationId xmlns:a16="http://schemas.microsoft.com/office/drawing/2014/main" id="{00000000-0008-0000-0500-0000F2070000}"/>
            </a:ext>
          </a:extLst>
        </xdr:cNvPr>
        <xdr:cNvSpPr txBox="1">
          <a:spLocks noChangeArrowheads="1"/>
        </xdr:cNvSpPr>
      </xdr:nvSpPr>
      <xdr:spPr bwMode="auto">
        <a:xfrm>
          <a:off x="3710214" y="7429500"/>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126</xdr:row>
      <xdr:rowOff>0</xdr:rowOff>
    </xdr:from>
    <xdr:ext cx="95250" cy="171450"/>
    <xdr:sp macro="" textlink="">
      <xdr:nvSpPr>
        <xdr:cNvPr id="2035" name="Text Box 18">
          <a:extLst>
            <a:ext uri="{FF2B5EF4-FFF2-40B4-BE49-F238E27FC236}">
              <a16:creationId xmlns:a16="http://schemas.microsoft.com/office/drawing/2014/main" id="{00000000-0008-0000-0500-0000F3070000}"/>
            </a:ext>
          </a:extLst>
        </xdr:cNvPr>
        <xdr:cNvSpPr txBox="1">
          <a:spLocks noChangeArrowheads="1"/>
        </xdr:cNvSpPr>
      </xdr:nvSpPr>
      <xdr:spPr bwMode="auto">
        <a:xfrm>
          <a:off x="3710214" y="7429500"/>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126</xdr:row>
      <xdr:rowOff>0</xdr:rowOff>
    </xdr:from>
    <xdr:ext cx="95250" cy="171450"/>
    <xdr:sp macro="" textlink="">
      <xdr:nvSpPr>
        <xdr:cNvPr id="2036" name="Text Box 19">
          <a:extLst>
            <a:ext uri="{FF2B5EF4-FFF2-40B4-BE49-F238E27FC236}">
              <a16:creationId xmlns:a16="http://schemas.microsoft.com/office/drawing/2014/main" id="{00000000-0008-0000-0500-0000F4070000}"/>
            </a:ext>
          </a:extLst>
        </xdr:cNvPr>
        <xdr:cNvSpPr txBox="1">
          <a:spLocks noChangeArrowheads="1"/>
        </xdr:cNvSpPr>
      </xdr:nvSpPr>
      <xdr:spPr bwMode="auto">
        <a:xfrm>
          <a:off x="3710214" y="7429500"/>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126</xdr:row>
      <xdr:rowOff>0</xdr:rowOff>
    </xdr:from>
    <xdr:ext cx="95250" cy="171450"/>
    <xdr:sp macro="" textlink="">
      <xdr:nvSpPr>
        <xdr:cNvPr id="2037" name="Text Box 16">
          <a:extLst>
            <a:ext uri="{FF2B5EF4-FFF2-40B4-BE49-F238E27FC236}">
              <a16:creationId xmlns:a16="http://schemas.microsoft.com/office/drawing/2014/main" id="{00000000-0008-0000-0500-0000F5070000}"/>
            </a:ext>
          </a:extLst>
        </xdr:cNvPr>
        <xdr:cNvSpPr txBox="1">
          <a:spLocks noChangeArrowheads="1"/>
        </xdr:cNvSpPr>
      </xdr:nvSpPr>
      <xdr:spPr bwMode="auto">
        <a:xfrm>
          <a:off x="6555468" y="7429500"/>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126</xdr:row>
      <xdr:rowOff>0</xdr:rowOff>
    </xdr:from>
    <xdr:ext cx="95250" cy="171450"/>
    <xdr:sp macro="" textlink="">
      <xdr:nvSpPr>
        <xdr:cNvPr id="2038" name="Text Box 17">
          <a:extLst>
            <a:ext uri="{FF2B5EF4-FFF2-40B4-BE49-F238E27FC236}">
              <a16:creationId xmlns:a16="http://schemas.microsoft.com/office/drawing/2014/main" id="{00000000-0008-0000-0500-0000F6070000}"/>
            </a:ext>
          </a:extLst>
        </xdr:cNvPr>
        <xdr:cNvSpPr txBox="1">
          <a:spLocks noChangeArrowheads="1"/>
        </xdr:cNvSpPr>
      </xdr:nvSpPr>
      <xdr:spPr bwMode="auto">
        <a:xfrm>
          <a:off x="6555468" y="7429500"/>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126</xdr:row>
      <xdr:rowOff>0</xdr:rowOff>
    </xdr:from>
    <xdr:ext cx="95250" cy="171450"/>
    <xdr:sp macro="" textlink="">
      <xdr:nvSpPr>
        <xdr:cNvPr id="2039" name="Text Box 18">
          <a:extLst>
            <a:ext uri="{FF2B5EF4-FFF2-40B4-BE49-F238E27FC236}">
              <a16:creationId xmlns:a16="http://schemas.microsoft.com/office/drawing/2014/main" id="{00000000-0008-0000-0500-0000F7070000}"/>
            </a:ext>
          </a:extLst>
        </xdr:cNvPr>
        <xdr:cNvSpPr txBox="1">
          <a:spLocks noChangeArrowheads="1"/>
        </xdr:cNvSpPr>
      </xdr:nvSpPr>
      <xdr:spPr bwMode="auto">
        <a:xfrm>
          <a:off x="6555468" y="7429500"/>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126</xdr:row>
      <xdr:rowOff>0</xdr:rowOff>
    </xdr:from>
    <xdr:ext cx="95250" cy="171450"/>
    <xdr:sp macro="" textlink="">
      <xdr:nvSpPr>
        <xdr:cNvPr id="2040" name="Text Box 19">
          <a:extLst>
            <a:ext uri="{FF2B5EF4-FFF2-40B4-BE49-F238E27FC236}">
              <a16:creationId xmlns:a16="http://schemas.microsoft.com/office/drawing/2014/main" id="{00000000-0008-0000-0500-0000F8070000}"/>
            </a:ext>
          </a:extLst>
        </xdr:cNvPr>
        <xdr:cNvSpPr txBox="1">
          <a:spLocks noChangeArrowheads="1"/>
        </xdr:cNvSpPr>
      </xdr:nvSpPr>
      <xdr:spPr bwMode="auto">
        <a:xfrm>
          <a:off x="6555468" y="7429500"/>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21</xdr:col>
      <xdr:colOff>0</xdr:colOff>
      <xdr:row>126</xdr:row>
      <xdr:rowOff>0</xdr:rowOff>
    </xdr:from>
    <xdr:ext cx="95250" cy="171450"/>
    <xdr:sp macro="" textlink="">
      <xdr:nvSpPr>
        <xdr:cNvPr id="2041" name="Text Box 16">
          <a:extLst>
            <a:ext uri="{FF2B5EF4-FFF2-40B4-BE49-F238E27FC236}">
              <a16:creationId xmlns:a16="http://schemas.microsoft.com/office/drawing/2014/main" id="{00000000-0008-0000-0500-0000F9070000}"/>
            </a:ext>
          </a:extLst>
        </xdr:cNvPr>
        <xdr:cNvSpPr txBox="1">
          <a:spLocks noChangeArrowheads="1"/>
        </xdr:cNvSpPr>
      </xdr:nvSpPr>
      <xdr:spPr bwMode="auto">
        <a:xfrm>
          <a:off x="15475857" y="7429500"/>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21</xdr:col>
      <xdr:colOff>0</xdr:colOff>
      <xdr:row>126</xdr:row>
      <xdr:rowOff>0</xdr:rowOff>
    </xdr:from>
    <xdr:ext cx="95250" cy="171450"/>
    <xdr:sp macro="" textlink="">
      <xdr:nvSpPr>
        <xdr:cNvPr id="2042" name="Text Box 17">
          <a:extLst>
            <a:ext uri="{FF2B5EF4-FFF2-40B4-BE49-F238E27FC236}">
              <a16:creationId xmlns:a16="http://schemas.microsoft.com/office/drawing/2014/main" id="{00000000-0008-0000-0500-0000FA070000}"/>
            </a:ext>
          </a:extLst>
        </xdr:cNvPr>
        <xdr:cNvSpPr txBox="1">
          <a:spLocks noChangeArrowheads="1"/>
        </xdr:cNvSpPr>
      </xdr:nvSpPr>
      <xdr:spPr bwMode="auto">
        <a:xfrm>
          <a:off x="15475857" y="7429500"/>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21</xdr:col>
      <xdr:colOff>0</xdr:colOff>
      <xdr:row>126</xdr:row>
      <xdr:rowOff>0</xdr:rowOff>
    </xdr:from>
    <xdr:ext cx="95250" cy="171450"/>
    <xdr:sp macro="" textlink="">
      <xdr:nvSpPr>
        <xdr:cNvPr id="2043" name="Text Box 18">
          <a:extLst>
            <a:ext uri="{FF2B5EF4-FFF2-40B4-BE49-F238E27FC236}">
              <a16:creationId xmlns:a16="http://schemas.microsoft.com/office/drawing/2014/main" id="{00000000-0008-0000-0500-0000FB070000}"/>
            </a:ext>
          </a:extLst>
        </xdr:cNvPr>
        <xdr:cNvSpPr txBox="1">
          <a:spLocks noChangeArrowheads="1"/>
        </xdr:cNvSpPr>
      </xdr:nvSpPr>
      <xdr:spPr bwMode="auto">
        <a:xfrm>
          <a:off x="15475857" y="7429500"/>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21</xdr:col>
      <xdr:colOff>0</xdr:colOff>
      <xdr:row>126</xdr:row>
      <xdr:rowOff>0</xdr:rowOff>
    </xdr:from>
    <xdr:ext cx="95250" cy="171450"/>
    <xdr:sp macro="" textlink="">
      <xdr:nvSpPr>
        <xdr:cNvPr id="2044" name="Text Box 19">
          <a:extLst>
            <a:ext uri="{FF2B5EF4-FFF2-40B4-BE49-F238E27FC236}">
              <a16:creationId xmlns:a16="http://schemas.microsoft.com/office/drawing/2014/main" id="{00000000-0008-0000-0500-0000FC070000}"/>
            </a:ext>
          </a:extLst>
        </xdr:cNvPr>
        <xdr:cNvSpPr txBox="1">
          <a:spLocks noChangeArrowheads="1"/>
        </xdr:cNvSpPr>
      </xdr:nvSpPr>
      <xdr:spPr bwMode="auto">
        <a:xfrm>
          <a:off x="15475857" y="7429500"/>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126</xdr:row>
      <xdr:rowOff>0</xdr:rowOff>
    </xdr:from>
    <xdr:ext cx="95250" cy="171450"/>
    <xdr:sp macro="" textlink="">
      <xdr:nvSpPr>
        <xdr:cNvPr id="2045" name="Text Box 16">
          <a:extLst>
            <a:ext uri="{FF2B5EF4-FFF2-40B4-BE49-F238E27FC236}">
              <a16:creationId xmlns:a16="http://schemas.microsoft.com/office/drawing/2014/main" id="{00000000-0008-0000-0500-0000FD070000}"/>
            </a:ext>
          </a:extLst>
        </xdr:cNvPr>
        <xdr:cNvSpPr txBox="1">
          <a:spLocks noChangeArrowheads="1"/>
        </xdr:cNvSpPr>
      </xdr:nvSpPr>
      <xdr:spPr bwMode="auto">
        <a:xfrm>
          <a:off x="3710214" y="7429500"/>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126</xdr:row>
      <xdr:rowOff>0</xdr:rowOff>
    </xdr:from>
    <xdr:ext cx="95250" cy="171450"/>
    <xdr:sp macro="" textlink="">
      <xdr:nvSpPr>
        <xdr:cNvPr id="2046" name="Text Box 17">
          <a:extLst>
            <a:ext uri="{FF2B5EF4-FFF2-40B4-BE49-F238E27FC236}">
              <a16:creationId xmlns:a16="http://schemas.microsoft.com/office/drawing/2014/main" id="{00000000-0008-0000-0500-0000FE070000}"/>
            </a:ext>
          </a:extLst>
        </xdr:cNvPr>
        <xdr:cNvSpPr txBox="1">
          <a:spLocks noChangeArrowheads="1"/>
        </xdr:cNvSpPr>
      </xdr:nvSpPr>
      <xdr:spPr bwMode="auto">
        <a:xfrm>
          <a:off x="3710214" y="7429500"/>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126</xdr:row>
      <xdr:rowOff>0</xdr:rowOff>
    </xdr:from>
    <xdr:ext cx="95250" cy="171450"/>
    <xdr:sp macro="" textlink="">
      <xdr:nvSpPr>
        <xdr:cNvPr id="2047" name="Text Box 18">
          <a:extLst>
            <a:ext uri="{FF2B5EF4-FFF2-40B4-BE49-F238E27FC236}">
              <a16:creationId xmlns:a16="http://schemas.microsoft.com/office/drawing/2014/main" id="{00000000-0008-0000-0500-0000FF070000}"/>
            </a:ext>
          </a:extLst>
        </xdr:cNvPr>
        <xdr:cNvSpPr txBox="1">
          <a:spLocks noChangeArrowheads="1"/>
        </xdr:cNvSpPr>
      </xdr:nvSpPr>
      <xdr:spPr bwMode="auto">
        <a:xfrm>
          <a:off x="3710214" y="7429500"/>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126</xdr:row>
      <xdr:rowOff>0</xdr:rowOff>
    </xdr:from>
    <xdr:ext cx="95250" cy="171450"/>
    <xdr:sp macro="" textlink="">
      <xdr:nvSpPr>
        <xdr:cNvPr id="2048" name="Text Box 19">
          <a:extLst>
            <a:ext uri="{FF2B5EF4-FFF2-40B4-BE49-F238E27FC236}">
              <a16:creationId xmlns:a16="http://schemas.microsoft.com/office/drawing/2014/main" id="{00000000-0008-0000-0500-000000080000}"/>
            </a:ext>
          </a:extLst>
        </xdr:cNvPr>
        <xdr:cNvSpPr txBox="1">
          <a:spLocks noChangeArrowheads="1"/>
        </xdr:cNvSpPr>
      </xdr:nvSpPr>
      <xdr:spPr bwMode="auto">
        <a:xfrm>
          <a:off x="3710214" y="7429500"/>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126</xdr:row>
      <xdr:rowOff>0</xdr:rowOff>
    </xdr:from>
    <xdr:ext cx="95250" cy="171450"/>
    <xdr:sp macro="" textlink="">
      <xdr:nvSpPr>
        <xdr:cNvPr id="2049" name="Text Box 16">
          <a:extLst>
            <a:ext uri="{FF2B5EF4-FFF2-40B4-BE49-F238E27FC236}">
              <a16:creationId xmlns:a16="http://schemas.microsoft.com/office/drawing/2014/main" id="{00000000-0008-0000-0500-000001080000}"/>
            </a:ext>
          </a:extLst>
        </xdr:cNvPr>
        <xdr:cNvSpPr txBox="1">
          <a:spLocks noChangeArrowheads="1"/>
        </xdr:cNvSpPr>
      </xdr:nvSpPr>
      <xdr:spPr bwMode="auto">
        <a:xfrm>
          <a:off x="6555468" y="7429500"/>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126</xdr:row>
      <xdr:rowOff>0</xdr:rowOff>
    </xdr:from>
    <xdr:ext cx="95250" cy="171450"/>
    <xdr:sp macro="" textlink="">
      <xdr:nvSpPr>
        <xdr:cNvPr id="2050" name="Text Box 17">
          <a:extLst>
            <a:ext uri="{FF2B5EF4-FFF2-40B4-BE49-F238E27FC236}">
              <a16:creationId xmlns:a16="http://schemas.microsoft.com/office/drawing/2014/main" id="{00000000-0008-0000-0500-000002080000}"/>
            </a:ext>
          </a:extLst>
        </xdr:cNvPr>
        <xdr:cNvSpPr txBox="1">
          <a:spLocks noChangeArrowheads="1"/>
        </xdr:cNvSpPr>
      </xdr:nvSpPr>
      <xdr:spPr bwMode="auto">
        <a:xfrm>
          <a:off x="6555468" y="7429500"/>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126</xdr:row>
      <xdr:rowOff>0</xdr:rowOff>
    </xdr:from>
    <xdr:ext cx="95250" cy="171450"/>
    <xdr:sp macro="" textlink="">
      <xdr:nvSpPr>
        <xdr:cNvPr id="2051" name="Text Box 18">
          <a:extLst>
            <a:ext uri="{FF2B5EF4-FFF2-40B4-BE49-F238E27FC236}">
              <a16:creationId xmlns:a16="http://schemas.microsoft.com/office/drawing/2014/main" id="{00000000-0008-0000-0500-000003080000}"/>
            </a:ext>
          </a:extLst>
        </xdr:cNvPr>
        <xdr:cNvSpPr txBox="1">
          <a:spLocks noChangeArrowheads="1"/>
        </xdr:cNvSpPr>
      </xdr:nvSpPr>
      <xdr:spPr bwMode="auto">
        <a:xfrm>
          <a:off x="6555468" y="7429500"/>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126</xdr:row>
      <xdr:rowOff>0</xdr:rowOff>
    </xdr:from>
    <xdr:ext cx="95250" cy="171450"/>
    <xdr:sp macro="" textlink="">
      <xdr:nvSpPr>
        <xdr:cNvPr id="2052" name="Text Box 16">
          <a:extLst>
            <a:ext uri="{FF2B5EF4-FFF2-40B4-BE49-F238E27FC236}">
              <a16:creationId xmlns:a16="http://schemas.microsoft.com/office/drawing/2014/main" id="{00000000-0008-0000-0500-000004080000}"/>
            </a:ext>
          </a:extLst>
        </xdr:cNvPr>
        <xdr:cNvSpPr txBox="1">
          <a:spLocks noChangeArrowheads="1"/>
        </xdr:cNvSpPr>
      </xdr:nvSpPr>
      <xdr:spPr bwMode="auto">
        <a:xfrm>
          <a:off x="9398454" y="7429500"/>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126</xdr:row>
      <xdr:rowOff>0</xdr:rowOff>
    </xdr:from>
    <xdr:ext cx="95250" cy="171450"/>
    <xdr:sp macro="" textlink="">
      <xdr:nvSpPr>
        <xdr:cNvPr id="2053" name="Text Box 17">
          <a:extLst>
            <a:ext uri="{FF2B5EF4-FFF2-40B4-BE49-F238E27FC236}">
              <a16:creationId xmlns:a16="http://schemas.microsoft.com/office/drawing/2014/main" id="{00000000-0008-0000-0500-000005080000}"/>
            </a:ext>
          </a:extLst>
        </xdr:cNvPr>
        <xdr:cNvSpPr txBox="1">
          <a:spLocks noChangeArrowheads="1"/>
        </xdr:cNvSpPr>
      </xdr:nvSpPr>
      <xdr:spPr bwMode="auto">
        <a:xfrm>
          <a:off x="9398454" y="7429500"/>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126</xdr:row>
      <xdr:rowOff>0</xdr:rowOff>
    </xdr:from>
    <xdr:ext cx="95250" cy="171450"/>
    <xdr:sp macro="" textlink="">
      <xdr:nvSpPr>
        <xdr:cNvPr id="2054" name="Text Box 18">
          <a:extLst>
            <a:ext uri="{FF2B5EF4-FFF2-40B4-BE49-F238E27FC236}">
              <a16:creationId xmlns:a16="http://schemas.microsoft.com/office/drawing/2014/main" id="{00000000-0008-0000-0500-000006080000}"/>
            </a:ext>
          </a:extLst>
        </xdr:cNvPr>
        <xdr:cNvSpPr txBox="1">
          <a:spLocks noChangeArrowheads="1"/>
        </xdr:cNvSpPr>
      </xdr:nvSpPr>
      <xdr:spPr bwMode="auto">
        <a:xfrm>
          <a:off x="9398454" y="7429500"/>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126</xdr:row>
      <xdr:rowOff>0</xdr:rowOff>
    </xdr:from>
    <xdr:ext cx="95250" cy="171450"/>
    <xdr:sp macro="" textlink="">
      <xdr:nvSpPr>
        <xdr:cNvPr id="2055" name="Text Box 19">
          <a:extLst>
            <a:ext uri="{FF2B5EF4-FFF2-40B4-BE49-F238E27FC236}">
              <a16:creationId xmlns:a16="http://schemas.microsoft.com/office/drawing/2014/main" id="{00000000-0008-0000-0500-000007080000}"/>
            </a:ext>
          </a:extLst>
        </xdr:cNvPr>
        <xdr:cNvSpPr txBox="1">
          <a:spLocks noChangeArrowheads="1"/>
        </xdr:cNvSpPr>
      </xdr:nvSpPr>
      <xdr:spPr bwMode="auto">
        <a:xfrm>
          <a:off x="9398454" y="7429500"/>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126</xdr:row>
      <xdr:rowOff>0</xdr:rowOff>
    </xdr:from>
    <xdr:ext cx="95250" cy="171450"/>
    <xdr:sp macro="" textlink="">
      <xdr:nvSpPr>
        <xdr:cNvPr id="2056" name="Text Box 16">
          <a:extLst>
            <a:ext uri="{FF2B5EF4-FFF2-40B4-BE49-F238E27FC236}">
              <a16:creationId xmlns:a16="http://schemas.microsoft.com/office/drawing/2014/main" id="{00000000-0008-0000-0500-000008080000}"/>
            </a:ext>
          </a:extLst>
        </xdr:cNvPr>
        <xdr:cNvSpPr txBox="1">
          <a:spLocks noChangeArrowheads="1"/>
        </xdr:cNvSpPr>
      </xdr:nvSpPr>
      <xdr:spPr bwMode="auto">
        <a:xfrm>
          <a:off x="9398454" y="7429500"/>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126</xdr:row>
      <xdr:rowOff>0</xdr:rowOff>
    </xdr:from>
    <xdr:ext cx="95250" cy="171450"/>
    <xdr:sp macro="" textlink="">
      <xdr:nvSpPr>
        <xdr:cNvPr id="2057" name="Text Box 17">
          <a:extLst>
            <a:ext uri="{FF2B5EF4-FFF2-40B4-BE49-F238E27FC236}">
              <a16:creationId xmlns:a16="http://schemas.microsoft.com/office/drawing/2014/main" id="{00000000-0008-0000-0500-000009080000}"/>
            </a:ext>
          </a:extLst>
        </xdr:cNvPr>
        <xdr:cNvSpPr txBox="1">
          <a:spLocks noChangeArrowheads="1"/>
        </xdr:cNvSpPr>
      </xdr:nvSpPr>
      <xdr:spPr bwMode="auto">
        <a:xfrm>
          <a:off x="9398454" y="7429500"/>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126</xdr:row>
      <xdr:rowOff>0</xdr:rowOff>
    </xdr:from>
    <xdr:ext cx="95250" cy="171450"/>
    <xdr:sp macro="" textlink="">
      <xdr:nvSpPr>
        <xdr:cNvPr id="2058" name="Text Box 18">
          <a:extLst>
            <a:ext uri="{FF2B5EF4-FFF2-40B4-BE49-F238E27FC236}">
              <a16:creationId xmlns:a16="http://schemas.microsoft.com/office/drawing/2014/main" id="{00000000-0008-0000-0500-00000A080000}"/>
            </a:ext>
          </a:extLst>
        </xdr:cNvPr>
        <xdr:cNvSpPr txBox="1">
          <a:spLocks noChangeArrowheads="1"/>
        </xdr:cNvSpPr>
      </xdr:nvSpPr>
      <xdr:spPr bwMode="auto">
        <a:xfrm>
          <a:off x="9398454" y="7429500"/>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126</xdr:row>
      <xdr:rowOff>0</xdr:rowOff>
    </xdr:from>
    <xdr:ext cx="95250" cy="171450"/>
    <xdr:sp macro="" textlink="">
      <xdr:nvSpPr>
        <xdr:cNvPr id="2059" name="Text Box 19">
          <a:extLst>
            <a:ext uri="{FF2B5EF4-FFF2-40B4-BE49-F238E27FC236}">
              <a16:creationId xmlns:a16="http://schemas.microsoft.com/office/drawing/2014/main" id="{00000000-0008-0000-0500-00000B080000}"/>
            </a:ext>
          </a:extLst>
        </xdr:cNvPr>
        <xdr:cNvSpPr txBox="1">
          <a:spLocks noChangeArrowheads="1"/>
        </xdr:cNvSpPr>
      </xdr:nvSpPr>
      <xdr:spPr bwMode="auto">
        <a:xfrm>
          <a:off x="9398454" y="7429500"/>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18</xdr:row>
      <xdr:rowOff>0</xdr:rowOff>
    </xdr:from>
    <xdr:ext cx="95250" cy="171450"/>
    <xdr:sp macro="" textlink="">
      <xdr:nvSpPr>
        <xdr:cNvPr id="2060" name="Text Box 16">
          <a:extLst>
            <a:ext uri="{FF2B5EF4-FFF2-40B4-BE49-F238E27FC236}">
              <a16:creationId xmlns:a16="http://schemas.microsoft.com/office/drawing/2014/main" id="{00000000-0008-0000-0500-00000C080000}"/>
            </a:ext>
          </a:extLst>
        </xdr:cNvPr>
        <xdr:cNvSpPr txBox="1">
          <a:spLocks noChangeArrowheads="1"/>
        </xdr:cNvSpPr>
      </xdr:nvSpPr>
      <xdr:spPr bwMode="auto">
        <a:xfrm>
          <a:off x="4664364" y="4144818"/>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18</xdr:row>
      <xdr:rowOff>0</xdr:rowOff>
    </xdr:from>
    <xdr:ext cx="95250" cy="171450"/>
    <xdr:sp macro="" textlink="">
      <xdr:nvSpPr>
        <xdr:cNvPr id="2061" name="Text Box 17">
          <a:extLst>
            <a:ext uri="{FF2B5EF4-FFF2-40B4-BE49-F238E27FC236}">
              <a16:creationId xmlns:a16="http://schemas.microsoft.com/office/drawing/2014/main" id="{00000000-0008-0000-0500-00000D080000}"/>
            </a:ext>
          </a:extLst>
        </xdr:cNvPr>
        <xdr:cNvSpPr txBox="1">
          <a:spLocks noChangeArrowheads="1"/>
        </xdr:cNvSpPr>
      </xdr:nvSpPr>
      <xdr:spPr bwMode="auto">
        <a:xfrm>
          <a:off x="4664364" y="4144818"/>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18</xdr:row>
      <xdr:rowOff>0</xdr:rowOff>
    </xdr:from>
    <xdr:ext cx="95250" cy="171450"/>
    <xdr:sp macro="" textlink="">
      <xdr:nvSpPr>
        <xdr:cNvPr id="2062" name="Text Box 18">
          <a:extLst>
            <a:ext uri="{FF2B5EF4-FFF2-40B4-BE49-F238E27FC236}">
              <a16:creationId xmlns:a16="http://schemas.microsoft.com/office/drawing/2014/main" id="{00000000-0008-0000-0500-00000E080000}"/>
            </a:ext>
          </a:extLst>
        </xdr:cNvPr>
        <xdr:cNvSpPr txBox="1">
          <a:spLocks noChangeArrowheads="1"/>
        </xdr:cNvSpPr>
      </xdr:nvSpPr>
      <xdr:spPr bwMode="auto">
        <a:xfrm>
          <a:off x="4664364" y="4144818"/>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18</xdr:row>
      <xdr:rowOff>0</xdr:rowOff>
    </xdr:from>
    <xdr:ext cx="95250" cy="171450"/>
    <xdr:sp macro="" textlink="">
      <xdr:nvSpPr>
        <xdr:cNvPr id="2063" name="Text Box 19">
          <a:extLst>
            <a:ext uri="{FF2B5EF4-FFF2-40B4-BE49-F238E27FC236}">
              <a16:creationId xmlns:a16="http://schemas.microsoft.com/office/drawing/2014/main" id="{00000000-0008-0000-0500-00000F080000}"/>
            </a:ext>
          </a:extLst>
        </xdr:cNvPr>
        <xdr:cNvSpPr txBox="1">
          <a:spLocks noChangeArrowheads="1"/>
        </xdr:cNvSpPr>
      </xdr:nvSpPr>
      <xdr:spPr bwMode="auto">
        <a:xfrm>
          <a:off x="4664364" y="4144818"/>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18</xdr:row>
      <xdr:rowOff>0</xdr:rowOff>
    </xdr:from>
    <xdr:ext cx="95250" cy="171450"/>
    <xdr:sp macro="" textlink="">
      <xdr:nvSpPr>
        <xdr:cNvPr id="2064" name="Text Box 16">
          <a:extLst>
            <a:ext uri="{FF2B5EF4-FFF2-40B4-BE49-F238E27FC236}">
              <a16:creationId xmlns:a16="http://schemas.microsoft.com/office/drawing/2014/main" id="{00000000-0008-0000-0500-000010080000}"/>
            </a:ext>
          </a:extLst>
        </xdr:cNvPr>
        <xdr:cNvSpPr txBox="1">
          <a:spLocks noChangeArrowheads="1"/>
        </xdr:cNvSpPr>
      </xdr:nvSpPr>
      <xdr:spPr bwMode="auto">
        <a:xfrm>
          <a:off x="12540961" y="4144818"/>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18</xdr:row>
      <xdr:rowOff>0</xdr:rowOff>
    </xdr:from>
    <xdr:ext cx="95250" cy="171450"/>
    <xdr:sp macro="" textlink="">
      <xdr:nvSpPr>
        <xdr:cNvPr id="2065" name="Text Box 17">
          <a:extLst>
            <a:ext uri="{FF2B5EF4-FFF2-40B4-BE49-F238E27FC236}">
              <a16:creationId xmlns:a16="http://schemas.microsoft.com/office/drawing/2014/main" id="{00000000-0008-0000-0500-000011080000}"/>
            </a:ext>
          </a:extLst>
        </xdr:cNvPr>
        <xdr:cNvSpPr txBox="1">
          <a:spLocks noChangeArrowheads="1"/>
        </xdr:cNvSpPr>
      </xdr:nvSpPr>
      <xdr:spPr bwMode="auto">
        <a:xfrm>
          <a:off x="12540961" y="4144818"/>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18</xdr:row>
      <xdr:rowOff>0</xdr:rowOff>
    </xdr:from>
    <xdr:ext cx="95250" cy="171450"/>
    <xdr:sp macro="" textlink="">
      <xdr:nvSpPr>
        <xdr:cNvPr id="2066" name="Text Box 18">
          <a:extLst>
            <a:ext uri="{FF2B5EF4-FFF2-40B4-BE49-F238E27FC236}">
              <a16:creationId xmlns:a16="http://schemas.microsoft.com/office/drawing/2014/main" id="{00000000-0008-0000-0500-000012080000}"/>
            </a:ext>
          </a:extLst>
        </xdr:cNvPr>
        <xdr:cNvSpPr txBox="1">
          <a:spLocks noChangeArrowheads="1"/>
        </xdr:cNvSpPr>
      </xdr:nvSpPr>
      <xdr:spPr bwMode="auto">
        <a:xfrm>
          <a:off x="12540961" y="4144818"/>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18</xdr:row>
      <xdr:rowOff>0</xdr:rowOff>
    </xdr:from>
    <xdr:ext cx="95250" cy="171450"/>
    <xdr:sp macro="" textlink="">
      <xdr:nvSpPr>
        <xdr:cNvPr id="2067" name="Text Box 19">
          <a:extLst>
            <a:ext uri="{FF2B5EF4-FFF2-40B4-BE49-F238E27FC236}">
              <a16:creationId xmlns:a16="http://schemas.microsoft.com/office/drawing/2014/main" id="{00000000-0008-0000-0500-000013080000}"/>
            </a:ext>
          </a:extLst>
        </xdr:cNvPr>
        <xdr:cNvSpPr txBox="1">
          <a:spLocks noChangeArrowheads="1"/>
        </xdr:cNvSpPr>
      </xdr:nvSpPr>
      <xdr:spPr bwMode="auto">
        <a:xfrm>
          <a:off x="12540961" y="4144818"/>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14</xdr:row>
      <xdr:rowOff>504825</xdr:rowOff>
    </xdr:from>
    <xdr:ext cx="95250" cy="444014"/>
    <xdr:sp macro="" textlink="">
      <xdr:nvSpPr>
        <xdr:cNvPr id="2072" name="Text Box 15">
          <a:extLst>
            <a:ext uri="{FF2B5EF4-FFF2-40B4-BE49-F238E27FC236}">
              <a16:creationId xmlns:a16="http://schemas.microsoft.com/office/drawing/2014/main" id="{00000000-0008-0000-0500-000018080000}"/>
            </a:ext>
          </a:extLst>
        </xdr:cNvPr>
        <xdr:cNvSpPr txBox="1">
          <a:spLocks noChangeArrowheads="1"/>
        </xdr:cNvSpPr>
      </xdr:nvSpPr>
      <xdr:spPr bwMode="auto">
        <a:xfrm>
          <a:off x="4664364" y="3777384"/>
          <a:ext cx="95250" cy="444014"/>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18</xdr:row>
      <xdr:rowOff>0</xdr:rowOff>
    </xdr:from>
    <xdr:ext cx="95250" cy="171450"/>
    <xdr:sp macro="" textlink="">
      <xdr:nvSpPr>
        <xdr:cNvPr id="2073" name="Text Box 16">
          <a:extLst>
            <a:ext uri="{FF2B5EF4-FFF2-40B4-BE49-F238E27FC236}">
              <a16:creationId xmlns:a16="http://schemas.microsoft.com/office/drawing/2014/main" id="{00000000-0008-0000-0500-000019080000}"/>
            </a:ext>
          </a:extLst>
        </xdr:cNvPr>
        <xdr:cNvSpPr txBox="1">
          <a:spLocks noChangeArrowheads="1"/>
        </xdr:cNvSpPr>
      </xdr:nvSpPr>
      <xdr:spPr bwMode="auto">
        <a:xfrm>
          <a:off x="4664364" y="4144818"/>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18</xdr:row>
      <xdr:rowOff>0</xdr:rowOff>
    </xdr:from>
    <xdr:ext cx="95250" cy="171450"/>
    <xdr:sp macro="" textlink="">
      <xdr:nvSpPr>
        <xdr:cNvPr id="2074" name="Text Box 17">
          <a:extLst>
            <a:ext uri="{FF2B5EF4-FFF2-40B4-BE49-F238E27FC236}">
              <a16:creationId xmlns:a16="http://schemas.microsoft.com/office/drawing/2014/main" id="{00000000-0008-0000-0500-00001A080000}"/>
            </a:ext>
          </a:extLst>
        </xdr:cNvPr>
        <xdr:cNvSpPr txBox="1">
          <a:spLocks noChangeArrowheads="1"/>
        </xdr:cNvSpPr>
      </xdr:nvSpPr>
      <xdr:spPr bwMode="auto">
        <a:xfrm>
          <a:off x="4664364" y="4144818"/>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18</xdr:row>
      <xdr:rowOff>0</xdr:rowOff>
    </xdr:from>
    <xdr:ext cx="95250" cy="171450"/>
    <xdr:sp macro="" textlink="">
      <xdr:nvSpPr>
        <xdr:cNvPr id="2075" name="Text Box 18">
          <a:extLst>
            <a:ext uri="{FF2B5EF4-FFF2-40B4-BE49-F238E27FC236}">
              <a16:creationId xmlns:a16="http://schemas.microsoft.com/office/drawing/2014/main" id="{00000000-0008-0000-0500-00001B080000}"/>
            </a:ext>
          </a:extLst>
        </xdr:cNvPr>
        <xdr:cNvSpPr txBox="1">
          <a:spLocks noChangeArrowheads="1"/>
        </xdr:cNvSpPr>
      </xdr:nvSpPr>
      <xdr:spPr bwMode="auto">
        <a:xfrm>
          <a:off x="4664364" y="4144818"/>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18</xdr:row>
      <xdr:rowOff>0</xdr:rowOff>
    </xdr:from>
    <xdr:ext cx="95250" cy="171450"/>
    <xdr:sp macro="" textlink="">
      <xdr:nvSpPr>
        <xdr:cNvPr id="2076" name="Text Box 19">
          <a:extLst>
            <a:ext uri="{FF2B5EF4-FFF2-40B4-BE49-F238E27FC236}">
              <a16:creationId xmlns:a16="http://schemas.microsoft.com/office/drawing/2014/main" id="{00000000-0008-0000-0500-00001C080000}"/>
            </a:ext>
          </a:extLst>
        </xdr:cNvPr>
        <xdr:cNvSpPr txBox="1">
          <a:spLocks noChangeArrowheads="1"/>
        </xdr:cNvSpPr>
      </xdr:nvSpPr>
      <xdr:spPr bwMode="auto">
        <a:xfrm>
          <a:off x="4664364" y="4144818"/>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18</xdr:row>
      <xdr:rowOff>0</xdr:rowOff>
    </xdr:from>
    <xdr:ext cx="95250" cy="171450"/>
    <xdr:sp macro="" textlink="">
      <xdr:nvSpPr>
        <xdr:cNvPr id="2077" name="Text Box 16">
          <a:extLst>
            <a:ext uri="{FF2B5EF4-FFF2-40B4-BE49-F238E27FC236}">
              <a16:creationId xmlns:a16="http://schemas.microsoft.com/office/drawing/2014/main" id="{00000000-0008-0000-0500-00001D080000}"/>
            </a:ext>
          </a:extLst>
        </xdr:cNvPr>
        <xdr:cNvSpPr txBox="1">
          <a:spLocks noChangeArrowheads="1"/>
        </xdr:cNvSpPr>
      </xdr:nvSpPr>
      <xdr:spPr bwMode="auto">
        <a:xfrm>
          <a:off x="12540961" y="4144818"/>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18</xdr:row>
      <xdr:rowOff>0</xdr:rowOff>
    </xdr:from>
    <xdr:ext cx="95250" cy="171450"/>
    <xdr:sp macro="" textlink="">
      <xdr:nvSpPr>
        <xdr:cNvPr id="2078" name="Text Box 17">
          <a:extLst>
            <a:ext uri="{FF2B5EF4-FFF2-40B4-BE49-F238E27FC236}">
              <a16:creationId xmlns:a16="http://schemas.microsoft.com/office/drawing/2014/main" id="{00000000-0008-0000-0500-00001E080000}"/>
            </a:ext>
          </a:extLst>
        </xdr:cNvPr>
        <xdr:cNvSpPr txBox="1">
          <a:spLocks noChangeArrowheads="1"/>
        </xdr:cNvSpPr>
      </xdr:nvSpPr>
      <xdr:spPr bwMode="auto">
        <a:xfrm>
          <a:off x="12540961" y="4144818"/>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1020762</xdr:colOff>
      <xdr:row>18</xdr:row>
      <xdr:rowOff>15875</xdr:rowOff>
    </xdr:from>
    <xdr:ext cx="95250" cy="171450"/>
    <xdr:sp macro="" textlink="">
      <xdr:nvSpPr>
        <xdr:cNvPr id="2079" name="Text Box 18">
          <a:extLst>
            <a:ext uri="{FF2B5EF4-FFF2-40B4-BE49-F238E27FC236}">
              <a16:creationId xmlns:a16="http://schemas.microsoft.com/office/drawing/2014/main" id="{00000000-0008-0000-0500-00001F080000}"/>
            </a:ext>
          </a:extLst>
        </xdr:cNvPr>
        <xdr:cNvSpPr txBox="1">
          <a:spLocks noChangeArrowheads="1"/>
        </xdr:cNvSpPr>
      </xdr:nvSpPr>
      <xdr:spPr bwMode="auto">
        <a:xfrm>
          <a:off x="12485398" y="4160693"/>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18</xdr:row>
      <xdr:rowOff>0</xdr:rowOff>
    </xdr:from>
    <xdr:ext cx="95250" cy="171450"/>
    <xdr:sp macro="" textlink="">
      <xdr:nvSpPr>
        <xdr:cNvPr id="2080" name="Text Box 16">
          <a:extLst>
            <a:ext uri="{FF2B5EF4-FFF2-40B4-BE49-F238E27FC236}">
              <a16:creationId xmlns:a16="http://schemas.microsoft.com/office/drawing/2014/main" id="{00000000-0008-0000-0500-000020080000}"/>
            </a:ext>
          </a:extLst>
        </xdr:cNvPr>
        <xdr:cNvSpPr txBox="1">
          <a:spLocks noChangeArrowheads="1"/>
        </xdr:cNvSpPr>
      </xdr:nvSpPr>
      <xdr:spPr bwMode="auto">
        <a:xfrm>
          <a:off x="15388070" y="4144818"/>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18</xdr:row>
      <xdr:rowOff>0</xdr:rowOff>
    </xdr:from>
    <xdr:ext cx="95250" cy="171450"/>
    <xdr:sp macro="" textlink="">
      <xdr:nvSpPr>
        <xdr:cNvPr id="2081" name="Text Box 17">
          <a:extLst>
            <a:ext uri="{FF2B5EF4-FFF2-40B4-BE49-F238E27FC236}">
              <a16:creationId xmlns:a16="http://schemas.microsoft.com/office/drawing/2014/main" id="{00000000-0008-0000-0500-000021080000}"/>
            </a:ext>
          </a:extLst>
        </xdr:cNvPr>
        <xdr:cNvSpPr txBox="1">
          <a:spLocks noChangeArrowheads="1"/>
        </xdr:cNvSpPr>
      </xdr:nvSpPr>
      <xdr:spPr bwMode="auto">
        <a:xfrm>
          <a:off x="15388070" y="4144818"/>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18</xdr:row>
      <xdr:rowOff>0</xdr:rowOff>
    </xdr:from>
    <xdr:ext cx="95250" cy="171450"/>
    <xdr:sp macro="" textlink="">
      <xdr:nvSpPr>
        <xdr:cNvPr id="2082" name="Text Box 18">
          <a:extLst>
            <a:ext uri="{FF2B5EF4-FFF2-40B4-BE49-F238E27FC236}">
              <a16:creationId xmlns:a16="http://schemas.microsoft.com/office/drawing/2014/main" id="{00000000-0008-0000-0500-000022080000}"/>
            </a:ext>
          </a:extLst>
        </xdr:cNvPr>
        <xdr:cNvSpPr txBox="1">
          <a:spLocks noChangeArrowheads="1"/>
        </xdr:cNvSpPr>
      </xdr:nvSpPr>
      <xdr:spPr bwMode="auto">
        <a:xfrm>
          <a:off x="15388070" y="4144818"/>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18</xdr:row>
      <xdr:rowOff>0</xdr:rowOff>
    </xdr:from>
    <xdr:ext cx="95250" cy="171450"/>
    <xdr:sp macro="" textlink="">
      <xdr:nvSpPr>
        <xdr:cNvPr id="2083" name="Text Box 19">
          <a:extLst>
            <a:ext uri="{FF2B5EF4-FFF2-40B4-BE49-F238E27FC236}">
              <a16:creationId xmlns:a16="http://schemas.microsoft.com/office/drawing/2014/main" id="{00000000-0008-0000-0500-000023080000}"/>
            </a:ext>
          </a:extLst>
        </xdr:cNvPr>
        <xdr:cNvSpPr txBox="1">
          <a:spLocks noChangeArrowheads="1"/>
        </xdr:cNvSpPr>
      </xdr:nvSpPr>
      <xdr:spPr bwMode="auto">
        <a:xfrm>
          <a:off x="15388070" y="4144818"/>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18</xdr:row>
      <xdr:rowOff>0</xdr:rowOff>
    </xdr:from>
    <xdr:ext cx="95250" cy="171450"/>
    <xdr:sp macro="" textlink="">
      <xdr:nvSpPr>
        <xdr:cNvPr id="2084" name="Text Box 16">
          <a:extLst>
            <a:ext uri="{FF2B5EF4-FFF2-40B4-BE49-F238E27FC236}">
              <a16:creationId xmlns:a16="http://schemas.microsoft.com/office/drawing/2014/main" id="{00000000-0008-0000-0500-000024080000}"/>
            </a:ext>
          </a:extLst>
        </xdr:cNvPr>
        <xdr:cNvSpPr txBox="1">
          <a:spLocks noChangeArrowheads="1"/>
        </xdr:cNvSpPr>
      </xdr:nvSpPr>
      <xdr:spPr bwMode="auto">
        <a:xfrm>
          <a:off x="15388070" y="4144818"/>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18</xdr:row>
      <xdr:rowOff>504825</xdr:rowOff>
    </xdr:from>
    <xdr:ext cx="95250" cy="456743"/>
    <xdr:sp macro="" textlink="">
      <xdr:nvSpPr>
        <xdr:cNvPr id="2145" name="Text Box 15">
          <a:extLst>
            <a:ext uri="{FF2B5EF4-FFF2-40B4-BE49-F238E27FC236}">
              <a16:creationId xmlns:a16="http://schemas.microsoft.com/office/drawing/2014/main" id="{00000000-0008-0000-0500-000061080000}"/>
            </a:ext>
          </a:extLst>
        </xdr:cNvPr>
        <xdr:cNvSpPr txBox="1">
          <a:spLocks noChangeArrowheads="1"/>
        </xdr:cNvSpPr>
      </xdr:nvSpPr>
      <xdr:spPr bwMode="auto">
        <a:xfrm>
          <a:off x="4664364" y="4516293"/>
          <a:ext cx="95250" cy="456743"/>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18</xdr:row>
      <xdr:rowOff>504825</xdr:rowOff>
    </xdr:from>
    <xdr:ext cx="95250" cy="442269"/>
    <xdr:sp macro="" textlink="">
      <xdr:nvSpPr>
        <xdr:cNvPr id="2146" name="Text Box 15">
          <a:extLst>
            <a:ext uri="{FF2B5EF4-FFF2-40B4-BE49-F238E27FC236}">
              <a16:creationId xmlns:a16="http://schemas.microsoft.com/office/drawing/2014/main" id="{00000000-0008-0000-0500-000062080000}"/>
            </a:ext>
          </a:extLst>
        </xdr:cNvPr>
        <xdr:cNvSpPr txBox="1">
          <a:spLocks noChangeArrowheads="1"/>
        </xdr:cNvSpPr>
      </xdr:nvSpPr>
      <xdr:spPr bwMode="auto">
        <a:xfrm>
          <a:off x="12540961" y="4516293"/>
          <a:ext cx="95250" cy="442269"/>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18</xdr:row>
      <xdr:rowOff>504825</xdr:rowOff>
    </xdr:from>
    <xdr:ext cx="95250" cy="213632"/>
    <xdr:sp macro="" textlink="">
      <xdr:nvSpPr>
        <xdr:cNvPr id="2148" name="Text Box 15">
          <a:extLst>
            <a:ext uri="{FF2B5EF4-FFF2-40B4-BE49-F238E27FC236}">
              <a16:creationId xmlns:a16="http://schemas.microsoft.com/office/drawing/2014/main" id="{00000000-0008-0000-0500-000064080000}"/>
            </a:ext>
          </a:extLst>
        </xdr:cNvPr>
        <xdr:cNvSpPr txBox="1">
          <a:spLocks noChangeArrowheads="1"/>
        </xdr:cNvSpPr>
      </xdr:nvSpPr>
      <xdr:spPr bwMode="auto">
        <a:xfrm>
          <a:off x="4664364" y="4516293"/>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18</xdr:row>
      <xdr:rowOff>504825</xdr:rowOff>
    </xdr:from>
    <xdr:ext cx="95250" cy="444331"/>
    <xdr:sp macro="" textlink="">
      <xdr:nvSpPr>
        <xdr:cNvPr id="2149" name="Text Box 15">
          <a:extLst>
            <a:ext uri="{FF2B5EF4-FFF2-40B4-BE49-F238E27FC236}">
              <a16:creationId xmlns:a16="http://schemas.microsoft.com/office/drawing/2014/main" id="{00000000-0008-0000-0500-000065080000}"/>
            </a:ext>
          </a:extLst>
        </xdr:cNvPr>
        <xdr:cNvSpPr txBox="1">
          <a:spLocks noChangeArrowheads="1"/>
        </xdr:cNvSpPr>
      </xdr:nvSpPr>
      <xdr:spPr bwMode="auto">
        <a:xfrm>
          <a:off x="4664364" y="4516293"/>
          <a:ext cx="95250" cy="444331"/>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18</xdr:row>
      <xdr:rowOff>504825</xdr:rowOff>
    </xdr:from>
    <xdr:ext cx="95250" cy="213632"/>
    <xdr:sp macro="" textlink="">
      <xdr:nvSpPr>
        <xdr:cNvPr id="2150" name="Text Box 15">
          <a:extLst>
            <a:ext uri="{FF2B5EF4-FFF2-40B4-BE49-F238E27FC236}">
              <a16:creationId xmlns:a16="http://schemas.microsoft.com/office/drawing/2014/main" id="{00000000-0008-0000-0500-000066080000}"/>
            </a:ext>
          </a:extLst>
        </xdr:cNvPr>
        <xdr:cNvSpPr txBox="1">
          <a:spLocks noChangeArrowheads="1"/>
        </xdr:cNvSpPr>
      </xdr:nvSpPr>
      <xdr:spPr bwMode="auto">
        <a:xfrm>
          <a:off x="12540961" y="4516293"/>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24</xdr:row>
      <xdr:rowOff>0</xdr:rowOff>
    </xdr:from>
    <xdr:ext cx="95250" cy="171450"/>
    <xdr:sp macro="" textlink="">
      <xdr:nvSpPr>
        <xdr:cNvPr id="2151" name="Text Box 16">
          <a:extLst>
            <a:ext uri="{FF2B5EF4-FFF2-40B4-BE49-F238E27FC236}">
              <a16:creationId xmlns:a16="http://schemas.microsoft.com/office/drawing/2014/main" id="{00000000-0008-0000-0500-000067080000}"/>
            </a:ext>
          </a:extLst>
        </xdr:cNvPr>
        <xdr:cNvSpPr txBox="1">
          <a:spLocks noChangeArrowheads="1"/>
        </xdr:cNvSpPr>
      </xdr:nvSpPr>
      <xdr:spPr bwMode="auto">
        <a:xfrm>
          <a:off x="4664364" y="5622636"/>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24</xdr:row>
      <xdr:rowOff>0</xdr:rowOff>
    </xdr:from>
    <xdr:ext cx="95250" cy="171450"/>
    <xdr:sp macro="" textlink="">
      <xdr:nvSpPr>
        <xdr:cNvPr id="2152" name="Text Box 17">
          <a:extLst>
            <a:ext uri="{FF2B5EF4-FFF2-40B4-BE49-F238E27FC236}">
              <a16:creationId xmlns:a16="http://schemas.microsoft.com/office/drawing/2014/main" id="{00000000-0008-0000-0500-000068080000}"/>
            </a:ext>
          </a:extLst>
        </xdr:cNvPr>
        <xdr:cNvSpPr txBox="1">
          <a:spLocks noChangeArrowheads="1"/>
        </xdr:cNvSpPr>
      </xdr:nvSpPr>
      <xdr:spPr bwMode="auto">
        <a:xfrm>
          <a:off x="4664364" y="5622636"/>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24</xdr:row>
      <xdr:rowOff>0</xdr:rowOff>
    </xdr:from>
    <xdr:ext cx="95250" cy="171450"/>
    <xdr:sp macro="" textlink="">
      <xdr:nvSpPr>
        <xdr:cNvPr id="2153" name="Text Box 18">
          <a:extLst>
            <a:ext uri="{FF2B5EF4-FFF2-40B4-BE49-F238E27FC236}">
              <a16:creationId xmlns:a16="http://schemas.microsoft.com/office/drawing/2014/main" id="{00000000-0008-0000-0500-000069080000}"/>
            </a:ext>
          </a:extLst>
        </xdr:cNvPr>
        <xdr:cNvSpPr txBox="1">
          <a:spLocks noChangeArrowheads="1"/>
        </xdr:cNvSpPr>
      </xdr:nvSpPr>
      <xdr:spPr bwMode="auto">
        <a:xfrm>
          <a:off x="4664364" y="5622636"/>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24</xdr:row>
      <xdr:rowOff>0</xdr:rowOff>
    </xdr:from>
    <xdr:ext cx="95250" cy="171450"/>
    <xdr:sp macro="" textlink="">
      <xdr:nvSpPr>
        <xdr:cNvPr id="2154" name="Text Box 19">
          <a:extLst>
            <a:ext uri="{FF2B5EF4-FFF2-40B4-BE49-F238E27FC236}">
              <a16:creationId xmlns:a16="http://schemas.microsoft.com/office/drawing/2014/main" id="{00000000-0008-0000-0500-00006A080000}"/>
            </a:ext>
          </a:extLst>
        </xdr:cNvPr>
        <xdr:cNvSpPr txBox="1">
          <a:spLocks noChangeArrowheads="1"/>
        </xdr:cNvSpPr>
      </xdr:nvSpPr>
      <xdr:spPr bwMode="auto">
        <a:xfrm>
          <a:off x="4664364" y="5622636"/>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24</xdr:row>
      <xdr:rowOff>0</xdr:rowOff>
    </xdr:from>
    <xdr:ext cx="95250" cy="171450"/>
    <xdr:sp macro="" textlink="">
      <xdr:nvSpPr>
        <xdr:cNvPr id="2155" name="Text Box 16">
          <a:extLst>
            <a:ext uri="{FF2B5EF4-FFF2-40B4-BE49-F238E27FC236}">
              <a16:creationId xmlns:a16="http://schemas.microsoft.com/office/drawing/2014/main" id="{00000000-0008-0000-0500-00006B080000}"/>
            </a:ext>
          </a:extLst>
        </xdr:cNvPr>
        <xdr:cNvSpPr txBox="1">
          <a:spLocks noChangeArrowheads="1"/>
        </xdr:cNvSpPr>
      </xdr:nvSpPr>
      <xdr:spPr bwMode="auto">
        <a:xfrm>
          <a:off x="12540961" y="5622636"/>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24</xdr:row>
      <xdr:rowOff>0</xdr:rowOff>
    </xdr:from>
    <xdr:ext cx="95250" cy="171450"/>
    <xdr:sp macro="" textlink="">
      <xdr:nvSpPr>
        <xdr:cNvPr id="2156" name="Text Box 17">
          <a:extLst>
            <a:ext uri="{FF2B5EF4-FFF2-40B4-BE49-F238E27FC236}">
              <a16:creationId xmlns:a16="http://schemas.microsoft.com/office/drawing/2014/main" id="{00000000-0008-0000-0500-00006C080000}"/>
            </a:ext>
          </a:extLst>
        </xdr:cNvPr>
        <xdr:cNvSpPr txBox="1">
          <a:spLocks noChangeArrowheads="1"/>
        </xdr:cNvSpPr>
      </xdr:nvSpPr>
      <xdr:spPr bwMode="auto">
        <a:xfrm>
          <a:off x="12540961" y="5622636"/>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24</xdr:row>
      <xdr:rowOff>0</xdr:rowOff>
    </xdr:from>
    <xdr:ext cx="95250" cy="171450"/>
    <xdr:sp macro="" textlink="">
      <xdr:nvSpPr>
        <xdr:cNvPr id="2157" name="Text Box 18">
          <a:extLst>
            <a:ext uri="{FF2B5EF4-FFF2-40B4-BE49-F238E27FC236}">
              <a16:creationId xmlns:a16="http://schemas.microsoft.com/office/drawing/2014/main" id="{00000000-0008-0000-0500-00006D080000}"/>
            </a:ext>
          </a:extLst>
        </xdr:cNvPr>
        <xdr:cNvSpPr txBox="1">
          <a:spLocks noChangeArrowheads="1"/>
        </xdr:cNvSpPr>
      </xdr:nvSpPr>
      <xdr:spPr bwMode="auto">
        <a:xfrm>
          <a:off x="12540961" y="5622636"/>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24</xdr:row>
      <xdr:rowOff>0</xdr:rowOff>
    </xdr:from>
    <xdr:ext cx="95250" cy="171450"/>
    <xdr:sp macro="" textlink="">
      <xdr:nvSpPr>
        <xdr:cNvPr id="2158" name="Text Box 19">
          <a:extLst>
            <a:ext uri="{FF2B5EF4-FFF2-40B4-BE49-F238E27FC236}">
              <a16:creationId xmlns:a16="http://schemas.microsoft.com/office/drawing/2014/main" id="{00000000-0008-0000-0500-00006E080000}"/>
            </a:ext>
          </a:extLst>
        </xdr:cNvPr>
        <xdr:cNvSpPr txBox="1">
          <a:spLocks noChangeArrowheads="1"/>
        </xdr:cNvSpPr>
      </xdr:nvSpPr>
      <xdr:spPr bwMode="auto">
        <a:xfrm>
          <a:off x="12540961" y="5622636"/>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21</xdr:col>
      <xdr:colOff>0</xdr:colOff>
      <xdr:row>24</xdr:row>
      <xdr:rowOff>0</xdr:rowOff>
    </xdr:from>
    <xdr:ext cx="95250" cy="171450"/>
    <xdr:sp macro="" textlink="">
      <xdr:nvSpPr>
        <xdr:cNvPr id="2159" name="Text Box 16">
          <a:extLst>
            <a:ext uri="{FF2B5EF4-FFF2-40B4-BE49-F238E27FC236}">
              <a16:creationId xmlns:a16="http://schemas.microsoft.com/office/drawing/2014/main" id="{00000000-0008-0000-0500-00006F080000}"/>
            </a:ext>
          </a:extLst>
        </xdr:cNvPr>
        <xdr:cNvSpPr txBox="1">
          <a:spLocks noChangeArrowheads="1"/>
        </xdr:cNvSpPr>
      </xdr:nvSpPr>
      <xdr:spPr bwMode="auto">
        <a:xfrm>
          <a:off x="21832455" y="5622636"/>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21</xdr:col>
      <xdr:colOff>0</xdr:colOff>
      <xdr:row>24</xdr:row>
      <xdr:rowOff>0</xdr:rowOff>
    </xdr:from>
    <xdr:ext cx="95250" cy="171450"/>
    <xdr:sp macro="" textlink="">
      <xdr:nvSpPr>
        <xdr:cNvPr id="2160" name="Text Box 17">
          <a:extLst>
            <a:ext uri="{FF2B5EF4-FFF2-40B4-BE49-F238E27FC236}">
              <a16:creationId xmlns:a16="http://schemas.microsoft.com/office/drawing/2014/main" id="{00000000-0008-0000-0500-000070080000}"/>
            </a:ext>
          </a:extLst>
        </xdr:cNvPr>
        <xdr:cNvSpPr txBox="1">
          <a:spLocks noChangeArrowheads="1"/>
        </xdr:cNvSpPr>
      </xdr:nvSpPr>
      <xdr:spPr bwMode="auto">
        <a:xfrm>
          <a:off x="21832455" y="5622636"/>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21</xdr:col>
      <xdr:colOff>0</xdr:colOff>
      <xdr:row>24</xdr:row>
      <xdr:rowOff>0</xdr:rowOff>
    </xdr:from>
    <xdr:ext cx="95250" cy="171450"/>
    <xdr:sp macro="" textlink="">
      <xdr:nvSpPr>
        <xdr:cNvPr id="2161" name="Text Box 18">
          <a:extLst>
            <a:ext uri="{FF2B5EF4-FFF2-40B4-BE49-F238E27FC236}">
              <a16:creationId xmlns:a16="http://schemas.microsoft.com/office/drawing/2014/main" id="{00000000-0008-0000-0500-000071080000}"/>
            </a:ext>
          </a:extLst>
        </xdr:cNvPr>
        <xdr:cNvSpPr txBox="1">
          <a:spLocks noChangeArrowheads="1"/>
        </xdr:cNvSpPr>
      </xdr:nvSpPr>
      <xdr:spPr bwMode="auto">
        <a:xfrm>
          <a:off x="21832455" y="5622636"/>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21</xdr:col>
      <xdr:colOff>0</xdr:colOff>
      <xdr:row>24</xdr:row>
      <xdr:rowOff>0</xdr:rowOff>
    </xdr:from>
    <xdr:ext cx="95250" cy="171450"/>
    <xdr:sp macro="" textlink="">
      <xdr:nvSpPr>
        <xdr:cNvPr id="2162" name="Text Box 19">
          <a:extLst>
            <a:ext uri="{FF2B5EF4-FFF2-40B4-BE49-F238E27FC236}">
              <a16:creationId xmlns:a16="http://schemas.microsoft.com/office/drawing/2014/main" id="{00000000-0008-0000-0500-000072080000}"/>
            </a:ext>
          </a:extLst>
        </xdr:cNvPr>
        <xdr:cNvSpPr txBox="1">
          <a:spLocks noChangeArrowheads="1"/>
        </xdr:cNvSpPr>
      </xdr:nvSpPr>
      <xdr:spPr bwMode="auto">
        <a:xfrm>
          <a:off x="21832455" y="5622636"/>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20</xdr:row>
      <xdr:rowOff>504825</xdr:rowOff>
    </xdr:from>
    <xdr:ext cx="95250" cy="444014"/>
    <xdr:sp macro="" textlink="">
      <xdr:nvSpPr>
        <xdr:cNvPr id="2163" name="Text Box 15">
          <a:extLst>
            <a:ext uri="{FF2B5EF4-FFF2-40B4-BE49-F238E27FC236}">
              <a16:creationId xmlns:a16="http://schemas.microsoft.com/office/drawing/2014/main" id="{00000000-0008-0000-0500-000073080000}"/>
            </a:ext>
          </a:extLst>
        </xdr:cNvPr>
        <xdr:cNvSpPr txBox="1">
          <a:spLocks noChangeArrowheads="1"/>
        </xdr:cNvSpPr>
      </xdr:nvSpPr>
      <xdr:spPr bwMode="auto">
        <a:xfrm>
          <a:off x="4664364" y="5255202"/>
          <a:ext cx="95250" cy="444014"/>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24</xdr:row>
      <xdr:rowOff>0</xdr:rowOff>
    </xdr:from>
    <xdr:ext cx="95250" cy="171450"/>
    <xdr:sp macro="" textlink="">
      <xdr:nvSpPr>
        <xdr:cNvPr id="2164" name="Text Box 16">
          <a:extLst>
            <a:ext uri="{FF2B5EF4-FFF2-40B4-BE49-F238E27FC236}">
              <a16:creationId xmlns:a16="http://schemas.microsoft.com/office/drawing/2014/main" id="{00000000-0008-0000-0500-000074080000}"/>
            </a:ext>
          </a:extLst>
        </xdr:cNvPr>
        <xdr:cNvSpPr txBox="1">
          <a:spLocks noChangeArrowheads="1"/>
        </xdr:cNvSpPr>
      </xdr:nvSpPr>
      <xdr:spPr bwMode="auto">
        <a:xfrm>
          <a:off x="4664364" y="5622636"/>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24</xdr:row>
      <xdr:rowOff>0</xdr:rowOff>
    </xdr:from>
    <xdr:ext cx="95250" cy="171450"/>
    <xdr:sp macro="" textlink="">
      <xdr:nvSpPr>
        <xdr:cNvPr id="2165" name="Text Box 17">
          <a:extLst>
            <a:ext uri="{FF2B5EF4-FFF2-40B4-BE49-F238E27FC236}">
              <a16:creationId xmlns:a16="http://schemas.microsoft.com/office/drawing/2014/main" id="{00000000-0008-0000-0500-000075080000}"/>
            </a:ext>
          </a:extLst>
        </xdr:cNvPr>
        <xdr:cNvSpPr txBox="1">
          <a:spLocks noChangeArrowheads="1"/>
        </xdr:cNvSpPr>
      </xdr:nvSpPr>
      <xdr:spPr bwMode="auto">
        <a:xfrm>
          <a:off x="4664364" y="5622636"/>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24</xdr:row>
      <xdr:rowOff>0</xdr:rowOff>
    </xdr:from>
    <xdr:ext cx="95250" cy="171450"/>
    <xdr:sp macro="" textlink="">
      <xdr:nvSpPr>
        <xdr:cNvPr id="2166" name="Text Box 18">
          <a:extLst>
            <a:ext uri="{FF2B5EF4-FFF2-40B4-BE49-F238E27FC236}">
              <a16:creationId xmlns:a16="http://schemas.microsoft.com/office/drawing/2014/main" id="{00000000-0008-0000-0500-000076080000}"/>
            </a:ext>
          </a:extLst>
        </xdr:cNvPr>
        <xdr:cNvSpPr txBox="1">
          <a:spLocks noChangeArrowheads="1"/>
        </xdr:cNvSpPr>
      </xdr:nvSpPr>
      <xdr:spPr bwMode="auto">
        <a:xfrm>
          <a:off x="4664364" y="5622636"/>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24</xdr:row>
      <xdr:rowOff>0</xdr:rowOff>
    </xdr:from>
    <xdr:ext cx="95250" cy="171450"/>
    <xdr:sp macro="" textlink="">
      <xdr:nvSpPr>
        <xdr:cNvPr id="2167" name="Text Box 19">
          <a:extLst>
            <a:ext uri="{FF2B5EF4-FFF2-40B4-BE49-F238E27FC236}">
              <a16:creationId xmlns:a16="http://schemas.microsoft.com/office/drawing/2014/main" id="{00000000-0008-0000-0500-000077080000}"/>
            </a:ext>
          </a:extLst>
        </xdr:cNvPr>
        <xdr:cNvSpPr txBox="1">
          <a:spLocks noChangeArrowheads="1"/>
        </xdr:cNvSpPr>
      </xdr:nvSpPr>
      <xdr:spPr bwMode="auto">
        <a:xfrm>
          <a:off x="4664364" y="5622636"/>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20</xdr:row>
      <xdr:rowOff>504825</xdr:rowOff>
    </xdr:from>
    <xdr:ext cx="95250" cy="442269"/>
    <xdr:sp macro="" textlink="">
      <xdr:nvSpPr>
        <xdr:cNvPr id="2168" name="Text Box 15">
          <a:extLst>
            <a:ext uri="{FF2B5EF4-FFF2-40B4-BE49-F238E27FC236}">
              <a16:creationId xmlns:a16="http://schemas.microsoft.com/office/drawing/2014/main" id="{00000000-0008-0000-0500-000078080000}"/>
            </a:ext>
          </a:extLst>
        </xdr:cNvPr>
        <xdr:cNvSpPr txBox="1">
          <a:spLocks noChangeArrowheads="1"/>
        </xdr:cNvSpPr>
      </xdr:nvSpPr>
      <xdr:spPr bwMode="auto">
        <a:xfrm>
          <a:off x="12540961" y="5255202"/>
          <a:ext cx="95250" cy="442269"/>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24</xdr:row>
      <xdr:rowOff>0</xdr:rowOff>
    </xdr:from>
    <xdr:ext cx="95250" cy="171450"/>
    <xdr:sp macro="" textlink="">
      <xdr:nvSpPr>
        <xdr:cNvPr id="2169" name="Text Box 16">
          <a:extLst>
            <a:ext uri="{FF2B5EF4-FFF2-40B4-BE49-F238E27FC236}">
              <a16:creationId xmlns:a16="http://schemas.microsoft.com/office/drawing/2014/main" id="{00000000-0008-0000-0500-000079080000}"/>
            </a:ext>
          </a:extLst>
        </xdr:cNvPr>
        <xdr:cNvSpPr txBox="1">
          <a:spLocks noChangeArrowheads="1"/>
        </xdr:cNvSpPr>
      </xdr:nvSpPr>
      <xdr:spPr bwMode="auto">
        <a:xfrm>
          <a:off x="12540961" y="5622636"/>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24</xdr:row>
      <xdr:rowOff>0</xdr:rowOff>
    </xdr:from>
    <xdr:ext cx="95250" cy="171450"/>
    <xdr:sp macro="" textlink="">
      <xdr:nvSpPr>
        <xdr:cNvPr id="2170" name="Text Box 17">
          <a:extLst>
            <a:ext uri="{FF2B5EF4-FFF2-40B4-BE49-F238E27FC236}">
              <a16:creationId xmlns:a16="http://schemas.microsoft.com/office/drawing/2014/main" id="{00000000-0008-0000-0500-00007A080000}"/>
            </a:ext>
          </a:extLst>
        </xdr:cNvPr>
        <xdr:cNvSpPr txBox="1">
          <a:spLocks noChangeArrowheads="1"/>
        </xdr:cNvSpPr>
      </xdr:nvSpPr>
      <xdr:spPr bwMode="auto">
        <a:xfrm>
          <a:off x="12540961" y="5622636"/>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24</xdr:row>
      <xdr:rowOff>0</xdr:rowOff>
    </xdr:from>
    <xdr:ext cx="95250" cy="171450"/>
    <xdr:sp macro="" textlink="">
      <xdr:nvSpPr>
        <xdr:cNvPr id="2171" name="Text Box 18">
          <a:extLst>
            <a:ext uri="{FF2B5EF4-FFF2-40B4-BE49-F238E27FC236}">
              <a16:creationId xmlns:a16="http://schemas.microsoft.com/office/drawing/2014/main" id="{00000000-0008-0000-0500-00007B080000}"/>
            </a:ext>
          </a:extLst>
        </xdr:cNvPr>
        <xdr:cNvSpPr txBox="1">
          <a:spLocks noChangeArrowheads="1"/>
        </xdr:cNvSpPr>
      </xdr:nvSpPr>
      <xdr:spPr bwMode="auto">
        <a:xfrm>
          <a:off x="12540961" y="5622636"/>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24</xdr:row>
      <xdr:rowOff>0</xdr:rowOff>
    </xdr:from>
    <xdr:ext cx="95250" cy="171450"/>
    <xdr:sp macro="" textlink="">
      <xdr:nvSpPr>
        <xdr:cNvPr id="2172" name="Text Box 16">
          <a:extLst>
            <a:ext uri="{FF2B5EF4-FFF2-40B4-BE49-F238E27FC236}">
              <a16:creationId xmlns:a16="http://schemas.microsoft.com/office/drawing/2014/main" id="{00000000-0008-0000-0500-00007C080000}"/>
            </a:ext>
          </a:extLst>
        </xdr:cNvPr>
        <xdr:cNvSpPr txBox="1">
          <a:spLocks noChangeArrowheads="1"/>
        </xdr:cNvSpPr>
      </xdr:nvSpPr>
      <xdr:spPr bwMode="auto">
        <a:xfrm>
          <a:off x="15388070" y="5622636"/>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24</xdr:row>
      <xdr:rowOff>0</xdr:rowOff>
    </xdr:from>
    <xdr:ext cx="95250" cy="171450"/>
    <xdr:sp macro="" textlink="">
      <xdr:nvSpPr>
        <xdr:cNvPr id="2173" name="Text Box 17">
          <a:extLst>
            <a:ext uri="{FF2B5EF4-FFF2-40B4-BE49-F238E27FC236}">
              <a16:creationId xmlns:a16="http://schemas.microsoft.com/office/drawing/2014/main" id="{00000000-0008-0000-0500-00007D080000}"/>
            </a:ext>
          </a:extLst>
        </xdr:cNvPr>
        <xdr:cNvSpPr txBox="1">
          <a:spLocks noChangeArrowheads="1"/>
        </xdr:cNvSpPr>
      </xdr:nvSpPr>
      <xdr:spPr bwMode="auto">
        <a:xfrm>
          <a:off x="15388070" y="5622636"/>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24</xdr:row>
      <xdr:rowOff>0</xdr:rowOff>
    </xdr:from>
    <xdr:ext cx="95250" cy="171450"/>
    <xdr:sp macro="" textlink="">
      <xdr:nvSpPr>
        <xdr:cNvPr id="2174" name="Text Box 18">
          <a:extLst>
            <a:ext uri="{FF2B5EF4-FFF2-40B4-BE49-F238E27FC236}">
              <a16:creationId xmlns:a16="http://schemas.microsoft.com/office/drawing/2014/main" id="{00000000-0008-0000-0500-00007E080000}"/>
            </a:ext>
          </a:extLst>
        </xdr:cNvPr>
        <xdr:cNvSpPr txBox="1">
          <a:spLocks noChangeArrowheads="1"/>
        </xdr:cNvSpPr>
      </xdr:nvSpPr>
      <xdr:spPr bwMode="auto">
        <a:xfrm>
          <a:off x="15388070" y="5622636"/>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24</xdr:row>
      <xdr:rowOff>0</xdr:rowOff>
    </xdr:from>
    <xdr:ext cx="95250" cy="171450"/>
    <xdr:sp macro="" textlink="">
      <xdr:nvSpPr>
        <xdr:cNvPr id="2175" name="Text Box 19">
          <a:extLst>
            <a:ext uri="{FF2B5EF4-FFF2-40B4-BE49-F238E27FC236}">
              <a16:creationId xmlns:a16="http://schemas.microsoft.com/office/drawing/2014/main" id="{00000000-0008-0000-0500-00007F080000}"/>
            </a:ext>
          </a:extLst>
        </xdr:cNvPr>
        <xdr:cNvSpPr txBox="1">
          <a:spLocks noChangeArrowheads="1"/>
        </xdr:cNvSpPr>
      </xdr:nvSpPr>
      <xdr:spPr bwMode="auto">
        <a:xfrm>
          <a:off x="15388070" y="5622636"/>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24</xdr:row>
      <xdr:rowOff>0</xdr:rowOff>
    </xdr:from>
    <xdr:ext cx="95250" cy="171450"/>
    <xdr:sp macro="" textlink="">
      <xdr:nvSpPr>
        <xdr:cNvPr id="2176" name="Text Box 16">
          <a:extLst>
            <a:ext uri="{FF2B5EF4-FFF2-40B4-BE49-F238E27FC236}">
              <a16:creationId xmlns:a16="http://schemas.microsoft.com/office/drawing/2014/main" id="{00000000-0008-0000-0500-000080080000}"/>
            </a:ext>
          </a:extLst>
        </xdr:cNvPr>
        <xdr:cNvSpPr txBox="1">
          <a:spLocks noChangeArrowheads="1"/>
        </xdr:cNvSpPr>
      </xdr:nvSpPr>
      <xdr:spPr bwMode="auto">
        <a:xfrm>
          <a:off x="15388070" y="5622636"/>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24</xdr:row>
      <xdr:rowOff>0</xdr:rowOff>
    </xdr:from>
    <xdr:ext cx="95250" cy="171450"/>
    <xdr:sp macro="" textlink="">
      <xdr:nvSpPr>
        <xdr:cNvPr id="2177" name="Text Box 17">
          <a:extLst>
            <a:ext uri="{FF2B5EF4-FFF2-40B4-BE49-F238E27FC236}">
              <a16:creationId xmlns:a16="http://schemas.microsoft.com/office/drawing/2014/main" id="{00000000-0008-0000-0500-000081080000}"/>
            </a:ext>
          </a:extLst>
        </xdr:cNvPr>
        <xdr:cNvSpPr txBox="1">
          <a:spLocks noChangeArrowheads="1"/>
        </xdr:cNvSpPr>
      </xdr:nvSpPr>
      <xdr:spPr bwMode="auto">
        <a:xfrm>
          <a:off x="15388070" y="5622636"/>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24</xdr:row>
      <xdr:rowOff>0</xdr:rowOff>
    </xdr:from>
    <xdr:ext cx="95250" cy="171450"/>
    <xdr:sp macro="" textlink="">
      <xdr:nvSpPr>
        <xdr:cNvPr id="2178" name="Text Box 18">
          <a:extLst>
            <a:ext uri="{FF2B5EF4-FFF2-40B4-BE49-F238E27FC236}">
              <a16:creationId xmlns:a16="http://schemas.microsoft.com/office/drawing/2014/main" id="{00000000-0008-0000-0500-000082080000}"/>
            </a:ext>
          </a:extLst>
        </xdr:cNvPr>
        <xdr:cNvSpPr txBox="1">
          <a:spLocks noChangeArrowheads="1"/>
        </xdr:cNvSpPr>
      </xdr:nvSpPr>
      <xdr:spPr bwMode="auto">
        <a:xfrm>
          <a:off x="15388070" y="5622636"/>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10</xdr:col>
      <xdr:colOff>28575</xdr:colOff>
      <xdr:row>24</xdr:row>
      <xdr:rowOff>170392</xdr:rowOff>
    </xdr:from>
    <xdr:ext cx="95250" cy="213632"/>
    <xdr:sp macro="" textlink="">
      <xdr:nvSpPr>
        <xdr:cNvPr id="2179" name="Text Box 15">
          <a:extLst>
            <a:ext uri="{FF2B5EF4-FFF2-40B4-BE49-F238E27FC236}">
              <a16:creationId xmlns:a16="http://schemas.microsoft.com/office/drawing/2014/main" id="{00000000-0008-0000-0500-000083080000}"/>
            </a:ext>
          </a:extLst>
        </xdr:cNvPr>
        <xdr:cNvSpPr txBox="1">
          <a:spLocks noChangeArrowheads="1"/>
        </xdr:cNvSpPr>
      </xdr:nvSpPr>
      <xdr:spPr bwMode="auto">
        <a:xfrm>
          <a:off x="12578484" y="5793028"/>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24</xdr:row>
      <xdr:rowOff>0</xdr:rowOff>
    </xdr:from>
    <xdr:ext cx="95250" cy="171450"/>
    <xdr:sp macro="" textlink="">
      <xdr:nvSpPr>
        <xdr:cNvPr id="2180" name="Text Box 16">
          <a:extLst>
            <a:ext uri="{FF2B5EF4-FFF2-40B4-BE49-F238E27FC236}">
              <a16:creationId xmlns:a16="http://schemas.microsoft.com/office/drawing/2014/main" id="{00000000-0008-0000-0500-000084080000}"/>
            </a:ext>
          </a:extLst>
        </xdr:cNvPr>
        <xdr:cNvSpPr txBox="1">
          <a:spLocks noChangeArrowheads="1"/>
        </xdr:cNvSpPr>
      </xdr:nvSpPr>
      <xdr:spPr bwMode="auto">
        <a:xfrm>
          <a:off x="4664364" y="5622636"/>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24</xdr:row>
      <xdr:rowOff>0</xdr:rowOff>
    </xdr:from>
    <xdr:ext cx="95250" cy="171450"/>
    <xdr:sp macro="" textlink="">
      <xdr:nvSpPr>
        <xdr:cNvPr id="2181" name="Text Box 17">
          <a:extLst>
            <a:ext uri="{FF2B5EF4-FFF2-40B4-BE49-F238E27FC236}">
              <a16:creationId xmlns:a16="http://schemas.microsoft.com/office/drawing/2014/main" id="{00000000-0008-0000-0500-000085080000}"/>
            </a:ext>
          </a:extLst>
        </xdr:cNvPr>
        <xdr:cNvSpPr txBox="1">
          <a:spLocks noChangeArrowheads="1"/>
        </xdr:cNvSpPr>
      </xdr:nvSpPr>
      <xdr:spPr bwMode="auto">
        <a:xfrm>
          <a:off x="4664364" y="5622636"/>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24</xdr:row>
      <xdr:rowOff>0</xdr:rowOff>
    </xdr:from>
    <xdr:ext cx="95250" cy="171450"/>
    <xdr:sp macro="" textlink="">
      <xdr:nvSpPr>
        <xdr:cNvPr id="2182" name="Text Box 18">
          <a:extLst>
            <a:ext uri="{FF2B5EF4-FFF2-40B4-BE49-F238E27FC236}">
              <a16:creationId xmlns:a16="http://schemas.microsoft.com/office/drawing/2014/main" id="{00000000-0008-0000-0500-000086080000}"/>
            </a:ext>
          </a:extLst>
        </xdr:cNvPr>
        <xdr:cNvSpPr txBox="1">
          <a:spLocks noChangeArrowheads="1"/>
        </xdr:cNvSpPr>
      </xdr:nvSpPr>
      <xdr:spPr bwMode="auto">
        <a:xfrm>
          <a:off x="4664364" y="5622636"/>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24</xdr:row>
      <xdr:rowOff>0</xdr:rowOff>
    </xdr:from>
    <xdr:ext cx="95250" cy="171450"/>
    <xdr:sp macro="" textlink="">
      <xdr:nvSpPr>
        <xdr:cNvPr id="2183" name="Text Box 19">
          <a:extLst>
            <a:ext uri="{FF2B5EF4-FFF2-40B4-BE49-F238E27FC236}">
              <a16:creationId xmlns:a16="http://schemas.microsoft.com/office/drawing/2014/main" id="{00000000-0008-0000-0500-000087080000}"/>
            </a:ext>
          </a:extLst>
        </xdr:cNvPr>
        <xdr:cNvSpPr txBox="1">
          <a:spLocks noChangeArrowheads="1"/>
        </xdr:cNvSpPr>
      </xdr:nvSpPr>
      <xdr:spPr bwMode="auto">
        <a:xfrm>
          <a:off x="4664364" y="5622636"/>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24</xdr:row>
      <xdr:rowOff>0</xdr:rowOff>
    </xdr:from>
    <xdr:ext cx="95250" cy="171450"/>
    <xdr:sp macro="" textlink="">
      <xdr:nvSpPr>
        <xdr:cNvPr id="2184" name="Text Box 16">
          <a:extLst>
            <a:ext uri="{FF2B5EF4-FFF2-40B4-BE49-F238E27FC236}">
              <a16:creationId xmlns:a16="http://schemas.microsoft.com/office/drawing/2014/main" id="{00000000-0008-0000-0500-000088080000}"/>
            </a:ext>
          </a:extLst>
        </xdr:cNvPr>
        <xdr:cNvSpPr txBox="1">
          <a:spLocks noChangeArrowheads="1"/>
        </xdr:cNvSpPr>
      </xdr:nvSpPr>
      <xdr:spPr bwMode="auto">
        <a:xfrm>
          <a:off x="12540961" y="5622636"/>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24</xdr:row>
      <xdr:rowOff>0</xdr:rowOff>
    </xdr:from>
    <xdr:ext cx="95250" cy="171450"/>
    <xdr:sp macro="" textlink="">
      <xdr:nvSpPr>
        <xdr:cNvPr id="2185" name="Text Box 17">
          <a:extLst>
            <a:ext uri="{FF2B5EF4-FFF2-40B4-BE49-F238E27FC236}">
              <a16:creationId xmlns:a16="http://schemas.microsoft.com/office/drawing/2014/main" id="{00000000-0008-0000-0500-000089080000}"/>
            </a:ext>
          </a:extLst>
        </xdr:cNvPr>
        <xdr:cNvSpPr txBox="1">
          <a:spLocks noChangeArrowheads="1"/>
        </xdr:cNvSpPr>
      </xdr:nvSpPr>
      <xdr:spPr bwMode="auto">
        <a:xfrm>
          <a:off x="12540961" y="5622636"/>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24</xdr:row>
      <xdr:rowOff>0</xdr:rowOff>
    </xdr:from>
    <xdr:ext cx="95250" cy="171450"/>
    <xdr:sp macro="" textlink="">
      <xdr:nvSpPr>
        <xdr:cNvPr id="2186" name="Text Box 18">
          <a:extLst>
            <a:ext uri="{FF2B5EF4-FFF2-40B4-BE49-F238E27FC236}">
              <a16:creationId xmlns:a16="http://schemas.microsoft.com/office/drawing/2014/main" id="{00000000-0008-0000-0500-00008A080000}"/>
            </a:ext>
          </a:extLst>
        </xdr:cNvPr>
        <xdr:cNvSpPr txBox="1">
          <a:spLocks noChangeArrowheads="1"/>
        </xdr:cNvSpPr>
      </xdr:nvSpPr>
      <xdr:spPr bwMode="auto">
        <a:xfrm>
          <a:off x="12540961" y="5622636"/>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24</xdr:row>
      <xdr:rowOff>0</xdr:rowOff>
    </xdr:from>
    <xdr:ext cx="95250" cy="171450"/>
    <xdr:sp macro="" textlink="">
      <xdr:nvSpPr>
        <xdr:cNvPr id="2187" name="Text Box 19">
          <a:extLst>
            <a:ext uri="{FF2B5EF4-FFF2-40B4-BE49-F238E27FC236}">
              <a16:creationId xmlns:a16="http://schemas.microsoft.com/office/drawing/2014/main" id="{00000000-0008-0000-0500-00008B080000}"/>
            </a:ext>
          </a:extLst>
        </xdr:cNvPr>
        <xdr:cNvSpPr txBox="1">
          <a:spLocks noChangeArrowheads="1"/>
        </xdr:cNvSpPr>
      </xdr:nvSpPr>
      <xdr:spPr bwMode="auto">
        <a:xfrm>
          <a:off x="12540961" y="5622636"/>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21</xdr:col>
      <xdr:colOff>0</xdr:colOff>
      <xdr:row>19</xdr:row>
      <xdr:rowOff>107673</xdr:rowOff>
    </xdr:from>
    <xdr:ext cx="95250" cy="171450"/>
    <xdr:sp macro="" textlink="">
      <xdr:nvSpPr>
        <xdr:cNvPr id="2188" name="Text Box 16">
          <a:extLst>
            <a:ext uri="{FF2B5EF4-FFF2-40B4-BE49-F238E27FC236}">
              <a16:creationId xmlns:a16="http://schemas.microsoft.com/office/drawing/2014/main" id="{00000000-0008-0000-0500-00008C080000}"/>
            </a:ext>
          </a:extLst>
        </xdr:cNvPr>
        <xdr:cNvSpPr txBox="1">
          <a:spLocks noChangeArrowheads="1"/>
        </xdr:cNvSpPr>
      </xdr:nvSpPr>
      <xdr:spPr bwMode="auto">
        <a:xfrm>
          <a:off x="26537478" y="8854108"/>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21</xdr:col>
      <xdr:colOff>588065</xdr:colOff>
      <xdr:row>19</xdr:row>
      <xdr:rowOff>99392</xdr:rowOff>
    </xdr:from>
    <xdr:ext cx="95250" cy="171450"/>
    <xdr:sp macro="" textlink="">
      <xdr:nvSpPr>
        <xdr:cNvPr id="2189" name="Text Box 17">
          <a:extLst>
            <a:ext uri="{FF2B5EF4-FFF2-40B4-BE49-F238E27FC236}">
              <a16:creationId xmlns:a16="http://schemas.microsoft.com/office/drawing/2014/main" id="{00000000-0008-0000-0500-00008D080000}"/>
            </a:ext>
          </a:extLst>
        </xdr:cNvPr>
        <xdr:cNvSpPr txBox="1">
          <a:spLocks noChangeArrowheads="1"/>
        </xdr:cNvSpPr>
      </xdr:nvSpPr>
      <xdr:spPr bwMode="auto">
        <a:xfrm>
          <a:off x="27125543" y="8845827"/>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20</xdr:row>
      <xdr:rowOff>504825</xdr:rowOff>
    </xdr:from>
    <xdr:ext cx="95250" cy="444014"/>
    <xdr:sp macro="" textlink="">
      <xdr:nvSpPr>
        <xdr:cNvPr id="2192" name="Text Box 15">
          <a:extLst>
            <a:ext uri="{FF2B5EF4-FFF2-40B4-BE49-F238E27FC236}">
              <a16:creationId xmlns:a16="http://schemas.microsoft.com/office/drawing/2014/main" id="{00000000-0008-0000-0500-000090080000}"/>
            </a:ext>
          </a:extLst>
        </xdr:cNvPr>
        <xdr:cNvSpPr txBox="1">
          <a:spLocks noChangeArrowheads="1"/>
        </xdr:cNvSpPr>
      </xdr:nvSpPr>
      <xdr:spPr bwMode="auto">
        <a:xfrm>
          <a:off x="4664364" y="5255202"/>
          <a:ext cx="95250" cy="444014"/>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24</xdr:row>
      <xdr:rowOff>0</xdr:rowOff>
    </xdr:from>
    <xdr:ext cx="95250" cy="171450"/>
    <xdr:sp macro="" textlink="">
      <xdr:nvSpPr>
        <xdr:cNvPr id="2193" name="Text Box 16">
          <a:extLst>
            <a:ext uri="{FF2B5EF4-FFF2-40B4-BE49-F238E27FC236}">
              <a16:creationId xmlns:a16="http://schemas.microsoft.com/office/drawing/2014/main" id="{00000000-0008-0000-0500-000091080000}"/>
            </a:ext>
          </a:extLst>
        </xdr:cNvPr>
        <xdr:cNvSpPr txBox="1">
          <a:spLocks noChangeArrowheads="1"/>
        </xdr:cNvSpPr>
      </xdr:nvSpPr>
      <xdr:spPr bwMode="auto">
        <a:xfrm>
          <a:off x="4664364" y="5622636"/>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24</xdr:row>
      <xdr:rowOff>0</xdr:rowOff>
    </xdr:from>
    <xdr:ext cx="95250" cy="171450"/>
    <xdr:sp macro="" textlink="">
      <xdr:nvSpPr>
        <xdr:cNvPr id="2194" name="Text Box 17">
          <a:extLst>
            <a:ext uri="{FF2B5EF4-FFF2-40B4-BE49-F238E27FC236}">
              <a16:creationId xmlns:a16="http://schemas.microsoft.com/office/drawing/2014/main" id="{00000000-0008-0000-0500-000092080000}"/>
            </a:ext>
          </a:extLst>
        </xdr:cNvPr>
        <xdr:cNvSpPr txBox="1">
          <a:spLocks noChangeArrowheads="1"/>
        </xdr:cNvSpPr>
      </xdr:nvSpPr>
      <xdr:spPr bwMode="auto">
        <a:xfrm>
          <a:off x="4664364" y="5622636"/>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24</xdr:row>
      <xdr:rowOff>0</xdr:rowOff>
    </xdr:from>
    <xdr:ext cx="95250" cy="171450"/>
    <xdr:sp macro="" textlink="">
      <xdr:nvSpPr>
        <xdr:cNvPr id="2195" name="Text Box 18">
          <a:extLst>
            <a:ext uri="{FF2B5EF4-FFF2-40B4-BE49-F238E27FC236}">
              <a16:creationId xmlns:a16="http://schemas.microsoft.com/office/drawing/2014/main" id="{00000000-0008-0000-0500-000093080000}"/>
            </a:ext>
          </a:extLst>
        </xdr:cNvPr>
        <xdr:cNvSpPr txBox="1">
          <a:spLocks noChangeArrowheads="1"/>
        </xdr:cNvSpPr>
      </xdr:nvSpPr>
      <xdr:spPr bwMode="auto">
        <a:xfrm>
          <a:off x="4664364" y="5622636"/>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24</xdr:row>
      <xdr:rowOff>0</xdr:rowOff>
    </xdr:from>
    <xdr:ext cx="95250" cy="171450"/>
    <xdr:sp macro="" textlink="">
      <xdr:nvSpPr>
        <xdr:cNvPr id="2196" name="Text Box 19">
          <a:extLst>
            <a:ext uri="{FF2B5EF4-FFF2-40B4-BE49-F238E27FC236}">
              <a16:creationId xmlns:a16="http://schemas.microsoft.com/office/drawing/2014/main" id="{00000000-0008-0000-0500-000094080000}"/>
            </a:ext>
          </a:extLst>
        </xdr:cNvPr>
        <xdr:cNvSpPr txBox="1">
          <a:spLocks noChangeArrowheads="1"/>
        </xdr:cNvSpPr>
      </xdr:nvSpPr>
      <xdr:spPr bwMode="auto">
        <a:xfrm>
          <a:off x="4664364" y="5622636"/>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24</xdr:row>
      <xdr:rowOff>0</xdr:rowOff>
    </xdr:from>
    <xdr:ext cx="95250" cy="171450"/>
    <xdr:sp macro="" textlink="">
      <xdr:nvSpPr>
        <xdr:cNvPr id="2197" name="Text Box 16">
          <a:extLst>
            <a:ext uri="{FF2B5EF4-FFF2-40B4-BE49-F238E27FC236}">
              <a16:creationId xmlns:a16="http://schemas.microsoft.com/office/drawing/2014/main" id="{00000000-0008-0000-0500-000095080000}"/>
            </a:ext>
          </a:extLst>
        </xdr:cNvPr>
        <xdr:cNvSpPr txBox="1">
          <a:spLocks noChangeArrowheads="1"/>
        </xdr:cNvSpPr>
      </xdr:nvSpPr>
      <xdr:spPr bwMode="auto">
        <a:xfrm>
          <a:off x="12540961" y="5622636"/>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24</xdr:row>
      <xdr:rowOff>0</xdr:rowOff>
    </xdr:from>
    <xdr:ext cx="95250" cy="171450"/>
    <xdr:sp macro="" textlink="">
      <xdr:nvSpPr>
        <xdr:cNvPr id="2198" name="Text Box 17">
          <a:extLst>
            <a:ext uri="{FF2B5EF4-FFF2-40B4-BE49-F238E27FC236}">
              <a16:creationId xmlns:a16="http://schemas.microsoft.com/office/drawing/2014/main" id="{00000000-0008-0000-0500-000096080000}"/>
            </a:ext>
          </a:extLst>
        </xdr:cNvPr>
        <xdr:cNvSpPr txBox="1">
          <a:spLocks noChangeArrowheads="1"/>
        </xdr:cNvSpPr>
      </xdr:nvSpPr>
      <xdr:spPr bwMode="auto">
        <a:xfrm>
          <a:off x="12540961" y="5622636"/>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1020762</xdr:colOff>
      <xdr:row>24</xdr:row>
      <xdr:rowOff>15875</xdr:rowOff>
    </xdr:from>
    <xdr:ext cx="95250" cy="171450"/>
    <xdr:sp macro="" textlink="">
      <xdr:nvSpPr>
        <xdr:cNvPr id="2199" name="Text Box 18">
          <a:extLst>
            <a:ext uri="{FF2B5EF4-FFF2-40B4-BE49-F238E27FC236}">
              <a16:creationId xmlns:a16="http://schemas.microsoft.com/office/drawing/2014/main" id="{00000000-0008-0000-0500-000097080000}"/>
            </a:ext>
          </a:extLst>
        </xdr:cNvPr>
        <xdr:cNvSpPr txBox="1">
          <a:spLocks noChangeArrowheads="1"/>
        </xdr:cNvSpPr>
      </xdr:nvSpPr>
      <xdr:spPr bwMode="auto">
        <a:xfrm>
          <a:off x="12485398" y="5638511"/>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24</xdr:row>
      <xdr:rowOff>0</xdr:rowOff>
    </xdr:from>
    <xdr:ext cx="95250" cy="171450"/>
    <xdr:sp macro="" textlink="">
      <xdr:nvSpPr>
        <xdr:cNvPr id="2200" name="Text Box 16">
          <a:extLst>
            <a:ext uri="{FF2B5EF4-FFF2-40B4-BE49-F238E27FC236}">
              <a16:creationId xmlns:a16="http://schemas.microsoft.com/office/drawing/2014/main" id="{00000000-0008-0000-0500-000098080000}"/>
            </a:ext>
          </a:extLst>
        </xdr:cNvPr>
        <xdr:cNvSpPr txBox="1">
          <a:spLocks noChangeArrowheads="1"/>
        </xdr:cNvSpPr>
      </xdr:nvSpPr>
      <xdr:spPr bwMode="auto">
        <a:xfrm>
          <a:off x="15388070" y="5622636"/>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24</xdr:row>
      <xdr:rowOff>0</xdr:rowOff>
    </xdr:from>
    <xdr:ext cx="95250" cy="171450"/>
    <xdr:sp macro="" textlink="">
      <xdr:nvSpPr>
        <xdr:cNvPr id="2201" name="Text Box 17">
          <a:extLst>
            <a:ext uri="{FF2B5EF4-FFF2-40B4-BE49-F238E27FC236}">
              <a16:creationId xmlns:a16="http://schemas.microsoft.com/office/drawing/2014/main" id="{00000000-0008-0000-0500-000099080000}"/>
            </a:ext>
          </a:extLst>
        </xdr:cNvPr>
        <xdr:cNvSpPr txBox="1">
          <a:spLocks noChangeArrowheads="1"/>
        </xdr:cNvSpPr>
      </xdr:nvSpPr>
      <xdr:spPr bwMode="auto">
        <a:xfrm>
          <a:off x="15388070" y="5622636"/>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24</xdr:row>
      <xdr:rowOff>0</xdr:rowOff>
    </xdr:from>
    <xdr:ext cx="95250" cy="171450"/>
    <xdr:sp macro="" textlink="">
      <xdr:nvSpPr>
        <xdr:cNvPr id="2202" name="Text Box 18">
          <a:extLst>
            <a:ext uri="{FF2B5EF4-FFF2-40B4-BE49-F238E27FC236}">
              <a16:creationId xmlns:a16="http://schemas.microsoft.com/office/drawing/2014/main" id="{00000000-0008-0000-0500-00009A080000}"/>
            </a:ext>
          </a:extLst>
        </xdr:cNvPr>
        <xdr:cNvSpPr txBox="1">
          <a:spLocks noChangeArrowheads="1"/>
        </xdr:cNvSpPr>
      </xdr:nvSpPr>
      <xdr:spPr bwMode="auto">
        <a:xfrm>
          <a:off x="15388070" y="5622636"/>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24</xdr:row>
      <xdr:rowOff>0</xdr:rowOff>
    </xdr:from>
    <xdr:ext cx="95250" cy="171450"/>
    <xdr:sp macro="" textlink="">
      <xdr:nvSpPr>
        <xdr:cNvPr id="2203" name="Text Box 19">
          <a:extLst>
            <a:ext uri="{FF2B5EF4-FFF2-40B4-BE49-F238E27FC236}">
              <a16:creationId xmlns:a16="http://schemas.microsoft.com/office/drawing/2014/main" id="{00000000-0008-0000-0500-00009B080000}"/>
            </a:ext>
          </a:extLst>
        </xdr:cNvPr>
        <xdr:cNvSpPr txBox="1">
          <a:spLocks noChangeArrowheads="1"/>
        </xdr:cNvSpPr>
      </xdr:nvSpPr>
      <xdr:spPr bwMode="auto">
        <a:xfrm>
          <a:off x="15388070" y="5622636"/>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24</xdr:row>
      <xdr:rowOff>0</xdr:rowOff>
    </xdr:from>
    <xdr:ext cx="95250" cy="171450"/>
    <xdr:sp macro="" textlink="">
      <xdr:nvSpPr>
        <xdr:cNvPr id="2204" name="Text Box 16">
          <a:extLst>
            <a:ext uri="{FF2B5EF4-FFF2-40B4-BE49-F238E27FC236}">
              <a16:creationId xmlns:a16="http://schemas.microsoft.com/office/drawing/2014/main" id="{00000000-0008-0000-0500-00009C080000}"/>
            </a:ext>
          </a:extLst>
        </xdr:cNvPr>
        <xdr:cNvSpPr txBox="1">
          <a:spLocks noChangeArrowheads="1"/>
        </xdr:cNvSpPr>
      </xdr:nvSpPr>
      <xdr:spPr bwMode="auto">
        <a:xfrm>
          <a:off x="15388070" y="5622636"/>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24</xdr:row>
      <xdr:rowOff>504825</xdr:rowOff>
    </xdr:from>
    <xdr:ext cx="95250" cy="448496"/>
    <xdr:sp macro="" textlink="">
      <xdr:nvSpPr>
        <xdr:cNvPr id="2205" name="Text Box 15">
          <a:extLst>
            <a:ext uri="{FF2B5EF4-FFF2-40B4-BE49-F238E27FC236}">
              <a16:creationId xmlns:a16="http://schemas.microsoft.com/office/drawing/2014/main" id="{00000000-0008-0000-0500-00009D080000}"/>
            </a:ext>
          </a:extLst>
        </xdr:cNvPr>
        <xdr:cNvSpPr txBox="1">
          <a:spLocks noChangeArrowheads="1"/>
        </xdr:cNvSpPr>
      </xdr:nvSpPr>
      <xdr:spPr bwMode="auto">
        <a:xfrm>
          <a:off x="4664364" y="5994111"/>
          <a:ext cx="95250" cy="448496"/>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24</xdr:row>
      <xdr:rowOff>504825</xdr:rowOff>
    </xdr:from>
    <xdr:ext cx="95250" cy="442269"/>
    <xdr:sp macro="" textlink="">
      <xdr:nvSpPr>
        <xdr:cNvPr id="2206" name="Text Box 15">
          <a:extLst>
            <a:ext uri="{FF2B5EF4-FFF2-40B4-BE49-F238E27FC236}">
              <a16:creationId xmlns:a16="http://schemas.microsoft.com/office/drawing/2014/main" id="{00000000-0008-0000-0500-00009E080000}"/>
            </a:ext>
          </a:extLst>
        </xdr:cNvPr>
        <xdr:cNvSpPr txBox="1">
          <a:spLocks noChangeArrowheads="1"/>
        </xdr:cNvSpPr>
      </xdr:nvSpPr>
      <xdr:spPr bwMode="auto">
        <a:xfrm>
          <a:off x="12540961" y="5994111"/>
          <a:ext cx="95250" cy="442269"/>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24</xdr:row>
      <xdr:rowOff>504825</xdr:rowOff>
    </xdr:from>
    <xdr:ext cx="95250" cy="213632"/>
    <xdr:sp macro="" textlink="">
      <xdr:nvSpPr>
        <xdr:cNvPr id="2208" name="Text Box 15">
          <a:extLst>
            <a:ext uri="{FF2B5EF4-FFF2-40B4-BE49-F238E27FC236}">
              <a16:creationId xmlns:a16="http://schemas.microsoft.com/office/drawing/2014/main" id="{00000000-0008-0000-0500-0000A0080000}"/>
            </a:ext>
          </a:extLst>
        </xdr:cNvPr>
        <xdr:cNvSpPr txBox="1">
          <a:spLocks noChangeArrowheads="1"/>
        </xdr:cNvSpPr>
      </xdr:nvSpPr>
      <xdr:spPr bwMode="auto">
        <a:xfrm>
          <a:off x="4664364" y="5994111"/>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24</xdr:row>
      <xdr:rowOff>504825</xdr:rowOff>
    </xdr:from>
    <xdr:ext cx="95250" cy="444331"/>
    <xdr:sp macro="" textlink="">
      <xdr:nvSpPr>
        <xdr:cNvPr id="2209" name="Text Box 15">
          <a:extLst>
            <a:ext uri="{FF2B5EF4-FFF2-40B4-BE49-F238E27FC236}">
              <a16:creationId xmlns:a16="http://schemas.microsoft.com/office/drawing/2014/main" id="{00000000-0008-0000-0500-0000A1080000}"/>
            </a:ext>
          </a:extLst>
        </xdr:cNvPr>
        <xdr:cNvSpPr txBox="1">
          <a:spLocks noChangeArrowheads="1"/>
        </xdr:cNvSpPr>
      </xdr:nvSpPr>
      <xdr:spPr bwMode="auto">
        <a:xfrm>
          <a:off x="4664364" y="5994111"/>
          <a:ext cx="95250" cy="444331"/>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10</xdr:col>
      <xdr:colOff>28575</xdr:colOff>
      <xdr:row>24</xdr:row>
      <xdr:rowOff>170392</xdr:rowOff>
    </xdr:from>
    <xdr:ext cx="95250" cy="213632"/>
    <xdr:sp macro="" textlink="">
      <xdr:nvSpPr>
        <xdr:cNvPr id="2210" name="Text Box 15">
          <a:extLst>
            <a:ext uri="{FF2B5EF4-FFF2-40B4-BE49-F238E27FC236}">
              <a16:creationId xmlns:a16="http://schemas.microsoft.com/office/drawing/2014/main" id="{00000000-0008-0000-0500-0000A2080000}"/>
            </a:ext>
          </a:extLst>
        </xdr:cNvPr>
        <xdr:cNvSpPr txBox="1">
          <a:spLocks noChangeArrowheads="1"/>
        </xdr:cNvSpPr>
      </xdr:nvSpPr>
      <xdr:spPr bwMode="auto">
        <a:xfrm>
          <a:off x="12578484" y="5793028"/>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30</xdr:row>
      <xdr:rowOff>0</xdr:rowOff>
    </xdr:from>
    <xdr:ext cx="95250" cy="171450"/>
    <xdr:sp macro="" textlink="">
      <xdr:nvSpPr>
        <xdr:cNvPr id="2211" name="Text Box 16">
          <a:extLst>
            <a:ext uri="{FF2B5EF4-FFF2-40B4-BE49-F238E27FC236}">
              <a16:creationId xmlns:a16="http://schemas.microsoft.com/office/drawing/2014/main" id="{00000000-0008-0000-0500-0000A3080000}"/>
            </a:ext>
          </a:extLst>
        </xdr:cNvPr>
        <xdr:cNvSpPr txBox="1">
          <a:spLocks noChangeArrowheads="1"/>
        </xdr:cNvSpPr>
      </xdr:nvSpPr>
      <xdr:spPr bwMode="auto">
        <a:xfrm>
          <a:off x="4664364"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30</xdr:row>
      <xdr:rowOff>0</xdr:rowOff>
    </xdr:from>
    <xdr:ext cx="95250" cy="171450"/>
    <xdr:sp macro="" textlink="">
      <xdr:nvSpPr>
        <xdr:cNvPr id="2212" name="Text Box 17">
          <a:extLst>
            <a:ext uri="{FF2B5EF4-FFF2-40B4-BE49-F238E27FC236}">
              <a16:creationId xmlns:a16="http://schemas.microsoft.com/office/drawing/2014/main" id="{00000000-0008-0000-0500-0000A4080000}"/>
            </a:ext>
          </a:extLst>
        </xdr:cNvPr>
        <xdr:cNvSpPr txBox="1">
          <a:spLocks noChangeArrowheads="1"/>
        </xdr:cNvSpPr>
      </xdr:nvSpPr>
      <xdr:spPr bwMode="auto">
        <a:xfrm>
          <a:off x="4664364"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30</xdr:row>
      <xdr:rowOff>0</xdr:rowOff>
    </xdr:from>
    <xdr:ext cx="95250" cy="171450"/>
    <xdr:sp macro="" textlink="">
      <xdr:nvSpPr>
        <xdr:cNvPr id="2213" name="Text Box 18">
          <a:extLst>
            <a:ext uri="{FF2B5EF4-FFF2-40B4-BE49-F238E27FC236}">
              <a16:creationId xmlns:a16="http://schemas.microsoft.com/office/drawing/2014/main" id="{00000000-0008-0000-0500-0000A5080000}"/>
            </a:ext>
          </a:extLst>
        </xdr:cNvPr>
        <xdr:cNvSpPr txBox="1">
          <a:spLocks noChangeArrowheads="1"/>
        </xdr:cNvSpPr>
      </xdr:nvSpPr>
      <xdr:spPr bwMode="auto">
        <a:xfrm>
          <a:off x="4664364"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30</xdr:row>
      <xdr:rowOff>0</xdr:rowOff>
    </xdr:from>
    <xdr:ext cx="95250" cy="171450"/>
    <xdr:sp macro="" textlink="">
      <xdr:nvSpPr>
        <xdr:cNvPr id="2214" name="Text Box 19">
          <a:extLst>
            <a:ext uri="{FF2B5EF4-FFF2-40B4-BE49-F238E27FC236}">
              <a16:creationId xmlns:a16="http://schemas.microsoft.com/office/drawing/2014/main" id="{00000000-0008-0000-0500-0000A6080000}"/>
            </a:ext>
          </a:extLst>
        </xdr:cNvPr>
        <xdr:cNvSpPr txBox="1">
          <a:spLocks noChangeArrowheads="1"/>
        </xdr:cNvSpPr>
      </xdr:nvSpPr>
      <xdr:spPr bwMode="auto">
        <a:xfrm>
          <a:off x="4664364"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30</xdr:row>
      <xdr:rowOff>0</xdr:rowOff>
    </xdr:from>
    <xdr:ext cx="95250" cy="171450"/>
    <xdr:sp macro="" textlink="">
      <xdr:nvSpPr>
        <xdr:cNvPr id="2215" name="Text Box 16">
          <a:extLst>
            <a:ext uri="{FF2B5EF4-FFF2-40B4-BE49-F238E27FC236}">
              <a16:creationId xmlns:a16="http://schemas.microsoft.com/office/drawing/2014/main" id="{00000000-0008-0000-0500-0000A7080000}"/>
            </a:ext>
          </a:extLst>
        </xdr:cNvPr>
        <xdr:cNvSpPr txBox="1">
          <a:spLocks noChangeArrowheads="1"/>
        </xdr:cNvSpPr>
      </xdr:nvSpPr>
      <xdr:spPr bwMode="auto">
        <a:xfrm>
          <a:off x="12540961"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30</xdr:row>
      <xdr:rowOff>0</xdr:rowOff>
    </xdr:from>
    <xdr:ext cx="95250" cy="171450"/>
    <xdr:sp macro="" textlink="">
      <xdr:nvSpPr>
        <xdr:cNvPr id="2216" name="Text Box 17">
          <a:extLst>
            <a:ext uri="{FF2B5EF4-FFF2-40B4-BE49-F238E27FC236}">
              <a16:creationId xmlns:a16="http://schemas.microsoft.com/office/drawing/2014/main" id="{00000000-0008-0000-0500-0000A8080000}"/>
            </a:ext>
          </a:extLst>
        </xdr:cNvPr>
        <xdr:cNvSpPr txBox="1">
          <a:spLocks noChangeArrowheads="1"/>
        </xdr:cNvSpPr>
      </xdr:nvSpPr>
      <xdr:spPr bwMode="auto">
        <a:xfrm>
          <a:off x="12540961"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30</xdr:row>
      <xdr:rowOff>0</xdr:rowOff>
    </xdr:from>
    <xdr:ext cx="95250" cy="171450"/>
    <xdr:sp macro="" textlink="">
      <xdr:nvSpPr>
        <xdr:cNvPr id="2217" name="Text Box 18">
          <a:extLst>
            <a:ext uri="{FF2B5EF4-FFF2-40B4-BE49-F238E27FC236}">
              <a16:creationId xmlns:a16="http://schemas.microsoft.com/office/drawing/2014/main" id="{00000000-0008-0000-0500-0000A9080000}"/>
            </a:ext>
          </a:extLst>
        </xdr:cNvPr>
        <xdr:cNvSpPr txBox="1">
          <a:spLocks noChangeArrowheads="1"/>
        </xdr:cNvSpPr>
      </xdr:nvSpPr>
      <xdr:spPr bwMode="auto">
        <a:xfrm>
          <a:off x="12540961"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30</xdr:row>
      <xdr:rowOff>0</xdr:rowOff>
    </xdr:from>
    <xdr:ext cx="95250" cy="171450"/>
    <xdr:sp macro="" textlink="">
      <xdr:nvSpPr>
        <xdr:cNvPr id="2218" name="Text Box 19">
          <a:extLst>
            <a:ext uri="{FF2B5EF4-FFF2-40B4-BE49-F238E27FC236}">
              <a16:creationId xmlns:a16="http://schemas.microsoft.com/office/drawing/2014/main" id="{00000000-0008-0000-0500-0000AA080000}"/>
            </a:ext>
          </a:extLst>
        </xdr:cNvPr>
        <xdr:cNvSpPr txBox="1">
          <a:spLocks noChangeArrowheads="1"/>
        </xdr:cNvSpPr>
      </xdr:nvSpPr>
      <xdr:spPr bwMode="auto">
        <a:xfrm>
          <a:off x="12540961"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21</xdr:col>
      <xdr:colOff>0</xdr:colOff>
      <xdr:row>30</xdr:row>
      <xdr:rowOff>0</xdr:rowOff>
    </xdr:from>
    <xdr:ext cx="95250" cy="171450"/>
    <xdr:sp macro="" textlink="">
      <xdr:nvSpPr>
        <xdr:cNvPr id="2219" name="Text Box 16">
          <a:extLst>
            <a:ext uri="{FF2B5EF4-FFF2-40B4-BE49-F238E27FC236}">
              <a16:creationId xmlns:a16="http://schemas.microsoft.com/office/drawing/2014/main" id="{00000000-0008-0000-0500-0000AB080000}"/>
            </a:ext>
          </a:extLst>
        </xdr:cNvPr>
        <xdr:cNvSpPr txBox="1">
          <a:spLocks noChangeArrowheads="1"/>
        </xdr:cNvSpPr>
      </xdr:nvSpPr>
      <xdr:spPr bwMode="auto">
        <a:xfrm>
          <a:off x="21832455"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21</xdr:col>
      <xdr:colOff>0</xdr:colOff>
      <xdr:row>30</xdr:row>
      <xdr:rowOff>0</xdr:rowOff>
    </xdr:from>
    <xdr:ext cx="95250" cy="171450"/>
    <xdr:sp macro="" textlink="">
      <xdr:nvSpPr>
        <xdr:cNvPr id="2220" name="Text Box 17">
          <a:extLst>
            <a:ext uri="{FF2B5EF4-FFF2-40B4-BE49-F238E27FC236}">
              <a16:creationId xmlns:a16="http://schemas.microsoft.com/office/drawing/2014/main" id="{00000000-0008-0000-0500-0000AC080000}"/>
            </a:ext>
          </a:extLst>
        </xdr:cNvPr>
        <xdr:cNvSpPr txBox="1">
          <a:spLocks noChangeArrowheads="1"/>
        </xdr:cNvSpPr>
      </xdr:nvSpPr>
      <xdr:spPr bwMode="auto">
        <a:xfrm>
          <a:off x="21832455"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21</xdr:col>
      <xdr:colOff>0</xdr:colOff>
      <xdr:row>30</xdr:row>
      <xdr:rowOff>0</xdr:rowOff>
    </xdr:from>
    <xdr:ext cx="95250" cy="171450"/>
    <xdr:sp macro="" textlink="">
      <xdr:nvSpPr>
        <xdr:cNvPr id="2221" name="Text Box 18">
          <a:extLst>
            <a:ext uri="{FF2B5EF4-FFF2-40B4-BE49-F238E27FC236}">
              <a16:creationId xmlns:a16="http://schemas.microsoft.com/office/drawing/2014/main" id="{00000000-0008-0000-0500-0000AD080000}"/>
            </a:ext>
          </a:extLst>
        </xdr:cNvPr>
        <xdr:cNvSpPr txBox="1">
          <a:spLocks noChangeArrowheads="1"/>
        </xdr:cNvSpPr>
      </xdr:nvSpPr>
      <xdr:spPr bwMode="auto">
        <a:xfrm>
          <a:off x="21832455"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21</xdr:col>
      <xdr:colOff>0</xdr:colOff>
      <xdr:row>30</xdr:row>
      <xdr:rowOff>0</xdr:rowOff>
    </xdr:from>
    <xdr:ext cx="95250" cy="171450"/>
    <xdr:sp macro="" textlink="">
      <xdr:nvSpPr>
        <xdr:cNvPr id="2222" name="Text Box 19">
          <a:extLst>
            <a:ext uri="{FF2B5EF4-FFF2-40B4-BE49-F238E27FC236}">
              <a16:creationId xmlns:a16="http://schemas.microsoft.com/office/drawing/2014/main" id="{00000000-0008-0000-0500-0000AE080000}"/>
            </a:ext>
          </a:extLst>
        </xdr:cNvPr>
        <xdr:cNvSpPr txBox="1">
          <a:spLocks noChangeArrowheads="1"/>
        </xdr:cNvSpPr>
      </xdr:nvSpPr>
      <xdr:spPr bwMode="auto">
        <a:xfrm>
          <a:off x="21832455"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26</xdr:row>
      <xdr:rowOff>504825</xdr:rowOff>
    </xdr:from>
    <xdr:ext cx="95250" cy="444014"/>
    <xdr:sp macro="" textlink="">
      <xdr:nvSpPr>
        <xdr:cNvPr id="2223" name="Text Box 15">
          <a:extLst>
            <a:ext uri="{FF2B5EF4-FFF2-40B4-BE49-F238E27FC236}">
              <a16:creationId xmlns:a16="http://schemas.microsoft.com/office/drawing/2014/main" id="{00000000-0008-0000-0500-0000AF080000}"/>
            </a:ext>
          </a:extLst>
        </xdr:cNvPr>
        <xdr:cNvSpPr txBox="1">
          <a:spLocks noChangeArrowheads="1"/>
        </xdr:cNvSpPr>
      </xdr:nvSpPr>
      <xdr:spPr bwMode="auto">
        <a:xfrm>
          <a:off x="4664364" y="6733020"/>
          <a:ext cx="95250" cy="444014"/>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30</xdr:row>
      <xdr:rowOff>0</xdr:rowOff>
    </xdr:from>
    <xdr:ext cx="95250" cy="171450"/>
    <xdr:sp macro="" textlink="">
      <xdr:nvSpPr>
        <xdr:cNvPr id="2224" name="Text Box 16">
          <a:extLst>
            <a:ext uri="{FF2B5EF4-FFF2-40B4-BE49-F238E27FC236}">
              <a16:creationId xmlns:a16="http://schemas.microsoft.com/office/drawing/2014/main" id="{00000000-0008-0000-0500-0000B0080000}"/>
            </a:ext>
          </a:extLst>
        </xdr:cNvPr>
        <xdr:cNvSpPr txBox="1">
          <a:spLocks noChangeArrowheads="1"/>
        </xdr:cNvSpPr>
      </xdr:nvSpPr>
      <xdr:spPr bwMode="auto">
        <a:xfrm>
          <a:off x="4664364"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30</xdr:row>
      <xdr:rowOff>0</xdr:rowOff>
    </xdr:from>
    <xdr:ext cx="95250" cy="171450"/>
    <xdr:sp macro="" textlink="">
      <xdr:nvSpPr>
        <xdr:cNvPr id="2225" name="Text Box 17">
          <a:extLst>
            <a:ext uri="{FF2B5EF4-FFF2-40B4-BE49-F238E27FC236}">
              <a16:creationId xmlns:a16="http://schemas.microsoft.com/office/drawing/2014/main" id="{00000000-0008-0000-0500-0000B1080000}"/>
            </a:ext>
          </a:extLst>
        </xdr:cNvPr>
        <xdr:cNvSpPr txBox="1">
          <a:spLocks noChangeArrowheads="1"/>
        </xdr:cNvSpPr>
      </xdr:nvSpPr>
      <xdr:spPr bwMode="auto">
        <a:xfrm>
          <a:off x="4664364"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30</xdr:row>
      <xdr:rowOff>0</xdr:rowOff>
    </xdr:from>
    <xdr:ext cx="95250" cy="171450"/>
    <xdr:sp macro="" textlink="">
      <xdr:nvSpPr>
        <xdr:cNvPr id="2226" name="Text Box 18">
          <a:extLst>
            <a:ext uri="{FF2B5EF4-FFF2-40B4-BE49-F238E27FC236}">
              <a16:creationId xmlns:a16="http://schemas.microsoft.com/office/drawing/2014/main" id="{00000000-0008-0000-0500-0000B2080000}"/>
            </a:ext>
          </a:extLst>
        </xdr:cNvPr>
        <xdr:cNvSpPr txBox="1">
          <a:spLocks noChangeArrowheads="1"/>
        </xdr:cNvSpPr>
      </xdr:nvSpPr>
      <xdr:spPr bwMode="auto">
        <a:xfrm>
          <a:off x="4664364"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30</xdr:row>
      <xdr:rowOff>0</xdr:rowOff>
    </xdr:from>
    <xdr:ext cx="95250" cy="171450"/>
    <xdr:sp macro="" textlink="">
      <xdr:nvSpPr>
        <xdr:cNvPr id="2227" name="Text Box 19">
          <a:extLst>
            <a:ext uri="{FF2B5EF4-FFF2-40B4-BE49-F238E27FC236}">
              <a16:creationId xmlns:a16="http://schemas.microsoft.com/office/drawing/2014/main" id="{00000000-0008-0000-0500-0000B3080000}"/>
            </a:ext>
          </a:extLst>
        </xdr:cNvPr>
        <xdr:cNvSpPr txBox="1">
          <a:spLocks noChangeArrowheads="1"/>
        </xdr:cNvSpPr>
      </xdr:nvSpPr>
      <xdr:spPr bwMode="auto">
        <a:xfrm>
          <a:off x="4664364"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30</xdr:row>
      <xdr:rowOff>0</xdr:rowOff>
    </xdr:from>
    <xdr:ext cx="95250" cy="171450"/>
    <xdr:sp macro="" textlink="">
      <xdr:nvSpPr>
        <xdr:cNvPr id="2228" name="Text Box 16">
          <a:extLst>
            <a:ext uri="{FF2B5EF4-FFF2-40B4-BE49-F238E27FC236}">
              <a16:creationId xmlns:a16="http://schemas.microsoft.com/office/drawing/2014/main" id="{00000000-0008-0000-0500-0000B4080000}"/>
            </a:ext>
          </a:extLst>
        </xdr:cNvPr>
        <xdr:cNvSpPr txBox="1">
          <a:spLocks noChangeArrowheads="1"/>
        </xdr:cNvSpPr>
      </xdr:nvSpPr>
      <xdr:spPr bwMode="auto">
        <a:xfrm>
          <a:off x="12540961"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30</xdr:row>
      <xdr:rowOff>0</xdr:rowOff>
    </xdr:from>
    <xdr:ext cx="95250" cy="171450"/>
    <xdr:sp macro="" textlink="">
      <xdr:nvSpPr>
        <xdr:cNvPr id="2229" name="Text Box 17">
          <a:extLst>
            <a:ext uri="{FF2B5EF4-FFF2-40B4-BE49-F238E27FC236}">
              <a16:creationId xmlns:a16="http://schemas.microsoft.com/office/drawing/2014/main" id="{00000000-0008-0000-0500-0000B5080000}"/>
            </a:ext>
          </a:extLst>
        </xdr:cNvPr>
        <xdr:cNvSpPr txBox="1">
          <a:spLocks noChangeArrowheads="1"/>
        </xdr:cNvSpPr>
      </xdr:nvSpPr>
      <xdr:spPr bwMode="auto">
        <a:xfrm>
          <a:off x="12540961"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30</xdr:row>
      <xdr:rowOff>0</xdr:rowOff>
    </xdr:from>
    <xdr:ext cx="95250" cy="171450"/>
    <xdr:sp macro="" textlink="">
      <xdr:nvSpPr>
        <xdr:cNvPr id="2230" name="Text Box 18">
          <a:extLst>
            <a:ext uri="{FF2B5EF4-FFF2-40B4-BE49-F238E27FC236}">
              <a16:creationId xmlns:a16="http://schemas.microsoft.com/office/drawing/2014/main" id="{00000000-0008-0000-0500-0000B6080000}"/>
            </a:ext>
          </a:extLst>
        </xdr:cNvPr>
        <xdr:cNvSpPr txBox="1">
          <a:spLocks noChangeArrowheads="1"/>
        </xdr:cNvSpPr>
      </xdr:nvSpPr>
      <xdr:spPr bwMode="auto">
        <a:xfrm>
          <a:off x="12540961"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30</xdr:row>
      <xdr:rowOff>0</xdr:rowOff>
    </xdr:from>
    <xdr:ext cx="95250" cy="171450"/>
    <xdr:sp macro="" textlink="">
      <xdr:nvSpPr>
        <xdr:cNvPr id="2231" name="Text Box 16">
          <a:extLst>
            <a:ext uri="{FF2B5EF4-FFF2-40B4-BE49-F238E27FC236}">
              <a16:creationId xmlns:a16="http://schemas.microsoft.com/office/drawing/2014/main" id="{00000000-0008-0000-0500-0000B7080000}"/>
            </a:ext>
          </a:extLst>
        </xdr:cNvPr>
        <xdr:cNvSpPr txBox="1">
          <a:spLocks noChangeArrowheads="1"/>
        </xdr:cNvSpPr>
      </xdr:nvSpPr>
      <xdr:spPr bwMode="auto">
        <a:xfrm>
          <a:off x="15388070"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30</xdr:row>
      <xdr:rowOff>0</xdr:rowOff>
    </xdr:from>
    <xdr:ext cx="95250" cy="171450"/>
    <xdr:sp macro="" textlink="">
      <xdr:nvSpPr>
        <xdr:cNvPr id="2232" name="Text Box 17">
          <a:extLst>
            <a:ext uri="{FF2B5EF4-FFF2-40B4-BE49-F238E27FC236}">
              <a16:creationId xmlns:a16="http://schemas.microsoft.com/office/drawing/2014/main" id="{00000000-0008-0000-0500-0000B8080000}"/>
            </a:ext>
          </a:extLst>
        </xdr:cNvPr>
        <xdr:cNvSpPr txBox="1">
          <a:spLocks noChangeArrowheads="1"/>
        </xdr:cNvSpPr>
      </xdr:nvSpPr>
      <xdr:spPr bwMode="auto">
        <a:xfrm>
          <a:off x="15388070"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30</xdr:row>
      <xdr:rowOff>0</xdr:rowOff>
    </xdr:from>
    <xdr:ext cx="95250" cy="171450"/>
    <xdr:sp macro="" textlink="">
      <xdr:nvSpPr>
        <xdr:cNvPr id="2233" name="Text Box 18">
          <a:extLst>
            <a:ext uri="{FF2B5EF4-FFF2-40B4-BE49-F238E27FC236}">
              <a16:creationId xmlns:a16="http://schemas.microsoft.com/office/drawing/2014/main" id="{00000000-0008-0000-0500-0000B9080000}"/>
            </a:ext>
          </a:extLst>
        </xdr:cNvPr>
        <xdr:cNvSpPr txBox="1">
          <a:spLocks noChangeArrowheads="1"/>
        </xdr:cNvSpPr>
      </xdr:nvSpPr>
      <xdr:spPr bwMode="auto">
        <a:xfrm>
          <a:off x="15388070"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30</xdr:row>
      <xdr:rowOff>0</xdr:rowOff>
    </xdr:from>
    <xdr:ext cx="95250" cy="171450"/>
    <xdr:sp macro="" textlink="">
      <xdr:nvSpPr>
        <xdr:cNvPr id="2234" name="Text Box 19">
          <a:extLst>
            <a:ext uri="{FF2B5EF4-FFF2-40B4-BE49-F238E27FC236}">
              <a16:creationId xmlns:a16="http://schemas.microsoft.com/office/drawing/2014/main" id="{00000000-0008-0000-0500-0000BA080000}"/>
            </a:ext>
          </a:extLst>
        </xdr:cNvPr>
        <xdr:cNvSpPr txBox="1">
          <a:spLocks noChangeArrowheads="1"/>
        </xdr:cNvSpPr>
      </xdr:nvSpPr>
      <xdr:spPr bwMode="auto">
        <a:xfrm>
          <a:off x="15388070"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30</xdr:row>
      <xdr:rowOff>0</xdr:rowOff>
    </xdr:from>
    <xdr:ext cx="95250" cy="171450"/>
    <xdr:sp macro="" textlink="">
      <xdr:nvSpPr>
        <xdr:cNvPr id="2235" name="Text Box 16">
          <a:extLst>
            <a:ext uri="{FF2B5EF4-FFF2-40B4-BE49-F238E27FC236}">
              <a16:creationId xmlns:a16="http://schemas.microsoft.com/office/drawing/2014/main" id="{00000000-0008-0000-0500-0000BB080000}"/>
            </a:ext>
          </a:extLst>
        </xdr:cNvPr>
        <xdr:cNvSpPr txBox="1">
          <a:spLocks noChangeArrowheads="1"/>
        </xdr:cNvSpPr>
      </xdr:nvSpPr>
      <xdr:spPr bwMode="auto">
        <a:xfrm>
          <a:off x="15388070"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30</xdr:row>
      <xdr:rowOff>0</xdr:rowOff>
    </xdr:from>
    <xdr:ext cx="95250" cy="171450"/>
    <xdr:sp macro="" textlink="">
      <xdr:nvSpPr>
        <xdr:cNvPr id="2236" name="Text Box 17">
          <a:extLst>
            <a:ext uri="{FF2B5EF4-FFF2-40B4-BE49-F238E27FC236}">
              <a16:creationId xmlns:a16="http://schemas.microsoft.com/office/drawing/2014/main" id="{00000000-0008-0000-0500-0000BC080000}"/>
            </a:ext>
          </a:extLst>
        </xdr:cNvPr>
        <xdr:cNvSpPr txBox="1">
          <a:spLocks noChangeArrowheads="1"/>
        </xdr:cNvSpPr>
      </xdr:nvSpPr>
      <xdr:spPr bwMode="auto">
        <a:xfrm>
          <a:off x="15388070"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30</xdr:row>
      <xdr:rowOff>0</xdr:rowOff>
    </xdr:from>
    <xdr:ext cx="95250" cy="171450"/>
    <xdr:sp macro="" textlink="">
      <xdr:nvSpPr>
        <xdr:cNvPr id="2237" name="Text Box 18">
          <a:extLst>
            <a:ext uri="{FF2B5EF4-FFF2-40B4-BE49-F238E27FC236}">
              <a16:creationId xmlns:a16="http://schemas.microsoft.com/office/drawing/2014/main" id="{00000000-0008-0000-0500-0000BD080000}"/>
            </a:ext>
          </a:extLst>
        </xdr:cNvPr>
        <xdr:cNvSpPr txBox="1">
          <a:spLocks noChangeArrowheads="1"/>
        </xdr:cNvSpPr>
      </xdr:nvSpPr>
      <xdr:spPr bwMode="auto">
        <a:xfrm>
          <a:off x="15388070"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30</xdr:row>
      <xdr:rowOff>0</xdr:rowOff>
    </xdr:from>
    <xdr:ext cx="95250" cy="171450"/>
    <xdr:sp macro="" textlink="">
      <xdr:nvSpPr>
        <xdr:cNvPr id="2238" name="Text Box 19">
          <a:extLst>
            <a:ext uri="{FF2B5EF4-FFF2-40B4-BE49-F238E27FC236}">
              <a16:creationId xmlns:a16="http://schemas.microsoft.com/office/drawing/2014/main" id="{00000000-0008-0000-0500-0000BE080000}"/>
            </a:ext>
          </a:extLst>
        </xdr:cNvPr>
        <xdr:cNvSpPr txBox="1">
          <a:spLocks noChangeArrowheads="1"/>
        </xdr:cNvSpPr>
      </xdr:nvSpPr>
      <xdr:spPr bwMode="auto">
        <a:xfrm>
          <a:off x="15388070"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24</xdr:row>
      <xdr:rowOff>504825</xdr:rowOff>
    </xdr:from>
    <xdr:ext cx="95250" cy="456743"/>
    <xdr:sp macro="" textlink="">
      <xdr:nvSpPr>
        <xdr:cNvPr id="2239" name="Text Box 15">
          <a:extLst>
            <a:ext uri="{FF2B5EF4-FFF2-40B4-BE49-F238E27FC236}">
              <a16:creationId xmlns:a16="http://schemas.microsoft.com/office/drawing/2014/main" id="{00000000-0008-0000-0500-0000BF080000}"/>
            </a:ext>
          </a:extLst>
        </xdr:cNvPr>
        <xdr:cNvSpPr txBox="1">
          <a:spLocks noChangeArrowheads="1"/>
        </xdr:cNvSpPr>
      </xdr:nvSpPr>
      <xdr:spPr bwMode="auto">
        <a:xfrm>
          <a:off x="4664364" y="5994111"/>
          <a:ext cx="95250" cy="456743"/>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24</xdr:row>
      <xdr:rowOff>504825</xdr:rowOff>
    </xdr:from>
    <xdr:ext cx="95250" cy="442269"/>
    <xdr:sp macro="" textlink="">
      <xdr:nvSpPr>
        <xdr:cNvPr id="2240" name="Text Box 15">
          <a:extLst>
            <a:ext uri="{FF2B5EF4-FFF2-40B4-BE49-F238E27FC236}">
              <a16:creationId xmlns:a16="http://schemas.microsoft.com/office/drawing/2014/main" id="{00000000-0008-0000-0500-0000C0080000}"/>
            </a:ext>
          </a:extLst>
        </xdr:cNvPr>
        <xdr:cNvSpPr txBox="1">
          <a:spLocks noChangeArrowheads="1"/>
        </xdr:cNvSpPr>
      </xdr:nvSpPr>
      <xdr:spPr bwMode="auto">
        <a:xfrm>
          <a:off x="12540961" y="5994111"/>
          <a:ext cx="95250" cy="442269"/>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24</xdr:row>
      <xdr:rowOff>504825</xdr:rowOff>
    </xdr:from>
    <xdr:ext cx="95250" cy="213632"/>
    <xdr:sp macro="" textlink="">
      <xdr:nvSpPr>
        <xdr:cNvPr id="2242" name="Text Box 15">
          <a:extLst>
            <a:ext uri="{FF2B5EF4-FFF2-40B4-BE49-F238E27FC236}">
              <a16:creationId xmlns:a16="http://schemas.microsoft.com/office/drawing/2014/main" id="{00000000-0008-0000-0500-0000C2080000}"/>
            </a:ext>
          </a:extLst>
        </xdr:cNvPr>
        <xdr:cNvSpPr txBox="1">
          <a:spLocks noChangeArrowheads="1"/>
        </xdr:cNvSpPr>
      </xdr:nvSpPr>
      <xdr:spPr bwMode="auto">
        <a:xfrm>
          <a:off x="4664364" y="5994111"/>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24</xdr:row>
      <xdr:rowOff>504825</xdr:rowOff>
    </xdr:from>
    <xdr:ext cx="95250" cy="444331"/>
    <xdr:sp macro="" textlink="">
      <xdr:nvSpPr>
        <xdr:cNvPr id="2243" name="Text Box 15">
          <a:extLst>
            <a:ext uri="{FF2B5EF4-FFF2-40B4-BE49-F238E27FC236}">
              <a16:creationId xmlns:a16="http://schemas.microsoft.com/office/drawing/2014/main" id="{00000000-0008-0000-0500-0000C3080000}"/>
            </a:ext>
          </a:extLst>
        </xdr:cNvPr>
        <xdr:cNvSpPr txBox="1">
          <a:spLocks noChangeArrowheads="1"/>
        </xdr:cNvSpPr>
      </xdr:nvSpPr>
      <xdr:spPr bwMode="auto">
        <a:xfrm>
          <a:off x="4664364" y="5994111"/>
          <a:ext cx="95250" cy="444331"/>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24</xdr:row>
      <xdr:rowOff>504825</xdr:rowOff>
    </xdr:from>
    <xdr:ext cx="95250" cy="213632"/>
    <xdr:sp macro="" textlink="">
      <xdr:nvSpPr>
        <xdr:cNvPr id="2244" name="Text Box 15">
          <a:extLst>
            <a:ext uri="{FF2B5EF4-FFF2-40B4-BE49-F238E27FC236}">
              <a16:creationId xmlns:a16="http://schemas.microsoft.com/office/drawing/2014/main" id="{00000000-0008-0000-0500-0000C4080000}"/>
            </a:ext>
          </a:extLst>
        </xdr:cNvPr>
        <xdr:cNvSpPr txBox="1">
          <a:spLocks noChangeArrowheads="1"/>
        </xdr:cNvSpPr>
      </xdr:nvSpPr>
      <xdr:spPr bwMode="auto">
        <a:xfrm>
          <a:off x="12540961" y="5994111"/>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30</xdr:row>
      <xdr:rowOff>0</xdr:rowOff>
    </xdr:from>
    <xdr:ext cx="95250" cy="171450"/>
    <xdr:sp macro="" textlink="">
      <xdr:nvSpPr>
        <xdr:cNvPr id="2245" name="Text Box 16">
          <a:extLst>
            <a:ext uri="{FF2B5EF4-FFF2-40B4-BE49-F238E27FC236}">
              <a16:creationId xmlns:a16="http://schemas.microsoft.com/office/drawing/2014/main" id="{00000000-0008-0000-0500-0000C5080000}"/>
            </a:ext>
          </a:extLst>
        </xdr:cNvPr>
        <xdr:cNvSpPr txBox="1">
          <a:spLocks noChangeArrowheads="1"/>
        </xdr:cNvSpPr>
      </xdr:nvSpPr>
      <xdr:spPr bwMode="auto">
        <a:xfrm>
          <a:off x="4664364"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30</xdr:row>
      <xdr:rowOff>0</xdr:rowOff>
    </xdr:from>
    <xdr:ext cx="95250" cy="171450"/>
    <xdr:sp macro="" textlink="">
      <xdr:nvSpPr>
        <xdr:cNvPr id="2246" name="Text Box 17">
          <a:extLst>
            <a:ext uri="{FF2B5EF4-FFF2-40B4-BE49-F238E27FC236}">
              <a16:creationId xmlns:a16="http://schemas.microsoft.com/office/drawing/2014/main" id="{00000000-0008-0000-0500-0000C6080000}"/>
            </a:ext>
          </a:extLst>
        </xdr:cNvPr>
        <xdr:cNvSpPr txBox="1">
          <a:spLocks noChangeArrowheads="1"/>
        </xdr:cNvSpPr>
      </xdr:nvSpPr>
      <xdr:spPr bwMode="auto">
        <a:xfrm>
          <a:off x="4664364"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30</xdr:row>
      <xdr:rowOff>0</xdr:rowOff>
    </xdr:from>
    <xdr:ext cx="95250" cy="171450"/>
    <xdr:sp macro="" textlink="">
      <xdr:nvSpPr>
        <xdr:cNvPr id="2247" name="Text Box 18">
          <a:extLst>
            <a:ext uri="{FF2B5EF4-FFF2-40B4-BE49-F238E27FC236}">
              <a16:creationId xmlns:a16="http://schemas.microsoft.com/office/drawing/2014/main" id="{00000000-0008-0000-0500-0000C7080000}"/>
            </a:ext>
          </a:extLst>
        </xdr:cNvPr>
        <xdr:cNvSpPr txBox="1">
          <a:spLocks noChangeArrowheads="1"/>
        </xdr:cNvSpPr>
      </xdr:nvSpPr>
      <xdr:spPr bwMode="auto">
        <a:xfrm>
          <a:off x="4664364"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30</xdr:row>
      <xdr:rowOff>0</xdr:rowOff>
    </xdr:from>
    <xdr:ext cx="95250" cy="171450"/>
    <xdr:sp macro="" textlink="">
      <xdr:nvSpPr>
        <xdr:cNvPr id="2248" name="Text Box 19">
          <a:extLst>
            <a:ext uri="{FF2B5EF4-FFF2-40B4-BE49-F238E27FC236}">
              <a16:creationId xmlns:a16="http://schemas.microsoft.com/office/drawing/2014/main" id="{00000000-0008-0000-0500-0000C8080000}"/>
            </a:ext>
          </a:extLst>
        </xdr:cNvPr>
        <xdr:cNvSpPr txBox="1">
          <a:spLocks noChangeArrowheads="1"/>
        </xdr:cNvSpPr>
      </xdr:nvSpPr>
      <xdr:spPr bwMode="auto">
        <a:xfrm>
          <a:off x="4664364"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30</xdr:row>
      <xdr:rowOff>0</xdr:rowOff>
    </xdr:from>
    <xdr:ext cx="95250" cy="171450"/>
    <xdr:sp macro="" textlink="">
      <xdr:nvSpPr>
        <xdr:cNvPr id="2249" name="Text Box 16">
          <a:extLst>
            <a:ext uri="{FF2B5EF4-FFF2-40B4-BE49-F238E27FC236}">
              <a16:creationId xmlns:a16="http://schemas.microsoft.com/office/drawing/2014/main" id="{00000000-0008-0000-0500-0000C9080000}"/>
            </a:ext>
          </a:extLst>
        </xdr:cNvPr>
        <xdr:cNvSpPr txBox="1">
          <a:spLocks noChangeArrowheads="1"/>
        </xdr:cNvSpPr>
      </xdr:nvSpPr>
      <xdr:spPr bwMode="auto">
        <a:xfrm>
          <a:off x="12540961"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30</xdr:row>
      <xdr:rowOff>0</xdr:rowOff>
    </xdr:from>
    <xdr:ext cx="95250" cy="171450"/>
    <xdr:sp macro="" textlink="">
      <xdr:nvSpPr>
        <xdr:cNvPr id="2250" name="Text Box 17">
          <a:extLst>
            <a:ext uri="{FF2B5EF4-FFF2-40B4-BE49-F238E27FC236}">
              <a16:creationId xmlns:a16="http://schemas.microsoft.com/office/drawing/2014/main" id="{00000000-0008-0000-0500-0000CA080000}"/>
            </a:ext>
          </a:extLst>
        </xdr:cNvPr>
        <xdr:cNvSpPr txBox="1">
          <a:spLocks noChangeArrowheads="1"/>
        </xdr:cNvSpPr>
      </xdr:nvSpPr>
      <xdr:spPr bwMode="auto">
        <a:xfrm>
          <a:off x="12540961"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30</xdr:row>
      <xdr:rowOff>0</xdr:rowOff>
    </xdr:from>
    <xdr:ext cx="95250" cy="171450"/>
    <xdr:sp macro="" textlink="">
      <xdr:nvSpPr>
        <xdr:cNvPr id="2251" name="Text Box 18">
          <a:extLst>
            <a:ext uri="{FF2B5EF4-FFF2-40B4-BE49-F238E27FC236}">
              <a16:creationId xmlns:a16="http://schemas.microsoft.com/office/drawing/2014/main" id="{00000000-0008-0000-0500-0000CB080000}"/>
            </a:ext>
          </a:extLst>
        </xdr:cNvPr>
        <xdr:cNvSpPr txBox="1">
          <a:spLocks noChangeArrowheads="1"/>
        </xdr:cNvSpPr>
      </xdr:nvSpPr>
      <xdr:spPr bwMode="auto">
        <a:xfrm>
          <a:off x="12540961"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30</xdr:row>
      <xdr:rowOff>0</xdr:rowOff>
    </xdr:from>
    <xdr:ext cx="95250" cy="171450"/>
    <xdr:sp macro="" textlink="">
      <xdr:nvSpPr>
        <xdr:cNvPr id="2252" name="Text Box 19">
          <a:extLst>
            <a:ext uri="{FF2B5EF4-FFF2-40B4-BE49-F238E27FC236}">
              <a16:creationId xmlns:a16="http://schemas.microsoft.com/office/drawing/2014/main" id="{00000000-0008-0000-0500-0000CC080000}"/>
            </a:ext>
          </a:extLst>
        </xdr:cNvPr>
        <xdr:cNvSpPr txBox="1">
          <a:spLocks noChangeArrowheads="1"/>
        </xdr:cNvSpPr>
      </xdr:nvSpPr>
      <xdr:spPr bwMode="auto">
        <a:xfrm>
          <a:off x="12540961"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21</xdr:col>
      <xdr:colOff>0</xdr:colOff>
      <xdr:row>30</xdr:row>
      <xdr:rowOff>0</xdr:rowOff>
    </xdr:from>
    <xdr:ext cx="95250" cy="171450"/>
    <xdr:sp macro="" textlink="">
      <xdr:nvSpPr>
        <xdr:cNvPr id="2253" name="Text Box 16">
          <a:extLst>
            <a:ext uri="{FF2B5EF4-FFF2-40B4-BE49-F238E27FC236}">
              <a16:creationId xmlns:a16="http://schemas.microsoft.com/office/drawing/2014/main" id="{00000000-0008-0000-0500-0000CD080000}"/>
            </a:ext>
          </a:extLst>
        </xdr:cNvPr>
        <xdr:cNvSpPr txBox="1">
          <a:spLocks noChangeArrowheads="1"/>
        </xdr:cNvSpPr>
      </xdr:nvSpPr>
      <xdr:spPr bwMode="auto">
        <a:xfrm>
          <a:off x="21832455"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21</xdr:col>
      <xdr:colOff>0</xdr:colOff>
      <xdr:row>30</xdr:row>
      <xdr:rowOff>0</xdr:rowOff>
    </xdr:from>
    <xdr:ext cx="95250" cy="171450"/>
    <xdr:sp macro="" textlink="">
      <xdr:nvSpPr>
        <xdr:cNvPr id="2254" name="Text Box 17">
          <a:extLst>
            <a:ext uri="{FF2B5EF4-FFF2-40B4-BE49-F238E27FC236}">
              <a16:creationId xmlns:a16="http://schemas.microsoft.com/office/drawing/2014/main" id="{00000000-0008-0000-0500-0000CE080000}"/>
            </a:ext>
          </a:extLst>
        </xdr:cNvPr>
        <xdr:cNvSpPr txBox="1">
          <a:spLocks noChangeArrowheads="1"/>
        </xdr:cNvSpPr>
      </xdr:nvSpPr>
      <xdr:spPr bwMode="auto">
        <a:xfrm>
          <a:off x="21832455"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21</xdr:col>
      <xdr:colOff>0</xdr:colOff>
      <xdr:row>30</xdr:row>
      <xdr:rowOff>0</xdr:rowOff>
    </xdr:from>
    <xdr:ext cx="95250" cy="171450"/>
    <xdr:sp macro="" textlink="">
      <xdr:nvSpPr>
        <xdr:cNvPr id="2255" name="Text Box 18">
          <a:extLst>
            <a:ext uri="{FF2B5EF4-FFF2-40B4-BE49-F238E27FC236}">
              <a16:creationId xmlns:a16="http://schemas.microsoft.com/office/drawing/2014/main" id="{00000000-0008-0000-0500-0000CF080000}"/>
            </a:ext>
          </a:extLst>
        </xdr:cNvPr>
        <xdr:cNvSpPr txBox="1">
          <a:spLocks noChangeArrowheads="1"/>
        </xdr:cNvSpPr>
      </xdr:nvSpPr>
      <xdr:spPr bwMode="auto">
        <a:xfrm>
          <a:off x="21832455"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21</xdr:col>
      <xdr:colOff>0</xdr:colOff>
      <xdr:row>30</xdr:row>
      <xdr:rowOff>0</xdr:rowOff>
    </xdr:from>
    <xdr:ext cx="95250" cy="171450"/>
    <xdr:sp macro="" textlink="">
      <xdr:nvSpPr>
        <xdr:cNvPr id="2256" name="Text Box 19">
          <a:extLst>
            <a:ext uri="{FF2B5EF4-FFF2-40B4-BE49-F238E27FC236}">
              <a16:creationId xmlns:a16="http://schemas.microsoft.com/office/drawing/2014/main" id="{00000000-0008-0000-0500-0000D0080000}"/>
            </a:ext>
          </a:extLst>
        </xdr:cNvPr>
        <xdr:cNvSpPr txBox="1">
          <a:spLocks noChangeArrowheads="1"/>
        </xdr:cNvSpPr>
      </xdr:nvSpPr>
      <xdr:spPr bwMode="auto">
        <a:xfrm>
          <a:off x="21832455"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26</xdr:row>
      <xdr:rowOff>504825</xdr:rowOff>
    </xdr:from>
    <xdr:ext cx="95250" cy="444014"/>
    <xdr:sp macro="" textlink="">
      <xdr:nvSpPr>
        <xdr:cNvPr id="2257" name="Text Box 15">
          <a:extLst>
            <a:ext uri="{FF2B5EF4-FFF2-40B4-BE49-F238E27FC236}">
              <a16:creationId xmlns:a16="http://schemas.microsoft.com/office/drawing/2014/main" id="{00000000-0008-0000-0500-0000D1080000}"/>
            </a:ext>
          </a:extLst>
        </xdr:cNvPr>
        <xdr:cNvSpPr txBox="1">
          <a:spLocks noChangeArrowheads="1"/>
        </xdr:cNvSpPr>
      </xdr:nvSpPr>
      <xdr:spPr bwMode="auto">
        <a:xfrm>
          <a:off x="4664364" y="6733020"/>
          <a:ext cx="95250" cy="444014"/>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30</xdr:row>
      <xdr:rowOff>0</xdr:rowOff>
    </xdr:from>
    <xdr:ext cx="95250" cy="171450"/>
    <xdr:sp macro="" textlink="">
      <xdr:nvSpPr>
        <xdr:cNvPr id="2258" name="Text Box 16">
          <a:extLst>
            <a:ext uri="{FF2B5EF4-FFF2-40B4-BE49-F238E27FC236}">
              <a16:creationId xmlns:a16="http://schemas.microsoft.com/office/drawing/2014/main" id="{00000000-0008-0000-0500-0000D2080000}"/>
            </a:ext>
          </a:extLst>
        </xdr:cNvPr>
        <xdr:cNvSpPr txBox="1">
          <a:spLocks noChangeArrowheads="1"/>
        </xdr:cNvSpPr>
      </xdr:nvSpPr>
      <xdr:spPr bwMode="auto">
        <a:xfrm>
          <a:off x="4664364"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30</xdr:row>
      <xdr:rowOff>0</xdr:rowOff>
    </xdr:from>
    <xdr:ext cx="95250" cy="171450"/>
    <xdr:sp macro="" textlink="">
      <xdr:nvSpPr>
        <xdr:cNvPr id="2259" name="Text Box 17">
          <a:extLst>
            <a:ext uri="{FF2B5EF4-FFF2-40B4-BE49-F238E27FC236}">
              <a16:creationId xmlns:a16="http://schemas.microsoft.com/office/drawing/2014/main" id="{00000000-0008-0000-0500-0000D3080000}"/>
            </a:ext>
          </a:extLst>
        </xdr:cNvPr>
        <xdr:cNvSpPr txBox="1">
          <a:spLocks noChangeArrowheads="1"/>
        </xdr:cNvSpPr>
      </xdr:nvSpPr>
      <xdr:spPr bwMode="auto">
        <a:xfrm>
          <a:off x="4664364"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30</xdr:row>
      <xdr:rowOff>0</xdr:rowOff>
    </xdr:from>
    <xdr:ext cx="95250" cy="171450"/>
    <xdr:sp macro="" textlink="">
      <xdr:nvSpPr>
        <xdr:cNvPr id="2260" name="Text Box 18">
          <a:extLst>
            <a:ext uri="{FF2B5EF4-FFF2-40B4-BE49-F238E27FC236}">
              <a16:creationId xmlns:a16="http://schemas.microsoft.com/office/drawing/2014/main" id="{00000000-0008-0000-0500-0000D4080000}"/>
            </a:ext>
          </a:extLst>
        </xdr:cNvPr>
        <xdr:cNvSpPr txBox="1">
          <a:spLocks noChangeArrowheads="1"/>
        </xdr:cNvSpPr>
      </xdr:nvSpPr>
      <xdr:spPr bwMode="auto">
        <a:xfrm>
          <a:off x="4664364"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30</xdr:row>
      <xdr:rowOff>0</xdr:rowOff>
    </xdr:from>
    <xdr:ext cx="95250" cy="171450"/>
    <xdr:sp macro="" textlink="">
      <xdr:nvSpPr>
        <xdr:cNvPr id="2261" name="Text Box 19">
          <a:extLst>
            <a:ext uri="{FF2B5EF4-FFF2-40B4-BE49-F238E27FC236}">
              <a16:creationId xmlns:a16="http://schemas.microsoft.com/office/drawing/2014/main" id="{00000000-0008-0000-0500-0000D5080000}"/>
            </a:ext>
          </a:extLst>
        </xdr:cNvPr>
        <xdr:cNvSpPr txBox="1">
          <a:spLocks noChangeArrowheads="1"/>
        </xdr:cNvSpPr>
      </xdr:nvSpPr>
      <xdr:spPr bwMode="auto">
        <a:xfrm>
          <a:off x="4664364"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26</xdr:row>
      <xdr:rowOff>504825</xdr:rowOff>
    </xdr:from>
    <xdr:ext cx="95250" cy="442269"/>
    <xdr:sp macro="" textlink="">
      <xdr:nvSpPr>
        <xdr:cNvPr id="2262" name="Text Box 15">
          <a:extLst>
            <a:ext uri="{FF2B5EF4-FFF2-40B4-BE49-F238E27FC236}">
              <a16:creationId xmlns:a16="http://schemas.microsoft.com/office/drawing/2014/main" id="{00000000-0008-0000-0500-0000D6080000}"/>
            </a:ext>
          </a:extLst>
        </xdr:cNvPr>
        <xdr:cNvSpPr txBox="1">
          <a:spLocks noChangeArrowheads="1"/>
        </xdr:cNvSpPr>
      </xdr:nvSpPr>
      <xdr:spPr bwMode="auto">
        <a:xfrm>
          <a:off x="12540961" y="6733020"/>
          <a:ext cx="95250" cy="442269"/>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30</xdr:row>
      <xdr:rowOff>0</xdr:rowOff>
    </xdr:from>
    <xdr:ext cx="95250" cy="171450"/>
    <xdr:sp macro="" textlink="">
      <xdr:nvSpPr>
        <xdr:cNvPr id="2263" name="Text Box 16">
          <a:extLst>
            <a:ext uri="{FF2B5EF4-FFF2-40B4-BE49-F238E27FC236}">
              <a16:creationId xmlns:a16="http://schemas.microsoft.com/office/drawing/2014/main" id="{00000000-0008-0000-0500-0000D7080000}"/>
            </a:ext>
          </a:extLst>
        </xdr:cNvPr>
        <xdr:cNvSpPr txBox="1">
          <a:spLocks noChangeArrowheads="1"/>
        </xdr:cNvSpPr>
      </xdr:nvSpPr>
      <xdr:spPr bwMode="auto">
        <a:xfrm>
          <a:off x="12540961"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30</xdr:row>
      <xdr:rowOff>0</xdr:rowOff>
    </xdr:from>
    <xdr:ext cx="95250" cy="171450"/>
    <xdr:sp macro="" textlink="">
      <xdr:nvSpPr>
        <xdr:cNvPr id="2264" name="Text Box 17">
          <a:extLst>
            <a:ext uri="{FF2B5EF4-FFF2-40B4-BE49-F238E27FC236}">
              <a16:creationId xmlns:a16="http://schemas.microsoft.com/office/drawing/2014/main" id="{00000000-0008-0000-0500-0000D8080000}"/>
            </a:ext>
          </a:extLst>
        </xdr:cNvPr>
        <xdr:cNvSpPr txBox="1">
          <a:spLocks noChangeArrowheads="1"/>
        </xdr:cNvSpPr>
      </xdr:nvSpPr>
      <xdr:spPr bwMode="auto">
        <a:xfrm>
          <a:off x="12540961"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30</xdr:row>
      <xdr:rowOff>0</xdr:rowOff>
    </xdr:from>
    <xdr:ext cx="95250" cy="171450"/>
    <xdr:sp macro="" textlink="">
      <xdr:nvSpPr>
        <xdr:cNvPr id="2265" name="Text Box 18">
          <a:extLst>
            <a:ext uri="{FF2B5EF4-FFF2-40B4-BE49-F238E27FC236}">
              <a16:creationId xmlns:a16="http://schemas.microsoft.com/office/drawing/2014/main" id="{00000000-0008-0000-0500-0000D9080000}"/>
            </a:ext>
          </a:extLst>
        </xdr:cNvPr>
        <xdr:cNvSpPr txBox="1">
          <a:spLocks noChangeArrowheads="1"/>
        </xdr:cNvSpPr>
      </xdr:nvSpPr>
      <xdr:spPr bwMode="auto">
        <a:xfrm>
          <a:off x="12540961"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30</xdr:row>
      <xdr:rowOff>0</xdr:rowOff>
    </xdr:from>
    <xdr:ext cx="95250" cy="171450"/>
    <xdr:sp macro="" textlink="">
      <xdr:nvSpPr>
        <xdr:cNvPr id="2266" name="Text Box 16">
          <a:extLst>
            <a:ext uri="{FF2B5EF4-FFF2-40B4-BE49-F238E27FC236}">
              <a16:creationId xmlns:a16="http://schemas.microsoft.com/office/drawing/2014/main" id="{00000000-0008-0000-0500-0000DA080000}"/>
            </a:ext>
          </a:extLst>
        </xdr:cNvPr>
        <xdr:cNvSpPr txBox="1">
          <a:spLocks noChangeArrowheads="1"/>
        </xdr:cNvSpPr>
      </xdr:nvSpPr>
      <xdr:spPr bwMode="auto">
        <a:xfrm>
          <a:off x="15388070"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30</xdr:row>
      <xdr:rowOff>0</xdr:rowOff>
    </xdr:from>
    <xdr:ext cx="95250" cy="171450"/>
    <xdr:sp macro="" textlink="">
      <xdr:nvSpPr>
        <xdr:cNvPr id="2267" name="Text Box 17">
          <a:extLst>
            <a:ext uri="{FF2B5EF4-FFF2-40B4-BE49-F238E27FC236}">
              <a16:creationId xmlns:a16="http://schemas.microsoft.com/office/drawing/2014/main" id="{00000000-0008-0000-0500-0000DB080000}"/>
            </a:ext>
          </a:extLst>
        </xdr:cNvPr>
        <xdr:cNvSpPr txBox="1">
          <a:spLocks noChangeArrowheads="1"/>
        </xdr:cNvSpPr>
      </xdr:nvSpPr>
      <xdr:spPr bwMode="auto">
        <a:xfrm>
          <a:off x="15388070"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30</xdr:row>
      <xdr:rowOff>0</xdr:rowOff>
    </xdr:from>
    <xdr:ext cx="95250" cy="171450"/>
    <xdr:sp macro="" textlink="">
      <xdr:nvSpPr>
        <xdr:cNvPr id="2268" name="Text Box 18">
          <a:extLst>
            <a:ext uri="{FF2B5EF4-FFF2-40B4-BE49-F238E27FC236}">
              <a16:creationId xmlns:a16="http://schemas.microsoft.com/office/drawing/2014/main" id="{00000000-0008-0000-0500-0000DC080000}"/>
            </a:ext>
          </a:extLst>
        </xdr:cNvPr>
        <xdr:cNvSpPr txBox="1">
          <a:spLocks noChangeArrowheads="1"/>
        </xdr:cNvSpPr>
      </xdr:nvSpPr>
      <xdr:spPr bwMode="auto">
        <a:xfrm>
          <a:off x="15388070"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30</xdr:row>
      <xdr:rowOff>0</xdr:rowOff>
    </xdr:from>
    <xdr:ext cx="95250" cy="171450"/>
    <xdr:sp macro="" textlink="">
      <xdr:nvSpPr>
        <xdr:cNvPr id="2269" name="Text Box 19">
          <a:extLst>
            <a:ext uri="{FF2B5EF4-FFF2-40B4-BE49-F238E27FC236}">
              <a16:creationId xmlns:a16="http://schemas.microsoft.com/office/drawing/2014/main" id="{00000000-0008-0000-0500-0000DD080000}"/>
            </a:ext>
          </a:extLst>
        </xdr:cNvPr>
        <xdr:cNvSpPr txBox="1">
          <a:spLocks noChangeArrowheads="1"/>
        </xdr:cNvSpPr>
      </xdr:nvSpPr>
      <xdr:spPr bwMode="auto">
        <a:xfrm>
          <a:off x="15388070"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30</xdr:row>
      <xdr:rowOff>0</xdr:rowOff>
    </xdr:from>
    <xdr:ext cx="95250" cy="171450"/>
    <xdr:sp macro="" textlink="">
      <xdr:nvSpPr>
        <xdr:cNvPr id="2270" name="Text Box 16">
          <a:extLst>
            <a:ext uri="{FF2B5EF4-FFF2-40B4-BE49-F238E27FC236}">
              <a16:creationId xmlns:a16="http://schemas.microsoft.com/office/drawing/2014/main" id="{00000000-0008-0000-0500-0000DE080000}"/>
            </a:ext>
          </a:extLst>
        </xdr:cNvPr>
        <xdr:cNvSpPr txBox="1">
          <a:spLocks noChangeArrowheads="1"/>
        </xdr:cNvSpPr>
      </xdr:nvSpPr>
      <xdr:spPr bwMode="auto">
        <a:xfrm>
          <a:off x="15388070"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30</xdr:row>
      <xdr:rowOff>0</xdr:rowOff>
    </xdr:from>
    <xdr:ext cx="95250" cy="171450"/>
    <xdr:sp macro="" textlink="">
      <xdr:nvSpPr>
        <xdr:cNvPr id="2271" name="Text Box 17">
          <a:extLst>
            <a:ext uri="{FF2B5EF4-FFF2-40B4-BE49-F238E27FC236}">
              <a16:creationId xmlns:a16="http://schemas.microsoft.com/office/drawing/2014/main" id="{00000000-0008-0000-0500-0000DF080000}"/>
            </a:ext>
          </a:extLst>
        </xdr:cNvPr>
        <xdr:cNvSpPr txBox="1">
          <a:spLocks noChangeArrowheads="1"/>
        </xdr:cNvSpPr>
      </xdr:nvSpPr>
      <xdr:spPr bwMode="auto">
        <a:xfrm>
          <a:off x="15388070"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30</xdr:row>
      <xdr:rowOff>0</xdr:rowOff>
    </xdr:from>
    <xdr:ext cx="95250" cy="171450"/>
    <xdr:sp macro="" textlink="">
      <xdr:nvSpPr>
        <xdr:cNvPr id="2272" name="Text Box 18">
          <a:extLst>
            <a:ext uri="{FF2B5EF4-FFF2-40B4-BE49-F238E27FC236}">
              <a16:creationId xmlns:a16="http://schemas.microsoft.com/office/drawing/2014/main" id="{00000000-0008-0000-0500-0000E0080000}"/>
            </a:ext>
          </a:extLst>
        </xdr:cNvPr>
        <xdr:cNvSpPr txBox="1">
          <a:spLocks noChangeArrowheads="1"/>
        </xdr:cNvSpPr>
      </xdr:nvSpPr>
      <xdr:spPr bwMode="auto">
        <a:xfrm>
          <a:off x="15388070"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10</xdr:col>
      <xdr:colOff>28575</xdr:colOff>
      <xdr:row>30</xdr:row>
      <xdr:rowOff>170392</xdr:rowOff>
    </xdr:from>
    <xdr:ext cx="95250" cy="213632"/>
    <xdr:sp macro="" textlink="">
      <xdr:nvSpPr>
        <xdr:cNvPr id="2273" name="Text Box 15">
          <a:extLst>
            <a:ext uri="{FF2B5EF4-FFF2-40B4-BE49-F238E27FC236}">
              <a16:creationId xmlns:a16="http://schemas.microsoft.com/office/drawing/2014/main" id="{00000000-0008-0000-0500-0000E1080000}"/>
            </a:ext>
          </a:extLst>
        </xdr:cNvPr>
        <xdr:cNvSpPr txBox="1">
          <a:spLocks noChangeArrowheads="1"/>
        </xdr:cNvSpPr>
      </xdr:nvSpPr>
      <xdr:spPr bwMode="auto">
        <a:xfrm>
          <a:off x="12578484" y="7270847"/>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30</xdr:row>
      <xdr:rowOff>0</xdr:rowOff>
    </xdr:from>
    <xdr:ext cx="95250" cy="171450"/>
    <xdr:sp macro="" textlink="">
      <xdr:nvSpPr>
        <xdr:cNvPr id="2274" name="Text Box 16">
          <a:extLst>
            <a:ext uri="{FF2B5EF4-FFF2-40B4-BE49-F238E27FC236}">
              <a16:creationId xmlns:a16="http://schemas.microsoft.com/office/drawing/2014/main" id="{00000000-0008-0000-0500-0000E2080000}"/>
            </a:ext>
          </a:extLst>
        </xdr:cNvPr>
        <xdr:cNvSpPr txBox="1">
          <a:spLocks noChangeArrowheads="1"/>
        </xdr:cNvSpPr>
      </xdr:nvSpPr>
      <xdr:spPr bwMode="auto">
        <a:xfrm>
          <a:off x="4664364"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30</xdr:row>
      <xdr:rowOff>0</xdr:rowOff>
    </xdr:from>
    <xdr:ext cx="95250" cy="171450"/>
    <xdr:sp macro="" textlink="">
      <xdr:nvSpPr>
        <xdr:cNvPr id="2275" name="Text Box 17">
          <a:extLst>
            <a:ext uri="{FF2B5EF4-FFF2-40B4-BE49-F238E27FC236}">
              <a16:creationId xmlns:a16="http://schemas.microsoft.com/office/drawing/2014/main" id="{00000000-0008-0000-0500-0000E3080000}"/>
            </a:ext>
          </a:extLst>
        </xdr:cNvPr>
        <xdr:cNvSpPr txBox="1">
          <a:spLocks noChangeArrowheads="1"/>
        </xdr:cNvSpPr>
      </xdr:nvSpPr>
      <xdr:spPr bwMode="auto">
        <a:xfrm>
          <a:off x="4664364"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30</xdr:row>
      <xdr:rowOff>0</xdr:rowOff>
    </xdr:from>
    <xdr:ext cx="95250" cy="171450"/>
    <xdr:sp macro="" textlink="">
      <xdr:nvSpPr>
        <xdr:cNvPr id="2276" name="Text Box 18">
          <a:extLst>
            <a:ext uri="{FF2B5EF4-FFF2-40B4-BE49-F238E27FC236}">
              <a16:creationId xmlns:a16="http://schemas.microsoft.com/office/drawing/2014/main" id="{00000000-0008-0000-0500-0000E4080000}"/>
            </a:ext>
          </a:extLst>
        </xdr:cNvPr>
        <xdr:cNvSpPr txBox="1">
          <a:spLocks noChangeArrowheads="1"/>
        </xdr:cNvSpPr>
      </xdr:nvSpPr>
      <xdr:spPr bwMode="auto">
        <a:xfrm>
          <a:off x="4664364"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30</xdr:row>
      <xdr:rowOff>0</xdr:rowOff>
    </xdr:from>
    <xdr:ext cx="95250" cy="171450"/>
    <xdr:sp macro="" textlink="">
      <xdr:nvSpPr>
        <xdr:cNvPr id="2277" name="Text Box 19">
          <a:extLst>
            <a:ext uri="{FF2B5EF4-FFF2-40B4-BE49-F238E27FC236}">
              <a16:creationId xmlns:a16="http://schemas.microsoft.com/office/drawing/2014/main" id="{00000000-0008-0000-0500-0000E5080000}"/>
            </a:ext>
          </a:extLst>
        </xdr:cNvPr>
        <xdr:cNvSpPr txBox="1">
          <a:spLocks noChangeArrowheads="1"/>
        </xdr:cNvSpPr>
      </xdr:nvSpPr>
      <xdr:spPr bwMode="auto">
        <a:xfrm>
          <a:off x="4664364"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30</xdr:row>
      <xdr:rowOff>0</xdr:rowOff>
    </xdr:from>
    <xdr:ext cx="95250" cy="171450"/>
    <xdr:sp macro="" textlink="">
      <xdr:nvSpPr>
        <xdr:cNvPr id="2278" name="Text Box 16">
          <a:extLst>
            <a:ext uri="{FF2B5EF4-FFF2-40B4-BE49-F238E27FC236}">
              <a16:creationId xmlns:a16="http://schemas.microsoft.com/office/drawing/2014/main" id="{00000000-0008-0000-0500-0000E6080000}"/>
            </a:ext>
          </a:extLst>
        </xdr:cNvPr>
        <xdr:cNvSpPr txBox="1">
          <a:spLocks noChangeArrowheads="1"/>
        </xdr:cNvSpPr>
      </xdr:nvSpPr>
      <xdr:spPr bwMode="auto">
        <a:xfrm>
          <a:off x="12540961"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30</xdr:row>
      <xdr:rowOff>0</xdr:rowOff>
    </xdr:from>
    <xdr:ext cx="95250" cy="171450"/>
    <xdr:sp macro="" textlink="">
      <xdr:nvSpPr>
        <xdr:cNvPr id="2279" name="Text Box 17">
          <a:extLst>
            <a:ext uri="{FF2B5EF4-FFF2-40B4-BE49-F238E27FC236}">
              <a16:creationId xmlns:a16="http://schemas.microsoft.com/office/drawing/2014/main" id="{00000000-0008-0000-0500-0000E7080000}"/>
            </a:ext>
          </a:extLst>
        </xdr:cNvPr>
        <xdr:cNvSpPr txBox="1">
          <a:spLocks noChangeArrowheads="1"/>
        </xdr:cNvSpPr>
      </xdr:nvSpPr>
      <xdr:spPr bwMode="auto">
        <a:xfrm>
          <a:off x="12540961"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30</xdr:row>
      <xdr:rowOff>0</xdr:rowOff>
    </xdr:from>
    <xdr:ext cx="95250" cy="171450"/>
    <xdr:sp macro="" textlink="">
      <xdr:nvSpPr>
        <xdr:cNvPr id="2280" name="Text Box 18">
          <a:extLst>
            <a:ext uri="{FF2B5EF4-FFF2-40B4-BE49-F238E27FC236}">
              <a16:creationId xmlns:a16="http://schemas.microsoft.com/office/drawing/2014/main" id="{00000000-0008-0000-0500-0000E8080000}"/>
            </a:ext>
          </a:extLst>
        </xdr:cNvPr>
        <xdr:cNvSpPr txBox="1">
          <a:spLocks noChangeArrowheads="1"/>
        </xdr:cNvSpPr>
      </xdr:nvSpPr>
      <xdr:spPr bwMode="auto">
        <a:xfrm>
          <a:off x="12540961"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30</xdr:row>
      <xdr:rowOff>0</xdr:rowOff>
    </xdr:from>
    <xdr:ext cx="95250" cy="171450"/>
    <xdr:sp macro="" textlink="">
      <xdr:nvSpPr>
        <xdr:cNvPr id="2281" name="Text Box 19">
          <a:extLst>
            <a:ext uri="{FF2B5EF4-FFF2-40B4-BE49-F238E27FC236}">
              <a16:creationId xmlns:a16="http://schemas.microsoft.com/office/drawing/2014/main" id="{00000000-0008-0000-0500-0000E9080000}"/>
            </a:ext>
          </a:extLst>
        </xdr:cNvPr>
        <xdr:cNvSpPr txBox="1">
          <a:spLocks noChangeArrowheads="1"/>
        </xdr:cNvSpPr>
      </xdr:nvSpPr>
      <xdr:spPr bwMode="auto">
        <a:xfrm>
          <a:off x="12540961"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21</xdr:col>
      <xdr:colOff>0</xdr:colOff>
      <xdr:row>25</xdr:row>
      <xdr:rowOff>0</xdr:rowOff>
    </xdr:from>
    <xdr:ext cx="95250" cy="171450"/>
    <xdr:sp macro="" textlink="">
      <xdr:nvSpPr>
        <xdr:cNvPr id="2282" name="Text Box 16">
          <a:extLst>
            <a:ext uri="{FF2B5EF4-FFF2-40B4-BE49-F238E27FC236}">
              <a16:creationId xmlns:a16="http://schemas.microsoft.com/office/drawing/2014/main" id="{00000000-0008-0000-0500-0000EA080000}"/>
            </a:ext>
          </a:extLst>
        </xdr:cNvPr>
        <xdr:cNvSpPr txBox="1">
          <a:spLocks noChangeArrowheads="1"/>
        </xdr:cNvSpPr>
      </xdr:nvSpPr>
      <xdr:spPr bwMode="auto">
        <a:xfrm>
          <a:off x="21832455" y="5992091"/>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21</xdr:col>
      <xdr:colOff>0</xdr:colOff>
      <xdr:row>25</xdr:row>
      <xdr:rowOff>0</xdr:rowOff>
    </xdr:from>
    <xdr:ext cx="95250" cy="171450"/>
    <xdr:sp macro="" textlink="">
      <xdr:nvSpPr>
        <xdr:cNvPr id="2283" name="Text Box 17">
          <a:extLst>
            <a:ext uri="{FF2B5EF4-FFF2-40B4-BE49-F238E27FC236}">
              <a16:creationId xmlns:a16="http://schemas.microsoft.com/office/drawing/2014/main" id="{00000000-0008-0000-0500-0000EB080000}"/>
            </a:ext>
          </a:extLst>
        </xdr:cNvPr>
        <xdr:cNvSpPr txBox="1">
          <a:spLocks noChangeArrowheads="1"/>
        </xdr:cNvSpPr>
      </xdr:nvSpPr>
      <xdr:spPr bwMode="auto">
        <a:xfrm>
          <a:off x="21832455" y="5992091"/>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21</xdr:col>
      <xdr:colOff>0</xdr:colOff>
      <xdr:row>25</xdr:row>
      <xdr:rowOff>0</xdr:rowOff>
    </xdr:from>
    <xdr:ext cx="95250" cy="171450"/>
    <xdr:sp macro="" textlink="">
      <xdr:nvSpPr>
        <xdr:cNvPr id="2284" name="Text Box 18">
          <a:extLst>
            <a:ext uri="{FF2B5EF4-FFF2-40B4-BE49-F238E27FC236}">
              <a16:creationId xmlns:a16="http://schemas.microsoft.com/office/drawing/2014/main" id="{00000000-0008-0000-0500-0000EC080000}"/>
            </a:ext>
          </a:extLst>
        </xdr:cNvPr>
        <xdr:cNvSpPr txBox="1">
          <a:spLocks noChangeArrowheads="1"/>
        </xdr:cNvSpPr>
      </xdr:nvSpPr>
      <xdr:spPr bwMode="auto">
        <a:xfrm>
          <a:off x="21832455" y="5992091"/>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21</xdr:col>
      <xdr:colOff>0</xdr:colOff>
      <xdr:row>25</xdr:row>
      <xdr:rowOff>0</xdr:rowOff>
    </xdr:from>
    <xdr:ext cx="95250" cy="171450"/>
    <xdr:sp macro="" textlink="">
      <xdr:nvSpPr>
        <xdr:cNvPr id="2285" name="Text Box 19">
          <a:extLst>
            <a:ext uri="{FF2B5EF4-FFF2-40B4-BE49-F238E27FC236}">
              <a16:creationId xmlns:a16="http://schemas.microsoft.com/office/drawing/2014/main" id="{00000000-0008-0000-0500-0000ED080000}"/>
            </a:ext>
          </a:extLst>
        </xdr:cNvPr>
        <xdr:cNvSpPr txBox="1">
          <a:spLocks noChangeArrowheads="1"/>
        </xdr:cNvSpPr>
      </xdr:nvSpPr>
      <xdr:spPr bwMode="auto">
        <a:xfrm>
          <a:off x="21832455" y="5992091"/>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26</xdr:row>
      <xdr:rowOff>504825</xdr:rowOff>
    </xdr:from>
    <xdr:ext cx="95250" cy="444014"/>
    <xdr:sp macro="" textlink="">
      <xdr:nvSpPr>
        <xdr:cNvPr id="2286" name="Text Box 15">
          <a:extLst>
            <a:ext uri="{FF2B5EF4-FFF2-40B4-BE49-F238E27FC236}">
              <a16:creationId xmlns:a16="http://schemas.microsoft.com/office/drawing/2014/main" id="{00000000-0008-0000-0500-0000EE080000}"/>
            </a:ext>
          </a:extLst>
        </xdr:cNvPr>
        <xdr:cNvSpPr txBox="1">
          <a:spLocks noChangeArrowheads="1"/>
        </xdr:cNvSpPr>
      </xdr:nvSpPr>
      <xdr:spPr bwMode="auto">
        <a:xfrm>
          <a:off x="4664364" y="6733020"/>
          <a:ext cx="95250" cy="444014"/>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30</xdr:row>
      <xdr:rowOff>0</xdr:rowOff>
    </xdr:from>
    <xdr:ext cx="95250" cy="171450"/>
    <xdr:sp macro="" textlink="">
      <xdr:nvSpPr>
        <xdr:cNvPr id="2287" name="Text Box 16">
          <a:extLst>
            <a:ext uri="{FF2B5EF4-FFF2-40B4-BE49-F238E27FC236}">
              <a16:creationId xmlns:a16="http://schemas.microsoft.com/office/drawing/2014/main" id="{00000000-0008-0000-0500-0000EF080000}"/>
            </a:ext>
          </a:extLst>
        </xdr:cNvPr>
        <xdr:cNvSpPr txBox="1">
          <a:spLocks noChangeArrowheads="1"/>
        </xdr:cNvSpPr>
      </xdr:nvSpPr>
      <xdr:spPr bwMode="auto">
        <a:xfrm>
          <a:off x="4664364"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30</xdr:row>
      <xdr:rowOff>0</xdr:rowOff>
    </xdr:from>
    <xdr:ext cx="95250" cy="171450"/>
    <xdr:sp macro="" textlink="">
      <xdr:nvSpPr>
        <xdr:cNvPr id="2288" name="Text Box 17">
          <a:extLst>
            <a:ext uri="{FF2B5EF4-FFF2-40B4-BE49-F238E27FC236}">
              <a16:creationId xmlns:a16="http://schemas.microsoft.com/office/drawing/2014/main" id="{00000000-0008-0000-0500-0000F0080000}"/>
            </a:ext>
          </a:extLst>
        </xdr:cNvPr>
        <xdr:cNvSpPr txBox="1">
          <a:spLocks noChangeArrowheads="1"/>
        </xdr:cNvSpPr>
      </xdr:nvSpPr>
      <xdr:spPr bwMode="auto">
        <a:xfrm>
          <a:off x="4664364"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30</xdr:row>
      <xdr:rowOff>0</xdr:rowOff>
    </xdr:from>
    <xdr:ext cx="95250" cy="171450"/>
    <xdr:sp macro="" textlink="">
      <xdr:nvSpPr>
        <xdr:cNvPr id="2289" name="Text Box 18">
          <a:extLst>
            <a:ext uri="{FF2B5EF4-FFF2-40B4-BE49-F238E27FC236}">
              <a16:creationId xmlns:a16="http://schemas.microsoft.com/office/drawing/2014/main" id="{00000000-0008-0000-0500-0000F1080000}"/>
            </a:ext>
          </a:extLst>
        </xdr:cNvPr>
        <xdr:cNvSpPr txBox="1">
          <a:spLocks noChangeArrowheads="1"/>
        </xdr:cNvSpPr>
      </xdr:nvSpPr>
      <xdr:spPr bwMode="auto">
        <a:xfrm>
          <a:off x="4664364"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30</xdr:row>
      <xdr:rowOff>0</xdr:rowOff>
    </xdr:from>
    <xdr:ext cx="95250" cy="171450"/>
    <xdr:sp macro="" textlink="">
      <xdr:nvSpPr>
        <xdr:cNvPr id="2290" name="Text Box 19">
          <a:extLst>
            <a:ext uri="{FF2B5EF4-FFF2-40B4-BE49-F238E27FC236}">
              <a16:creationId xmlns:a16="http://schemas.microsoft.com/office/drawing/2014/main" id="{00000000-0008-0000-0500-0000F2080000}"/>
            </a:ext>
          </a:extLst>
        </xdr:cNvPr>
        <xdr:cNvSpPr txBox="1">
          <a:spLocks noChangeArrowheads="1"/>
        </xdr:cNvSpPr>
      </xdr:nvSpPr>
      <xdr:spPr bwMode="auto">
        <a:xfrm>
          <a:off x="4664364"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30</xdr:row>
      <xdr:rowOff>0</xdr:rowOff>
    </xdr:from>
    <xdr:ext cx="95250" cy="171450"/>
    <xdr:sp macro="" textlink="">
      <xdr:nvSpPr>
        <xdr:cNvPr id="2291" name="Text Box 16">
          <a:extLst>
            <a:ext uri="{FF2B5EF4-FFF2-40B4-BE49-F238E27FC236}">
              <a16:creationId xmlns:a16="http://schemas.microsoft.com/office/drawing/2014/main" id="{00000000-0008-0000-0500-0000F3080000}"/>
            </a:ext>
          </a:extLst>
        </xdr:cNvPr>
        <xdr:cNvSpPr txBox="1">
          <a:spLocks noChangeArrowheads="1"/>
        </xdr:cNvSpPr>
      </xdr:nvSpPr>
      <xdr:spPr bwMode="auto">
        <a:xfrm>
          <a:off x="12540961"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30</xdr:row>
      <xdr:rowOff>0</xdr:rowOff>
    </xdr:from>
    <xdr:ext cx="95250" cy="171450"/>
    <xdr:sp macro="" textlink="">
      <xdr:nvSpPr>
        <xdr:cNvPr id="2292" name="Text Box 17">
          <a:extLst>
            <a:ext uri="{FF2B5EF4-FFF2-40B4-BE49-F238E27FC236}">
              <a16:creationId xmlns:a16="http://schemas.microsoft.com/office/drawing/2014/main" id="{00000000-0008-0000-0500-0000F4080000}"/>
            </a:ext>
          </a:extLst>
        </xdr:cNvPr>
        <xdr:cNvSpPr txBox="1">
          <a:spLocks noChangeArrowheads="1"/>
        </xdr:cNvSpPr>
      </xdr:nvSpPr>
      <xdr:spPr bwMode="auto">
        <a:xfrm>
          <a:off x="12540961"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1020762</xdr:colOff>
      <xdr:row>30</xdr:row>
      <xdr:rowOff>15875</xdr:rowOff>
    </xdr:from>
    <xdr:ext cx="95250" cy="171450"/>
    <xdr:sp macro="" textlink="">
      <xdr:nvSpPr>
        <xdr:cNvPr id="2293" name="Text Box 18">
          <a:extLst>
            <a:ext uri="{FF2B5EF4-FFF2-40B4-BE49-F238E27FC236}">
              <a16:creationId xmlns:a16="http://schemas.microsoft.com/office/drawing/2014/main" id="{00000000-0008-0000-0500-0000F5080000}"/>
            </a:ext>
          </a:extLst>
        </xdr:cNvPr>
        <xdr:cNvSpPr txBox="1">
          <a:spLocks noChangeArrowheads="1"/>
        </xdr:cNvSpPr>
      </xdr:nvSpPr>
      <xdr:spPr bwMode="auto">
        <a:xfrm>
          <a:off x="12485398" y="7116330"/>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30</xdr:row>
      <xdr:rowOff>0</xdr:rowOff>
    </xdr:from>
    <xdr:ext cx="95250" cy="171450"/>
    <xdr:sp macro="" textlink="">
      <xdr:nvSpPr>
        <xdr:cNvPr id="2294" name="Text Box 16">
          <a:extLst>
            <a:ext uri="{FF2B5EF4-FFF2-40B4-BE49-F238E27FC236}">
              <a16:creationId xmlns:a16="http://schemas.microsoft.com/office/drawing/2014/main" id="{00000000-0008-0000-0500-0000F6080000}"/>
            </a:ext>
          </a:extLst>
        </xdr:cNvPr>
        <xdr:cNvSpPr txBox="1">
          <a:spLocks noChangeArrowheads="1"/>
        </xdr:cNvSpPr>
      </xdr:nvSpPr>
      <xdr:spPr bwMode="auto">
        <a:xfrm>
          <a:off x="15388070"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30</xdr:row>
      <xdr:rowOff>0</xdr:rowOff>
    </xdr:from>
    <xdr:ext cx="95250" cy="171450"/>
    <xdr:sp macro="" textlink="">
      <xdr:nvSpPr>
        <xdr:cNvPr id="2295" name="Text Box 17">
          <a:extLst>
            <a:ext uri="{FF2B5EF4-FFF2-40B4-BE49-F238E27FC236}">
              <a16:creationId xmlns:a16="http://schemas.microsoft.com/office/drawing/2014/main" id="{00000000-0008-0000-0500-0000F7080000}"/>
            </a:ext>
          </a:extLst>
        </xdr:cNvPr>
        <xdr:cNvSpPr txBox="1">
          <a:spLocks noChangeArrowheads="1"/>
        </xdr:cNvSpPr>
      </xdr:nvSpPr>
      <xdr:spPr bwMode="auto">
        <a:xfrm>
          <a:off x="15388070"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30</xdr:row>
      <xdr:rowOff>0</xdr:rowOff>
    </xdr:from>
    <xdr:ext cx="95250" cy="171450"/>
    <xdr:sp macro="" textlink="">
      <xdr:nvSpPr>
        <xdr:cNvPr id="2296" name="Text Box 18">
          <a:extLst>
            <a:ext uri="{FF2B5EF4-FFF2-40B4-BE49-F238E27FC236}">
              <a16:creationId xmlns:a16="http://schemas.microsoft.com/office/drawing/2014/main" id="{00000000-0008-0000-0500-0000F8080000}"/>
            </a:ext>
          </a:extLst>
        </xdr:cNvPr>
        <xdr:cNvSpPr txBox="1">
          <a:spLocks noChangeArrowheads="1"/>
        </xdr:cNvSpPr>
      </xdr:nvSpPr>
      <xdr:spPr bwMode="auto">
        <a:xfrm>
          <a:off x="15388070"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30</xdr:row>
      <xdr:rowOff>0</xdr:rowOff>
    </xdr:from>
    <xdr:ext cx="95250" cy="171450"/>
    <xdr:sp macro="" textlink="">
      <xdr:nvSpPr>
        <xdr:cNvPr id="2297" name="Text Box 19">
          <a:extLst>
            <a:ext uri="{FF2B5EF4-FFF2-40B4-BE49-F238E27FC236}">
              <a16:creationId xmlns:a16="http://schemas.microsoft.com/office/drawing/2014/main" id="{00000000-0008-0000-0500-0000F9080000}"/>
            </a:ext>
          </a:extLst>
        </xdr:cNvPr>
        <xdr:cNvSpPr txBox="1">
          <a:spLocks noChangeArrowheads="1"/>
        </xdr:cNvSpPr>
      </xdr:nvSpPr>
      <xdr:spPr bwMode="auto">
        <a:xfrm>
          <a:off x="15388070"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30</xdr:row>
      <xdr:rowOff>0</xdr:rowOff>
    </xdr:from>
    <xdr:ext cx="95250" cy="171450"/>
    <xdr:sp macro="" textlink="">
      <xdr:nvSpPr>
        <xdr:cNvPr id="2298" name="Text Box 16">
          <a:extLst>
            <a:ext uri="{FF2B5EF4-FFF2-40B4-BE49-F238E27FC236}">
              <a16:creationId xmlns:a16="http://schemas.microsoft.com/office/drawing/2014/main" id="{00000000-0008-0000-0500-0000FA080000}"/>
            </a:ext>
          </a:extLst>
        </xdr:cNvPr>
        <xdr:cNvSpPr txBox="1">
          <a:spLocks noChangeArrowheads="1"/>
        </xdr:cNvSpPr>
      </xdr:nvSpPr>
      <xdr:spPr bwMode="auto">
        <a:xfrm>
          <a:off x="15388070"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30</xdr:row>
      <xdr:rowOff>504825</xdr:rowOff>
    </xdr:from>
    <xdr:ext cx="95250" cy="448496"/>
    <xdr:sp macro="" textlink="">
      <xdr:nvSpPr>
        <xdr:cNvPr id="2299" name="Text Box 15">
          <a:extLst>
            <a:ext uri="{FF2B5EF4-FFF2-40B4-BE49-F238E27FC236}">
              <a16:creationId xmlns:a16="http://schemas.microsoft.com/office/drawing/2014/main" id="{00000000-0008-0000-0500-0000FB080000}"/>
            </a:ext>
          </a:extLst>
        </xdr:cNvPr>
        <xdr:cNvSpPr txBox="1">
          <a:spLocks noChangeArrowheads="1"/>
        </xdr:cNvSpPr>
      </xdr:nvSpPr>
      <xdr:spPr bwMode="auto">
        <a:xfrm>
          <a:off x="4664364" y="5994111"/>
          <a:ext cx="95250" cy="448496"/>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30</xdr:row>
      <xdr:rowOff>504825</xdr:rowOff>
    </xdr:from>
    <xdr:ext cx="95250" cy="442269"/>
    <xdr:sp macro="" textlink="">
      <xdr:nvSpPr>
        <xdr:cNvPr id="2300" name="Text Box 15">
          <a:extLst>
            <a:ext uri="{FF2B5EF4-FFF2-40B4-BE49-F238E27FC236}">
              <a16:creationId xmlns:a16="http://schemas.microsoft.com/office/drawing/2014/main" id="{00000000-0008-0000-0500-0000FC080000}"/>
            </a:ext>
          </a:extLst>
        </xdr:cNvPr>
        <xdr:cNvSpPr txBox="1">
          <a:spLocks noChangeArrowheads="1"/>
        </xdr:cNvSpPr>
      </xdr:nvSpPr>
      <xdr:spPr bwMode="auto">
        <a:xfrm>
          <a:off x="12540961" y="5994111"/>
          <a:ext cx="95250" cy="442269"/>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30</xdr:row>
      <xdr:rowOff>504825</xdr:rowOff>
    </xdr:from>
    <xdr:ext cx="95250" cy="213632"/>
    <xdr:sp macro="" textlink="">
      <xdr:nvSpPr>
        <xdr:cNvPr id="2302" name="Text Box 15">
          <a:extLst>
            <a:ext uri="{FF2B5EF4-FFF2-40B4-BE49-F238E27FC236}">
              <a16:creationId xmlns:a16="http://schemas.microsoft.com/office/drawing/2014/main" id="{00000000-0008-0000-0500-0000FE080000}"/>
            </a:ext>
          </a:extLst>
        </xdr:cNvPr>
        <xdr:cNvSpPr txBox="1">
          <a:spLocks noChangeArrowheads="1"/>
        </xdr:cNvSpPr>
      </xdr:nvSpPr>
      <xdr:spPr bwMode="auto">
        <a:xfrm>
          <a:off x="4664364" y="5994111"/>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30</xdr:row>
      <xdr:rowOff>504825</xdr:rowOff>
    </xdr:from>
    <xdr:ext cx="95250" cy="444331"/>
    <xdr:sp macro="" textlink="">
      <xdr:nvSpPr>
        <xdr:cNvPr id="2303" name="Text Box 15">
          <a:extLst>
            <a:ext uri="{FF2B5EF4-FFF2-40B4-BE49-F238E27FC236}">
              <a16:creationId xmlns:a16="http://schemas.microsoft.com/office/drawing/2014/main" id="{00000000-0008-0000-0500-0000FF080000}"/>
            </a:ext>
          </a:extLst>
        </xdr:cNvPr>
        <xdr:cNvSpPr txBox="1">
          <a:spLocks noChangeArrowheads="1"/>
        </xdr:cNvSpPr>
      </xdr:nvSpPr>
      <xdr:spPr bwMode="auto">
        <a:xfrm>
          <a:off x="4664364" y="5994111"/>
          <a:ext cx="95250" cy="444331"/>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10</xdr:col>
      <xdr:colOff>28575</xdr:colOff>
      <xdr:row>30</xdr:row>
      <xdr:rowOff>170392</xdr:rowOff>
    </xdr:from>
    <xdr:ext cx="95250" cy="213632"/>
    <xdr:sp macro="" textlink="">
      <xdr:nvSpPr>
        <xdr:cNvPr id="2304" name="Text Box 15">
          <a:extLst>
            <a:ext uri="{FF2B5EF4-FFF2-40B4-BE49-F238E27FC236}">
              <a16:creationId xmlns:a16="http://schemas.microsoft.com/office/drawing/2014/main" id="{00000000-0008-0000-0500-000000090000}"/>
            </a:ext>
          </a:extLst>
        </xdr:cNvPr>
        <xdr:cNvSpPr txBox="1">
          <a:spLocks noChangeArrowheads="1"/>
        </xdr:cNvSpPr>
      </xdr:nvSpPr>
      <xdr:spPr bwMode="auto">
        <a:xfrm>
          <a:off x="12578484" y="5793028"/>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36</xdr:row>
      <xdr:rowOff>0</xdr:rowOff>
    </xdr:from>
    <xdr:ext cx="95250" cy="171450"/>
    <xdr:sp macro="" textlink="">
      <xdr:nvSpPr>
        <xdr:cNvPr id="2305" name="Text Box 16">
          <a:extLst>
            <a:ext uri="{FF2B5EF4-FFF2-40B4-BE49-F238E27FC236}">
              <a16:creationId xmlns:a16="http://schemas.microsoft.com/office/drawing/2014/main" id="{00000000-0008-0000-0500-000001090000}"/>
            </a:ext>
          </a:extLst>
        </xdr:cNvPr>
        <xdr:cNvSpPr txBox="1">
          <a:spLocks noChangeArrowheads="1"/>
        </xdr:cNvSpPr>
      </xdr:nvSpPr>
      <xdr:spPr bwMode="auto">
        <a:xfrm>
          <a:off x="4664364"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36</xdr:row>
      <xdr:rowOff>0</xdr:rowOff>
    </xdr:from>
    <xdr:ext cx="95250" cy="171450"/>
    <xdr:sp macro="" textlink="">
      <xdr:nvSpPr>
        <xdr:cNvPr id="2306" name="Text Box 17">
          <a:extLst>
            <a:ext uri="{FF2B5EF4-FFF2-40B4-BE49-F238E27FC236}">
              <a16:creationId xmlns:a16="http://schemas.microsoft.com/office/drawing/2014/main" id="{00000000-0008-0000-0500-000002090000}"/>
            </a:ext>
          </a:extLst>
        </xdr:cNvPr>
        <xdr:cNvSpPr txBox="1">
          <a:spLocks noChangeArrowheads="1"/>
        </xdr:cNvSpPr>
      </xdr:nvSpPr>
      <xdr:spPr bwMode="auto">
        <a:xfrm>
          <a:off x="4664364"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36</xdr:row>
      <xdr:rowOff>0</xdr:rowOff>
    </xdr:from>
    <xdr:ext cx="95250" cy="171450"/>
    <xdr:sp macro="" textlink="">
      <xdr:nvSpPr>
        <xdr:cNvPr id="2307" name="Text Box 18">
          <a:extLst>
            <a:ext uri="{FF2B5EF4-FFF2-40B4-BE49-F238E27FC236}">
              <a16:creationId xmlns:a16="http://schemas.microsoft.com/office/drawing/2014/main" id="{00000000-0008-0000-0500-000003090000}"/>
            </a:ext>
          </a:extLst>
        </xdr:cNvPr>
        <xdr:cNvSpPr txBox="1">
          <a:spLocks noChangeArrowheads="1"/>
        </xdr:cNvSpPr>
      </xdr:nvSpPr>
      <xdr:spPr bwMode="auto">
        <a:xfrm>
          <a:off x="4664364"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36</xdr:row>
      <xdr:rowOff>0</xdr:rowOff>
    </xdr:from>
    <xdr:ext cx="95250" cy="171450"/>
    <xdr:sp macro="" textlink="">
      <xdr:nvSpPr>
        <xdr:cNvPr id="2308" name="Text Box 19">
          <a:extLst>
            <a:ext uri="{FF2B5EF4-FFF2-40B4-BE49-F238E27FC236}">
              <a16:creationId xmlns:a16="http://schemas.microsoft.com/office/drawing/2014/main" id="{00000000-0008-0000-0500-000004090000}"/>
            </a:ext>
          </a:extLst>
        </xdr:cNvPr>
        <xdr:cNvSpPr txBox="1">
          <a:spLocks noChangeArrowheads="1"/>
        </xdr:cNvSpPr>
      </xdr:nvSpPr>
      <xdr:spPr bwMode="auto">
        <a:xfrm>
          <a:off x="4664364"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36</xdr:row>
      <xdr:rowOff>0</xdr:rowOff>
    </xdr:from>
    <xdr:ext cx="95250" cy="171450"/>
    <xdr:sp macro="" textlink="">
      <xdr:nvSpPr>
        <xdr:cNvPr id="2309" name="Text Box 16">
          <a:extLst>
            <a:ext uri="{FF2B5EF4-FFF2-40B4-BE49-F238E27FC236}">
              <a16:creationId xmlns:a16="http://schemas.microsoft.com/office/drawing/2014/main" id="{00000000-0008-0000-0500-000005090000}"/>
            </a:ext>
          </a:extLst>
        </xdr:cNvPr>
        <xdr:cNvSpPr txBox="1">
          <a:spLocks noChangeArrowheads="1"/>
        </xdr:cNvSpPr>
      </xdr:nvSpPr>
      <xdr:spPr bwMode="auto">
        <a:xfrm>
          <a:off x="12540961"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36</xdr:row>
      <xdr:rowOff>0</xdr:rowOff>
    </xdr:from>
    <xdr:ext cx="95250" cy="171450"/>
    <xdr:sp macro="" textlink="">
      <xdr:nvSpPr>
        <xdr:cNvPr id="2310" name="Text Box 17">
          <a:extLst>
            <a:ext uri="{FF2B5EF4-FFF2-40B4-BE49-F238E27FC236}">
              <a16:creationId xmlns:a16="http://schemas.microsoft.com/office/drawing/2014/main" id="{00000000-0008-0000-0500-000006090000}"/>
            </a:ext>
          </a:extLst>
        </xdr:cNvPr>
        <xdr:cNvSpPr txBox="1">
          <a:spLocks noChangeArrowheads="1"/>
        </xdr:cNvSpPr>
      </xdr:nvSpPr>
      <xdr:spPr bwMode="auto">
        <a:xfrm>
          <a:off x="12540961"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36</xdr:row>
      <xdr:rowOff>0</xdr:rowOff>
    </xdr:from>
    <xdr:ext cx="95250" cy="171450"/>
    <xdr:sp macro="" textlink="">
      <xdr:nvSpPr>
        <xdr:cNvPr id="2311" name="Text Box 18">
          <a:extLst>
            <a:ext uri="{FF2B5EF4-FFF2-40B4-BE49-F238E27FC236}">
              <a16:creationId xmlns:a16="http://schemas.microsoft.com/office/drawing/2014/main" id="{00000000-0008-0000-0500-000007090000}"/>
            </a:ext>
          </a:extLst>
        </xdr:cNvPr>
        <xdr:cNvSpPr txBox="1">
          <a:spLocks noChangeArrowheads="1"/>
        </xdr:cNvSpPr>
      </xdr:nvSpPr>
      <xdr:spPr bwMode="auto">
        <a:xfrm>
          <a:off x="12540961"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36</xdr:row>
      <xdr:rowOff>0</xdr:rowOff>
    </xdr:from>
    <xdr:ext cx="95250" cy="171450"/>
    <xdr:sp macro="" textlink="">
      <xdr:nvSpPr>
        <xdr:cNvPr id="2312" name="Text Box 19">
          <a:extLst>
            <a:ext uri="{FF2B5EF4-FFF2-40B4-BE49-F238E27FC236}">
              <a16:creationId xmlns:a16="http://schemas.microsoft.com/office/drawing/2014/main" id="{00000000-0008-0000-0500-000008090000}"/>
            </a:ext>
          </a:extLst>
        </xdr:cNvPr>
        <xdr:cNvSpPr txBox="1">
          <a:spLocks noChangeArrowheads="1"/>
        </xdr:cNvSpPr>
      </xdr:nvSpPr>
      <xdr:spPr bwMode="auto">
        <a:xfrm>
          <a:off x="12540961"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21</xdr:col>
      <xdr:colOff>0</xdr:colOff>
      <xdr:row>36</xdr:row>
      <xdr:rowOff>0</xdr:rowOff>
    </xdr:from>
    <xdr:ext cx="95250" cy="171450"/>
    <xdr:sp macro="" textlink="">
      <xdr:nvSpPr>
        <xdr:cNvPr id="2313" name="Text Box 16">
          <a:extLst>
            <a:ext uri="{FF2B5EF4-FFF2-40B4-BE49-F238E27FC236}">
              <a16:creationId xmlns:a16="http://schemas.microsoft.com/office/drawing/2014/main" id="{00000000-0008-0000-0500-000009090000}"/>
            </a:ext>
          </a:extLst>
        </xdr:cNvPr>
        <xdr:cNvSpPr txBox="1">
          <a:spLocks noChangeArrowheads="1"/>
        </xdr:cNvSpPr>
      </xdr:nvSpPr>
      <xdr:spPr bwMode="auto">
        <a:xfrm>
          <a:off x="21832455"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21</xdr:col>
      <xdr:colOff>0</xdr:colOff>
      <xdr:row>36</xdr:row>
      <xdr:rowOff>0</xdr:rowOff>
    </xdr:from>
    <xdr:ext cx="95250" cy="171450"/>
    <xdr:sp macro="" textlink="">
      <xdr:nvSpPr>
        <xdr:cNvPr id="2314" name="Text Box 17">
          <a:extLst>
            <a:ext uri="{FF2B5EF4-FFF2-40B4-BE49-F238E27FC236}">
              <a16:creationId xmlns:a16="http://schemas.microsoft.com/office/drawing/2014/main" id="{00000000-0008-0000-0500-00000A090000}"/>
            </a:ext>
          </a:extLst>
        </xdr:cNvPr>
        <xdr:cNvSpPr txBox="1">
          <a:spLocks noChangeArrowheads="1"/>
        </xdr:cNvSpPr>
      </xdr:nvSpPr>
      <xdr:spPr bwMode="auto">
        <a:xfrm>
          <a:off x="21832455"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21</xdr:col>
      <xdr:colOff>0</xdr:colOff>
      <xdr:row>36</xdr:row>
      <xdr:rowOff>0</xdr:rowOff>
    </xdr:from>
    <xdr:ext cx="95250" cy="171450"/>
    <xdr:sp macro="" textlink="">
      <xdr:nvSpPr>
        <xdr:cNvPr id="2315" name="Text Box 18">
          <a:extLst>
            <a:ext uri="{FF2B5EF4-FFF2-40B4-BE49-F238E27FC236}">
              <a16:creationId xmlns:a16="http://schemas.microsoft.com/office/drawing/2014/main" id="{00000000-0008-0000-0500-00000B090000}"/>
            </a:ext>
          </a:extLst>
        </xdr:cNvPr>
        <xdr:cNvSpPr txBox="1">
          <a:spLocks noChangeArrowheads="1"/>
        </xdr:cNvSpPr>
      </xdr:nvSpPr>
      <xdr:spPr bwMode="auto">
        <a:xfrm>
          <a:off x="21832455"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21</xdr:col>
      <xdr:colOff>0</xdr:colOff>
      <xdr:row>36</xdr:row>
      <xdr:rowOff>0</xdr:rowOff>
    </xdr:from>
    <xdr:ext cx="95250" cy="171450"/>
    <xdr:sp macro="" textlink="">
      <xdr:nvSpPr>
        <xdr:cNvPr id="2316" name="Text Box 19">
          <a:extLst>
            <a:ext uri="{FF2B5EF4-FFF2-40B4-BE49-F238E27FC236}">
              <a16:creationId xmlns:a16="http://schemas.microsoft.com/office/drawing/2014/main" id="{00000000-0008-0000-0500-00000C090000}"/>
            </a:ext>
          </a:extLst>
        </xdr:cNvPr>
        <xdr:cNvSpPr txBox="1">
          <a:spLocks noChangeArrowheads="1"/>
        </xdr:cNvSpPr>
      </xdr:nvSpPr>
      <xdr:spPr bwMode="auto">
        <a:xfrm>
          <a:off x="21832455"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34</xdr:row>
      <xdr:rowOff>504825</xdr:rowOff>
    </xdr:from>
    <xdr:ext cx="95250" cy="444014"/>
    <xdr:sp macro="" textlink="">
      <xdr:nvSpPr>
        <xdr:cNvPr id="2317" name="Text Box 15">
          <a:extLst>
            <a:ext uri="{FF2B5EF4-FFF2-40B4-BE49-F238E27FC236}">
              <a16:creationId xmlns:a16="http://schemas.microsoft.com/office/drawing/2014/main" id="{00000000-0008-0000-0500-00000D090000}"/>
            </a:ext>
          </a:extLst>
        </xdr:cNvPr>
        <xdr:cNvSpPr txBox="1">
          <a:spLocks noChangeArrowheads="1"/>
        </xdr:cNvSpPr>
      </xdr:nvSpPr>
      <xdr:spPr bwMode="auto">
        <a:xfrm>
          <a:off x="4664364" y="6733020"/>
          <a:ext cx="95250" cy="444014"/>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36</xdr:row>
      <xdr:rowOff>0</xdr:rowOff>
    </xdr:from>
    <xdr:ext cx="95250" cy="171450"/>
    <xdr:sp macro="" textlink="">
      <xdr:nvSpPr>
        <xdr:cNvPr id="2318" name="Text Box 16">
          <a:extLst>
            <a:ext uri="{FF2B5EF4-FFF2-40B4-BE49-F238E27FC236}">
              <a16:creationId xmlns:a16="http://schemas.microsoft.com/office/drawing/2014/main" id="{00000000-0008-0000-0500-00000E090000}"/>
            </a:ext>
          </a:extLst>
        </xdr:cNvPr>
        <xdr:cNvSpPr txBox="1">
          <a:spLocks noChangeArrowheads="1"/>
        </xdr:cNvSpPr>
      </xdr:nvSpPr>
      <xdr:spPr bwMode="auto">
        <a:xfrm>
          <a:off x="4664364"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36</xdr:row>
      <xdr:rowOff>0</xdr:rowOff>
    </xdr:from>
    <xdr:ext cx="95250" cy="171450"/>
    <xdr:sp macro="" textlink="">
      <xdr:nvSpPr>
        <xdr:cNvPr id="2319" name="Text Box 17">
          <a:extLst>
            <a:ext uri="{FF2B5EF4-FFF2-40B4-BE49-F238E27FC236}">
              <a16:creationId xmlns:a16="http://schemas.microsoft.com/office/drawing/2014/main" id="{00000000-0008-0000-0500-00000F090000}"/>
            </a:ext>
          </a:extLst>
        </xdr:cNvPr>
        <xdr:cNvSpPr txBox="1">
          <a:spLocks noChangeArrowheads="1"/>
        </xdr:cNvSpPr>
      </xdr:nvSpPr>
      <xdr:spPr bwMode="auto">
        <a:xfrm>
          <a:off x="4664364"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36</xdr:row>
      <xdr:rowOff>0</xdr:rowOff>
    </xdr:from>
    <xdr:ext cx="95250" cy="171450"/>
    <xdr:sp macro="" textlink="">
      <xdr:nvSpPr>
        <xdr:cNvPr id="2320" name="Text Box 18">
          <a:extLst>
            <a:ext uri="{FF2B5EF4-FFF2-40B4-BE49-F238E27FC236}">
              <a16:creationId xmlns:a16="http://schemas.microsoft.com/office/drawing/2014/main" id="{00000000-0008-0000-0500-000010090000}"/>
            </a:ext>
          </a:extLst>
        </xdr:cNvPr>
        <xdr:cNvSpPr txBox="1">
          <a:spLocks noChangeArrowheads="1"/>
        </xdr:cNvSpPr>
      </xdr:nvSpPr>
      <xdr:spPr bwMode="auto">
        <a:xfrm>
          <a:off x="4664364"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36</xdr:row>
      <xdr:rowOff>0</xdr:rowOff>
    </xdr:from>
    <xdr:ext cx="95250" cy="171450"/>
    <xdr:sp macro="" textlink="">
      <xdr:nvSpPr>
        <xdr:cNvPr id="2321" name="Text Box 19">
          <a:extLst>
            <a:ext uri="{FF2B5EF4-FFF2-40B4-BE49-F238E27FC236}">
              <a16:creationId xmlns:a16="http://schemas.microsoft.com/office/drawing/2014/main" id="{00000000-0008-0000-0500-000011090000}"/>
            </a:ext>
          </a:extLst>
        </xdr:cNvPr>
        <xdr:cNvSpPr txBox="1">
          <a:spLocks noChangeArrowheads="1"/>
        </xdr:cNvSpPr>
      </xdr:nvSpPr>
      <xdr:spPr bwMode="auto">
        <a:xfrm>
          <a:off x="4664364"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36</xdr:row>
      <xdr:rowOff>0</xdr:rowOff>
    </xdr:from>
    <xdr:ext cx="95250" cy="171450"/>
    <xdr:sp macro="" textlink="">
      <xdr:nvSpPr>
        <xdr:cNvPr id="2322" name="Text Box 16">
          <a:extLst>
            <a:ext uri="{FF2B5EF4-FFF2-40B4-BE49-F238E27FC236}">
              <a16:creationId xmlns:a16="http://schemas.microsoft.com/office/drawing/2014/main" id="{00000000-0008-0000-0500-000012090000}"/>
            </a:ext>
          </a:extLst>
        </xdr:cNvPr>
        <xdr:cNvSpPr txBox="1">
          <a:spLocks noChangeArrowheads="1"/>
        </xdr:cNvSpPr>
      </xdr:nvSpPr>
      <xdr:spPr bwMode="auto">
        <a:xfrm>
          <a:off x="12540961"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36</xdr:row>
      <xdr:rowOff>0</xdr:rowOff>
    </xdr:from>
    <xdr:ext cx="95250" cy="171450"/>
    <xdr:sp macro="" textlink="">
      <xdr:nvSpPr>
        <xdr:cNvPr id="2323" name="Text Box 17">
          <a:extLst>
            <a:ext uri="{FF2B5EF4-FFF2-40B4-BE49-F238E27FC236}">
              <a16:creationId xmlns:a16="http://schemas.microsoft.com/office/drawing/2014/main" id="{00000000-0008-0000-0500-000013090000}"/>
            </a:ext>
          </a:extLst>
        </xdr:cNvPr>
        <xdr:cNvSpPr txBox="1">
          <a:spLocks noChangeArrowheads="1"/>
        </xdr:cNvSpPr>
      </xdr:nvSpPr>
      <xdr:spPr bwMode="auto">
        <a:xfrm>
          <a:off x="12540961"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36</xdr:row>
      <xdr:rowOff>0</xdr:rowOff>
    </xdr:from>
    <xdr:ext cx="95250" cy="171450"/>
    <xdr:sp macro="" textlink="">
      <xdr:nvSpPr>
        <xdr:cNvPr id="2324" name="Text Box 18">
          <a:extLst>
            <a:ext uri="{FF2B5EF4-FFF2-40B4-BE49-F238E27FC236}">
              <a16:creationId xmlns:a16="http://schemas.microsoft.com/office/drawing/2014/main" id="{00000000-0008-0000-0500-000014090000}"/>
            </a:ext>
          </a:extLst>
        </xdr:cNvPr>
        <xdr:cNvSpPr txBox="1">
          <a:spLocks noChangeArrowheads="1"/>
        </xdr:cNvSpPr>
      </xdr:nvSpPr>
      <xdr:spPr bwMode="auto">
        <a:xfrm>
          <a:off x="12540961"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36</xdr:row>
      <xdr:rowOff>0</xdr:rowOff>
    </xdr:from>
    <xdr:ext cx="95250" cy="171450"/>
    <xdr:sp macro="" textlink="">
      <xdr:nvSpPr>
        <xdr:cNvPr id="2325" name="Text Box 16">
          <a:extLst>
            <a:ext uri="{FF2B5EF4-FFF2-40B4-BE49-F238E27FC236}">
              <a16:creationId xmlns:a16="http://schemas.microsoft.com/office/drawing/2014/main" id="{00000000-0008-0000-0500-000015090000}"/>
            </a:ext>
          </a:extLst>
        </xdr:cNvPr>
        <xdr:cNvSpPr txBox="1">
          <a:spLocks noChangeArrowheads="1"/>
        </xdr:cNvSpPr>
      </xdr:nvSpPr>
      <xdr:spPr bwMode="auto">
        <a:xfrm>
          <a:off x="15388070"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36</xdr:row>
      <xdr:rowOff>0</xdr:rowOff>
    </xdr:from>
    <xdr:ext cx="95250" cy="171450"/>
    <xdr:sp macro="" textlink="">
      <xdr:nvSpPr>
        <xdr:cNvPr id="2326" name="Text Box 17">
          <a:extLst>
            <a:ext uri="{FF2B5EF4-FFF2-40B4-BE49-F238E27FC236}">
              <a16:creationId xmlns:a16="http://schemas.microsoft.com/office/drawing/2014/main" id="{00000000-0008-0000-0500-000016090000}"/>
            </a:ext>
          </a:extLst>
        </xdr:cNvPr>
        <xdr:cNvSpPr txBox="1">
          <a:spLocks noChangeArrowheads="1"/>
        </xdr:cNvSpPr>
      </xdr:nvSpPr>
      <xdr:spPr bwMode="auto">
        <a:xfrm>
          <a:off x="15388070"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36</xdr:row>
      <xdr:rowOff>0</xdr:rowOff>
    </xdr:from>
    <xdr:ext cx="95250" cy="171450"/>
    <xdr:sp macro="" textlink="">
      <xdr:nvSpPr>
        <xdr:cNvPr id="2327" name="Text Box 18">
          <a:extLst>
            <a:ext uri="{FF2B5EF4-FFF2-40B4-BE49-F238E27FC236}">
              <a16:creationId xmlns:a16="http://schemas.microsoft.com/office/drawing/2014/main" id="{00000000-0008-0000-0500-000017090000}"/>
            </a:ext>
          </a:extLst>
        </xdr:cNvPr>
        <xdr:cNvSpPr txBox="1">
          <a:spLocks noChangeArrowheads="1"/>
        </xdr:cNvSpPr>
      </xdr:nvSpPr>
      <xdr:spPr bwMode="auto">
        <a:xfrm>
          <a:off x="15388070"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36</xdr:row>
      <xdr:rowOff>0</xdr:rowOff>
    </xdr:from>
    <xdr:ext cx="95250" cy="171450"/>
    <xdr:sp macro="" textlink="">
      <xdr:nvSpPr>
        <xdr:cNvPr id="2328" name="Text Box 19">
          <a:extLst>
            <a:ext uri="{FF2B5EF4-FFF2-40B4-BE49-F238E27FC236}">
              <a16:creationId xmlns:a16="http://schemas.microsoft.com/office/drawing/2014/main" id="{00000000-0008-0000-0500-000018090000}"/>
            </a:ext>
          </a:extLst>
        </xdr:cNvPr>
        <xdr:cNvSpPr txBox="1">
          <a:spLocks noChangeArrowheads="1"/>
        </xdr:cNvSpPr>
      </xdr:nvSpPr>
      <xdr:spPr bwMode="auto">
        <a:xfrm>
          <a:off x="15388070"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36</xdr:row>
      <xdr:rowOff>0</xdr:rowOff>
    </xdr:from>
    <xdr:ext cx="95250" cy="171450"/>
    <xdr:sp macro="" textlink="">
      <xdr:nvSpPr>
        <xdr:cNvPr id="2329" name="Text Box 16">
          <a:extLst>
            <a:ext uri="{FF2B5EF4-FFF2-40B4-BE49-F238E27FC236}">
              <a16:creationId xmlns:a16="http://schemas.microsoft.com/office/drawing/2014/main" id="{00000000-0008-0000-0500-000019090000}"/>
            </a:ext>
          </a:extLst>
        </xdr:cNvPr>
        <xdr:cNvSpPr txBox="1">
          <a:spLocks noChangeArrowheads="1"/>
        </xdr:cNvSpPr>
      </xdr:nvSpPr>
      <xdr:spPr bwMode="auto">
        <a:xfrm>
          <a:off x="15388070"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36</xdr:row>
      <xdr:rowOff>0</xdr:rowOff>
    </xdr:from>
    <xdr:ext cx="95250" cy="171450"/>
    <xdr:sp macro="" textlink="">
      <xdr:nvSpPr>
        <xdr:cNvPr id="2330" name="Text Box 17">
          <a:extLst>
            <a:ext uri="{FF2B5EF4-FFF2-40B4-BE49-F238E27FC236}">
              <a16:creationId xmlns:a16="http://schemas.microsoft.com/office/drawing/2014/main" id="{00000000-0008-0000-0500-00001A090000}"/>
            </a:ext>
          </a:extLst>
        </xdr:cNvPr>
        <xdr:cNvSpPr txBox="1">
          <a:spLocks noChangeArrowheads="1"/>
        </xdr:cNvSpPr>
      </xdr:nvSpPr>
      <xdr:spPr bwMode="auto">
        <a:xfrm>
          <a:off x="15388070"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36</xdr:row>
      <xdr:rowOff>0</xdr:rowOff>
    </xdr:from>
    <xdr:ext cx="95250" cy="171450"/>
    <xdr:sp macro="" textlink="">
      <xdr:nvSpPr>
        <xdr:cNvPr id="2331" name="Text Box 18">
          <a:extLst>
            <a:ext uri="{FF2B5EF4-FFF2-40B4-BE49-F238E27FC236}">
              <a16:creationId xmlns:a16="http://schemas.microsoft.com/office/drawing/2014/main" id="{00000000-0008-0000-0500-00001B090000}"/>
            </a:ext>
          </a:extLst>
        </xdr:cNvPr>
        <xdr:cNvSpPr txBox="1">
          <a:spLocks noChangeArrowheads="1"/>
        </xdr:cNvSpPr>
      </xdr:nvSpPr>
      <xdr:spPr bwMode="auto">
        <a:xfrm>
          <a:off x="15388070"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36</xdr:row>
      <xdr:rowOff>0</xdr:rowOff>
    </xdr:from>
    <xdr:ext cx="95250" cy="171450"/>
    <xdr:sp macro="" textlink="">
      <xdr:nvSpPr>
        <xdr:cNvPr id="2332" name="Text Box 19">
          <a:extLst>
            <a:ext uri="{FF2B5EF4-FFF2-40B4-BE49-F238E27FC236}">
              <a16:creationId xmlns:a16="http://schemas.microsoft.com/office/drawing/2014/main" id="{00000000-0008-0000-0500-00001C090000}"/>
            </a:ext>
          </a:extLst>
        </xdr:cNvPr>
        <xdr:cNvSpPr txBox="1">
          <a:spLocks noChangeArrowheads="1"/>
        </xdr:cNvSpPr>
      </xdr:nvSpPr>
      <xdr:spPr bwMode="auto">
        <a:xfrm>
          <a:off x="15388070"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30</xdr:row>
      <xdr:rowOff>504825</xdr:rowOff>
    </xdr:from>
    <xdr:ext cx="95250" cy="456743"/>
    <xdr:sp macro="" textlink="">
      <xdr:nvSpPr>
        <xdr:cNvPr id="2333" name="Text Box 15">
          <a:extLst>
            <a:ext uri="{FF2B5EF4-FFF2-40B4-BE49-F238E27FC236}">
              <a16:creationId xmlns:a16="http://schemas.microsoft.com/office/drawing/2014/main" id="{00000000-0008-0000-0500-00001D090000}"/>
            </a:ext>
          </a:extLst>
        </xdr:cNvPr>
        <xdr:cNvSpPr txBox="1">
          <a:spLocks noChangeArrowheads="1"/>
        </xdr:cNvSpPr>
      </xdr:nvSpPr>
      <xdr:spPr bwMode="auto">
        <a:xfrm>
          <a:off x="4664364" y="5994111"/>
          <a:ext cx="95250" cy="456743"/>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30</xdr:row>
      <xdr:rowOff>504825</xdr:rowOff>
    </xdr:from>
    <xdr:ext cx="95250" cy="442269"/>
    <xdr:sp macro="" textlink="">
      <xdr:nvSpPr>
        <xdr:cNvPr id="2334" name="Text Box 15">
          <a:extLst>
            <a:ext uri="{FF2B5EF4-FFF2-40B4-BE49-F238E27FC236}">
              <a16:creationId xmlns:a16="http://schemas.microsoft.com/office/drawing/2014/main" id="{00000000-0008-0000-0500-00001E090000}"/>
            </a:ext>
          </a:extLst>
        </xdr:cNvPr>
        <xdr:cNvSpPr txBox="1">
          <a:spLocks noChangeArrowheads="1"/>
        </xdr:cNvSpPr>
      </xdr:nvSpPr>
      <xdr:spPr bwMode="auto">
        <a:xfrm>
          <a:off x="12540961" y="5994111"/>
          <a:ext cx="95250" cy="442269"/>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30</xdr:row>
      <xdr:rowOff>504825</xdr:rowOff>
    </xdr:from>
    <xdr:ext cx="95250" cy="213632"/>
    <xdr:sp macro="" textlink="">
      <xdr:nvSpPr>
        <xdr:cNvPr id="2336" name="Text Box 15">
          <a:extLst>
            <a:ext uri="{FF2B5EF4-FFF2-40B4-BE49-F238E27FC236}">
              <a16:creationId xmlns:a16="http://schemas.microsoft.com/office/drawing/2014/main" id="{00000000-0008-0000-0500-000020090000}"/>
            </a:ext>
          </a:extLst>
        </xdr:cNvPr>
        <xdr:cNvSpPr txBox="1">
          <a:spLocks noChangeArrowheads="1"/>
        </xdr:cNvSpPr>
      </xdr:nvSpPr>
      <xdr:spPr bwMode="auto">
        <a:xfrm>
          <a:off x="4664364" y="5994111"/>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30</xdr:row>
      <xdr:rowOff>504825</xdr:rowOff>
    </xdr:from>
    <xdr:ext cx="95250" cy="444331"/>
    <xdr:sp macro="" textlink="">
      <xdr:nvSpPr>
        <xdr:cNvPr id="2337" name="Text Box 15">
          <a:extLst>
            <a:ext uri="{FF2B5EF4-FFF2-40B4-BE49-F238E27FC236}">
              <a16:creationId xmlns:a16="http://schemas.microsoft.com/office/drawing/2014/main" id="{00000000-0008-0000-0500-000021090000}"/>
            </a:ext>
          </a:extLst>
        </xdr:cNvPr>
        <xdr:cNvSpPr txBox="1">
          <a:spLocks noChangeArrowheads="1"/>
        </xdr:cNvSpPr>
      </xdr:nvSpPr>
      <xdr:spPr bwMode="auto">
        <a:xfrm>
          <a:off x="4664364" y="5994111"/>
          <a:ext cx="95250" cy="444331"/>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30</xdr:row>
      <xdr:rowOff>504825</xdr:rowOff>
    </xdr:from>
    <xdr:ext cx="95250" cy="213632"/>
    <xdr:sp macro="" textlink="">
      <xdr:nvSpPr>
        <xdr:cNvPr id="2338" name="Text Box 15">
          <a:extLst>
            <a:ext uri="{FF2B5EF4-FFF2-40B4-BE49-F238E27FC236}">
              <a16:creationId xmlns:a16="http://schemas.microsoft.com/office/drawing/2014/main" id="{00000000-0008-0000-0500-000022090000}"/>
            </a:ext>
          </a:extLst>
        </xdr:cNvPr>
        <xdr:cNvSpPr txBox="1">
          <a:spLocks noChangeArrowheads="1"/>
        </xdr:cNvSpPr>
      </xdr:nvSpPr>
      <xdr:spPr bwMode="auto">
        <a:xfrm>
          <a:off x="12540961" y="5994111"/>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36</xdr:row>
      <xdr:rowOff>0</xdr:rowOff>
    </xdr:from>
    <xdr:ext cx="95250" cy="171450"/>
    <xdr:sp macro="" textlink="">
      <xdr:nvSpPr>
        <xdr:cNvPr id="2339" name="Text Box 16">
          <a:extLst>
            <a:ext uri="{FF2B5EF4-FFF2-40B4-BE49-F238E27FC236}">
              <a16:creationId xmlns:a16="http://schemas.microsoft.com/office/drawing/2014/main" id="{00000000-0008-0000-0500-000023090000}"/>
            </a:ext>
          </a:extLst>
        </xdr:cNvPr>
        <xdr:cNvSpPr txBox="1">
          <a:spLocks noChangeArrowheads="1"/>
        </xdr:cNvSpPr>
      </xdr:nvSpPr>
      <xdr:spPr bwMode="auto">
        <a:xfrm>
          <a:off x="4664364"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36</xdr:row>
      <xdr:rowOff>0</xdr:rowOff>
    </xdr:from>
    <xdr:ext cx="95250" cy="171450"/>
    <xdr:sp macro="" textlink="">
      <xdr:nvSpPr>
        <xdr:cNvPr id="2340" name="Text Box 17">
          <a:extLst>
            <a:ext uri="{FF2B5EF4-FFF2-40B4-BE49-F238E27FC236}">
              <a16:creationId xmlns:a16="http://schemas.microsoft.com/office/drawing/2014/main" id="{00000000-0008-0000-0500-000024090000}"/>
            </a:ext>
          </a:extLst>
        </xdr:cNvPr>
        <xdr:cNvSpPr txBox="1">
          <a:spLocks noChangeArrowheads="1"/>
        </xdr:cNvSpPr>
      </xdr:nvSpPr>
      <xdr:spPr bwMode="auto">
        <a:xfrm>
          <a:off x="4664364"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36</xdr:row>
      <xdr:rowOff>0</xdr:rowOff>
    </xdr:from>
    <xdr:ext cx="95250" cy="171450"/>
    <xdr:sp macro="" textlink="">
      <xdr:nvSpPr>
        <xdr:cNvPr id="2341" name="Text Box 18">
          <a:extLst>
            <a:ext uri="{FF2B5EF4-FFF2-40B4-BE49-F238E27FC236}">
              <a16:creationId xmlns:a16="http://schemas.microsoft.com/office/drawing/2014/main" id="{00000000-0008-0000-0500-000025090000}"/>
            </a:ext>
          </a:extLst>
        </xdr:cNvPr>
        <xdr:cNvSpPr txBox="1">
          <a:spLocks noChangeArrowheads="1"/>
        </xdr:cNvSpPr>
      </xdr:nvSpPr>
      <xdr:spPr bwMode="auto">
        <a:xfrm>
          <a:off x="4664364"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36</xdr:row>
      <xdr:rowOff>0</xdr:rowOff>
    </xdr:from>
    <xdr:ext cx="95250" cy="171450"/>
    <xdr:sp macro="" textlink="">
      <xdr:nvSpPr>
        <xdr:cNvPr id="2342" name="Text Box 19">
          <a:extLst>
            <a:ext uri="{FF2B5EF4-FFF2-40B4-BE49-F238E27FC236}">
              <a16:creationId xmlns:a16="http://schemas.microsoft.com/office/drawing/2014/main" id="{00000000-0008-0000-0500-000026090000}"/>
            </a:ext>
          </a:extLst>
        </xdr:cNvPr>
        <xdr:cNvSpPr txBox="1">
          <a:spLocks noChangeArrowheads="1"/>
        </xdr:cNvSpPr>
      </xdr:nvSpPr>
      <xdr:spPr bwMode="auto">
        <a:xfrm>
          <a:off x="4664364"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36</xdr:row>
      <xdr:rowOff>0</xdr:rowOff>
    </xdr:from>
    <xdr:ext cx="95250" cy="171450"/>
    <xdr:sp macro="" textlink="">
      <xdr:nvSpPr>
        <xdr:cNvPr id="2343" name="Text Box 16">
          <a:extLst>
            <a:ext uri="{FF2B5EF4-FFF2-40B4-BE49-F238E27FC236}">
              <a16:creationId xmlns:a16="http://schemas.microsoft.com/office/drawing/2014/main" id="{00000000-0008-0000-0500-000027090000}"/>
            </a:ext>
          </a:extLst>
        </xdr:cNvPr>
        <xdr:cNvSpPr txBox="1">
          <a:spLocks noChangeArrowheads="1"/>
        </xdr:cNvSpPr>
      </xdr:nvSpPr>
      <xdr:spPr bwMode="auto">
        <a:xfrm>
          <a:off x="12540961"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36</xdr:row>
      <xdr:rowOff>0</xdr:rowOff>
    </xdr:from>
    <xdr:ext cx="95250" cy="171450"/>
    <xdr:sp macro="" textlink="">
      <xdr:nvSpPr>
        <xdr:cNvPr id="2344" name="Text Box 17">
          <a:extLst>
            <a:ext uri="{FF2B5EF4-FFF2-40B4-BE49-F238E27FC236}">
              <a16:creationId xmlns:a16="http://schemas.microsoft.com/office/drawing/2014/main" id="{00000000-0008-0000-0500-000028090000}"/>
            </a:ext>
          </a:extLst>
        </xdr:cNvPr>
        <xdr:cNvSpPr txBox="1">
          <a:spLocks noChangeArrowheads="1"/>
        </xdr:cNvSpPr>
      </xdr:nvSpPr>
      <xdr:spPr bwMode="auto">
        <a:xfrm>
          <a:off x="12540961"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36</xdr:row>
      <xdr:rowOff>0</xdr:rowOff>
    </xdr:from>
    <xdr:ext cx="95250" cy="171450"/>
    <xdr:sp macro="" textlink="">
      <xdr:nvSpPr>
        <xdr:cNvPr id="2345" name="Text Box 18">
          <a:extLst>
            <a:ext uri="{FF2B5EF4-FFF2-40B4-BE49-F238E27FC236}">
              <a16:creationId xmlns:a16="http://schemas.microsoft.com/office/drawing/2014/main" id="{00000000-0008-0000-0500-000029090000}"/>
            </a:ext>
          </a:extLst>
        </xdr:cNvPr>
        <xdr:cNvSpPr txBox="1">
          <a:spLocks noChangeArrowheads="1"/>
        </xdr:cNvSpPr>
      </xdr:nvSpPr>
      <xdr:spPr bwMode="auto">
        <a:xfrm>
          <a:off x="12540961"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36</xdr:row>
      <xdr:rowOff>0</xdr:rowOff>
    </xdr:from>
    <xdr:ext cx="95250" cy="171450"/>
    <xdr:sp macro="" textlink="">
      <xdr:nvSpPr>
        <xdr:cNvPr id="2346" name="Text Box 19">
          <a:extLst>
            <a:ext uri="{FF2B5EF4-FFF2-40B4-BE49-F238E27FC236}">
              <a16:creationId xmlns:a16="http://schemas.microsoft.com/office/drawing/2014/main" id="{00000000-0008-0000-0500-00002A090000}"/>
            </a:ext>
          </a:extLst>
        </xdr:cNvPr>
        <xdr:cNvSpPr txBox="1">
          <a:spLocks noChangeArrowheads="1"/>
        </xdr:cNvSpPr>
      </xdr:nvSpPr>
      <xdr:spPr bwMode="auto">
        <a:xfrm>
          <a:off x="12540961"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21</xdr:col>
      <xdr:colOff>0</xdr:colOff>
      <xdr:row>36</xdr:row>
      <xdr:rowOff>0</xdr:rowOff>
    </xdr:from>
    <xdr:ext cx="95250" cy="171450"/>
    <xdr:sp macro="" textlink="">
      <xdr:nvSpPr>
        <xdr:cNvPr id="2347" name="Text Box 16">
          <a:extLst>
            <a:ext uri="{FF2B5EF4-FFF2-40B4-BE49-F238E27FC236}">
              <a16:creationId xmlns:a16="http://schemas.microsoft.com/office/drawing/2014/main" id="{00000000-0008-0000-0500-00002B090000}"/>
            </a:ext>
          </a:extLst>
        </xdr:cNvPr>
        <xdr:cNvSpPr txBox="1">
          <a:spLocks noChangeArrowheads="1"/>
        </xdr:cNvSpPr>
      </xdr:nvSpPr>
      <xdr:spPr bwMode="auto">
        <a:xfrm>
          <a:off x="21832455"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21</xdr:col>
      <xdr:colOff>0</xdr:colOff>
      <xdr:row>36</xdr:row>
      <xdr:rowOff>0</xdr:rowOff>
    </xdr:from>
    <xdr:ext cx="95250" cy="171450"/>
    <xdr:sp macro="" textlink="">
      <xdr:nvSpPr>
        <xdr:cNvPr id="2348" name="Text Box 17">
          <a:extLst>
            <a:ext uri="{FF2B5EF4-FFF2-40B4-BE49-F238E27FC236}">
              <a16:creationId xmlns:a16="http://schemas.microsoft.com/office/drawing/2014/main" id="{00000000-0008-0000-0500-00002C090000}"/>
            </a:ext>
          </a:extLst>
        </xdr:cNvPr>
        <xdr:cNvSpPr txBox="1">
          <a:spLocks noChangeArrowheads="1"/>
        </xdr:cNvSpPr>
      </xdr:nvSpPr>
      <xdr:spPr bwMode="auto">
        <a:xfrm>
          <a:off x="21832455"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34</xdr:row>
      <xdr:rowOff>504825</xdr:rowOff>
    </xdr:from>
    <xdr:ext cx="95250" cy="444014"/>
    <xdr:sp macro="" textlink="">
      <xdr:nvSpPr>
        <xdr:cNvPr id="2351" name="Text Box 15">
          <a:extLst>
            <a:ext uri="{FF2B5EF4-FFF2-40B4-BE49-F238E27FC236}">
              <a16:creationId xmlns:a16="http://schemas.microsoft.com/office/drawing/2014/main" id="{00000000-0008-0000-0500-00002F090000}"/>
            </a:ext>
          </a:extLst>
        </xdr:cNvPr>
        <xdr:cNvSpPr txBox="1">
          <a:spLocks noChangeArrowheads="1"/>
        </xdr:cNvSpPr>
      </xdr:nvSpPr>
      <xdr:spPr bwMode="auto">
        <a:xfrm>
          <a:off x="4664364" y="6733020"/>
          <a:ext cx="95250" cy="444014"/>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36</xdr:row>
      <xdr:rowOff>0</xdr:rowOff>
    </xdr:from>
    <xdr:ext cx="95250" cy="171450"/>
    <xdr:sp macro="" textlink="">
      <xdr:nvSpPr>
        <xdr:cNvPr id="2352" name="Text Box 16">
          <a:extLst>
            <a:ext uri="{FF2B5EF4-FFF2-40B4-BE49-F238E27FC236}">
              <a16:creationId xmlns:a16="http://schemas.microsoft.com/office/drawing/2014/main" id="{00000000-0008-0000-0500-000030090000}"/>
            </a:ext>
          </a:extLst>
        </xdr:cNvPr>
        <xdr:cNvSpPr txBox="1">
          <a:spLocks noChangeArrowheads="1"/>
        </xdr:cNvSpPr>
      </xdr:nvSpPr>
      <xdr:spPr bwMode="auto">
        <a:xfrm>
          <a:off x="4664364"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36</xdr:row>
      <xdr:rowOff>0</xdr:rowOff>
    </xdr:from>
    <xdr:ext cx="95250" cy="171450"/>
    <xdr:sp macro="" textlink="">
      <xdr:nvSpPr>
        <xdr:cNvPr id="2353" name="Text Box 17">
          <a:extLst>
            <a:ext uri="{FF2B5EF4-FFF2-40B4-BE49-F238E27FC236}">
              <a16:creationId xmlns:a16="http://schemas.microsoft.com/office/drawing/2014/main" id="{00000000-0008-0000-0500-000031090000}"/>
            </a:ext>
          </a:extLst>
        </xdr:cNvPr>
        <xdr:cNvSpPr txBox="1">
          <a:spLocks noChangeArrowheads="1"/>
        </xdr:cNvSpPr>
      </xdr:nvSpPr>
      <xdr:spPr bwMode="auto">
        <a:xfrm>
          <a:off x="4664364"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36</xdr:row>
      <xdr:rowOff>0</xdr:rowOff>
    </xdr:from>
    <xdr:ext cx="95250" cy="171450"/>
    <xdr:sp macro="" textlink="">
      <xdr:nvSpPr>
        <xdr:cNvPr id="2354" name="Text Box 18">
          <a:extLst>
            <a:ext uri="{FF2B5EF4-FFF2-40B4-BE49-F238E27FC236}">
              <a16:creationId xmlns:a16="http://schemas.microsoft.com/office/drawing/2014/main" id="{00000000-0008-0000-0500-000032090000}"/>
            </a:ext>
          </a:extLst>
        </xdr:cNvPr>
        <xdr:cNvSpPr txBox="1">
          <a:spLocks noChangeArrowheads="1"/>
        </xdr:cNvSpPr>
      </xdr:nvSpPr>
      <xdr:spPr bwMode="auto">
        <a:xfrm>
          <a:off x="4664364"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36</xdr:row>
      <xdr:rowOff>0</xdr:rowOff>
    </xdr:from>
    <xdr:ext cx="95250" cy="171450"/>
    <xdr:sp macro="" textlink="">
      <xdr:nvSpPr>
        <xdr:cNvPr id="2355" name="Text Box 19">
          <a:extLst>
            <a:ext uri="{FF2B5EF4-FFF2-40B4-BE49-F238E27FC236}">
              <a16:creationId xmlns:a16="http://schemas.microsoft.com/office/drawing/2014/main" id="{00000000-0008-0000-0500-000033090000}"/>
            </a:ext>
          </a:extLst>
        </xdr:cNvPr>
        <xdr:cNvSpPr txBox="1">
          <a:spLocks noChangeArrowheads="1"/>
        </xdr:cNvSpPr>
      </xdr:nvSpPr>
      <xdr:spPr bwMode="auto">
        <a:xfrm>
          <a:off x="4664364"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34</xdr:row>
      <xdr:rowOff>504825</xdr:rowOff>
    </xdr:from>
    <xdr:ext cx="95250" cy="442269"/>
    <xdr:sp macro="" textlink="">
      <xdr:nvSpPr>
        <xdr:cNvPr id="2356" name="Text Box 15">
          <a:extLst>
            <a:ext uri="{FF2B5EF4-FFF2-40B4-BE49-F238E27FC236}">
              <a16:creationId xmlns:a16="http://schemas.microsoft.com/office/drawing/2014/main" id="{00000000-0008-0000-0500-000034090000}"/>
            </a:ext>
          </a:extLst>
        </xdr:cNvPr>
        <xdr:cNvSpPr txBox="1">
          <a:spLocks noChangeArrowheads="1"/>
        </xdr:cNvSpPr>
      </xdr:nvSpPr>
      <xdr:spPr bwMode="auto">
        <a:xfrm>
          <a:off x="12540961" y="6733020"/>
          <a:ext cx="95250" cy="442269"/>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36</xdr:row>
      <xdr:rowOff>0</xdr:rowOff>
    </xdr:from>
    <xdr:ext cx="95250" cy="171450"/>
    <xdr:sp macro="" textlink="">
      <xdr:nvSpPr>
        <xdr:cNvPr id="2357" name="Text Box 16">
          <a:extLst>
            <a:ext uri="{FF2B5EF4-FFF2-40B4-BE49-F238E27FC236}">
              <a16:creationId xmlns:a16="http://schemas.microsoft.com/office/drawing/2014/main" id="{00000000-0008-0000-0500-000035090000}"/>
            </a:ext>
          </a:extLst>
        </xdr:cNvPr>
        <xdr:cNvSpPr txBox="1">
          <a:spLocks noChangeArrowheads="1"/>
        </xdr:cNvSpPr>
      </xdr:nvSpPr>
      <xdr:spPr bwMode="auto">
        <a:xfrm>
          <a:off x="12540961"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36</xdr:row>
      <xdr:rowOff>0</xdr:rowOff>
    </xdr:from>
    <xdr:ext cx="95250" cy="171450"/>
    <xdr:sp macro="" textlink="">
      <xdr:nvSpPr>
        <xdr:cNvPr id="2358" name="Text Box 17">
          <a:extLst>
            <a:ext uri="{FF2B5EF4-FFF2-40B4-BE49-F238E27FC236}">
              <a16:creationId xmlns:a16="http://schemas.microsoft.com/office/drawing/2014/main" id="{00000000-0008-0000-0500-000036090000}"/>
            </a:ext>
          </a:extLst>
        </xdr:cNvPr>
        <xdr:cNvSpPr txBox="1">
          <a:spLocks noChangeArrowheads="1"/>
        </xdr:cNvSpPr>
      </xdr:nvSpPr>
      <xdr:spPr bwMode="auto">
        <a:xfrm>
          <a:off x="12540961"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36</xdr:row>
      <xdr:rowOff>0</xdr:rowOff>
    </xdr:from>
    <xdr:ext cx="95250" cy="171450"/>
    <xdr:sp macro="" textlink="">
      <xdr:nvSpPr>
        <xdr:cNvPr id="2359" name="Text Box 18">
          <a:extLst>
            <a:ext uri="{FF2B5EF4-FFF2-40B4-BE49-F238E27FC236}">
              <a16:creationId xmlns:a16="http://schemas.microsoft.com/office/drawing/2014/main" id="{00000000-0008-0000-0500-000037090000}"/>
            </a:ext>
          </a:extLst>
        </xdr:cNvPr>
        <xdr:cNvSpPr txBox="1">
          <a:spLocks noChangeArrowheads="1"/>
        </xdr:cNvSpPr>
      </xdr:nvSpPr>
      <xdr:spPr bwMode="auto">
        <a:xfrm>
          <a:off x="12540961"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36</xdr:row>
      <xdr:rowOff>0</xdr:rowOff>
    </xdr:from>
    <xdr:ext cx="95250" cy="171450"/>
    <xdr:sp macro="" textlink="">
      <xdr:nvSpPr>
        <xdr:cNvPr id="2360" name="Text Box 16">
          <a:extLst>
            <a:ext uri="{FF2B5EF4-FFF2-40B4-BE49-F238E27FC236}">
              <a16:creationId xmlns:a16="http://schemas.microsoft.com/office/drawing/2014/main" id="{00000000-0008-0000-0500-000038090000}"/>
            </a:ext>
          </a:extLst>
        </xdr:cNvPr>
        <xdr:cNvSpPr txBox="1">
          <a:spLocks noChangeArrowheads="1"/>
        </xdr:cNvSpPr>
      </xdr:nvSpPr>
      <xdr:spPr bwMode="auto">
        <a:xfrm>
          <a:off x="15388070"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36</xdr:row>
      <xdr:rowOff>0</xdr:rowOff>
    </xdr:from>
    <xdr:ext cx="95250" cy="171450"/>
    <xdr:sp macro="" textlink="">
      <xdr:nvSpPr>
        <xdr:cNvPr id="2361" name="Text Box 17">
          <a:extLst>
            <a:ext uri="{FF2B5EF4-FFF2-40B4-BE49-F238E27FC236}">
              <a16:creationId xmlns:a16="http://schemas.microsoft.com/office/drawing/2014/main" id="{00000000-0008-0000-0500-000039090000}"/>
            </a:ext>
          </a:extLst>
        </xdr:cNvPr>
        <xdr:cNvSpPr txBox="1">
          <a:spLocks noChangeArrowheads="1"/>
        </xdr:cNvSpPr>
      </xdr:nvSpPr>
      <xdr:spPr bwMode="auto">
        <a:xfrm>
          <a:off x="15388070"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36</xdr:row>
      <xdr:rowOff>0</xdr:rowOff>
    </xdr:from>
    <xdr:ext cx="95250" cy="171450"/>
    <xdr:sp macro="" textlink="">
      <xdr:nvSpPr>
        <xdr:cNvPr id="2362" name="Text Box 18">
          <a:extLst>
            <a:ext uri="{FF2B5EF4-FFF2-40B4-BE49-F238E27FC236}">
              <a16:creationId xmlns:a16="http://schemas.microsoft.com/office/drawing/2014/main" id="{00000000-0008-0000-0500-00003A090000}"/>
            </a:ext>
          </a:extLst>
        </xdr:cNvPr>
        <xdr:cNvSpPr txBox="1">
          <a:spLocks noChangeArrowheads="1"/>
        </xdr:cNvSpPr>
      </xdr:nvSpPr>
      <xdr:spPr bwMode="auto">
        <a:xfrm>
          <a:off x="15388070"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36</xdr:row>
      <xdr:rowOff>0</xdr:rowOff>
    </xdr:from>
    <xdr:ext cx="95250" cy="171450"/>
    <xdr:sp macro="" textlink="">
      <xdr:nvSpPr>
        <xdr:cNvPr id="2363" name="Text Box 19">
          <a:extLst>
            <a:ext uri="{FF2B5EF4-FFF2-40B4-BE49-F238E27FC236}">
              <a16:creationId xmlns:a16="http://schemas.microsoft.com/office/drawing/2014/main" id="{00000000-0008-0000-0500-00003B090000}"/>
            </a:ext>
          </a:extLst>
        </xdr:cNvPr>
        <xdr:cNvSpPr txBox="1">
          <a:spLocks noChangeArrowheads="1"/>
        </xdr:cNvSpPr>
      </xdr:nvSpPr>
      <xdr:spPr bwMode="auto">
        <a:xfrm>
          <a:off x="15388070"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36</xdr:row>
      <xdr:rowOff>0</xdr:rowOff>
    </xdr:from>
    <xdr:ext cx="95250" cy="171450"/>
    <xdr:sp macro="" textlink="">
      <xdr:nvSpPr>
        <xdr:cNvPr id="2364" name="Text Box 16">
          <a:extLst>
            <a:ext uri="{FF2B5EF4-FFF2-40B4-BE49-F238E27FC236}">
              <a16:creationId xmlns:a16="http://schemas.microsoft.com/office/drawing/2014/main" id="{00000000-0008-0000-0500-00003C090000}"/>
            </a:ext>
          </a:extLst>
        </xdr:cNvPr>
        <xdr:cNvSpPr txBox="1">
          <a:spLocks noChangeArrowheads="1"/>
        </xdr:cNvSpPr>
      </xdr:nvSpPr>
      <xdr:spPr bwMode="auto">
        <a:xfrm>
          <a:off x="15388070"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36</xdr:row>
      <xdr:rowOff>0</xdr:rowOff>
    </xdr:from>
    <xdr:ext cx="95250" cy="171450"/>
    <xdr:sp macro="" textlink="">
      <xdr:nvSpPr>
        <xdr:cNvPr id="2365" name="Text Box 17">
          <a:extLst>
            <a:ext uri="{FF2B5EF4-FFF2-40B4-BE49-F238E27FC236}">
              <a16:creationId xmlns:a16="http://schemas.microsoft.com/office/drawing/2014/main" id="{00000000-0008-0000-0500-00003D090000}"/>
            </a:ext>
          </a:extLst>
        </xdr:cNvPr>
        <xdr:cNvSpPr txBox="1">
          <a:spLocks noChangeArrowheads="1"/>
        </xdr:cNvSpPr>
      </xdr:nvSpPr>
      <xdr:spPr bwMode="auto">
        <a:xfrm>
          <a:off x="15388070"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36</xdr:row>
      <xdr:rowOff>0</xdr:rowOff>
    </xdr:from>
    <xdr:ext cx="95250" cy="171450"/>
    <xdr:sp macro="" textlink="">
      <xdr:nvSpPr>
        <xdr:cNvPr id="2366" name="Text Box 18">
          <a:extLst>
            <a:ext uri="{FF2B5EF4-FFF2-40B4-BE49-F238E27FC236}">
              <a16:creationId xmlns:a16="http://schemas.microsoft.com/office/drawing/2014/main" id="{00000000-0008-0000-0500-00003E090000}"/>
            </a:ext>
          </a:extLst>
        </xdr:cNvPr>
        <xdr:cNvSpPr txBox="1">
          <a:spLocks noChangeArrowheads="1"/>
        </xdr:cNvSpPr>
      </xdr:nvSpPr>
      <xdr:spPr bwMode="auto">
        <a:xfrm>
          <a:off x="15388070"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10</xdr:col>
      <xdr:colOff>28575</xdr:colOff>
      <xdr:row>36</xdr:row>
      <xdr:rowOff>170392</xdr:rowOff>
    </xdr:from>
    <xdr:ext cx="95250" cy="213632"/>
    <xdr:sp macro="" textlink="">
      <xdr:nvSpPr>
        <xdr:cNvPr id="2367" name="Text Box 15">
          <a:extLst>
            <a:ext uri="{FF2B5EF4-FFF2-40B4-BE49-F238E27FC236}">
              <a16:creationId xmlns:a16="http://schemas.microsoft.com/office/drawing/2014/main" id="{00000000-0008-0000-0500-00003F090000}"/>
            </a:ext>
          </a:extLst>
        </xdr:cNvPr>
        <xdr:cNvSpPr txBox="1">
          <a:spLocks noChangeArrowheads="1"/>
        </xdr:cNvSpPr>
      </xdr:nvSpPr>
      <xdr:spPr bwMode="auto">
        <a:xfrm>
          <a:off x="12578484" y="7270847"/>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36</xdr:row>
      <xdr:rowOff>0</xdr:rowOff>
    </xdr:from>
    <xdr:ext cx="95250" cy="171450"/>
    <xdr:sp macro="" textlink="">
      <xdr:nvSpPr>
        <xdr:cNvPr id="2368" name="Text Box 16">
          <a:extLst>
            <a:ext uri="{FF2B5EF4-FFF2-40B4-BE49-F238E27FC236}">
              <a16:creationId xmlns:a16="http://schemas.microsoft.com/office/drawing/2014/main" id="{00000000-0008-0000-0500-000040090000}"/>
            </a:ext>
          </a:extLst>
        </xdr:cNvPr>
        <xdr:cNvSpPr txBox="1">
          <a:spLocks noChangeArrowheads="1"/>
        </xdr:cNvSpPr>
      </xdr:nvSpPr>
      <xdr:spPr bwMode="auto">
        <a:xfrm>
          <a:off x="4664364"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36</xdr:row>
      <xdr:rowOff>0</xdr:rowOff>
    </xdr:from>
    <xdr:ext cx="95250" cy="171450"/>
    <xdr:sp macro="" textlink="">
      <xdr:nvSpPr>
        <xdr:cNvPr id="2369" name="Text Box 17">
          <a:extLst>
            <a:ext uri="{FF2B5EF4-FFF2-40B4-BE49-F238E27FC236}">
              <a16:creationId xmlns:a16="http://schemas.microsoft.com/office/drawing/2014/main" id="{00000000-0008-0000-0500-000041090000}"/>
            </a:ext>
          </a:extLst>
        </xdr:cNvPr>
        <xdr:cNvSpPr txBox="1">
          <a:spLocks noChangeArrowheads="1"/>
        </xdr:cNvSpPr>
      </xdr:nvSpPr>
      <xdr:spPr bwMode="auto">
        <a:xfrm>
          <a:off x="4664364"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36</xdr:row>
      <xdr:rowOff>0</xdr:rowOff>
    </xdr:from>
    <xdr:ext cx="95250" cy="171450"/>
    <xdr:sp macro="" textlink="">
      <xdr:nvSpPr>
        <xdr:cNvPr id="2370" name="Text Box 18">
          <a:extLst>
            <a:ext uri="{FF2B5EF4-FFF2-40B4-BE49-F238E27FC236}">
              <a16:creationId xmlns:a16="http://schemas.microsoft.com/office/drawing/2014/main" id="{00000000-0008-0000-0500-000042090000}"/>
            </a:ext>
          </a:extLst>
        </xdr:cNvPr>
        <xdr:cNvSpPr txBox="1">
          <a:spLocks noChangeArrowheads="1"/>
        </xdr:cNvSpPr>
      </xdr:nvSpPr>
      <xdr:spPr bwMode="auto">
        <a:xfrm>
          <a:off x="4664364"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36</xdr:row>
      <xdr:rowOff>0</xdr:rowOff>
    </xdr:from>
    <xdr:ext cx="95250" cy="171450"/>
    <xdr:sp macro="" textlink="">
      <xdr:nvSpPr>
        <xdr:cNvPr id="2371" name="Text Box 19">
          <a:extLst>
            <a:ext uri="{FF2B5EF4-FFF2-40B4-BE49-F238E27FC236}">
              <a16:creationId xmlns:a16="http://schemas.microsoft.com/office/drawing/2014/main" id="{00000000-0008-0000-0500-000043090000}"/>
            </a:ext>
          </a:extLst>
        </xdr:cNvPr>
        <xdr:cNvSpPr txBox="1">
          <a:spLocks noChangeArrowheads="1"/>
        </xdr:cNvSpPr>
      </xdr:nvSpPr>
      <xdr:spPr bwMode="auto">
        <a:xfrm>
          <a:off x="4664364"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36</xdr:row>
      <xdr:rowOff>0</xdr:rowOff>
    </xdr:from>
    <xdr:ext cx="95250" cy="171450"/>
    <xdr:sp macro="" textlink="">
      <xdr:nvSpPr>
        <xdr:cNvPr id="2372" name="Text Box 16">
          <a:extLst>
            <a:ext uri="{FF2B5EF4-FFF2-40B4-BE49-F238E27FC236}">
              <a16:creationId xmlns:a16="http://schemas.microsoft.com/office/drawing/2014/main" id="{00000000-0008-0000-0500-000044090000}"/>
            </a:ext>
          </a:extLst>
        </xdr:cNvPr>
        <xdr:cNvSpPr txBox="1">
          <a:spLocks noChangeArrowheads="1"/>
        </xdr:cNvSpPr>
      </xdr:nvSpPr>
      <xdr:spPr bwMode="auto">
        <a:xfrm>
          <a:off x="12540961"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36</xdr:row>
      <xdr:rowOff>0</xdr:rowOff>
    </xdr:from>
    <xdr:ext cx="95250" cy="171450"/>
    <xdr:sp macro="" textlink="">
      <xdr:nvSpPr>
        <xdr:cNvPr id="2373" name="Text Box 17">
          <a:extLst>
            <a:ext uri="{FF2B5EF4-FFF2-40B4-BE49-F238E27FC236}">
              <a16:creationId xmlns:a16="http://schemas.microsoft.com/office/drawing/2014/main" id="{00000000-0008-0000-0500-000045090000}"/>
            </a:ext>
          </a:extLst>
        </xdr:cNvPr>
        <xdr:cNvSpPr txBox="1">
          <a:spLocks noChangeArrowheads="1"/>
        </xdr:cNvSpPr>
      </xdr:nvSpPr>
      <xdr:spPr bwMode="auto">
        <a:xfrm>
          <a:off x="12540961"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36</xdr:row>
      <xdr:rowOff>0</xdr:rowOff>
    </xdr:from>
    <xdr:ext cx="95250" cy="171450"/>
    <xdr:sp macro="" textlink="">
      <xdr:nvSpPr>
        <xdr:cNvPr id="2374" name="Text Box 18">
          <a:extLst>
            <a:ext uri="{FF2B5EF4-FFF2-40B4-BE49-F238E27FC236}">
              <a16:creationId xmlns:a16="http://schemas.microsoft.com/office/drawing/2014/main" id="{00000000-0008-0000-0500-000046090000}"/>
            </a:ext>
          </a:extLst>
        </xdr:cNvPr>
        <xdr:cNvSpPr txBox="1">
          <a:spLocks noChangeArrowheads="1"/>
        </xdr:cNvSpPr>
      </xdr:nvSpPr>
      <xdr:spPr bwMode="auto">
        <a:xfrm>
          <a:off x="12540961"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36</xdr:row>
      <xdr:rowOff>0</xdr:rowOff>
    </xdr:from>
    <xdr:ext cx="95250" cy="171450"/>
    <xdr:sp macro="" textlink="">
      <xdr:nvSpPr>
        <xdr:cNvPr id="2375" name="Text Box 19">
          <a:extLst>
            <a:ext uri="{FF2B5EF4-FFF2-40B4-BE49-F238E27FC236}">
              <a16:creationId xmlns:a16="http://schemas.microsoft.com/office/drawing/2014/main" id="{00000000-0008-0000-0500-000047090000}"/>
            </a:ext>
          </a:extLst>
        </xdr:cNvPr>
        <xdr:cNvSpPr txBox="1">
          <a:spLocks noChangeArrowheads="1"/>
        </xdr:cNvSpPr>
      </xdr:nvSpPr>
      <xdr:spPr bwMode="auto">
        <a:xfrm>
          <a:off x="12540961"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21</xdr:col>
      <xdr:colOff>0</xdr:colOff>
      <xdr:row>31</xdr:row>
      <xdr:rowOff>0</xdr:rowOff>
    </xdr:from>
    <xdr:ext cx="95250" cy="171450"/>
    <xdr:sp macro="" textlink="">
      <xdr:nvSpPr>
        <xdr:cNvPr id="2376" name="Text Box 16">
          <a:extLst>
            <a:ext uri="{FF2B5EF4-FFF2-40B4-BE49-F238E27FC236}">
              <a16:creationId xmlns:a16="http://schemas.microsoft.com/office/drawing/2014/main" id="{00000000-0008-0000-0500-000048090000}"/>
            </a:ext>
          </a:extLst>
        </xdr:cNvPr>
        <xdr:cNvSpPr txBox="1">
          <a:spLocks noChangeArrowheads="1"/>
        </xdr:cNvSpPr>
      </xdr:nvSpPr>
      <xdr:spPr bwMode="auto">
        <a:xfrm>
          <a:off x="21832455" y="5992091"/>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21</xdr:col>
      <xdr:colOff>0</xdr:colOff>
      <xdr:row>31</xdr:row>
      <xdr:rowOff>0</xdr:rowOff>
    </xdr:from>
    <xdr:ext cx="95250" cy="171450"/>
    <xdr:sp macro="" textlink="">
      <xdr:nvSpPr>
        <xdr:cNvPr id="2377" name="Text Box 17">
          <a:extLst>
            <a:ext uri="{FF2B5EF4-FFF2-40B4-BE49-F238E27FC236}">
              <a16:creationId xmlns:a16="http://schemas.microsoft.com/office/drawing/2014/main" id="{00000000-0008-0000-0500-000049090000}"/>
            </a:ext>
          </a:extLst>
        </xdr:cNvPr>
        <xdr:cNvSpPr txBox="1">
          <a:spLocks noChangeArrowheads="1"/>
        </xdr:cNvSpPr>
      </xdr:nvSpPr>
      <xdr:spPr bwMode="auto">
        <a:xfrm>
          <a:off x="21832455" y="5992091"/>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21</xdr:col>
      <xdr:colOff>0</xdr:colOff>
      <xdr:row>31</xdr:row>
      <xdr:rowOff>0</xdr:rowOff>
    </xdr:from>
    <xdr:ext cx="95250" cy="171450"/>
    <xdr:sp macro="" textlink="">
      <xdr:nvSpPr>
        <xdr:cNvPr id="2378" name="Text Box 18">
          <a:extLst>
            <a:ext uri="{FF2B5EF4-FFF2-40B4-BE49-F238E27FC236}">
              <a16:creationId xmlns:a16="http://schemas.microsoft.com/office/drawing/2014/main" id="{00000000-0008-0000-0500-00004A090000}"/>
            </a:ext>
          </a:extLst>
        </xdr:cNvPr>
        <xdr:cNvSpPr txBox="1">
          <a:spLocks noChangeArrowheads="1"/>
        </xdr:cNvSpPr>
      </xdr:nvSpPr>
      <xdr:spPr bwMode="auto">
        <a:xfrm>
          <a:off x="21832455" y="5992091"/>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21</xdr:col>
      <xdr:colOff>0</xdr:colOff>
      <xdr:row>31</xdr:row>
      <xdr:rowOff>0</xdr:rowOff>
    </xdr:from>
    <xdr:ext cx="95250" cy="171450"/>
    <xdr:sp macro="" textlink="">
      <xdr:nvSpPr>
        <xdr:cNvPr id="2379" name="Text Box 19">
          <a:extLst>
            <a:ext uri="{FF2B5EF4-FFF2-40B4-BE49-F238E27FC236}">
              <a16:creationId xmlns:a16="http://schemas.microsoft.com/office/drawing/2014/main" id="{00000000-0008-0000-0500-00004B090000}"/>
            </a:ext>
          </a:extLst>
        </xdr:cNvPr>
        <xdr:cNvSpPr txBox="1">
          <a:spLocks noChangeArrowheads="1"/>
        </xdr:cNvSpPr>
      </xdr:nvSpPr>
      <xdr:spPr bwMode="auto">
        <a:xfrm>
          <a:off x="21832455" y="5992091"/>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34</xdr:row>
      <xdr:rowOff>504825</xdr:rowOff>
    </xdr:from>
    <xdr:ext cx="95250" cy="444014"/>
    <xdr:sp macro="" textlink="">
      <xdr:nvSpPr>
        <xdr:cNvPr id="2380" name="Text Box 15">
          <a:extLst>
            <a:ext uri="{FF2B5EF4-FFF2-40B4-BE49-F238E27FC236}">
              <a16:creationId xmlns:a16="http://schemas.microsoft.com/office/drawing/2014/main" id="{00000000-0008-0000-0500-00004C090000}"/>
            </a:ext>
          </a:extLst>
        </xdr:cNvPr>
        <xdr:cNvSpPr txBox="1">
          <a:spLocks noChangeArrowheads="1"/>
        </xdr:cNvSpPr>
      </xdr:nvSpPr>
      <xdr:spPr bwMode="auto">
        <a:xfrm>
          <a:off x="4664364" y="6733020"/>
          <a:ext cx="95250" cy="444014"/>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36</xdr:row>
      <xdr:rowOff>0</xdr:rowOff>
    </xdr:from>
    <xdr:ext cx="95250" cy="171450"/>
    <xdr:sp macro="" textlink="">
      <xdr:nvSpPr>
        <xdr:cNvPr id="2381" name="Text Box 16">
          <a:extLst>
            <a:ext uri="{FF2B5EF4-FFF2-40B4-BE49-F238E27FC236}">
              <a16:creationId xmlns:a16="http://schemas.microsoft.com/office/drawing/2014/main" id="{00000000-0008-0000-0500-00004D090000}"/>
            </a:ext>
          </a:extLst>
        </xdr:cNvPr>
        <xdr:cNvSpPr txBox="1">
          <a:spLocks noChangeArrowheads="1"/>
        </xdr:cNvSpPr>
      </xdr:nvSpPr>
      <xdr:spPr bwMode="auto">
        <a:xfrm>
          <a:off x="4664364"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36</xdr:row>
      <xdr:rowOff>0</xdr:rowOff>
    </xdr:from>
    <xdr:ext cx="95250" cy="171450"/>
    <xdr:sp macro="" textlink="">
      <xdr:nvSpPr>
        <xdr:cNvPr id="2382" name="Text Box 17">
          <a:extLst>
            <a:ext uri="{FF2B5EF4-FFF2-40B4-BE49-F238E27FC236}">
              <a16:creationId xmlns:a16="http://schemas.microsoft.com/office/drawing/2014/main" id="{00000000-0008-0000-0500-00004E090000}"/>
            </a:ext>
          </a:extLst>
        </xdr:cNvPr>
        <xdr:cNvSpPr txBox="1">
          <a:spLocks noChangeArrowheads="1"/>
        </xdr:cNvSpPr>
      </xdr:nvSpPr>
      <xdr:spPr bwMode="auto">
        <a:xfrm>
          <a:off x="4664364"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36</xdr:row>
      <xdr:rowOff>0</xdr:rowOff>
    </xdr:from>
    <xdr:ext cx="95250" cy="171450"/>
    <xdr:sp macro="" textlink="">
      <xdr:nvSpPr>
        <xdr:cNvPr id="2383" name="Text Box 18">
          <a:extLst>
            <a:ext uri="{FF2B5EF4-FFF2-40B4-BE49-F238E27FC236}">
              <a16:creationId xmlns:a16="http://schemas.microsoft.com/office/drawing/2014/main" id="{00000000-0008-0000-0500-00004F090000}"/>
            </a:ext>
          </a:extLst>
        </xdr:cNvPr>
        <xdr:cNvSpPr txBox="1">
          <a:spLocks noChangeArrowheads="1"/>
        </xdr:cNvSpPr>
      </xdr:nvSpPr>
      <xdr:spPr bwMode="auto">
        <a:xfrm>
          <a:off x="4664364"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36</xdr:row>
      <xdr:rowOff>0</xdr:rowOff>
    </xdr:from>
    <xdr:ext cx="95250" cy="171450"/>
    <xdr:sp macro="" textlink="">
      <xdr:nvSpPr>
        <xdr:cNvPr id="2384" name="Text Box 19">
          <a:extLst>
            <a:ext uri="{FF2B5EF4-FFF2-40B4-BE49-F238E27FC236}">
              <a16:creationId xmlns:a16="http://schemas.microsoft.com/office/drawing/2014/main" id="{00000000-0008-0000-0500-000050090000}"/>
            </a:ext>
          </a:extLst>
        </xdr:cNvPr>
        <xdr:cNvSpPr txBox="1">
          <a:spLocks noChangeArrowheads="1"/>
        </xdr:cNvSpPr>
      </xdr:nvSpPr>
      <xdr:spPr bwMode="auto">
        <a:xfrm>
          <a:off x="4664364"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36</xdr:row>
      <xdr:rowOff>0</xdr:rowOff>
    </xdr:from>
    <xdr:ext cx="95250" cy="171450"/>
    <xdr:sp macro="" textlink="">
      <xdr:nvSpPr>
        <xdr:cNvPr id="2385" name="Text Box 16">
          <a:extLst>
            <a:ext uri="{FF2B5EF4-FFF2-40B4-BE49-F238E27FC236}">
              <a16:creationId xmlns:a16="http://schemas.microsoft.com/office/drawing/2014/main" id="{00000000-0008-0000-0500-000051090000}"/>
            </a:ext>
          </a:extLst>
        </xdr:cNvPr>
        <xdr:cNvSpPr txBox="1">
          <a:spLocks noChangeArrowheads="1"/>
        </xdr:cNvSpPr>
      </xdr:nvSpPr>
      <xdr:spPr bwMode="auto">
        <a:xfrm>
          <a:off x="12540961"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36</xdr:row>
      <xdr:rowOff>0</xdr:rowOff>
    </xdr:from>
    <xdr:ext cx="95250" cy="171450"/>
    <xdr:sp macro="" textlink="">
      <xdr:nvSpPr>
        <xdr:cNvPr id="2386" name="Text Box 17">
          <a:extLst>
            <a:ext uri="{FF2B5EF4-FFF2-40B4-BE49-F238E27FC236}">
              <a16:creationId xmlns:a16="http://schemas.microsoft.com/office/drawing/2014/main" id="{00000000-0008-0000-0500-000052090000}"/>
            </a:ext>
          </a:extLst>
        </xdr:cNvPr>
        <xdr:cNvSpPr txBox="1">
          <a:spLocks noChangeArrowheads="1"/>
        </xdr:cNvSpPr>
      </xdr:nvSpPr>
      <xdr:spPr bwMode="auto">
        <a:xfrm>
          <a:off x="12540961"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1020762</xdr:colOff>
      <xdr:row>36</xdr:row>
      <xdr:rowOff>15875</xdr:rowOff>
    </xdr:from>
    <xdr:ext cx="95250" cy="171450"/>
    <xdr:sp macro="" textlink="">
      <xdr:nvSpPr>
        <xdr:cNvPr id="2387" name="Text Box 18">
          <a:extLst>
            <a:ext uri="{FF2B5EF4-FFF2-40B4-BE49-F238E27FC236}">
              <a16:creationId xmlns:a16="http://schemas.microsoft.com/office/drawing/2014/main" id="{00000000-0008-0000-0500-000053090000}"/>
            </a:ext>
          </a:extLst>
        </xdr:cNvPr>
        <xdr:cNvSpPr txBox="1">
          <a:spLocks noChangeArrowheads="1"/>
        </xdr:cNvSpPr>
      </xdr:nvSpPr>
      <xdr:spPr bwMode="auto">
        <a:xfrm>
          <a:off x="12485398" y="7116330"/>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36</xdr:row>
      <xdr:rowOff>0</xdr:rowOff>
    </xdr:from>
    <xdr:ext cx="95250" cy="171450"/>
    <xdr:sp macro="" textlink="">
      <xdr:nvSpPr>
        <xdr:cNvPr id="2388" name="Text Box 16">
          <a:extLst>
            <a:ext uri="{FF2B5EF4-FFF2-40B4-BE49-F238E27FC236}">
              <a16:creationId xmlns:a16="http://schemas.microsoft.com/office/drawing/2014/main" id="{00000000-0008-0000-0500-000054090000}"/>
            </a:ext>
          </a:extLst>
        </xdr:cNvPr>
        <xdr:cNvSpPr txBox="1">
          <a:spLocks noChangeArrowheads="1"/>
        </xdr:cNvSpPr>
      </xdr:nvSpPr>
      <xdr:spPr bwMode="auto">
        <a:xfrm>
          <a:off x="15388070"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36</xdr:row>
      <xdr:rowOff>0</xdr:rowOff>
    </xdr:from>
    <xdr:ext cx="95250" cy="171450"/>
    <xdr:sp macro="" textlink="">
      <xdr:nvSpPr>
        <xdr:cNvPr id="2389" name="Text Box 17">
          <a:extLst>
            <a:ext uri="{FF2B5EF4-FFF2-40B4-BE49-F238E27FC236}">
              <a16:creationId xmlns:a16="http://schemas.microsoft.com/office/drawing/2014/main" id="{00000000-0008-0000-0500-000055090000}"/>
            </a:ext>
          </a:extLst>
        </xdr:cNvPr>
        <xdr:cNvSpPr txBox="1">
          <a:spLocks noChangeArrowheads="1"/>
        </xdr:cNvSpPr>
      </xdr:nvSpPr>
      <xdr:spPr bwMode="auto">
        <a:xfrm>
          <a:off x="15388070"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36</xdr:row>
      <xdr:rowOff>0</xdr:rowOff>
    </xdr:from>
    <xdr:ext cx="95250" cy="171450"/>
    <xdr:sp macro="" textlink="">
      <xdr:nvSpPr>
        <xdr:cNvPr id="2390" name="Text Box 18">
          <a:extLst>
            <a:ext uri="{FF2B5EF4-FFF2-40B4-BE49-F238E27FC236}">
              <a16:creationId xmlns:a16="http://schemas.microsoft.com/office/drawing/2014/main" id="{00000000-0008-0000-0500-000056090000}"/>
            </a:ext>
          </a:extLst>
        </xdr:cNvPr>
        <xdr:cNvSpPr txBox="1">
          <a:spLocks noChangeArrowheads="1"/>
        </xdr:cNvSpPr>
      </xdr:nvSpPr>
      <xdr:spPr bwMode="auto">
        <a:xfrm>
          <a:off x="15388070"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36</xdr:row>
      <xdr:rowOff>0</xdr:rowOff>
    </xdr:from>
    <xdr:ext cx="95250" cy="171450"/>
    <xdr:sp macro="" textlink="">
      <xdr:nvSpPr>
        <xdr:cNvPr id="2391" name="Text Box 19">
          <a:extLst>
            <a:ext uri="{FF2B5EF4-FFF2-40B4-BE49-F238E27FC236}">
              <a16:creationId xmlns:a16="http://schemas.microsoft.com/office/drawing/2014/main" id="{00000000-0008-0000-0500-000057090000}"/>
            </a:ext>
          </a:extLst>
        </xdr:cNvPr>
        <xdr:cNvSpPr txBox="1">
          <a:spLocks noChangeArrowheads="1"/>
        </xdr:cNvSpPr>
      </xdr:nvSpPr>
      <xdr:spPr bwMode="auto">
        <a:xfrm>
          <a:off x="15388070"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36</xdr:row>
      <xdr:rowOff>0</xdr:rowOff>
    </xdr:from>
    <xdr:ext cx="95250" cy="171450"/>
    <xdr:sp macro="" textlink="">
      <xdr:nvSpPr>
        <xdr:cNvPr id="2392" name="Text Box 16">
          <a:extLst>
            <a:ext uri="{FF2B5EF4-FFF2-40B4-BE49-F238E27FC236}">
              <a16:creationId xmlns:a16="http://schemas.microsoft.com/office/drawing/2014/main" id="{00000000-0008-0000-0500-000058090000}"/>
            </a:ext>
          </a:extLst>
        </xdr:cNvPr>
        <xdr:cNvSpPr txBox="1">
          <a:spLocks noChangeArrowheads="1"/>
        </xdr:cNvSpPr>
      </xdr:nvSpPr>
      <xdr:spPr bwMode="auto">
        <a:xfrm>
          <a:off x="15388070"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10</xdr:col>
      <xdr:colOff>28575</xdr:colOff>
      <xdr:row>36</xdr:row>
      <xdr:rowOff>170392</xdr:rowOff>
    </xdr:from>
    <xdr:ext cx="95250" cy="213632"/>
    <xdr:sp macro="" textlink="">
      <xdr:nvSpPr>
        <xdr:cNvPr id="2393" name="Text Box 15">
          <a:extLst>
            <a:ext uri="{FF2B5EF4-FFF2-40B4-BE49-F238E27FC236}">
              <a16:creationId xmlns:a16="http://schemas.microsoft.com/office/drawing/2014/main" id="{00000000-0008-0000-0500-000059090000}"/>
            </a:ext>
          </a:extLst>
        </xdr:cNvPr>
        <xdr:cNvSpPr txBox="1">
          <a:spLocks noChangeArrowheads="1"/>
        </xdr:cNvSpPr>
      </xdr:nvSpPr>
      <xdr:spPr bwMode="auto">
        <a:xfrm>
          <a:off x="12578484" y="7270847"/>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36</xdr:row>
      <xdr:rowOff>504825</xdr:rowOff>
    </xdr:from>
    <xdr:ext cx="95250" cy="448496"/>
    <xdr:sp macro="" textlink="">
      <xdr:nvSpPr>
        <xdr:cNvPr id="2394" name="Text Box 15">
          <a:extLst>
            <a:ext uri="{FF2B5EF4-FFF2-40B4-BE49-F238E27FC236}">
              <a16:creationId xmlns:a16="http://schemas.microsoft.com/office/drawing/2014/main" id="{00000000-0008-0000-0500-00005A090000}"/>
            </a:ext>
          </a:extLst>
        </xdr:cNvPr>
        <xdr:cNvSpPr txBox="1">
          <a:spLocks noChangeArrowheads="1"/>
        </xdr:cNvSpPr>
      </xdr:nvSpPr>
      <xdr:spPr bwMode="auto">
        <a:xfrm>
          <a:off x="4664364" y="5994111"/>
          <a:ext cx="95250" cy="448496"/>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36</xdr:row>
      <xdr:rowOff>504825</xdr:rowOff>
    </xdr:from>
    <xdr:ext cx="95250" cy="442269"/>
    <xdr:sp macro="" textlink="">
      <xdr:nvSpPr>
        <xdr:cNvPr id="2395" name="Text Box 15">
          <a:extLst>
            <a:ext uri="{FF2B5EF4-FFF2-40B4-BE49-F238E27FC236}">
              <a16:creationId xmlns:a16="http://schemas.microsoft.com/office/drawing/2014/main" id="{00000000-0008-0000-0500-00005B090000}"/>
            </a:ext>
          </a:extLst>
        </xdr:cNvPr>
        <xdr:cNvSpPr txBox="1">
          <a:spLocks noChangeArrowheads="1"/>
        </xdr:cNvSpPr>
      </xdr:nvSpPr>
      <xdr:spPr bwMode="auto">
        <a:xfrm>
          <a:off x="12540961" y="5994111"/>
          <a:ext cx="95250" cy="442269"/>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36</xdr:row>
      <xdr:rowOff>504825</xdr:rowOff>
    </xdr:from>
    <xdr:ext cx="95250" cy="213632"/>
    <xdr:sp macro="" textlink="">
      <xdr:nvSpPr>
        <xdr:cNvPr id="2397" name="Text Box 15">
          <a:extLst>
            <a:ext uri="{FF2B5EF4-FFF2-40B4-BE49-F238E27FC236}">
              <a16:creationId xmlns:a16="http://schemas.microsoft.com/office/drawing/2014/main" id="{00000000-0008-0000-0500-00005D090000}"/>
            </a:ext>
          </a:extLst>
        </xdr:cNvPr>
        <xdr:cNvSpPr txBox="1">
          <a:spLocks noChangeArrowheads="1"/>
        </xdr:cNvSpPr>
      </xdr:nvSpPr>
      <xdr:spPr bwMode="auto">
        <a:xfrm>
          <a:off x="4664364" y="5994111"/>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36</xdr:row>
      <xdr:rowOff>504825</xdr:rowOff>
    </xdr:from>
    <xdr:ext cx="95250" cy="444331"/>
    <xdr:sp macro="" textlink="">
      <xdr:nvSpPr>
        <xdr:cNvPr id="2398" name="Text Box 15">
          <a:extLst>
            <a:ext uri="{FF2B5EF4-FFF2-40B4-BE49-F238E27FC236}">
              <a16:creationId xmlns:a16="http://schemas.microsoft.com/office/drawing/2014/main" id="{00000000-0008-0000-0500-00005E090000}"/>
            </a:ext>
          </a:extLst>
        </xdr:cNvPr>
        <xdr:cNvSpPr txBox="1">
          <a:spLocks noChangeArrowheads="1"/>
        </xdr:cNvSpPr>
      </xdr:nvSpPr>
      <xdr:spPr bwMode="auto">
        <a:xfrm>
          <a:off x="4664364" y="5994111"/>
          <a:ext cx="95250" cy="444331"/>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10</xdr:col>
      <xdr:colOff>28575</xdr:colOff>
      <xdr:row>36</xdr:row>
      <xdr:rowOff>170392</xdr:rowOff>
    </xdr:from>
    <xdr:ext cx="95250" cy="213632"/>
    <xdr:sp macro="" textlink="">
      <xdr:nvSpPr>
        <xdr:cNvPr id="2399" name="Text Box 15">
          <a:extLst>
            <a:ext uri="{FF2B5EF4-FFF2-40B4-BE49-F238E27FC236}">
              <a16:creationId xmlns:a16="http://schemas.microsoft.com/office/drawing/2014/main" id="{00000000-0008-0000-0500-00005F090000}"/>
            </a:ext>
          </a:extLst>
        </xdr:cNvPr>
        <xdr:cNvSpPr txBox="1">
          <a:spLocks noChangeArrowheads="1"/>
        </xdr:cNvSpPr>
      </xdr:nvSpPr>
      <xdr:spPr bwMode="auto">
        <a:xfrm>
          <a:off x="12578484" y="5793028"/>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42</xdr:row>
      <xdr:rowOff>0</xdr:rowOff>
    </xdr:from>
    <xdr:ext cx="95250" cy="171450"/>
    <xdr:sp macro="" textlink="">
      <xdr:nvSpPr>
        <xdr:cNvPr id="2400" name="Text Box 16">
          <a:extLst>
            <a:ext uri="{FF2B5EF4-FFF2-40B4-BE49-F238E27FC236}">
              <a16:creationId xmlns:a16="http://schemas.microsoft.com/office/drawing/2014/main" id="{00000000-0008-0000-0500-000060090000}"/>
            </a:ext>
          </a:extLst>
        </xdr:cNvPr>
        <xdr:cNvSpPr txBox="1">
          <a:spLocks noChangeArrowheads="1"/>
        </xdr:cNvSpPr>
      </xdr:nvSpPr>
      <xdr:spPr bwMode="auto">
        <a:xfrm>
          <a:off x="4664364"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42</xdr:row>
      <xdr:rowOff>0</xdr:rowOff>
    </xdr:from>
    <xdr:ext cx="95250" cy="171450"/>
    <xdr:sp macro="" textlink="">
      <xdr:nvSpPr>
        <xdr:cNvPr id="2401" name="Text Box 17">
          <a:extLst>
            <a:ext uri="{FF2B5EF4-FFF2-40B4-BE49-F238E27FC236}">
              <a16:creationId xmlns:a16="http://schemas.microsoft.com/office/drawing/2014/main" id="{00000000-0008-0000-0500-000061090000}"/>
            </a:ext>
          </a:extLst>
        </xdr:cNvPr>
        <xdr:cNvSpPr txBox="1">
          <a:spLocks noChangeArrowheads="1"/>
        </xdr:cNvSpPr>
      </xdr:nvSpPr>
      <xdr:spPr bwMode="auto">
        <a:xfrm>
          <a:off x="4664364"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42</xdr:row>
      <xdr:rowOff>0</xdr:rowOff>
    </xdr:from>
    <xdr:ext cx="95250" cy="171450"/>
    <xdr:sp macro="" textlink="">
      <xdr:nvSpPr>
        <xdr:cNvPr id="2402" name="Text Box 18">
          <a:extLst>
            <a:ext uri="{FF2B5EF4-FFF2-40B4-BE49-F238E27FC236}">
              <a16:creationId xmlns:a16="http://schemas.microsoft.com/office/drawing/2014/main" id="{00000000-0008-0000-0500-000062090000}"/>
            </a:ext>
          </a:extLst>
        </xdr:cNvPr>
        <xdr:cNvSpPr txBox="1">
          <a:spLocks noChangeArrowheads="1"/>
        </xdr:cNvSpPr>
      </xdr:nvSpPr>
      <xdr:spPr bwMode="auto">
        <a:xfrm>
          <a:off x="4664364"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42</xdr:row>
      <xdr:rowOff>0</xdr:rowOff>
    </xdr:from>
    <xdr:ext cx="95250" cy="171450"/>
    <xdr:sp macro="" textlink="">
      <xdr:nvSpPr>
        <xdr:cNvPr id="2403" name="Text Box 19">
          <a:extLst>
            <a:ext uri="{FF2B5EF4-FFF2-40B4-BE49-F238E27FC236}">
              <a16:creationId xmlns:a16="http://schemas.microsoft.com/office/drawing/2014/main" id="{00000000-0008-0000-0500-000063090000}"/>
            </a:ext>
          </a:extLst>
        </xdr:cNvPr>
        <xdr:cNvSpPr txBox="1">
          <a:spLocks noChangeArrowheads="1"/>
        </xdr:cNvSpPr>
      </xdr:nvSpPr>
      <xdr:spPr bwMode="auto">
        <a:xfrm>
          <a:off x="4664364"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42</xdr:row>
      <xdr:rowOff>0</xdr:rowOff>
    </xdr:from>
    <xdr:ext cx="95250" cy="171450"/>
    <xdr:sp macro="" textlink="">
      <xdr:nvSpPr>
        <xdr:cNvPr id="2404" name="Text Box 16">
          <a:extLst>
            <a:ext uri="{FF2B5EF4-FFF2-40B4-BE49-F238E27FC236}">
              <a16:creationId xmlns:a16="http://schemas.microsoft.com/office/drawing/2014/main" id="{00000000-0008-0000-0500-000064090000}"/>
            </a:ext>
          </a:extLst>
        </xdr:cNvPr>
        <xdr:cNvSpPr txBox="1">
          <a:spLocks noChangeArrowheads="1"/>
        </xdr:cNvSpPr>
      </xdr:nvSpPr>
      <xdr:spPr bwMode="auto">
        <a:xfrm>
          <a:off x="12540961"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42</xdr:row>
      <xdr:rowOff>0</xdr:rowOff>
    </xdr:from>
    <xdr:ext cx="95250" cy="171450"/>
    <xdr:sp macro="" textlink="">
      <xdr:nvSpPr>
        <xdr:cNvPr id="2405" name="Text Box 17">
          <a:extLst>
            <a:ext uri="{FF2B5EF4-FFF2-40B4-BE49-F238E27FC236}">
              <a16:creationId xmlns:a16="http://schemas.microsoft.com/office/drawing/2014/main" id="{00000000-0008-0000-0500-000065090000}"/>
            </a:ext>
          </a:extLst>
        </xdr:cNvPr>
        <xdr:cNvSpPr txBox="1">
          <a:spLocks noChangeArrowheads="1"/>
        </xdr:cNvSpPr>
      </xdr:nvSpPr>
      <xdr:spPr bwMode="auto">
        <a:xfrm>
          <a:off x="12540961"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42</xdr:row>
      <xdr:rowOff>0</xdr:rowOff>
    </xdr:from>
    <xdr:ext cx="95250" cy="171450"/>
    <xdr:sp macro="" textlink="">
      <xdr:nvSpPr>
        <xdr:cNvPr id="2406" name="Text Box 18">
          <a:extLst>
            <a:ext uri="{FF2B5EF4-FFF2-40B4-BE49-F238E27FC236}">
              <a16:creationId xmlns:a16="http://schemas.microsoft.com/office/drawing/2014/main" id="{00000000-0008-0000-0500-000066090000}"/>
            </a:ext>
          </a:extLst>
        </xdr:cNvPr>
        <xdr:cNvSpPr txBox="1">
          <a:spLocks noChangeArrowheads="1"/>
        </xdr:cNvSpPr>
      </xdr:nvSpPr>
      <xdr:spPr bwMode="auto">
        <a:xfrm>
          <a:off x="12540961"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42</xdr:row>
      <xdr:rowOff>0</xdr:rowOff>
    </xdr:from>
    <xdr:ext cx="95250" cy="171450"/>
    <xdr:sp macro="" textlink="">
      <xdr:nvSpPr>
        <xdr:cNvPr id="2407" name="Text Box 19">
          <a:extLst>
            <a:ext uri="{FF2B5EF4-FFF2-40B4-BE49-F238E27FC236}">
              <a16:creationId xmlns:a16="http://schemas.microsoft.com/office/drawing/2014/main" id="{00000000-0008-0000-0500-000067090000}"/>
            </a:ext>
          </a:extLst>
        </xdr:cNvPr>
        <xdr:cNvSpPr txBox="1">
          <a:spLocks noChangeArrowheads="1"/>
        </xdr:cNvSpPr>
      </xdr:nvSpPr>
      <xdr:spPr bwMode="auto">
        <a:xfrm>
          <a:off x="12540961"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21</xdr:col>
      <xdr:colOff>0</xdr:colOff>
      <xdr:row>42</xdr:row>
      <xdr:rowOff>0</xdr:rowOff>
    </xdr:from>
    <xdr:ext cx="95250" cy="171450"/>
    <xdr:sp macro="" textlink="">
      <xdr:nvSpPr>
        <xdr:cNvPr id="2408" name="Text Box 16">
          <a:extLst>
            <a:ext uri="{FF2B5EF4-FFF2-40B4-BE49-F238E27FC236}">
              <a16:creationId xmlns:a16="http://schemas.microsoft.com/office/drawing/2014/main" id="{00000000-0008-0000-0500-000068090000}"/>
            </a:ext>
          </a:extLst>
        </xdr:cNvPr>
        <xdr:cNvSpPr txBox="1">
          <a:spLocks noChangeArrowheads="1"/>
        </xdr:cNvSpPr>
      </xdr:nvSpPr>
      <xdr:spPr bwMode="auto">
        <a:xfrm>
          <a:off x="21832455"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21</xdr:col>
      <xdr:colOff>0</xdr:colOff>
      <xdr:row>42</xdr:row>
      <xdr:rowOff>0</xdr:rowOff>
    </xdr:from>
    <xdr:ext cx="95250" cy="171450"/>
    <xdr:sp macro="" textlink="">
      <xdr:nvSpPr>
        <xdr:cNvPr id="2409" name="Text Box 17">
          <a:extLst>
            <a:ext uri="{FF2B5EF4-FFF2-40B4-BE49-F238E27FC236}">
              <a16:creationId xmlns:a16="http://schemas.microsoft.com/office/drawing/2014/main" id="{00000000-0008-0000-0500-000069090000}"/>
            </a:ext>
          </a:extLst>
        </xdr:cNvPr>
        <xdr:cNvSpPr txBox="1">
          <a:spLocks noChangeArrowheads="1"/>
        </xdr:cNvSpPr>
      </xdr:nvSpPr>
      <xdr:spPr bwMode="auto">
        <a:xfrm>
          <a:off x="21832455"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21</xdr:col>
      <xdr:colOff>0</xdr:colOff>
      <xdr:row>42</xdr:row>
      <xdr:rowOff>0</xdr:rowOff>
    </xdr:from>
    <xdr:ext cx="95250" cy="171450"/>
    <xdr:sp macro="" textlink="">
      <xdr:nvSpPr>
        <xdr:cNvPr id="2410" name="Text Box 18">
          <a:extLst>
            <a:ext uri="{FF2B5EF4-FFF2-40B4-BE49-F238E27FC236}">
              <a16:creationId xmlns:a16="http://schemas.microsoft.com/office/drawing/2014/main" id="{00000000-0008-0000-0500-00006A090000}"/>
            </a:ext>
          </a:extLst>
        </xdr:cNvPr>
        <xdr:cNvSpPr txBox="1">
          <a:spLocks noChangeArrowheads="1"/>
        </xdr:cNvSpPr>
      </xdr:nvSpPr>
      <xdr:spPr bwMode="auto">
        <a:xfrm>
          <a:off x="21832455"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21</xdr:col>
      <xdr:colOff>0</xdr:colOff>
      <xdr:row>42</xdr:row>
      <xdr:rowOff>0</xdr:rowOff>
    </xdr:from>
    <xdr:ext cx="95250" cy="171450"/>
    <xdr:sp macro="" textlink="">
      <xdr:nvSpPr>
        <xdr:cNvPr id="2411" name="Text Box 19">
          <a:extLst>
            <a:ext uri="{FF2B5EF4-FFF2-40B4-BE49-F238E27FC236}">
              <a16:creationId xmlns:a16="http://schemas.microsoft.com/office/drawing/2014/main" id="{00000000-0008-0000-0500-00006B090000}"/>
            </a:ext>
          </a:extLst>
        </xdr:cNvPr>
        <xdr:cNvSpPr txBox="1">
          <a:spLocks noChangeArrowheads="1"/>
        </xdr:cNvSpPr>
      </xdr:nvSpPr>
      <xdr:spPr bwMode="auto">
        <a:xfrm>
          <a:off x="21832455"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40</xdr:row>
      <xdr:rowOff>504825</xdr:rowOff>
    </xdr:from>
    <xdr:ext cx="95250" cy="444014"/>
    <xdr:sp macro="" textlink="">
      <xdr:nvSpPr>
        <xdr:cNvPr id="2412" name="Text Box 15">
          <a:extLst>
            <a:ext uri="{FF2B5EF4-FFF2-40B4-BE49-F238E27FC236}">
              <a16:creationId xmlns:a16="http://schemas.microsoft.com/office/drawing/2014/main" id="{00000000-0008-0000-0500-00006C090000}"/>
            </a:ext>
          </a:extLst>
        </xdr:cNvPr>
        <xdr:cNvSpPr txBox="1">
          <a:spLocks noChangeArrowheads="1"/>
        </xdr:cNvSpPr>
      </xdr:nvSpPr>
      <xdr:spPr bwMode="auto">
        <a:xfrm>
          <a:off x="4664364" y="6733020"/>
          <a:ext cx="95250" cy="444014"/>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42</xdr:row>
      <xdr:rowOff>0</xdr:rowOff>
    </xdr:from>
    <xdr:ext cx="95250" cy="171450"/>
    <xdr:sp macro="" textlink="">
      <xdr:nvSpPr>
        <xdr:cNvPr id="2413" name="Text Box 16">
          <a:extLst>
            <a:ext uri="{FF2B5EF4-FFF2-40B4-BE49-F238E27FC236}">
              <a16:creationId xmlns:a16="http://schemas.microsoft.com/office/drawing/2014/main" id="{00000000-0008-0000-0500-00006D090000}"/>
            </a:ext>
          </a:extLst>
        </xdr:cNvPr>
        <xdr:cNvSpPr txBox="1">
          <a:spLocks noChangeArrowheads="1"/>
        </xdr:cNvSpPr>
      </xdr:nvSpPr>
      <xdr:spPr bwMode="auto">
        <a:xfrm>
          <a:off x="4664364"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42</xdr:row>
      <xdr:rowOff>0</xdr:rowOff>
    </xdr:from>
    <xdr:ext cx="95250" cy="171450"/>
    <xdr:sp macro="" textlink="">
      <xdr:nvSpPr>
        <xdr:cNvPr id="2414" name="Text Box 17">
          <a:extLst>
            <a:ext uri="{FF2B5EF4-FFF2-40B4-BE49-F238E27FC236}">
              <a16:creationId xmlns:a16="http://schemas.microsoft.com/office/drawing/2014/main" id="{00000000-0008-0000-0500-00006E090000}"/>
            </a:ext>
          </a:extLst>
        </xdr:cNvPr>
        <xdr:cNvSpPr txBox="1">
          <a:spLocks noChangeArrowheads="1"/>
        </xdr:cNvSpPr>
      </xdr:nvSpPr>
      <xdr:spPr bwMode="auto">
        <a:xfrm>
          <a:off x="4664364"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42</xdr:row>
      <xdr:rowOff>0</xdr:rowOff>
    </xdr:from>
    <xdr:ext cx="95250" cy="171450"/>
    <xdr:sp macro="" textlink="">
      <xdr:nvSpPr>
        <xdr:cNvPr id="2415" name="Text Box 18">
          <a:extLst>
            <a:ext uri="{FF2B5EF4-FFF2-40B4-BE49-F238E27FC236}">
              <a16:creationId xmlns:a16="http://schemas.microsoft.com/office/drawing/2014/main" id="{00000000-0008-0000-0500-00006F090000}"/>
            </a:ext>
          </a:extLst>
        </xdr:cNvPr>
        <xdr:cNvSpPr txBox="1">
          <a:spLocks noChangeArrowheads="1"/>
        </xdr:cNvSpPr>
      </xdr:nvSpPr>
      <xdr:spPr bwMode="auto">
        <a:xfrm>
          <a:off x="4664364"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42</xdr:row>
      <xdr:rowOff>0</xdr:rowOff>
    </xdr:from>
    <xdr:ext cx="95250" cy="171450"/>
    <xdr:sp macro="" textlink="">
      <xdr:nvSpPr>
        <xdr:cNvPr id="2416" name="Text Box 19">
          <a:extLst>
            <a:ext uri="{FF2B5EF4-FFF2-40B4-BE49-F238E27FC236}">
              <a16:creationId xmlns:a16="http://schemas.microsoft.com/office/drawing/2014/main" id="{00000000-0008-0000-0500-000070090000}"/>
            </a:ext>
          </a:extLst>
        </xdr:cNvPr>
        <xdr:cNvSpPr txBox="1">
          <a:spLocks noChangeArrowheads="1"/>
        </xdr:cNvSpPr>
      </xdr:nvSpPr>
      <xdr:spPr bwMode="auto">
        <a:xfrm>
          <a:off x="4664364"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42</xdr:row>
      <xdr:rowOff>0</xdr:rowOff>
    </xdr:from>
    <xdr:ext cx="95250" cy="171450"/>
    <xdr:sp macro="" textlink="">
      <xdr:nvSpPr>
        <xdr:cNvPr id="2417" name="Text Box 16">
          <a:extLst>
            <a:ext uri="{FF2B5EF4-FFF2-40B4-BE49-F238E27FC236}">
              <a16:creationId xmlns:a16="http://schemas.microsoft.com/office/drawing/2014/main" id="{00000000-0008-0000-0500-000071090000}"/>
            </a:ext>
          </a:extLst>
        </xdr:cNvPr>
        <xdr:cNvSpPr txBox="1">
          <a:spLocks noChangeArrowheads="1"/>
        </xdr:cNvSpPr>
      </xdr:nvSpPr>
      <xdr:spPr bwMode="auto">
        <a:xfrm>
          <a:off x="12540961"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42</xdr:row>
      <xdr:rowOff>0</xdr:rowOff>
    </xdr:from>
    <xdr:ext cx="95250" cy="171450"/>
    <xdr:sp macro="" textlink="">
      <xdr:nvSpPr>
        <xdr:cNvPr id="2418" name="Text Box 17">
          <a:extLst>
            <a:ext uri="{FF2B5EF4-FFF2-40B4-BE49-F238E27FC236}">
              <a16:creationId xmlns:a16="http://schemas.microsoft.com/office/drawing/2014/main" id="{00000000-0008-0000-0500-000072090000}"/>
            </a:ext>
          </a:extLst>
        </xdr:cNvPr>
        <xdr:cNvSpPr txBox="1">
          <a:spLocks noChangeArrowheads="1"/>
        </xdr:cNvSpPr>
      </xdr:nvSpPr>
      <xdr:spPr bwMode="auto">
        <a:xfrm>
          <a:off x="12540961"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42</xdr:row>
      <xdr:rowOff>0</xdr:rowOff>
    </xdr:from>
    <xdr:ext cx="95250" cy="171450"/>
    <xdr:sp macro="" textlink="">
      <xdr:nvSpPr>
        <xdr:cNvPr id="2419" name="Text Box 18">
          <a:extLst>
            <a:ext uri="{FF2B5EF4-FFF2-40B4-BE49-F238E27FC236}">
              <a16:creationId xmlns:a16="http://schemas.microsoft.com/office/drawing/2014/main" id="{00000000-0008-0000-0500-000073090000}"/>
            </a:ext>
          </a:extLst>
        </xdr:cNvPr>
        <xdr:cNvSpPr txBox="1">
          <a:spLocks noChangeArrowheads="1"/>
        </xdr:cNvSpPr>
      </xdr:nvSpPr>
      <xdr:spPr bwMode="auto">
        <a:xfrm>
          <a:off x="12540961"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42</xdr:row>
      <xdr:rowOff>0</xdr:rowOff>
    </xdr:from>
    <xdr:ext cx="95250" cy="171450"/>
    <xdr:sp macro="" textlink="">
      <xdr:nvSpPr>
        <xdr:cNvPr id="2420" name="Text Box 16">
          <a:extLst>
            <a:ext uri="{FF2B5EF4-FFF2-40B4-BE49-F238E27FC236}">
              <a16:creationId xmlns:a16="http://schemas.microsoft.com/office/drawing/2014/main" id="{00000000-0008-0000-0500-000074090000}"/>
            </a:ext>
          </a:extLst>
        </xdr:cNvPr>
        <xdr:cNvSpPr txBox="1">
          <a:spLocks noChangeArrowheads="1"/>
        </xdr:cNvSpPr>
      </xdr:nvSpPr>
      <xdr:spPr bwMode="auto">
        <a:xfrm>
          <a:off x="15388070"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42</xdr:row>
      <xdr:rowOff>0</xdr:rowOff>
    </xdr:from>
    <xdr:ext cx="95250" cy="171450"/>
    <xdr:sp macro="" textlink="">
      <xdr:nvSpPr>
        <xdr:cNvPr id="2421" name="Text Box 17">
          <a:extLst>
            <a:ext uri="{FF2B5EF4-FFF2-40B4-BE49-F238E27FC236}">
              <a16:creationId xmlns:a16="http://schemas.microsoft.com/office/drawing/2014/main" id="{00000000-0008-0000-0500-000075090000}"/>
            </a:ext>
          </a:extLst>
        </xdr:cNvPr>
        <xdr:cNvSpPr txBox="1">
          <a:spLocks noChangeArrowheads="1"/>
        </xdr:cNvSpPr>
      </xdr:nvSpPr>
      <xdr:spPr bwMode="auto">
        <a:xfrm>
          <a:off x="15388070"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42</xdr:row>
      <xdr:rowOff>0</xdr:rowOff>
    </xdr:from>
    <xdr:ext cx="95250" cy="171450"/>
    <xdr:sp macro="" textlink="">
      <xdr:nvSpPr>
        <xdr:cNvPr id="2422" name="Text Box 18">
          <a:extLst>
            <a:ext uri="{FF2B5EF4-FFF2-40B4-BE49-F238E27FC236}">
              <a16:creationId xmlns:a16="http://schemas.microsoft.com/office/drawing/2014/main" id="{00000000-0008-0000-0500-000076090000}"/>
            </a:ext>
          </a:extLst>
        </xdr:cNvPr>
        <xdr:cNvSpPr txBox="1">
          <a:spLocks noChangeArrowheads="1"/>
        </xdr:cNvSpPr>
      </xdr:nvSpPr>
      <xdr:spPr bwMode="auto">
        <a:xfrm>
          <a:off x="15388070"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42</xdr:row>
      <xdr:rowOff>0</xdr:rowOff>
    </xdr:from>
    <xdr:ext cx="95250" cy="171450"/>
    <xdr:sp macro="" textlink="">
      <xdr:nvSpPr>
        <xdr:cNvPr id="2423" name="Text Box 19">
          <a:extLst>
            <a:ext uri="{FF2B5EF4-FFF2-40B4-BE49-F238E27FC236}">
              <a16:creationId xmlns:a16="http://schemas.microsoft.com/office/drawing/2014/main" id="{00000000-0008-0000-0500-000077090000}"/>
            </a:ext>
          </a:extLst>
        </xdr:cNvPr>
        <xdr:cNvSpPr txBox="1">
          <a:spLocks noChangeArrowheads="1"/>
        </xdr:cNvSpPr>
      </xdr:nvSpPr>
      <xdr:spPr bwMode="auto">
        <a:xfrm>
          <a:off x="15388070"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42</xdr:row>
      <xdr:rowOff>0</xdr:rowOff>
    </xdr:from>
    <xdr:ext cx="95250" cy="171450"/>
    <xdr:sp macro="" textlink="">
      <xdr:nvSpPr>
        <xdr:cNvPr id="2424" name="Text Box 16">
          <a:extLst>
            <a:ext uri="{FF2B5EF4-FFF2-40B4-BE49-F238E27FC236}">
              <a16:creationId xmlns:a16="http://schemas.microsoft.com/office/drawing/2014/main" id="{00000000-0008-0000-0500-000078090000}"/>
            </a:ext>
          </a:extLst>
        </xdr:cNvPr>
        <xdr:cNvSpPr txBox="1">
          <a:spLocks noChangeArrowheads="1"/>
        </xdr:cNvSpPr>
      </xdr:nvSpPr>
      <xdr:spPr bwMode="auto">
        <a:xfrm>
          <a:off x="15388070"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42</xdr:row>
      <xdr:rowOff>0</xdr:rowOff>
    </xdr:from>
    <xdr:ext cx="95250" cy="171450"/>
    <xdr:sp macro="" textlink="">
      <xdr:nvSpPr>
        <xdr:cNvPr id="2425" name="Text Box 17">
          <a:extLst>
            <a:ext uri="{FF2B5EF4-FFF2-40B4-BE49-F238E27FC236}">
              <a16:creationId xmlns:a16="http://schemas.microsoft.com/office/drawing/2014/main" id="{00000000-0008-0000-0500-000079090000}"/>
            </a:ext>
          </a:extLst>
        </xdr:cNvPr>
        <xdr:cNvSpPr txBox="1">
          <a:spLocks noChangeArrowheads="1"/>
        </xdr:cNvSpPr>
      </xdr:nvSpPr>
      <xdr:spPr bwMode="auto">
        <a:xfrm>
          <a:off x="15388070"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42</xdr:row>
      <xdr:rowOff>0</xdr:rowOff>
    </xdr:from>
    <xdr:ext cx="95250" cy="171450"/>
    <xdr:sp macro="" textlink="">
      <xdr:nvSpPr>
        <xdr:cNvPr id="2426" name="Text Box 18">
          <a:extLst>
            <a:ext uri="{FF2B5EF4-FFF2-40B4-BE49-F238E27FC236}">
              <a16:creationId xmlns:a16="http://schemas.microsoft.com/office/drawing/2014/main" id="{00000000-0008-0000-0500-00007A090000}"/>
            </a:ext>
          </a:extLst>
        </xdr:cNvPr>
        <xdr:cNvSpPr txBox="1">
          <a:spLocks noChangeArrowheads="1"/>
        </xdr:cNvSpPr>
      </xdr:nvSpPr>
      <xdr:spPr bwMode="auto">
        <a:xfrm>
          <a:off x="15388070"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42</xdr:row>
      <xdr:rowOff>0</xdr:rowOff>
    </xdr:from>
    <xdr:ext cx="95250" cy="171450"/>
    <xdr:sp macro="" textlink="">
      <xdr:nvSpPr>
        <xdr:cNvPr id="2427" name="Text Box 19">
          <a:extLst>
            <a:ext uri="{FF2B5EF4-FFF2-40B4-BE49-F238E27FC236}">
              <a16:creationId xmlns:a16="http://schemas.microsoft.com/office/drawing/2014/main" id="{00000000-0008-0000-0500-00007B090000}"/>
            </a:ext>
          </a:extLst>
        </xdr:cNvPr>
        <xdr:cNvSpPr txBox="1">
          <a:spLocks noChangeArrowheads="1"/>
        </xdr:cNvSpPr>
      </xdr:nvSpPr>
      <xdr:spPr bwMode="auto">
        <a:xfrm>
          <a:off x="15388070"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36</xdr:row>
      <xdr:rowOff>504825</xdr:rowOff>
    </xdr:from>
    <xdr:ext cx="95250" cy="456743"/>
    <xdr:sp macro="" textlink="">
      <xdr:nvSpPr>
        <xdr:cNvPr id="2428" name="Text Box 15">
          <a:extLst>
            <a:ext uri="{FF2B5EF4-FFF2-40B4-BE49-F238E27FC236}">
              <a16:creationId xmlns:a16="http://schemas.microsoft.com/office/drawing/2014/main" id="{00000000-0008-0000-0500-00007C090000}"/>
            </a:ext>
          </a:extLst>
        </xdr:cNvPr>
        <xdr:cNvSpPr txBox="1">
          <a:spLocks noChangeArrowheads="1"/>
        </xdr:cNvSpPr>
      </xdr:nvSpPr>
      <xdr:spPr bwMode="auto">
        <a:xfrm>
          <a:off x="4664364" y="5994111"/>
          <a:ext cx="95250" cy="456743"/>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36</xdr:row>
      <xdr:rowOff>504825</xdr:rowOff>
    </xdr:from>
    <xdr:ext cx="95250" cy="442269"/>
    <xdr:sp macro="" textlink="">
      <xdr:nvSpPr>
        <xdr:cNvPr id="2429" name="Text Box 15">
          <a:extLst>
            <a:ext uri="{FF2B5EF4-FFF2-40B4-BE49-F238E27FC236}">
              <a16:creationId xmlns:a16="http://schemas.microsoft.com/office/drawing/2014/main" id="{00000000-0008-0000-0500-00007D090000}"/>
            </a:ext>
          </a:extLst>
        </xdr:cNvPr>
        <xdr:cNvSpPr txBox="1">
          <a:spLocks noChangeArrowheads="1"/>
        </xdr:cNvSpPr>
      </xdr:nvSpPr>
      <xdr:spPr bwMode="auto">
        <a:xfrm>
          <a:off x="12540961" y="5994111"/>
          <a:ext cx="95250" cy="442269"/>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36</xdr:row>
      <xdr:rowOff>504825</xdr:rowOff>
    </xdr:from>
    <xdr:ext cx="95250" cy="213632"/>
    <xdr:sp macro="" textlink="">
      <xdr:nvSpPr>
        <xdr:cNvPr id="2431" name="Text Box 15">
          <a:extLst>
            <a:ext uri="{FF2B5EF4-FFF2-40B4-BE49-F238E27FC236}">
              <a16:creationId xmlns:a16="http://schemas.microsoft.com/office/drawing/2014/main" id="{00000000-0008-0000-0500-00007F090000}"/>
            </a:ext>
          </a:extLst>
        </xdr:cNvPr>
        <xdr:cNvSpPr txBox="1">
          <a:spLocks noChangeArrowheads="1"/>
        </xdr:cNvSpPr>
      </xdr:nvSpPr>
      <xdr:spPr bwMode="auto">
        <a:xfrm>
          <a:off x="4664364" y="5994111"/>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36</xdr:row>
      <xdr:rowOff>504825</xdr:rowOff>
    </xdr:from>
    <xdr:ext cx="95250" cy="444331"/>
    <xdr:sp macro="" textlink="">
      <xdr:nvSpPr>
        <xdr:cNvPr id="2432" name="Text Box 15">
          <a:extLst>
            <a:ext uri="{FF2B5EF4-FFF2-40B4-BE49-F238E27FC236}">
              <a16:creationId xmlns:a16="http://schemas.microsoft.com/office/drawing/2014/main" id="{00000000-0008-0000-0500-000080090000}"/>
            </a:ext>
          </a:extLst>
        </xdr:cNvPr>
        <xdr:cNvSpPr txBox="1">
          <a:spLocks noChangeArrowheads="1"/>
        </xdr:cNvSpPr>
      </xdr:nvSpPr>
      <xdr:spPr bwMode="auto">
        <a:xfrm>
          <a:off x="4664364" y="5994111"/>
          <a:ext cx="95250" cy="444331"/>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36</xdr:row>
      <xdr:rowOff>504825</xdr:rowOff>
    </xdr:from>
    <xdr:ext cx="95250" cy="213632"/>
    <xdr:sp macro="" textlink="">
      <xdr:nvSpPr>
        <xdr:cNvPr id="2433" name="Text Box 15">
          <a:extLst>
            <a:ext uri="{FF2B5EF4-FFF2-40B4-BE49-F238E27FC236}">
              <a16:creationId xmlns:a16="http://schemas.microsoft.com/office/drawing/2014/main" id="{00000000-0008-0000-0500-000081090000}"/>
            </a:ext>
          </a:extLst>
        </xdr:cNvPr>
        <xdr:cNvSpPr txBox="1">
          <a:spLocks noChangeArrowheads="1"/>
        </xdr:cNvSpPr>
      </xdr:nvSpPr>
      <xdr:spPr bwMode="auto">
        <a:xfrm>
          <a:off x="12540961" y="5994111"/>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42</xdr:row>
      <xdr:rowOff>0</xdr:rowOff>
    </xdr:from>
    <xdr:ext cx="95250" cy="171450"/>
    <xdr:sp macro="" textlink="">
      <xdr:nvSpPr>
        <xdr:cNvPr id="2434" name="Text Box 16">
          <a:extLst>
            <a:ext uri="{FF2B5EF4-FFF2-40B4-BE49-F238E27FC236}">
              <a16:creationId xmlns:a16="http://schemas.microsoft.com/office/drawing/2014/main" id="{00000000-0008-0000-0500-000082090000}"/>
            </a:ext>
          </a:extLst>
        </xdr:cNvPr>
        <xdr:cNvSpPr txBox="1">
          <a:spLocks noChangeArrowheads="1"/>
        </xdr:cNvSpPr>
      </xdr:nvSpPr>
      <xdr:spPr bwMode="auto">
        <a:xfrm>
          <a:off x="4664364"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42</xdr:row>
      <xdr:rowOff>0</xdr:rowOff>
    </xdr:from>
    <xdr:ext cx="95250" cy="171450"/>
    <xdr:sp macro="" textlink="">
      <xdr:nvSpPr>
        <xdr:cNvPr id="2435" name="Text Box 17">
          <a:extLst>
            <a:ext uri="{FF2B5EF4-FFF2-40B4-BE49-F238E27FC236}">
              <a16:creationId xmlns:a16="http://schemas.microsoft.com/office/drawing/2014/main" id="{00000000-0008-0000-0500-000083090000}"/>
            </a:ext>
          </a:extLst>
        </xdr:cNvPr>
        <xdr:cNvSpPr txBox="1">
          <a:spLocks noChangeArrowheads="1"/>
        </xdr:cNvSpPr>
      </xdr:nvSpPr>
      <xdr:spPr bwMode="auto">
        <a:xfrm>
          <a:off x="4664364"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42</xdr:row>
      <xdr:rowOff>0</xdr:rowOff>
    </xdr:from>
    <xdr:ext cx="95250" cy="171450"/>
    <xdr:sp macro="" textlink="">
      <xdr:nvSpPr>
        <xdr:cNvPr id="2436" name="Text Box 18">
          <a:extLst>
            <a:ext uri="{FF2B5EF4-FFF2-40B4-BE49-F238E27FC236}">
              <a16:creationId xmlns:a16="http://schemas.microsoft.com/office/drawing/2014/main" id="{00000000-0008-0000-0500-000084090000}"/>
            </a:ext>
          </a:extLst>
        </xdr:cNvPr>
        <xdr:cNvSpPr txBox="1">
          <a:spLocks noChangeArrowheads="1"/>
        </xdr:cNvSpPr>
      </xdr:nvSpPr>
      <xdr:spPr bwMode="auto">
        <a:xfrm>
          <a:off x="4664364"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42</xdr:row>
      <xdr:rowOff>0</xdr:rowOff>
    </xdr:from>
    <xdr:ext cx="95250" cy="171450"/>
    <xdr:sp macro="" textlink="">
      <xdr:nvSpPr>
        <xdr:cNvPr id="2437" name="Text Box 19">
          <a:extLst>
            <a:ext uri="{FF2B5EF4-FFF2-40B4-BE49-F238E27FC236}">
              <a16:creationId xmlns:a16="http://schemas.microsoft.com/office/drawing/2014/main" id="{00000000-0008-0000-0500-000085090000}"/>
            </a:ext>
          </a:extLst>
        </xdr:cNvPr>
        <xdr:cNvSpPr txBox="1">
          <a:spLocks noChangeArrowheads="1"/>
        </xdr:cNvSpPr>
      </xdr:nvSpPr>
      <xdr:spPr bwMode="auto">
        <a:xfrm>
          <a:off x="4664364"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42</xdr:row>
      <xdr:rowOff>0</xdr:rowOff>
    </xdr:from>
    <xdr:ext cx="95250" cy="171450"/>
    <xdr:sp macro="" textlink="">
      <xdr:nvSpPr>
        <xdr:cNvPr id="2438" name="Text Box 16">
          <a:extLst>
            <a:ext uri="{FF2B5EF4-FFF2-40B4-BE49-F238E27FC236}">
              <a16:creationId xmlns:a16="http://schemas.microsoft.com/office/drawing/2014/main" id="{00000000-0008-0000-0500-000086090000}"/>
            </a:ext>
          </a:extLst>
        </xdr:cNvPr>
        <xdr:cNvSpPr txBox="1">
          <a:spLocks noChangeArrowheads="1"/>
        </xdr:cNvSpPr>
      </xdr:nvSpPr>
      <xdr:spPr bwMode="auto">
        <a:xfrm>
          <a:off x="12540961"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42</xdr:row>
      <xdr:rowOff>0</xdr:rowOff>
    </xdr:from>
    <xdr:ext cx="95250" cy="171450"/>
    <xdr:sp macro="" textlink="">
      <xdr:nvSpPr>
        <xdr:cNvPr id="2439" name="Text Box 17">
          <a:extLst>
            <a:ext uri="{FF2B5EF4-FFF2-40B4-BE49-F238E27FC236}">
              <a16:creationId xmlns:a16="http://schemas.microsoft.com/office/drawing/2014/main" id="{00000000-0008-0000-0500-000087090000}"/>
            </a:ext>
          </a:extLst>
        </xdr:cNvPr>
        <xdr:cNvSpPr txBox="1">
          <a:spLocks noChangeArrowheads="1"/>
        </xdr:cNvSpPr>
      </xdr:nvSpPr>
      <xdr:spPr bwMode="auto">
        <a:xfrm>
          <a:off x="12540961"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42</xdr:row>
      <xdr:rowOff>0</xdr:rowOff>
    </xdr:from>
    <xdr:ext cx="95250" cy="171450"/>
    <xdr:sp macro="" textlink="">
      <xdr:nvSpPr>
        <xdr:cNvPr id="2440" name="Text Box 18">
          <a:extLst>
            <a:ext uri="{FF2B5EF4-FFF2-40B4-BE49-F238E27FC236}">
              <a16:creationId xmlns:a16="http://schemas.microsoft.com/office/drawing/2014/main" id="{00000000-0008-0000-0500-000088090000}"/>
            </a:ext>
          </a:extLst>
        </xdr:cNvPr>
        <xdr:cNvSpPr txBox="1">
          <a:spLocks noChangeArrowheads="1"/>
        </xdr:cNvSpPr>
      </xdr:nvSpPr>
      <xdr:spPr bwMode="auto">
        <a:xfrm>
          <a:off x="12540961"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42</xdr:row>
      <xdr:rowOff>0</xdr:rowOff>
    </xdr:from>
    <xdr:ext cx="95250" cy="171450"/>
    <xdr:sp macro="" textlink="">
      <xdr:nvSpPr>
        <xdr:cNvPr id="2441" name="Text Box 19">
          <a:extLst>
            <a:ext uri="{FF2B5EF4-FFF2-40B4-BE49-F238E27FC236}">
              <a16:creationId xmlns:a16="http://schemas.microsoft.com/office/drawing/2014/main" id="{00000000-0008-0000-0500-000089090000}"/>
            </a:ext>
          </a:extLst>
        </xdr:cNvPr>
        <xdr:cNvSpPr txBox="1">
          <a:spLocks noChangeArrowheads="1"/>
        </xdr:cNvSpPr>
      </xdr:nvSpPr>
      <xdr:spPr bwMode="auto">
        <a:xfrm>
          <a:off x="12540961"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21</xdr:col>
      <xdr:colOff>0</xdr:colOff>
      <xdr:row>42</xdr:row>
      <xdr:rowOff>0</xdr:rowOff>
    </xdr:from>
    <xdr:ext cx="95250" cy="171450"/>
    <xdr:sp macro="" textlink="">
      <xdr:nvSpPr>
        <xdr:cNvPr id="2442" name="Text Box 16">
          <a:extLst>
            <a:ext uri="{FF2B5EF4-FFF2-40B4-BE49-F238E27FC236}">
              <a16:creationId xmlns:a16="http://schemas.microsoft.com/office/drawing/2014/main" id="{00000000-0008-0000-0500-00008A090000}"/>
            </a:ext>
          </a:extLst>
        </xdr:cNvPr>
        <xdr:cNvSpPr txBox="1">
          <a:spLocks noChangeArrowheads="1"/>
        </xdr:cNvSpPr>
      </xdr:nvSpPr>
      <xdr:spPr bwMode="auto">
        <a:xfrm>
          <a:off x="21832455"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21</xdr:col>
      <xdr:colOff>0</xdr:colOff>
      <xdr:row>42</xdr:row>
      <xdr:rowOff>0</xdr:rowOff>
    </xdr:from>
    <xdr:ext cx="95250" cy="171450"/>
    <xdr:sp macro="" textlink="">
      <xdr:nvSpPr>
        <xdr:cNvPr id="2443" name="Text Box 17">
          <a:extLst>
            <a:ext uri="{FF2B5EF4-FFF2-40B4-BE49-F238E27FC236}">
              <a16:creationId xmlns:a16="http://schemas.microsoft.com/office/drawing/2014/main" id="{00000000-0008-0000-0500-00008B090000}"/>
            </a:ext>
          </a:extLst>
        </xdr:cNvPr>
        <xdr:cNvSpPr txBox="1">
          <a:spLocks noChangeArrowheads="1"/>
        </xdr:cNvSpPr>
      </xdr:nvSpPr>
      <xdr:spPr bwMode="auto">
        <a:xfrm>
          <a:off x="21832455"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21</xdr:col>
      <xdr:colOff>0</xdr:colOff>
      <xdr:row>42</xdr:row>
      <xdr:rowOff>0</xdr:rowOff>
    </xdr:from>
    <xdr:ext cx="95250" cy="171450"/>
    <xdr:sp macro="" textlink="">
      <xdr:nvSpPr>
        <xdr:cNvPr id="2444" name="Text Box 18">
          <a:extLst>
            <a:ext uri="{FF2B5EF4-FFF2-40B4-BE49-F238E27FC236}">
              <a16:creationId xmlns:a16="http://schemas.microsoft.com/office/drawing/2014/main" id="{00000000-0008-0000-0500-00008C090000}"/>
            </a:ext>
          </a:extLst>
        </xdr:cNvPr>
        <xdr:cNvSpPr txBox="1">
          <a:spLocks noChangeArrowheads="1"/>
        </xdr:cNvSpPr>
      </xdr:nvSpPr>
      <xdr:spPr bwMode="auto">
        <a:xfrm>
          <a:off x="21832455"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21</xdr:col>
      <xdr:colOff>0</xdr:colOff>
      <xdr:row>42</xdr:row>
      <xdr:rowOff>0</xdr:rowOff>
    </xdr:from>
    <xdr:ext cx="95250" cy="171450"/>
    <xdr:sp macro="" textlink="">
      <xdr:nvSpPr>
        <xdr:cNvPr id="2445" name="Text Box 19">
          <a:extLst>
            <a:ext uri="{FF2B5EF4-FFF2-40B4-BE49-F238E27FC236}">
              <a16:creationId xmlns:a16="http://schemas.microsoft.com/office/drawing/2014/main" id="{00000000-0008-0000-0500-00008D090000}"/>
            </a:ext>
          </a:extLst>
        </xdr:cNvPr>
        <xdr:cNvSpPr txBox="1">
          <a:spLocks noChangeArrowheads="1"/>
        </xdr:cNvSpPr>
      </xdr:nvSpPr>
      <xdr:spPr bwMode="auto">
        <a:xfrm>
          <a:off x="21832455"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40</xdr:row>
      <xdr:rowOff>504825</xdr:rowOff>
    </xdr:from>
    <xdr:ext cx="95250" cy="444014"/>
    <xdr:sp macro="" textlink="">
      <xdr:nvSpPr>
        <xdr:cNvPr id="2446" name="Text Box 15">
          <a:extLst>
            <a:ext uri="{FF2B5EF4-FFF2-40B4-BE49-F238E27FC236}">
              <a16:creationId xmlns:a16="http://schemas.microsoft.com/office/drawing/2014/main" id="{00000000-0008-0000-0500-00008E090000}"/>
            </a:ext>
          </a:extLst>
        </xdr:cNvPr>
        <xdr:cNvSpPr txBox="1">
          <a:spLocks noChangeArrowheads="1"/>
        </xdr:cNvSpPr>
      </xdr:nvSpPr>
      <xdr:spPr bwMode="auto">
        <a:xfrm>
          <a:off x="4664364" y="6733020"/>
          <a:ext cx="95250" cy="444014"/>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42</xdr:row>
      <xdr:rowOff>0</xdr:rowOff>
    </xdr:from>
    <xdr:ext cx="95250" cy="171450"/>
    <xdr:sp macro="" textlink="">
      <xdr:nvSpPr>
        <xdr:cNvPr id="2447" name="Text Box 16">
          <a:extLst>
            <a:ext uri="{FF2B5EF4-FFF2-40B4-BE49-F238E27FC236}">
              <a16:creationId xmlns:a16="http://schemas.microsoft.com/office/drawing/2014/main" id="{00000000-0008-0000-0500-00008F090000}"/>
            </a:ext>
          </a:extLst>
        </xdr:cNvPr>
        <xdr:cNvSpPr txBox="1">
          <a:spLocks noChangeArrowheads="1"/>
        </xdr:cNvSpPr>
      </xdr:nvSpPr>
      <xdr:spPr bwMode="auto">
        <a:xfrm>
          <a:off x="4664364"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42</xdr:row>
      <xdr:rowOff>0</xdr:rowOff>
    </xdr:from>
    <xdr:ext cx="95250" cy="171450"/>
    <xdr:sp macro="" textlink="">
      <xdr:nvSpPr>
        <xdr:cNvPr id="2448" name="Text Box 17">
          <a:extLst>
            <a:ext uri="{FF2B5EF4-FFF2-40B4-BE49-F238E27FC236}">
              <a16:creationId xmlns:a16="http://schemas.microsoft.com/office/drawing/2014/main" id="{00000000-0008-0000-0500-000090090000}"/>
            </a:ext>
          </a:extLst>
        </xdr:cNvPr>
        <xdr:cNvSpPr txBox="1">
          <a:spLocks noChangeArrowheads="1"/>
        </xdr:cNvSpPr>
      </xdr:nvSpPr>
      <xdr:spPr bwMode="auto">
        <a:xfrm>
          <a:off x="4664364"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42</xdr:row>
      <xdr:rowOff>0</xdr:rowOff>
    </xdr:from>
    <xdr:ext cx="95250" cy="171450"/>
    <xdr:sp macro="" textlink="">
      <xdr:nvSpPr>
        <xdr:cNvPr id="2449" name="Text Box 18">
          <a:extLst>
            <a:ext uri="{FF2B5EF4-FFF2-40B4-BE49-F238E27FC236}">
              <a16:creationId xmlns:a16="http://schemas.microsoft.com/office/drawing/2014/main" id="{00000000-0008-0000-0500-000091090000}"/>
            </a:ext>
          </a:extLst>
        </xdr:cNvPr>
        <xdr:cNvSpPr txBox="1">
          <a:spLocks noChangeArrowheads="1"/>
        </xdr:cNvSpPr>
      </xdr:nvSpPr>
      <xdr:spPr bwMode="auto">
        <a:xfrm>
          <a:off x="4664364"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42</xdr:row>
      <xdr:rowOff>0</xdr:rowOff>
    </xdr:from>
    <xdr:ext cx="95250" cy="171450"/>
    <xdr:sp macro="" textlink="">
      <xdr:nvSpPr>
        <xdr:cNvPr id="2450" name="Text Box 19">
          <a:extLst>
            <a:ext uri="{FF2B5EF4-FFF2-40B4-BE49-F238E27FC236}">
              <a16:creationId xmlns:a16="http://schemas.microsoft.com/office/drawing/2014/main" id="{00000000-0008-0000-0500-000092090000}"/>
            </a:ext>
          </a:extLst>
        </xdr:cNvPr>
        <xdr:cNvSpPr txBox="1">
          <a:spLocks noChangeArrowheads="1"/>
        </xdr:cNvSpPr>
      </xdr:nvSpPr>
      <xdr:spPr bwMode="auto">
        <a:xfrm>
          <a:off x="4664364"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40</xdr:row>
      <xdr:rowOff>504825</xdr:rowOff>
    </xdr:from>
    <xdr:ext cx="95250" cy="442269"/>
    <xdr:sp macro="" textlink="">
      <xdr:nvSpPr>
        <xdr:cNvPr id="2451" name="Text Box 15">
          <a:extLst>
            <a:ext uri="{FF2B5EF4-FFF2-40B4-BE49-F238E27FC236}">
              <a16:creationId xmlns:a16="http://schemas.microsoft.com/office/drawing/2014/main" id="{00000000-0008-0000-0500-000093090000}"/>
            </a:ext>
          </a:extLst>
        </xdr:cNvPr>
        <xdr:cNvSpPr txBox="1">
          <a:spLocks noChangeArrowheads="1"/>
        </xdr:cNvSpPr>
      </xdr:nvSpPr>
      <xdr:spPr bwMode="auto">
        <a:xfrm>
          <a:off x="12540961" y="6733020"/>
          <a:ext cx="95250" cy="442269"/>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42</xdr:row>
      <xdr:rowOff>0</xdr:rowOff>
    </xdr:from>
    <xdr:ext cx="95250" cy="171450"/>
    <xdr:sp macro="" textlink="">
      <xdr:nvSpPr>
        <xdr:cNvPr id="2452" name="Text Box 16">
          <a:extLst>
            <a:ext uri="{FF2B5EF4-FFF2-40B4-BE49-F238E27FC236}">
              <a16:creationId xmlns:a16="http://schemas.microsoft.com/office/drawing/2014/main" id="{00000000-0008-0000-0500-000094090000}"/>
            </a:ext>
          </a:extLst>
        </xdr:cNvPr>
        <xdr:cNvSpPr txBox="1">
          <a:spLocks noChangeArrowheads="1"/>
        </xdr:cNvSpPr>
      </xdr:nvSpPr>
      <xdr:spPr bwMode="auto">
        <a:xfrm>
          <a:off x="12540961"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42</xdr:row>
      <xdr:rowOff>0</xdr:rowOff>
    </xdr:from>
    <xdr:ext cx="95250" cy="171450"/>
    <xdr:sp macro="" textlink="">
      <xdr:nvSpPr>
        <xdr:cNvPr id="2453" name="Text Box 17">
          <a:extLst>
            <a:ext uri="{FF2B5EF4-FFF2-40B4-BE49-F238E27FC236}">
              <a16:creationId xmlns:a16="http://schemas.microsoft.com/office/drawing/2014/main" id="{00000000-0008-0000-0500-000095090000}"/>
            </a:ext>
          </a:extLst>
        </xdr:cNvPr>
        <xdr:cNvSpPr txBox="1">
          <a:spLocks noChangeArrowheads="1"/>
        </xdr:cNvSpPr>
      </xdr:nvSpPr>
      <xdr:spPr bwMode="auto">
        <a:xfrm>
          <a:off x="12540961"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42</xdr:row>
      <xdr:rowOff>0</xdr:rowOff>
    </xdr:from>
    <xdr:ext cx="95250" cy="171450"/>
    <xdr:sp macro="" textlink="">
      <xdr:nvSpPr>
        <xdr:cNvPr id="2454" name="Text Box 18">
          <a:extLst>
            <a:ext uri="{FF2B5EF4-FFF2-40B4-BE49-F238E27FC236}">
              <a16:creationId xmlns:a16="http://schemas.microsoft.com/office/drawing/2014/main" id="{00000000-0008-0000-0500-000096090000}"/>
            </a:ext>
          </a:extLst>
        </xdr:cNvPr>
        <xdr:cNvSpPr txBox="1">
          <a:spLocks noChangeArrowheads="1"/>
        </xdr:cNvSpPr>
      </xdr:nvSpPr>
      <xdr:spPr bwMode="auto">
        <a:xfrm>
          <a:off x="12540961"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42</xdr:row>
      <xdr:rowOff>0</xdr:rowOff>
    </xdr:from>
    <xdr:ext cx="95250" cy="171450"/>
    <xdr:sp macro="" textlink="">
      <xdr:nvSpPr>
        <xdr:cNvPr id="2455" name="Text Box 16">
          <a:extLst>
            <a:ext uri="{FF2B5EF4-FFF2-40B4-BE49-F238E27FC236}">
              <a16:creationId xmlns:a16="http://schemas.microsoft.com/office/drawing/2014/main" id="{00000000-0008-0000-0500-000097090000}"/>
            </a:ext>
          </a:extLst>
        </xdr:cNvPr>
        <xdr:cNvSpPr txBox="1">
          <a:spLocks noChangeArrowheads="1"/>
        </xdr:cNvSpPr>
      </xdr:nvSpPr>
      <xdr:spPr bwMode="auto">
        <a:xfrm>
          <a:off x="15388070"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42</xdr:row>
      <xdr:rowOff>0</xdr:rowOff>
    </xdr:from>
    <xdr:ext cx="95250" cy="171450"/>
    <xdr:sp macro="" textlink="">
      <xdr:nvSpPr>
        <xdr:cNvPr id="2456" name="Text Box 17">
          <a:extLst>
            <a:ext uri="{FF2B5EF4-FFF2-40B4-BE49-F238E27FC236}">
              <a16:creationId xmlns:a16="http://schemas.microsoft.com/office/drawing/2014/main" id="{00000000-0008-0000-0500-000098090000}"/>
            </a:ext>
          </a:extLst>
        </xdr:cNvPr>
        <xdr:cNvSpPr txBox="1">
          <a:spLocks noChangeArrowheads="1"/>
        </xdr:cNvSpPr>
      </xdr:nvSpPr>
      <xdr:spPr bwMode="auto">
        <a:xfrm>
          <a:off x="15388070"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42</xdr:row>
      <xdr:rowOff>0</xdr:rowOff>
    </xdr:from>
    <xdr:ext cx="95250" cy="171450"/>
    <xdr:sp macro="" textlink="">
      <xdr:nvSpPr>
        <xdr:cNvPr id="2457" name="Text Box 18">
          <a:extLst>
            <a:ext uri="{FF2B5EF4-FFF2-40B4-BE49-F238E27FC236}">
              <a16:creationId xmlns:a16="http://schemas.microsoft.com/office/drawing/2014/main" id="{00000000-0008-0000-0500-000099090000}"/>
            </a:ext>
          </a:extLst>
        </xdr:cNvPr>
        <xdr:cNvSpPr txBox="1">
          <a:spLocks noChangeArrowheads="1"/>
        </xdr:cNvSpPr>
      </xdr:nvSpPr>
      <xdr:spPr bwMode="auto">
        <a:xfrm>
          <a:off x="15388070"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42</xdr:row>
      <xdr:rowOff>0</xdr:rowOff>
    </xdr:from>
    <xdr:ext cx="95250" cy="171450"/>
    <xdr:sp macro="" textlink="">
      <xdr:nvSpPr>
        <xdr:cNvPr id="2458" name="Text Box 19">
          <a:extLst>
            <a:ext uri="{FF2B5EF4-FFF2-40B4-BE49-F238E27FC236}">
              <a16:creationId xmlns:a16="http://schemas.microsoft.com/office/drawing/2014/main" id="{00000000-0008-0000-0500-00009A090000}"/>
            </a:ext>
          </a:extLst>
        </xdr:cNvPr>
        <xdr:cNvSpPr txBox="1">
          <a:spLocks noChangeArrowheads="1"/>
        </xdr:cNvSpPr>
      </xdr:nvSpPr>
      <xdr:spPr bwMode="auto">
        <a:xfrm>
          <a:off x="15388070"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42</xdr:row>
      <xdr:rowOff>0</xdr:rowOff>
    </xdr:from>
    <xdr:ext cx="95250" cy="171450"/>
    <xdr:sp macro="" textlink="">
      <xdr:nvSpPr>
        <xdr:cNvPr id="2459" name="Text Box 16">
          <a:extLst>
            <a:ext uri="{FF2B5EF4-FFF2-40B4-BE49-F238E27FC236}">
              <a16:creationId xmlns:a16="http://schemas.microsoft.com/office/drawing/2014/main" id="{00000000-0008-0000-0500-00009B090000}"/>
            </a:ext>
          </a:extLst>
        </xdr:cNvPr>
        <xdr:cNvSpPr txBox="1">
          <a:spLocks noChangeArrowheads="1"/>
        </xdr:cNvSpPr>
      </xdr:nvSpPr>
      <xdr:spPr bwMode="auto">
        <a:xfrm>
          <a:off x="15388070"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42</xdr:row>
      <xdr:rowOff>0</xdr:rowOff>
    </xdr:from>
    <xdr:ext cx="95250" cy="171450"/>
    <xdr:sp macro="" textlink="">
      <xdr:nvSpPr>
        <xdr:cNvPr id="2460" name="Text Box 17">
          <a:extLst>
            <a:ext uri="{FF2B5EF4-FFF2-40B4-BE49-F238E27FC236}">
              <a16:creationId xmlns:a16="http://schemas.microsoft.com/office/drawing/2014/main" id="{00000000-0008-0000-0500-00009C090000}"/>
            </a:ext>
          </a:extLst>
        </xdr:cNvPr>
        <xdr:cNvSpPr txBox="1">
          <a:spLocks noChangeArrowheads="1"/>
        </xdr:cNvSpPr>
      </xdr:nvSpPr>
      <xdr:spPr bwMode="auto">
        <a:xfrm>
          <a:off x="15388070"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42</xdr:row>
      <xdr:rowOff>0</xdr:rowOff>
    </xdr:from>
    <xdr:ext cx="95250" cy="171450"/>
    <xdr:sp macro="" textlink="">
      <xdr:nvSpPr>
        <xdr:cNvPr id="2461" name="Text Box 18">
          <a:extLst>
            <a:ext uri="{FF2B5EF4-FFF2-40B4-BE49-F238E27FC236}">
              <a16:creationId xmlns:a16="http://schemas.microsoft.com/office/drawing/2014/main" id="{00000000-0008-0000-0500-00009D090000}"/>
            </a:ext>
          </a:extLst>
        </xdr:cNvPr>
        <xdr:cNvSpPr txBox="1">
          <a:spLocks noChangeArrowheads="1"/>
        </xdr:cNvSpPr>
      </xdr:nvSpPr>
      <xdr:spPr bwMode="auto">
        <a:xfrm>
          <a:off x="15388070"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10</xdr:col>
      <xdr:colOff>28575</xdr:colOff>
      <xdr:row>42</xdr:row>
      <xdr:rowOff>170392</xdr:rowOff>
    </xdr:from>
    <xdr:ext cx="95250" cy="213632"/>
    <xdr:sp macro="" textlink="">
      <xdr:nvSpPr>
        <xdr:cNvPr id="2462" name="Text Box 15">
          <a:extLst>
            <a:ext uri="{FF2B5EF4-FFF2-40B4-BE49-F238E27FC236}">
              <a16:creationId xmlns:a16="http://schemas.microsoft.com/office/drawing/2014/main" id="{00000000-0008-0000-0500-00009E090000}"/>
            </a:ext>
          </a:extLst>
        </xdr:cNvPr>
        <xdr:cNvSpPr txBox="1">
          <a:spLocks noChangeArrowheads="1"/>
        </xdr:cNvSpPr>
      </xdr:nvSpPr>
      <xdr:spPr bwMode="auto">
        <a:xfrm>
          <a:off x="12578484" y="7270847"/>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42</xdr:row>
      <xdr:rowOff>0</xdr:rowOff>
    </xdr:from>
    <xdr:ext cx="95250" cy="171450"/>
    <xdr:sp macro="" textlink="">
      <xdr:nvSpPr>
        <xdr:cNvPr id="2463" name="Text Box 16">
          <a:extLst>
            <a:ext uri="{FF2B5EF4-FFF2-40B4-BE49-F238E27FC236}">
              <a16:creationId xmlns:a16="http://schemas.microsoft.com/office/drawing/2014/main" id="{00000000-0008-0000-0500-00009F090000}"/>
            </a:ext>
          </a:extLst>
        </xdr:cNvPr>
        <xdr:cNvSpPr txBox="1">
          <a:spLocks noChangeArrowheads="1"/>
        </xdr:cNvSpPr>
      </xdr:nvSpPr>
      <xdr:spPr bwMode="auto">
        <a:xfrm>
          <a:off x="4664364"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42</xdr:row>
      <xdr:rowOff>0</xdr:rowOff>
    </xdr:from>
    <xdr:ext cx="95250" cy="171450"/>
    <xdr:sp macro="" textlink="">
      <xdr:nvSpPr>
        <xdr:cNvPr id="2464" name="Text Box 17">
          <a:extLst>
            <a:ext uri="{FF2B5EF4-FFF2-40B4-BE49-F238E27FC236}">
              <a16:creationId xmlns:a16="http://schemas.microsoft.com/office/drawing/2014/main" id="{00000000-0008-0000-0500-0000A0090000}"/>
            </a:ext>
          </a:extLst>
        </xdr:cNvPr>
        <xdr:cNvSpPr txBox="1">
          <a:spLocks noChangeArrowheads="1"/>
        </xdr:cNvSpPr>
      </xdr:nvSpPr>
      <xdr:spPr bwMode="auto">
        <a:xfrm>
          <a:off x="4664364"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42</xdr:row>
      <xdr:rowOff>0</xdr:rowOff>
    </xdr:from>
    <xdr:ext cx="95250" cy="171450"/>
    <xdr:sp macro="" textlink="">
      <xdr:nvSpPr>
        <xdr:cNvPr id="2465" name="Text Box 18">
          <a:extLst>
            <a:ext uri="{FF2B5EF4-FFF2-40B4-BE49-F238E27FC236}">
              <a16:creationId xmlns:a16="http://schemas.microsoft.com/office/drawing/2014/main" id="{00000000-0008-0000-0500-0000A1090000}"/>
            </a:ext>
          </a:extLst>
        </xdr:cNvPr>
        <xdr:cNvSpPr txBox="1">
          <a:spLocks noChangeArrowheads="1"/>
        </xdr:cNvSpPr>
      </xdr:nvSpPr>
      <xdr:spPr bwMode="auto">
        <a:xfrm>
          <a:off x="4664364"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42</xdr:row>
      <xdr:rowOff>0</xdr:rowOff>
    </xdr:from>
    <xdr:ext cx="95250" cy="171450"/>
    <xdr:sp macro="" textlink="">
      <xdr:nvSpPr>
        <xdr:cNvPr id="2466" name="Text Box 19">
          <a:extLst>
            <a:ext uri="{FF2B5EF4-FFF2-40B4-BE49-F238E27FC236}">
              <a16:creationId xmlns:a16="http://schemas.microsoft.com/office/drawing/2014/main" id="{00000000-0008-0000-0500-0000A2090000}"/>
            </a:ext>
          </a:extLst>
        </xdr:cNvPr>
        <xdr:cNvSpPr txBox="1">
          <a:spLocks noChangeArrowheads="1"/>
        </xdr:cNvSpPr>
      </xdr:nvSpPr>
      <xdr:spPr bwMode="auto">
        <a:xfrm>
          <a:off x="4664364"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42</xdr:row>
      <xdr:rowOff>0</xdr:rowOff>
    </xdr:from>
    <xdr:ext cx="95250" cy="171450"/>
    <xdr:sp macro="" textlink="">
      <xdr:nvSpPr>
        <xdr:cNvPr id="2467" name="Text Box 16">
          <a:extLst>
            <a:ext uri="{FF2B5EF4-FFF2-40B4-BE49-F238E27FC236}">
              <a16:creationId xmlns:a16="http://schemas.microsoft.com/office/drawing/2014/main" id="{00000000-0008-0000-0500-0000A3090000}"/>
            </a:ext>
          </a:extLst>
        </xdr:cNvPr>
        <xdr:cNvSpPr txBox="1">
          <a:spLocks noChangeArrowheads="1"/>
        </xdr:cNvSpPr>
      </xdr:nvSpPr>
      <xdr:spPr bwMode="auto">
        <a:xfrm>
          <a:off x="12540961"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42</xdr:row>
      <xdr:rowOff>0</xdr:rowOff>
    </xdr:from>
    <xdr:ext cx="95250" cy="171450"/>
    <xdr:sp macro="" textlink="">
      <xdr:nvSpPr>
        <xdr:cNvPr id="2468" name="Text Box 17">
          <a:extLst>
            <a:ext uri="{FF2B5EF4-FFF2-40B4-BE49-F238E27FC236}">
              <a16:creationId xmlns:a16="http://schemas.microsoft.com/office/drawing/2014/main" id="{00000000-0008-0000-0500-0000A4090000}"/>
            </a:ext>
          </a:extLst>
        </xdr:cNvPr>
        <xdr:cNvSpPr txBox="1">
          <a:spLocks noChangeArrowheads="1"/>
        </xdr:cNvSpPr>
      </xdr:nvSpPr>
      <xdr:spPr bwMode="auto">
        <a:xfrm>
          <a:off x="12540961"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42</xdr:row>
      <xdr:rowOff>0</xdr:rowOff>
    </xdr:from>
    <xdr:ext cx="95250" cy="171450"/>
    <xdr:sp macro="" textlink="">
      <xdr:nvSpPr>
        <xdr:cNvPr id="2469" name="Text Box 18">
          <a:extLst>
            <a:ext uri="{FF2B5EF4-FFF2-40B4-BE49-F238E27FC236}">
              <a16:creationId xmlns:a16="http://schemas.microsoft.com/office/drawing/2014/main" id="{00000000-0008-0000-0500-0000A5090000}"/>
            </a:ext>
          </a:extLst>
        </xdr:cNvPr>
        <xdr:cNvSpPr txBox="1">
          <a:spLocks noChangeArrowheads="1"/>
        </xdr:cNvSpPr>
      </xdr:nvSpPr>
      <xdr:spPr bwMode="auto">
        <a:xfrm>
          <a:off x="12540961"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42</xdr:row>
      <xdr:rowOff>0</xdr:rowOff>
    </xdr:from>
    <xdr:ext cx="95250" cy="171450"/>
    <xdr:sp macro="" textlink="">
      <xdr:nvSpPr>
        <xdr:cNvPr id="2470" name="Text Box 19">
          <a:extLst>
            <a:ext uri="{FF2B5EF4-FFF2-40B4-BE49-F238E27FC236}">
              <a16:creationId xmlns:a16="http://schemas.microsoft.com/office/drawing/2014/main" id="{00000000-0008-0000-0500-0000A6090000}"/>
            </a:ext>
          </a:extLst>
        </xdr:cNvPr>
        <xdr:cNvSpPr txBox="1">
          <a:spLocks noChangeArrowheads="1"/>
        </xdr:cNvSpPr>
      </xdr:nvSpPr>
      <xdr:spPr bwMode="auto">
        <a:xfrm>
          <a:off x="12540961"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21</xdr:col>
      <xdr:colOff>0</xdr:colOff>
      <xdr:row>37</xdr:row>
      <xdr:rowOff>0</xdr:rowOff>
    </xdr:from>
    <xdr:ext cx="95250" cy="171450"/>
    <xdr:sp macro="" textlink="">
      <xdr:nvSpPr>
        <xdr:cNvPr id="2471" name="Text Box 16">
          <a:extLst>
            <a:ext uri="{FF2B5EF4-FFF2-40B4-BE49-F238E27FC236}">
              <a16:creationId xmlns:a16="http://schemas.microsoft.com/office/drawing/2014/main" id="{00000000-0008-0000-0500-0000A7090000}"/>
            </a:ext>
          </a:extLst>
        </xdr:cNvPr>
        <xdr:cNvSpPr txBox="1">
          <a:spLocks noChangeArrowheads="1"/>
        </xdr:cNvSpPr>
      </xdr:nvSpPr>
      <xdr:spPr bwMode="auto">
        <a:xfrm>
          <a:off x="21832455" y="5992091"/>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21</xdr:col>
      <xdr:colOff>0</xdr:colOff>
      <xdr:row>37</xdr:row>
      <xdr:rowOff>0</xdr:rowOff>
    </xdr:from>
    <xdr:ext cx="95250" cy="171450"/>
    <xdr:sp macro="" textlink="">
      <xdr:nvSpPr>
        <xdr:cNvPr id="2472" name="Text Box 17">
          <a:extLst>
            <a:ext uri="{FF2B5EF4-FFF2-40B4-BE49-F238E27FC236}">
              <a16:creationId xmlns:a16="http://schemas.microsoft.com/office/drawing/2014/main" id="{00000000-0008-0000-0500-0000A8090000}"/>
            </a:ext>
          </a:extLst>
        </xdr:cNvPr>
        <xdr:cNvSpPr txBox="1">
          <a:spLocks noChangeArrowheads="1"/>
        </xdr:cNvSpPr>
      </xdr:nvSpPr>
      <xdr:spPr bwMode="auto">
        <a:xfrm>
          <a:off x="21832455" y="5992091"/>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21</xdr:col>
      <xdr:colOff>0</xdr:colOff>
      <xdr:row>37</xdr:row>
      <xdr:rowOff>0</xdr:rowOff>
    </xdr:from>
    <xdr:ext cx="95250" cy="171450"/>
    <xdr:sp macro="" textlink="">
      <xdr:nvSpPr>
        <xdr:cNvPr id="2473" name="Text Box 18">
          <a:extLst>
            <a:ext uri="{FF2B5EF4-FFF2-40B4-BE49-F238E27FC236}">
              <a16:creationId xmlns:a16="http://schemas.microsoft.com/office/drawing/2014/main" id="{00000000-0008-0000-0500-0000A9090000}"/>
            </a:ext>
          </a:extLst>
        </xdr:cNvPr>
        <xdr:cNvSpPr txBox="1">
          <a:spLocks noChangeArrowheads="1"/>
        </xdr:cNvSpPr>
      </xdr:nvSpPr>
      <xdr:spPr bwMode="auto">
        <a:xfrm>
          <a:off x="21832455" y="5992091"/>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21</xdr:col>
      <xdr:colOff>0</xdr:colOff>
      <xdr:row>37</xdr:row>
      <xdr:rowOff>0</xdr:rowOff>
    </xdr:from>
    <xdr:ext cx="95250" cy="171450"/>
    <xdr:sp macro="" textlink="">
      <xdr:nvSpPr>
        <xdr:cNvPr id="2474" name="Text Box 19">
          <a:extLst>
            <a:ext uri="{FF2B5EF4-FFF2-40B4-BE49-F238E27FC236}">
              <a16:creationId xmlns:a16="http://schemas.microsoft.com/office/drawing/2014/main" id="{00000000-0008-0000-0500-0000AA090000}"/>
            </a:ext>
          </a:extLst>
        </xdr:cNvPr>
        <xdr:cNvSpPr txBox="1">
          <a:spLocks noChangeArrowheads="1"/>
        </xdr:cNvSpPr>
      </xdr:nvSpPr>
      <xdr:spPr bwMode="auto">
        <a:xfrm>
          <a:off x="21832455" y="5992091"/>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40</xdr:row>
      <xdr:rowOff>504825</xdr:rowOff>
    </xdr:from>
    <xdr:ext cx="95250" cy="444014"/>
    <xdr:sp macro="" textlink="">
      <xdr:nvSpPr>
        <xdr:cNvPr id="2475" name="Text Box 15">
          <a:extLst>
            <a:ext uri="{FF2B5EF4-FFF2-40B4-BE49-F238E27FC236}">
              <a16:creationId xmlns:a16="http://schemas.microsoft.com/office/drawing/2014/main" id="{00000000-0008-0000-0500-0000AB090000}"/>
            </a:ext>
          </a:extLst>
        </xdr:cNvPr>
        <xdr:cNvSpPr txBox="1">
          <a:spLocks noChangeArrowheads="1"/>
        </xdr:cNvSpPr>
      </xdr:nvSpPr>
      <xdr:spPr bwMode="auto">
        <a:xfrm>
          <a:off x="4664364" y="6733020"/>
          <a:ext cx="95250" cy="444014"/>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42</xdr:row>
      <xdr:rowOff>0</xdr:rowOff>
    </xdr:from>
    <xdr:ext cx="95250" cy="171450"/>
    <xdr:sp macro="" textlink="">
      <xdr:nvSpPr>
        <xdr:cNvPr id="2476" name="Text Box 16">
          <a:extLst>
            <a:ext uri="{FF2B5EF4-FFF2-40B4-BE49-F238E27FC236}">
              <a16:creationId xmlns:a16="http://schemas.microsoft.com/office/drawing/2014/main" id="{00000000-0008-0000-0500-0000AC090000}"/>
            </a:ext>
          </a:extLst>
        </xdr:cNvPr>
        <xdr:cNvSpPr txBox="1">
          <a:spLocks noChangeArrowheads="1"/>
        </xdr:cNvSpPr>
      </xdr:nvSpPr>
      <xdr:spPr bwMode="auto">
        <a:xfrm>
          <a:off x="4664364"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42</xdr:row>
      <xdr:rowOff>0</xdr:rowOff>
    </xdr:from>
    <xdr:ext cx="95250" cy="171450"/>
    <xdr:sp macro="" textlink="">
      <xdr:nvSpPr>
        <xdr:cNvPr id="2477" name="Text Box 17">
          <a:extLst>
            <a:ext uri="{FF2B5EF4-FFF2-40B4-BE49-F238E27FC236}">
              <a16:creationId xmlns:a16="http://schemas.microsoft.com/office/drawing/2014/main" id="{00000000-0008-0000-0500-0000AD090000}"/>
            </a:ext>
          </a:extLst>
        </xdr:cNvPr>
        <xdr:cNvSpPr txBox="1">
          <a:spLocks noChangeArrowheads="1"/>
        </xdr:cNvSpPr>
      </xdr:nvSpPr>
      <xdr:spPr bwMode="auto">
        <a:xfrm>
          <a:off x="4664364"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42</xdr:row>
      <xdr:rowOff>0</xdr:rowOff>
    </xdr:from>
    <xdr:ext cx="95250" cy="171450"/>
    <xdr:sp macro="" textlink="">
      <xdr:nvSpPr>
        <xdr:cNvPr id="2478" name="Text Box 18">
          <a:extLst>
            <a:ext uri="{FF2B5EF4-FFF2-40B4-BE49-F238E27FC236}">
              <a16:creationId xmlns:a16="http://schemas.microsoft.com/office/drawing/2014/main" id="{00000000-0008-0000-0500-0000AE090000}"/>
            </a:ext>
          </a:extLst>
        </xdr:cNvPr>
        <xdr:cNvSpPr txBox="1">
          <a:spLocks noChangeArrowheads="1"/>
        </xdr:cNvSpPr>
      </xdr:nvSpPr>
      <xdr:spPr bwMode="auto">
        <a:xfrm>
          <a:off x="4664364"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42</xdr:row>
      <xdr:rowOff>0</xdr:rowOff>
    </xdr:from>
    <xdr:ext cx="95250" cy="171450"/>
    <xdr:sp macro="" textlink="">
      <xdr:nvSpPr>
        <xdr:cNvPr id="2479" name="Text Box 19">
          <a:extLst>
            <a:ext uri="{FF2B5EF4-FFF2-40B4-BE49-F238E27FC236}">
              <a16:creationId xmlns:a16="http://schemas.microsoft.com/office/drawing/2014/main" id="{00000000-0008-0000-0500-0000AF090000}"/>
            </a:ext>
          </a:extLst>
        </xdr:cNvPr>
        <xdr:cNvSpPr txBox="1">
          <a:spLocks noChangeArrowheads="1"/>
        </xdr:cNvSpPr>
      </xdr:nvSpPr>
      <xdr:spPr bwMode="auto">
        <a:xfrm>
          <a:off x="4664364"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42</xdr:row>
      <xdr:rowOff>0</xdr:rowOff>
    </xdr:from>
    <xdr:ext cx="95250" cy="171450"/>
    <xdr:sp macro="" textlink="">
      <xdr:nvSpPr>
        <xdr:cNvPr id="2480" name="Text Box 16">
          <a:extLst>
            <a:ext uri="{FF2B5EF4-FFF2-40B4-BE49-F238E27FC236}">
              <a16:creationId xmlns:a16="http://schemas.microsoft.com/office/drawing/2014/main" id="{00000000-0008-0000-0500-0000B0090000}"/>
            </a:ext>
          </a:extLst>
        </xdr:cNvPr>
        <xdr:cNvSpPr txBox="1">
          <a:spLocks noChangeArrowheads="1"/>
        </xdr:cNvSpPr>
      </xdr:nvSpPr>
      <xdr:spPr bwMode="auto">
        <a:xfrm>
          <a:off x="12540961"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42</xdr:row>
      <xdr:rowOff>0</xdr:rowOff>
    </xdr:from>
    <xdr:ext cx="95250" cy="171450"/>
    <xdr:sp macro="" textlink="">
      <xdr:nvSpPr>
        <xdr:cNvPr id="2481" name="Text Box 17">
          <a:extLst>
            <a:ext uri="{FF2B5EF4-FFF2-40B4-BE49-F238E27FC236}">
              <a16:creationId xmlns:a16="http://schemas.microsoft.com/office/drawing/2014/main" id="{00000000-0008-0000-0500-0000B1090000}"/>
            </a:ext>
          </a:extLst>
        </xdr:cNvPr>
        <xdr:cNvSpPr txBox="1">
          <a:spLocks noChangeArrowheads="1"/>
        </xdr:cNvSpPr>
      </xdr:nvSpPr>
      <xdr:spPr bwMode="auto">
        <a:xfrm>
          <a:off x="12540961"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1020762</xdr:colOff>
      <xdr:row>42</xdr:row>
      <xdr:rowOff>15875</xdr:rowOff>
    </xdr:from>
    <xdr:ext cx="95250" cy="171450"/>
    <xdr:sp macro="" textlink="">
      <xdr:nvSpPr>
        <xdr:cNvPr id="2482" name="Text Box 18">
          <a:extLst>
            <a:ext uri="{FF2B5EF4-FFF2-40B4-BE49-F238E27FC236}">
              <a16:creationId xmlns:a16="http://schemas.microsoft.com/office/drawing/2014/main" id="{00000000-0008-0000-0500-0000B2090000}"/>
            </a:ext>
          </a:extLst>
        </xdr:cNvPr>
        <xdr:cNvSpPr txBox="1">
          <a:spLocks noChangeArrowheads="1"/>
        </xdr:cNvSpPr>
      </xdr:nvSpPr>
      <xdr:spPr bwMode="auto">
        <a:xfrm>
          <a:off x="12485398" y="7116330"/>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42</xdr:row>
      <xdr:rowOff>0</xdr:rowOff>
    </xdr:from>
    <xdr:ext cx="95250" cy="171450"/>
    <xdr:sp macro="" textlink="">
      <xdr:nvSpPr>
        <xdr:cNvPr id="2483" name="Text Box 16">
          <a:extLst>
            <a:ext uri="{FF2B5EF4-FFF2-40B4-BE49-F238E27FC236}">
              <a16:creationId xmlns:a16="http://schemas.microsoft.com/office/drawing/2014/main" id="{00000000-0008-0000-0500-0000B3090000}"/>
            </a:ext>
          </a:extLst>
        </xdr:cNvPr>
        <xdr:cNvSpPr txBox="1">
          <a:spLocks noChangeArrowheads="1"/>
        </xdr:cNvSpPr>
      </xdr:nvSpPr>
      <xdr:spPr bwMode="auto">
        <a:xfrm>
          <a:off x="15388070"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42</xdr:row>
      <xdr:rowOff>0</xdr:rowOff>
    </xdr:from>
    <xdr:ext cx="95250" cy="171450"/>
    <xdr:sp macro="" textlink="">
      <xdr:nvSpPr>
        <xdr:cNvPr id="2484" name="Text Box 17">
          <a:extLst>
            <a:ext uri="{FF2B5EF4-FFF2-40B4-BE49-F238E27FC236}">
              <a16:creationId xmlns:a16="http://schemas.microsoft.com/office/drawing/2014/main" id="{00000000-0008-0000-0500-0000B4090000}"/>
            </a:ext>
          </a:extLst>
        </xdr:cNvPr>
        <xdr:cNvSpPr txBox="1">
          <a:spLocks noChangeArrowheads="1"/>
        </xdr:cNvSpPr>
      </xdr:nvSpPr>
      <xdr:spPr bwMode="auto">
        <a:xfrm>
          <a:off x="15388070"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42</xdr:row>
      <xdr:rowOff>0</xdr:rowOff>
    </xdr:from>
    <xdr:ext cx="95250" cy="171450"/>
    <xdr:sp macro="" textlink="">
      <xdr:nvSpPr>
        <xdr:cNvPr id="2485" name="Text Box 18">
          <a:extLst>
            <a:ext uri="{FF2B5EF4-FFF2-40B4-BE49-F238E27FC236}">
              <a16:creationId xmlns:a16="http://schemas.microsoft.com/office/drawing/2014/main" id="{00000000-0008-0000-0500-0000B5090000}"/>
            </a:ext>
          </a:extLst>
        </xdr:cNvPr>
        <xdr:cNvSpPr txBox="1">
          <a:spLocks noChangeArrowheads="1"/>
        </xdr:cNvSpPr>
      </xdr:nvSpPr>
      <xdr:spPr bwMode="auto">
        <a:xfrm>
          <a:off x="15388070"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42</xdr:row>
      <xdr:rowOff>0</xdr:rowOff>
    </xdr:from>
    <xdr:ext cx="95250" cy="171450"/>
    <xdr:sp macro="" textlink="">
      <xdr:nvSpPr>
        <xdr:cNvPr id="2486" name="Text Box 19">
          <a:extLst>
            <a:ext uri="{FF2B5EF4-FFF2-40B4-BE49-F238E27FC236}">
              <a16:creationId xmlns:a16="http://schemas.microsoft.com/office/drawing/2014/main" id="{00000000-0008-0000-0500-0000B6090000}"/>
            </a:ext>
          </a:extLst>
        </xdr:cNvPr>
        <xdr:cNvSpPr txBox="1">
          <a:spLocks noChangeArrowheads="1"/>
        </xdr:cNvSpPr>
      </xdr:nvSpPr>
      <xdr:spPr bwMode="auto">
        <a:xfrm>
          <a:off x="15388070"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42</xdr:row>
      <xdr:rowOff>0</xdr:rowOff>
    </xdr:from>
    <xdr:ext cx="95250" cy="171450"/>
    <xdr:sp macro="" textlink="">
      <xdr:nvSpPr>
        <xdr:cNvPr id="2487" name="Text Box 16">
          <a:extLst>
            <a:ext uri="{FF2B5EF4-FFF2-40B4-BE49-F238E27FC236}">
              <a16:creationId xmlns:a16="http://schemas.microsoft.com/office/drawing/2014/main" id="{00000000-0008-0000-0500-0000B7090000}"/>
            </a:ext>
          </a:extLst>
        </xdr:cNvPr>
        <xdr:cNvSpPr txBox="1">
          <a:spLocks noChangeArrowheads="1"/>
        </xdr:cNvSpPr>
      </xdr:nvSpPr>
      <xdr:spPr bwMode="auto">
        <a:xfrm>
          <a:off x="15388070"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10</xdr:col>
      <xdr:colOff>28575</xdr:colOff>
      <xdr:row>42</xdr:row>
      <xdr:rowOff>170392</xdr:rowOff>
    </xdr:from>
    <xdr:ext cx="95250" cy="213632"/>
    <xdr:sp macro="" textlink="">
      <xdr:nvSpPr>
        <xdr:cNvPr id="2488" name="Text Box 15">
          <a:extLst>
            <a:ext uri="{FF2B5EF4-FFF2-40B4-BE49-F238E27FC236}">
              <a16:creationId xmlns:a16="http://schemas.microsoft.com/office/drawing/2014/main" id="{00000000-0008-0000-0500-0000B8090000}"/>
            </a:ext>
          </a:extLst>
        </xdr:cNvPr>
        <xdr:cNvSpPr txBox="1">
          <a:spLocks noChangeArrowheads="1"/>
        </xdr:cNvSpPr>
      </xdr:nvSpPr>
      <xdr:spPr bwMode="auto">
        <a:xfrm>
          <a:off x="12578484" y="7270847"/>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42</xdr:row>
      <xdr:rowOff>504825</xdr:rowOff>
    </xdr:from>
    <xdr:ext cx="95250" cy="448496"/>
    <xdr:sp macro="" textlink="">
      <xdr:nvSpPr>
        <xdr:cNvPr id="2489" name="Text Box 15">
          <a:extLst>
            <a:ext uri="{FF2B5EF4-FFF2-40B4-BE49-F238E27FC236}">
              <a16:creationId xmlns:a16="http://schemas.microsoft.com/office/drawing/2014/main" id="{00000000-0008-0000-0500-0000B9090000}"/>
            </a:ext>
          </a:extLst>
        </xdr:cNvPr>
        <xdr:cNvSpPr txBox="1">
          <a:spLocks noChangeArrowheads="1"/>
        </xdr:cNvSpPr>
      </xdr:nvSpPr>
      <xdr:spPr bwMode="auto">
        <a:xfrm>
          <a:off x="4664364" y="5994111"/>
          <a:ext cx="95250" cy="448496"/>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42</xdr:row>
      <xdr:rowOff>504825</xdr:rowOff>
    </xdr:from>
    <xdr:ext cx="95250" cy="442269"/>
    <xdr:sp macro="" textlink="">
      <xdr:nvSpPr>
        <xdr:cNvPr id="2490" name="Text Box 15">
          <a:extLst>
            <a:ext uri="{FF2B5EF4-FFF2-40B4-BE49-F238E27FC236}">
              <a16:creationId xmlns:a16="http://schemas.microsoft.com/office/drawing/2014/main" id="{00000000-0008-0000-0500-0000BA090000}"/>
            </a:ext>
          </a:extLst>
        </xdr:cNvPr>
        <xdr:cNvSpPr txBox="1">
          <a:spLocks noChangeArrowheads="1"/>
        </xdr:cNvSpPr>
      </xdr:nvSpPr>
      <xdr:spPr bwMode="auto">
        <a:xfrm>
          <a:off x="12540961" y="5994111"/>
          <a:ext cx="95250" cy="442269"/>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42</xdr:row>
      <xdr:rowOff>504825</xdr:rowOff>
    </xdr:from>
    <xdr:ext cx="95250" cy="213632"/>
    <xdr:sp macro="" textlink="">
      <xdr:nvSpPr>
        <xdr:cNvPr id="2492" name="Text Box 15">
          <a:extLst>
            <a:ext uri="{FF2B5EF4-FFF2-40B4-BE49-F238E27FC236}">
              <a16:creationId xmlns:a16="http://schemas.microsoft.com/office/drawing/2014/main" id="{00000000-0008-0000-0500-0000BC090000}"/>
            </a:ext>
          </a:extLst>
        </xdr:cNvPr>
        <xdr:cNvSpPr txBox="1">
          <a:spLocks noChangeArrowheads="1"/>
        </xdr:cNvSpPr>
      </xdr:nvSpPr>
      <xdr:spPr bwMode="auto">
        <a:xfrm>
          <a:off x="4664364" y="5994111"/>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42</xdr:row>
      <xdr:rowOff>504825</xdr:rowOff>
    </xdr:from>
    <xdr:ext cx="95250" cy="444331"/>
    <xdr:sp macro="" textlink="">
      <xdr:nvSpPr>
        <xdr:cNvPr id="2493" name="Text Box 15">
          <a:extLst>
            <a:ext uri="{FF2B5EF4-FFF2-40B4-BE49-F238E27FC236}">
              <a16:creationId xmlns:a16="http://schemas.microsoft.com/office/drawing/2014/main" id="{00000000-0008-0000-0500-0000BD090000}"/>
            </a:ext>
          </a:extLst>
        </xdr:cNvPr>
        <xdr:cNvSpPr txBox="1">
          <a:spLocks noChangeArrowheads="1"/>
        </xdr:cNvSpPr>
      </xdr:nvSpPr>
      <xdr:spPr bwMode="auto">
        <a:xfrm>
          <a:off x="4664364" y="5994111"/>
          <a:ext cx="95250" cy="444331"/>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10</xdr:col>
      <xdr:colOff>28575</xdr:colOff>
      <xdr:row>42</xdr:row>
      <xdr:rowOff>170392</xdr:rowOff>
    </xdr:from>
    <xdr:ext cx="95250" cy="213632"/>
    <xdr:sp macro="" textlink="">
      <xdr:nvSpPr>
        <xdr:cNvPr id="2494" name="Text Box 15">
          <a:extLst>
            <a:ext uri="{FF2B5EF4-FFF2-40B4-BE49-F238E27FC236}">
              <a16:creationId xmlns:a16="http://schemas.microsoft.com/office/drawing/2014/main" id="{00000000-0008-0000-0500-0000BE090000}"/>
            </a:ext>
          </a:extLst>
        </xdr:cNvPr>
        <xdr:cNvSpPr txBox="1">
          <a:spLocks noChangeArrowheads="1"/>
        </xdr:cNvSpPr>
      </xdr:nvSpPr>
      <xdr:spPr bwMode="auto">
        <a:xfrm>
          <a:off x="12578484" y="5793028"/>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48</xdr:row>
      <xdr:rowOff>0</xdr:rowOff>
    </xdr:from>
    <xdr:ext cx="95250" cy="171450"/>
    <xdr:sp macro="" textlink="">
      <xdr:nvSpPr>
        <xdr:cNvPr id="2495" name="Text Box 16">
          <a:extLst>
            <a:ext uri="{FF2B5EF4-FFF2-40B4-BE49-F238E27FC236}">
              <a16:creationId xmlns:a16="http://schemas.microsoft.com/office/drawing/2014/main" id="{00000000-0008-0000-0500-0000BF090000}"/>
            </a:ext>
          </a:extLst>
        </xdr:cNvPr>
        <xdr:cNvSpPr txBox="1">
          <a:spLocks noChangeArrowheads="1"/>
        </xdr:cNvSpPr>
      </xdr:nvSpPr>
      <xdr:spPr bwMode="auto">
        <a:xfrm>
          <a:off x="4664364"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48</xdr:row>
      <xdr:rowOff>0</xdr:rowOff>
    </xdr:from>
    <xdr:ext cx="95250" cy="171450"/>
    <xdr:sp macro="" textlink="">
      <xdr:nvSpPr>
        <xdr:cNvPr id="2496" name="Text Box 17">
          <a:extLst>
            <a:ext uri="{FF2B5EF4-FFF2-40B4-BE49-F238E27FC236}">
              <a16:creationId xmlns:a16="http://schemas.microsoft.com/office/drawing/2014/main" id="{00000000-0008-0000-0500-0000C0090000}"/>
            </a:ext>
          </a:extLst>
        </xdr:cNvPr>
        <xdr:cNvSpPr txBox="1">
          <a:spLocks noChangeArrowheads="1"/>
        </xdr:cNvSpPr>
      </xdr:nvSpPr>
      <xdr:spPr bwMode="auto">
        <a:xfrm>
          <a:off x="4664364"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48</xdr:row>
      <xdr:rowOff>0</xdr:rowOff>
    </xdr:from>
    <xdr:ext cx="95250" cy="171450"/>
    <xdr:sp macro="" textlink="">
      <xdr:nvSpPr>
        <xdr:cNvPr id="2497" name="Text Box 18">
          <a:extLst>
            <a:ext uri="{FF2B5EF4-FFF2-40B4-BE49-F238E27FC236}">
              <a16:creationId xmlns:a16="http://schemas.microsoft.com/office/drawing/2014/main" id="{00000000-0008-0000-0500-0000C1090000}"/>
            </a:ext>
          </a:extLst>
        </xdr:cNvPr>
        <xdr:cNvSpPr txBox="1">
          <a:spLocks noChangeArrowheads="1"/>
        </xdr:cNvSpPr>
      </xdr:nvSpPr>
      <xdr:spPr bwMode="auto">
        <a:xfrm>
          <a:off x="4664364"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48</xdr:row>
      <xdr:rowOff>0</xdr:rowOff>
    </xdr:from>
    <xdr:ext cx="95250" cy="171450"/>
    <xdr:sp macro="" textlink="">
      <xdr:nvSpPr>
        <xdr:cNvPr id="2498" name="Text Box 19">
          <a:extLst>
            <a:ext uri="{FF2B5EF4-FFF2-40B4-BE49-F238E27FC236}">
              <a16:creationId xmlns:a16="http://schemas.microsoft.com/office/drawing/2014/main" id="{00000000-0008-0000-0500-0000C2090000}"/>
            </a:ext>
          </a:extLst>
        </xdr:cNvPr>
        <xdr:cNvSpPr txBox="1">
          <a:spLocks noChangeArrowheads="1"/>
        </xdr:cNvSpPr>
      </xdr:nvSpPr>
      <xdr:spPr bwMode="auto">
        <a:xfrm>
          <a:off x="4664364"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48</xdr:row>
      <xdr:rowOff>0</xdr:rowOff>
    </xdr:from>
    <xdr:ext cx="95250" cy="171450"/>
    <xdr:sp macro="" textlink="">
      <xdr:nvSpPr>
        <xdr:cNvPr id="2499" name="Text Box 16">
          <a:extLst>
            <a:ext uri="{FF2B5EF4-FFF2-40B4-BE49-F238E27FC236}">
              <a16:creationId xmlns:a16="http://schemas.microsoft.com/office/drawing/2014/main" id="{00000000-0008-0000-0500-0000C3090000}"/>
            </a:ext>
          </a:extLst>
        </xdr:cNvPr>
        <xdr:cNvSpPr txBox="1">
          <a:spLocks noChangeArrowheads="1"/>
        </xdr:cNvSpPr>
      </xdr:nvSpPr>
      <xdr:spPr bwMode="auto">
        <a:xfrm>
          <a:off x="12540961"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48</xdr:row>
      <xdr:rowOff>0</xdr:rowOff>
    </xdr:from>
    <xdr:ext cx="95250" cy="171450"/>
    <xdr:sp macro="" textlink="">
      <xdr:nvSpPr>
        <xdr:cNvPr id="2500" name="Text Box 17">
          <a:extLst>
            <a:ext uri="{FF2B5EF4-FFF2-40B4-BE49-F238E27FC236}">
              <a16:creationId xmlns:a16="http://schemas.microsoft.com/office/drawing/2014/main" id="{00000000-0008-0000-0500-0000C4090000}"/>
            </a:ext>
          </a:extLst>
        </xdr:cNvPr>
        <xdr:cNvSpPr txBox="1">
          <a:spLocks noChangeArrowheads="1"/>
        </xdr:cNvSpPr>
      </xdr:nvSpPr>
      <xdr:spPr bwMode="auto">
        <a:xfrm>
          <a:off x="12540961"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48</xdr:row>
      <xdr:rowOff>0</xdr:rowOff>
    </xdr:from>
    <xdr:ext cx="95250" cy="171450"/>
    <xdr:sp macro="" textlink="">
      <xdr:nvSpPr>
        <xdr:cNvPr id="2501" name="Text Box 18">
          <a:extLst>
            <a:ext uri="{FF2B5EF4-FFF2-40B4-BE49-F238E27FC236}">
              <a16:creationId xmlns:a16="http://schemas.microsoft.com/office/drawing/2014/main" id="{00000000-0008-0000-0500-0000C5090000}"/>
            </a:ext>
          </a:extLst>
        </xdr:cNvPr>
        <xdr:cNvSpPr txBox="1">
          <a:spLocks noChangeArrowheads="1"/>
        </xdr:cNvSpPr>
      </xdr:nvSpPr>
      <xdr:spPr bwMode="auto">
        <a:xfrm>
          <a:off x="12540961"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48</xdr:row>
      <xdr:rowOff>0</xdr:rowOff>
    </xdr:from>
    <xdr:ext cx="95250" cy="171450"/>
    <xdr:sp macro="" textlink="">
      <xdr:nvSpPr>
        <xdr:cNvPr id="2502" name="Text Box 19">
          <a:extLst>
            <a:ext uri="{FF2B5EF4-FFF2-40B4-BE49-F238E27FC236}">
              <a16:creationId xmlns:a16="http://schemas.microsoft.com/office/drawing/2014/main" id="{00000000-0008-0000-0500-0000C6090000}"/>
            </a:ext>
          </a:extLst>
        </xdr:cNvPr>
        <xdr:cNvSpPr txBox="1">
          <a:spLocks noChangeArrowheads="1"/>
        </xdr:cNvSpPr>
      </xdr:nvSpPr>
      <xdr:spPr bwMode="auto">
        <a:xfrm>
          <a:off x="12540961"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21</xdr:col>
      <xdr:colOff>0</xdr:colOff>
      <xdr:row>48</xdr:row>
      <xdr:rowOff>0</xdr:rowOff>
    </xdr:from>
    <xdr:ext cx="95250" cy="171450"/>
    <xdr:sp macro="" textlink="">
      <xdr:nvSpPr>
        <xdr:cNvPr id="2503" name="Text Box 16">
          <a:extLst>
            <a:ext uri="{FF2B5EF4-FFF2-40B4-BE49-F238E27FC236}">
              <a16:creationId xmlns:a16="http://schemas.microsoft.com/office/drawing/2014/main" id="{00000000-0008-0000-0500-0000C7090000}"/>
            </a:ext>
          </a:extLst>
        </xdr:cNvPr>
        <xdr:cNvSpPr txBox="1">
          <a:spLocks noChangeArrowheads="1"/>
        </xdr:cNvSpPr>
      </xdr:nvSpPr>
      <xdr:spPr bwMode="auto">
        <a:xfrm>
          <a:off x="21832455"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21</xdr:col>
      <xdr:colOff>0</xdr:colOff>
      <xdr:row>48</xdr:row>
      <xdr:rowOff>0</xdr:rowOff>
    </xdr:from>
    <xdr:ext cx="95250" cy="171450"/>
    <xdr:sp macro="" textlink="">
      <xdr:nvSpPr>
        <xdr:cNvPr id="2504" name="Text Box 17">
          <a:extLst>
            <a:ext uri="{FF2B5EF4-FFF2-40B4-BE49-F238E27FC236}">
              <a16:creationId xmlns:a16="http://schemas.microsoft.com/office/drawing/2014/main" id="{00000000-0008-0000-0500-0000C8090000}"/>
            </a:ext>
          </a:extLst>
        </xdr:cNvPr>
        <xdr:cNvSpPr txBox="1">
          <a:spLocks noChangeArrowheads="1"/>
        </xdr:cNvSpPr>
      </xdr:nvSpPr>
      <xdr:spPr bwMode="auto">
        <a:xfrm>
          <a:off x="21832455"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21</xdr:col>
      <xdr:colOff>0</xdr:colOff>
      <xdr:row>48</xdr:row>
      <xdr:rowOff>0</xdr:rowOff>
    </xdr:from>
    <xdr:ext cx="95250" cy="171450"/>
    <xdr:sp macro="" textlink="">
      <xdr:nvSpPr>
        <xdr:cNvPr id="2505" name="Text Box 18">
          <a:extLst>
            <a:ext uri="{FF2B5EF4-FFF2-40B4-BE49-F238E27FC236}">
              <a16:creationId xmlns:a16="http://schemas.microsoft.com/office/drawing/2014/main" id="{00000000-0008-0000-0500-0000C9090000}"/>
            </a:ext>
          </a:extLst>
        </xdr:cNvPr>
        <xdr:cNvSpPr txBox="1">
          <a:spLocks noChangeArrowheads="1"/>
        </xdr:cNvSpPr>
      </xdr:nvSpPr>
      <xdr:spPr bwMode="auto">
        <a:xfrm>
          <a:off x="21832455"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21</xdr:col>
      <xdr:colOff>0</xdr:colOff>
      <xdr:row>48</xdr:row>
      <xdr:rowOff>0</xdr:rowOff>
    </xdr:from>
    <xdr:ext cx="95250" cy="171450"/>
    <xdr:sp macro="" textlink="">
      <xdr:nvSpPr>
        <xdr:cNvPr id="2506" name="Text Box 19">
          <a:extLst>
            <a:ext uri="{FF2B5EF4-FFF2-40B4-BE49-F238E27FC236}">
              <a16:creationId xmlns:a16="http://schemas.microsoft.com/office/drawing/2014/main" id="{00000000-0008-0000-0500-0000CA090000}"/>
            </a:ext>
          </a:extLst>
        </xdr:cNvPr>
        <xdr:cNvSpPr txBox="1">
          <a:spLocks noChangeArrowheads="1"/>
        </xdr:cNvSpPr>
      </xdr:nvSpPr>
      <xdr:spPr bwMode="auto">
        <a:xfrm>
          <a:off x="21832455"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44</xdr:row>
      <xdr:rowOff>504825</xdr:rowOff>
    </xdr:from>
    <xdr:ext cx="95250" cy="444014"/>
    <xdr:sp macro="" textlink="">
      <xdr:nvSpPr>
        <xdr:cNvPr id="2507" name="Text Box 15">
          <a:extLst>
            <a:ext uri="{FF2B5EF4-FFF2-40B4-BE49-F238E27FC236}">
              <a16:creationId xmlns:a16="http://schemas.microsoft.com/office/drawing/2014/main" id="{00000000-0008-0000-0500-0000CB090000}"/>
            </a:ext>
          </a:extLst>
        </xdr:cNvPr>
        <xdr:cNvSpPr txBox="1">
          <a:spLocks noChangeArrowheads="1"/>
        </xdr:cNvSpPr>
      </xdr:nvSpPr>
      <xdr:spPr bwMode="auto">
        <a:xfrm>
          <a:off x="4664364" y="6733020"/>
          <a:ext cx="95250" cy="444014"/>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48</xdr:row>
      <xdr:rowOff>0</xdr:rowOff>
    </xdr:from>
    <xdr:ext cx="95250" cy="171450"/>
    <xdr:sp macro="" textlink="">
      <xdr:nvSpPr>
        <xdr:cNvPr id="2508" name="Text Box 16">
          <a:extLst>
            <a:ext uri="{FF2B5EF4-FFF2-40B4-BE49-F238E27FC236}">
              <a16:creationId xmlns:a16="http://schemas.microsoft.com/office/drawing/2014/main" id="{00000000-0008-0000-0500-0000CC090000}"/>
            </a:ext>
          </a:extLst>
        </xdr:cNvPr>
        <xdr:cNvSpPr txBox="1">
          <a:spLocks noChangeArrowheads="1"/>
        </xdr:cNvSpPr>
      </xdr:nvSpPr>
      <xdr:spPr bwMode="auto">
        <a:xfrm>
          <a:off x="4664364"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48</xdr:row>
      <xdr:rowOff>0</xdr:rowOff>
    </xdr:from>
    <xdr:ext cx="95250" cy="171450"/>
    <xdr:sp macro="" textlink="">
      <xdr:nvSpPr>
        <xdr:cNvPr id="2509" name="Text Box 17">
          <a:extLst>
            <a:ext uri="{FF2B5EF4-FFF2-40B4-BE49-F238E27FC236}">
              <a16:creationId xmlns:a16="http://schemas.microsoft.com/office/drawing/2014/main" id="{00000000-0008-0000-0500-0000CD090000}"/>
            </a:ext>
          </a:extLst>
        </xdr:cNvPr>
        <xdr:cNvSpPr txBox="1">
          <a:spLocks noChangeArrowheads="1"/>
        </xdr:cNvSpPr>
      </xdr:nvSpPr>
      <xdr:spPr bwMode="auto">
        <a:xfrm>
          <a:off x="4664364"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48</xdr:row>
      <xdr:rowOff>0</xdr:rowOff>
    </xdr:from>
    <xdr:ext cx="95250" cy="171450"/>
    <xdr:sp macro="" textlink="">
      <xdr:nvSpPr>
        <xdr:cNvPr id="2510" name="Text Box 18">
          <a:extLst>
            <a:ext uri="{FF2B5EF4-FFF2-40B4-BE49-F238E27FC236}">
              <a16:creationId xmlns:a16="http://schemas.microsoft.com/office/drawing/2014/main" id="{00000000-0008-0000-0500-0000CE090000}"/>
            </a:ext>
          </a:extLst>
        </xdr:cNvPr>
        <xdr:cNvSpPr txBox="1">
          <a:spLocks noChangeArrowheads="1"/>
        </xdr:cNvSpPr>
      </xdr:nvSpPr>
      <xdr:spPr bwMode="auto">
        <a:xfrm>
          <a:off x="4664364"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48</xdr:row>
      <xdr:rowOff>0</xdr:rowOff>
    </xdr:from>
    <xdr:ext cx="95250" cy="171450"/>
    <xdr:sp macro="" textlink="">
      <xdr:nvSpPr>
        <xdr:cNvPr id="2511" name="Text Box 19">
          <a:extLst>
            <a:ext uri="{FF2B5EF4-FFF2-40B4-BE49-F238E27FC236}">
              <a16:creationId xmlns:a16="http://schemas.microsoft.com/office/drawing/2014/main" id="{00000000-0008-0000-0500-0000CF090000}"/>
            </a:ext>
          </a:extLst>
        </xdr:cNvPr>
        <xdr:cNvSpPr txBox="1">
          <a:spLocks noChangeArrowheads="1"/>
        </xdr:cNvSpPr>
      </xdr:nvSpPr>
      <xdr:spPr bwMode="auto">
        <a:xfrm>
          <a:off x="4664364"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48</xdr:row>
      <xdr:rowOff>0</xdr:rowOff>
    </xdr:from>
    <xdr:ext cx="95250" cy="171450"/>
    <xdr:sp macro="" textlink="">
      <xdr:nvSpPr>
        <xdr:cNvPr id="2512" name="Text Box 16">
          <a:extLst>
            <a:ext uri="{FF2B5EF4-FFF2-40B4-BE49-F238E27FC236}">
              <a16:creationId xmlns:a16="http://schemas.microsoft.com/office/drawing/2014/main" id="{00000000-0008-0000-0500-0000D0090000}"/>
            </a:ext>
          </a:extLst>
        </xdr:cNvPr>
        <xdr:cNvSpPr txBox="1">
          <a:spLocks noChangeArrowheads="1"/>
        </xdr:cNvSpPr>
      </xdr:nvSpPr>
      <xdr:spPr bwMode="auto">
        <a:xfrm>
          <a:off x="12540961"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48</xdr:row>
      <xdr:rowOff>0</xdr:rowOff>
    </xdr:from>
    <xdr:ext cx="95250" cy="171450"/>
    <xdr:sp macro="" textlink="">
      <xdr:nvSpPr>
        <xdr:cNvPr id="2513" name="Text Box 17">
          <a:extLst>
            <a:ext uri="{FF2B5EF4-FFF2-40B4-BE49-F238E27FC236}">
              <a16:creationId xmlns:a16="http://schemas.microsoft.com/office/drawing/2014/main" id="{00000000-0008-0000-0500-0000D1090000}"/>
            </a:ext>
          </a:extLst>
        </xdr:cNvPr>
        <xdr:cNvSpPr txBox="1">
          <a:spLocks noChangeArrowheads="1"/>
        </xdr:cNvSpPr>
      </xdr:nvSpPr>
      <xdr:spPr bwMode="auto">
        <a:xfrm>
          <a:off x="12540961"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48</xdr:row>
      <xdr:rowOff>0</xdr:rowOff>
    </xdr:from>
    <xdr:ext cx="95250" cy="171450"/>
    <xdr:sp macro="" textlink="">
      <xdr:nvSpPr>
        <xdr:cNvPr id="2514" name="Text Box 18">
          <a:extLst>
            <a:ext uri="{FF2B5EF4-FFF2-40B4-BE49-F238E27FC236}">
              <a16:creationId xmlns:a16="http://schemas.microsoft.com/office/drawing/2014/main" id="{00000000-0008-0000-0500-0000D2090000}"/>
            </a:ext>
          </a:extLst>
        </xdr:cNvPr>
        <xdr:cNvSpPr txBox="1">
          <a:spLocks noChangeArrowheads="1"/>
        </xdr:cNvSpPr>
      </xdr:nvSpPr>
      <xdr:spPr bwMode="auto">
        <a:xfrm>
          <a:off x="12540961"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48</xdr:row>
      <xdr:rowOff>0</xdr:rowOff>
    </xdr:from>
    <xdr:ext cx="95250" cy="171450"/>
    <xdr:sp macro="" textlink="">
      <xdr:nvSpPr>
        <xdr:cNvPr id="2515" name="Text Box 16">
          <a:extLst>
            <a:ext uri="{FF2B5EF4-FFF2-40B4-BE49-F238E27FC236}">
              <a16:creationId xmlns:a16="http://schemas.microsoft.com/office/drawing/2014/main" id="{00000000-0008-0000-0500-0000D3090000}"/>
            </a:ext>
          </a:extLst>
        </xdr:cNvPr>
        <xdr:cNvSpPr txBox="1">
          <a:spLocks noChangeArrowheads="1"/>
        </xdr:cNvSpPr>
      </xdr:nvSpPr>
      <xdr:spPr bwMode="auto">
        <a:xfrm>
          <a:off x="15388070"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48</xdr:row>
      <xdr:rowOff>0</xdr:rowOff>
    </xdr:from>
    <xdr:ext cx="95250" cy="171450"/>
    <xdr:sp macro="" textlink="">
      <xdr:nvSpPr>
        <xdr:cNvPr id="2516" name="Text Box 17">
          <a:extLst>
            <a:ext uri="{FF2B5EF4-FFF2-40B4-BE49-F238E27FC236}">
              <a16:creationId xmlns:a16="http://schemas.microsoft.com/office/drawing/2014/main" id="{00000000-0008-0000-0500-0000D4090000}"/>
            </a:ext>
          </a:extLst>
        </xdr:cNvPr>
        <xdr:cNvSpPr txBox="1">
          <a:spLocks noChangeArrowheads="1"/>
        </xdr:cNvSpPr>
      </xdr:nvSpPr>
      <xdr:spPr bwMode="auto">
        <a:xfrm>
          <a:off x="15388070"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48</xdr:row>
      <xdr:rowOff>0</xdr:rowOff>
    </xdr:from>
    <xdr:ext cx="95250" cy="171450"/>
    <xdr:sp macro="" textlink="">
      <xdr:nvSpPr>
        <xdr:cNvPr id="2517" name="Text Box 18">
          <a:extLst>
            <a:ext uri="{FF2B5EF4-FFF2-40B4-BE49-F238E27FC236}">
              <a16:creationId xmlns:a16="http://schemas.microsoft.com/office/drawing/2014/main" id="{00000000-0008-0000-0500-0000D5090000}"/>
            </a:ext>
          </a:extLst>
        </xdr:cNvPr>
        <xdr:cNvSpPr txBox="1">
          <a:spLocks noChangeArrowheads="1"/>
        </xdr:cNvSpPr>
      </xdr:nvSpPr>
      <xdr:spPr bwMode="auto">
        <a:xfrm>
          <a:off x="15388070"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48</xdr:row>
      <xdr:rowOff>0</xdr:rowOff>
    </xdr:from>
    <xdr:ext cx="95250" cy="171450"/>
    <xdr:sp macro="" textlink="">
      <xdr:nvSpPr>
        <xdr:cNvPr id="2518" name="Text Box 19">
          <a:extLst>
            <a:ext uri="{FF2B5EF4-FFF2-40B4-BE49-F238E27FC236}">
              <a16:creationId xmlns:a16="http://schemas.microsoft.com/office/drawing/2014/main" id="{00000000-0008-0000-0500-0000D6090000}"/>
            </a:ext>
          </a:extLst>
        </xdr:cNvPr>
        <xdr:cNvSpPr txBox="1">
          <a:spLocks noChangeArrowheads="1"/>
        </xdr:cNvSpPr>
      </xdr:nvSpPr>
      <xdr:spPr bwMode="auto">
        <a:xfrm>
          <a:off x="15388070"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48</xdr:row>
      <xdr:rowOff>0</xdr:rowOff>
    </xdr:from>
    <xdr:ext cx="95250" cy="171450"/>
    <xdr:sp macro="" textlink="">
      <xdr:nvSpPr>
        <xdr:cNvPr id="2519" name="Text Box 16">
          <a:extLst>
            <a:ext uri="{FF2B5EF4-FFF2-40B4-BE49-F238E27FC236}">
              <a16:creationId xmlns:a16="http://schemas.microsoft.com/office/drawing/2014/main" id="{00000000-0008-0000-0500-0000D7090000}"/>
            </a:ext>
          </a:extLst>
        </xdr:cNvPr>
        <xdr:cNvSpPr txBox="1">
          <a:spLocks noChangeArrowheads="1"/>
        </xdr:cNvSpPr>
      </xdr:nvSpPr>
      <xdr:spPr bwMode="auto">
        <a:xfrm>
          <a:off x="15388070"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48</xdr:row>
      <xdr:rowOff>0</xdr:rowOff>
    </xdr:from>
    <xdr:ext cx="95250" cy="171450"/>
    <xdr:sp macro="" textlink="">
      <xdr:nvSpPr>
        <xdr:cNvPr id="2520" name="Text Box 17">
          <a:extLst>
            <a:ext uri="{FF2B5EF4-FFF2-40B4-BE49-F238E27FC236}">
              <a16:creationId xmlns:a16="http://schemas.microsoft.com/office/drawing/2014/main" id="{00000000-0008-0000-0500-0000D8090000}"/>
            </a:ext>
          </a:extLst>
        </xdr:cNvPr>
        <xdr:cNvSpPr txBox="1">
          <a:spLocks noChangeArrowheads="1"/>
        </xdr:cNvSpPr>
      </xdr:nvSpPr>
      <xdr:spPr bwMode="auto">
        <a:xfrm>
          <a:off x="15388070"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48</xdr:row>
      <xdr:rowOff>0</xdr:rowOff>
    </xdr:from>
    <xdr:ext cx="95250" cy="171450"/>
    <xdr:sp macro="" textlink="">
      <xdr:nvSpPr>
        <xdr:cNvPr id="2521" name="Text Box 18">
          <a:extLst>
            <a:ext uri="{FF2B5EF4-FFF2-40B4-BE49-F238E27FC236}">
              <a16:creationId xmlns:a16="http://schemas.microsoft.com/office/drawing/2014/main" id="{00000000-0008-0000-0500-0000D9090000}"/>
            </a:ext>
          </a:extLst>
        </xdr:cNvPr>
        <xdr:cNvSpPr txBox="1">
          <a:spLocks noChangeArrowheads="1"/>
        </xdr:cNvSpPr>
      </xdr:nvSpPr>
      <xdr:spPr bwMode="auto">
        <a:xfrm>
          <a:off x="15388070"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48</xdr:row>
      <xdr:rowOff>0</xdr:rowOff>
    </xdr:from>
    <xdr:ext cx="95250" cy="171450"/>
    <xdr:sp macro="" textlink="">
      <xdr:nvSpPr>
        <xdr:cNvPr id="2522" name="Text Box 19">
          <a:extLst>
            <a:ext uri="{FF2B5EF4-FFF2-40B4-BE49-F238E27FC236}">
              <a16:creationId xmlns:a16="http://schemas.microsoft.com/office/drawing/2014/main" id="{00000000-0008-0000-0500-0000DA090000}"/>
            </a:ext>
          </a:extLst>
        </xdr:cNvPr>
        <xdr:cNvSpPr txBox="1">
          <a:spLocks noChangeArrowheads="1"/>
        </xdr:cNvSpPr>
      </xdr:nvSpPr>
      <xdr:spPr bwMode="auto">
        <a:xfrm>
          <a:off x="15388070"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42</xdr:row>
      <xdr:rowOff>504825</xdr:rowOff>
    </xdr:from>
    <xdr:ext cx="95250" cy="456743"/>
    <xdr:sp macro="" textlink="">
      <xdr:nvSpPr>
        <xdr:cNvPr id="2523" name="Text Box 15">
          <a:extLst>
            <a:ext uri="{FF2B5EF4-FFF2-40B4-BE49-F238E27FC236}">
              <a16:creationId xmlns:a16="http://schemas.microsoft.com/office/drawing/2014/main" id="{00000000-0008-0000-0500-0000DB090000}"/>
            </a:ext>
          </a:extLst>
        </xdr:cNvPr>
        <xdr:cNvSpPr txBox="1">
          <a:spLocks noChangeArrowheads="1"/>
        </xdr:cNvSpPr>
      </xdr:nvSpPr>
      <xdr:spPr bwMode="auto">
        <a:xfrm>
          <a:off x="4664364" y="5994111"/>
          <a:ext cx="95250" cy="456743"/>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42</xdr:row>
      <xdr:rowOff>504825</xdr:rowOff>
    </xdr:from>
    <xdr:ext cx="95250" cy="442269"/>
    <xdr:sp macro="" textlink="">
      <xdr:nvSpPr>
        <xdr:cNvPr id="2524" name="Text Box 15">
          <a:extLst>
            <a:ext uri="{FF2B5EF4-FFF2-40B4-BE49-F238E27FC236}">
              <a16:creationId xmlns:a16="http://schemas.microsoft.com/office/drawing/2014/main" id="{00000000-0008-0000-0500-0000DC090000}"/>
            </a:ext>
          </a:extLst>
        </xdr:cNvPr>
        <xdr:cNvSpPr txBox="1">
          <a:spLocks noChangeArrowheads="1"/>
        </xdr:cNvSpPr>
      </xdr:nvSpPr>
      <xdr:spPr bwMode="auto">
        <a:xfrm>
          <a:off x="12540961" y="5994111"/>
          <a:ext cx="95250" cy="442269"/>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42</xdr:row>
      <xdr:rowOff>504825</xdr:rowOff>
    </xdr:from>
    <xdr:ext cx="95250" cy="213632"/>
    <xdr:sp macro="" textlink="">
      <xdr:nvSpPr>
        <xdr:cNvPr id="2526" name="Text Box 15">
          <a:extLst>
            <a:ext uri="{FF2B5EF4-FFF2-40B4-BE49-F238E27FC236}">
              <a16:creationId xmlns:a16="http://schemas.microsoft.com/office/drawing/2014/main" id="{00000000-0008-0000-0500-0000DE090000}"/>
            </a:ext>
          </a:extLst>
        </xdr:cNvPr>
        <xdr:cNvSpPr txBox="1">
          <a:spLocks noChangeArrowheads="1"/>
        </xdr:cNvSpPr>
      </xdr:nvSpPr>
      <xdr:spPr bwMode="auto">
        <a:xfrm>
          <a:off x="4664364" y="5994111"/>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42</xdr:row>
      <xdr:rowOff>504825</xdr:rowOff>
    </xdr:from>
    <xdr:ext cx="95250" cy="444331"/>
    <xdr:sp macro="" textlink="">
      <xdr:nvSpPr>
        <xdr:cNvPr id="2527" name="Text Box 15">
          <a:extLst>
            <a:ext uri="{FF2B5EF4-FFF2-40B4-BE49-F238E27FC236}">
              <a16:creationId xmlns:a16="http://schemas.microsoft.com/office/drawing/2014/main" id="{00000000-0008-0000-0500-0000DF090000}"/>
            </a:ext>
          </a:extLst>
        </xdr:cNvPr>
        <xdr:cNvSpPr txBox="1">
          <a:spLocks noChangeArrowheads="1"/>
        </xdr:cNvSpPr>
      </xdr:nvSpPr>
      <xdr:spPr bwMode="auto">
        <a:xfrm>
          <a:off x="4664364" y="5994111"/>
          <a:ext cx="95250" cy="444331"/>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42</xdr:row>
      <xdr:rowOff>504825</xdr:rowOff>
    </xdr:from>
    <xdr:ext cx="95250" cy="213632"/>
    <xdr:sp macro="" textlink="">
      <xdr:nvSpPr>
        <xdr:cNvPr id="2528" name="Text Box 15">
          <a:extLst>
            <a:ext uri="{FF2B5EF4-FFF2-40B4-BE49-F238E27FC236}">
              <a16:creationId xmlns:a16="http://schemas.microsoft.com/office/drawing/2014/main" id="{00000000-0008-0000-0500-0000E0090000}"/>
            </a:ext>
          </a:extLst>
        </xdr:cNvPr>
        <xdr:cNvSpPr txBox="1">
          <a:spLocks noChangeArrowheads="1"/>
        </xdr:cNvSpPr>
      </xdr:nvSpPr>
      <xdr:spPr bwMode="auto">
        <a:xfrm>
          <a:off x="12540961" y="5994111"/>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48</xdr:row>
      <xdr:rowOff>0</xdr:rowOff>
    </xdr:from>
    <xdr:ext cx="95250" cy="171450"/>
    <xdr:sp macro="" textlink="">
      <xdr:nvSpPr>
        <xdr:cNvPr id="2529" name="Text Box 16">
          <a:extLst>
            <a:ext uri="{FF2B5EF4-FFF2-40B4-BE49-F238E27FC236}">
              <a16:creationId xmlns:a16="http://schemas.microsoft.com/office/drawing/2014/main" id="{00000000-0008-0000-0500-0000E1090000}"/>
            </a:ext>
          </a:extLst>
        </xdr:cNvPr>
        <xdr:cNvSpPr txBox="1">
          <a:spLocks noChangeArrowheads="1"/>
        </xdr:cNvSpPr>
      </xdr:nvSpPr>
      <xdr:spPr bwMode="auto">
        <a:xfrm>
          <a:off x="4664364"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48</xdr:row>
      <xdr:rowOff>0</xdr:rowOff>
    </xdr:from>
    <xdr:ext cx="95250" cy="171450"/>
    <xdr:sp macro="" textlink="">
      <xdr:nvSpPr>
        <xdr:cNvPr id="2530" name="Text Box 17">
          <a:extLst>
            <a:ext uri="{FF2B5EF4-FFF2-40B4-BE49-F238E27FC236}">
              <a16:creationId xmlns:a16="http://schemas.microsoft.com/office/drawing/2014/main" id="{00000000-0008-0000-0500-0000E2090000}"/>
            </a:ext>
          </a:extLst>
        </xdr:cNvPr>
        <xdr:cNvSpPr txBox="1">
          <a:spLocks noChangeArrowheads="1"/>
        </xdr:cNvSpPr>
      </xdr:nvSpPr>
      <xdr:spPr bwMode="auto">
        <a:xfrm>
          <a:off x="4664364"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48</xdr:row>
      <xdr:rowOff>0</xdr:rowOff>
    </xdr:from>
    <xdr:ext cx="95250" cy="171450"/>
    <xdr:sp macro="" textlink="">
      <xdr:nvSpPr>
        <xdr:cNvPr id="2531" name="Text Box 18">
          <a:extLst>
            <a:ext uri="{FF2B5EF4-FFF2-40B4-BE49-F238E27FC236}">
              <a16:creationId xmlns:a16="http://schemas.microsoft.com/office/drawing/2014/main" id="{00000000-0008-0000-0500-0000E3090000}"/>
            </a:ext>
          </a:extLst>
        </xdr:cNvPr>
        <xdr:cNvSpPr txBox="1">
          <a:spLocks noChangeArrowheads="1"/>
        </xdr:cNvSpPr>
      </xdr:nvSpPr>
      <xdr:spPr bwMode="auto">
        <a:xfrm>
          <a:off x="4664364"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48</xdr:row>
      <xdr:rowOff>0</xdr:rowOff>
    </xdr:from>
    <xdr:ext cx="95250" cy="171450"/>
    <xdr:sp macro="" textlink="">
      <xdr:nvSpPr>
        <xdr:cNvPr id="2532" name="Text Box 19">
          <a:extLst>
            <a:ext uri="{FF2B5EF4-FFF2-40B4-BE49-F238E27FC236}">
              <a16:creationId xmlns:a16="http://schemas.microsoft.com/office/drawing/2014/main" id="{00000000-0008-0000-0500-0000E4090000}"/>
            </a:ext>
          </a:extLst>
        </xdr:cNvPr>
        <xdr:cNvSpPr txBox="1">
          <a:spLocks noChangeArrowheads="1"/>
        </xdr:cNvSpPr>
      </xdr:nvSpPr>
      <xdr:spPr bwMode="auto">
        <a:xfrm>
          <a:off x="4664364"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48</xdr:row>
      <xdr:rowOff>0</xdr:rowOff>
    </xdr:from>
    <xdr:ext cx="95250" cy="171450"/>
    <xdr:sp macro="" textlink="">
      <xdr:nvSpPr>
        <xdr:cNvPr id="2533" name="Text Box 16">
          <a:extLst>
            <a:ext uri="{FF2B5EF4-FFF2-40B4-BE49-F238E27FC236}">
              <a16:creationId xmlns:a16="http://schemas.microsoft.com/office/drawing/2014/main" id="{00000000-0008-0000-0500-0000E5090000}"/>
            </a:ext>
          </a:extLst>
        </xdr:cNvPr>
        <xdr:cNvSpPr txBox="1">
          <a:spLocks noChangeArrowheads="1"/>
        </xdr:cNvSpPr>
      </xdr:nvSpPr>
      <xdr:spPr bwMode="auto">
        <a:xfrm>
          <a:off x="12540961"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48</xdr:row>
      <xdr:rowOff>0</xdr:rowOff>
    </xdr:from>
    <xdr:ext cx="95250" cy="171450"/>
    <xdr:sp macro="" textlink="">
      <xdr:nvSpPr>
        <xdr:cNvPr id="2534" name="Text Box 17">
          <a:extLst>
            <a:ext uri="{FF2B5EF4-FFF2-40B4-BE49-F238E27FC236}">
              <a16:creationId xmlns:a16="http://schemas.microsoft.com/office/drawing/2014/main" id="{00000000-0008-0000-0500-0000E6090000}"/>
            </a:ext>
          </a:extLst>
        </xdr:cNvPr>
        <xdr:cNvSpPr txBox="1">
          <a:spLocks noChangeArrowheads="1"/>
        </xdr:cNvSpPr>
      </xdr:nvSpPr>
      <xdr:spPr bwMode="auto">
        <a:xfrm>
          <a:off x="12540961"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48</xdr:row>
      <xdr:rowOff>0</xdr:rowOff>
    </xdr:from>
    <xdr:ext cx="95250" cy="171450"/>
    <xdr:sp macro="" textlink="">
      <xdr:nvSpPr>
        <xdr:cNvPr id="2535" name="Text Box 18">
          <a:extLst>
            <a:ext uri="{FF2B5EF4-FFF2-40B4-BE49-F238E27FC236}">
              <a16:creationId xmlns:a16="http://schemas.microsoft.com/office/drawing/2014/main" id="{00000000-0008-0000-0500-0000E7090000}"/>
            </a:ext>
          </a:extLst>
        </xdr:cNvPr>
        <xdr:cNvSpPr txBox="1">
          <a:spLocks noChangeArrowheads="1"/>
        </xdr:cNvSpPr>
      </xdr:nvSpPr>
      <xdr:spPr bwMode="auto">
        <a:xfrm>
          <a:off x="12540961"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48</xdr:row>
      <xdr:rowOff>0</xdr:rowOff>
    </xdr:from>
    <xdr:ext cx="95250" cy="171450"/>
    <xdr:sp macro="" textlink="">
      <xdr:nvSpPr>
        <xdr:cNvPr id="2536" name="Text Box 19">
          <a:extLst>
            <a:ext uri="{FF2B5EF4-FFF2-40B4-BE49-F238E27FC236}">
              <a16:creationId xmlns:a16="http://schemas.microsoft.com/office/drawing/2014/main" id="{00000000-0008-0000-0500-0000E8090000}"/>
            </a:ext>
          </a:extLst>
        </xdr:cNvPr>
        <xdr:cNvSpPr txBox="1">
          <a:spLocks noChangeArrowheads="1"/>
        </xdr:cNvSpPr>
      </xdr:nvSpPr>
      <xdr:spPr bwMode="auto">
        <a:xfrm>
          <a:off x="12540961"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21</xdr:col>
      <xdr:colOff>0</xdr:colOff>
      <xdr:row>48</xdr:row>
      <xdr:rowOff>0</xdr:rowOff>
    </xdr:from>
    <xdr:ext cx="95250" cy="171450"/>
    <xdr:sp macro="" textlink="">
      <xdr:nvSpPr>
        <xdr:cNvPr id="2537" name="Text Box 16">
          <a:extLst>
            <a:ext uri="{FF2B5EF4-FFF2-40B4-BE49-F238E27FC236}">
              <a16:creationId xmlns:a16="http://schemas.microsoft.com/office/drawing/2014/main" id="{00000000-0008-0000-0500-0000E9090000}"/>
            </a:ext>
          </a:extLst>
        </xdr:cNvPr>
        <xdr:cNvSpPr txBox="1">
          <a:spLocks noChangeArrowheads="1"/>
        </xdr:cNvSpPr>
      </xdr:nvSpPr>
      <xdr:spPr bwMode="auto">
        <a:xfrm>
          <a:off x="21832455"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21</xdr:col>
      <xdr:colOff>0</xdr:colOff>
      <xdr:row>48</xdr:row>
      <xdr:rowOff>0</xdr:rowOff>
    </xdr:from>
    <xdr:ext cx="95250" cy="171450"/>
    <xdr:sp macro="" textlink="">
      <xdr:nvSpPr>
        <xdr:cNvPr id="2538" name="Text Box 17">
          <a:extLst>
            <a:ext uri="{FF2B5EF4-FFF2-40B4-BE49-F238E27FC236}">
              <a16:creationId xmlns:a16="http://schemas.microsoft.com/office/drawing/2014/main" id="{00000000-0008-0000-0500-0000EA090000}"/>
            </a:ext>
          </a:extLst>
        </xdr:cNvPr>
        <xdr:cNvSpPr txBox="1">
          <a:spLocks noChangeArrowheads="1"/>
        </xdr:cNvSpPr>
      </xdr:nvSpPr>
      <xdr:spPr bwMode="auto">
        <a:xfrm>
          <a:off x="21832455"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21</xdr:col>
      <xdr:colOff>0</xdr:colOff>
      <xdr:row>48</xdr:row>
      <xdr:rowOff>0</xdr:rowOff>
    </xdr:from>
    <xdr:ext cx="95250" cy="171450"/>
    <xdr:sp macro="" textlink="">
      <xdr:nvSpPr>
        <xdr:cNvPr id="2539" name="Text Box 18">
          <a:extLst>
            <a:ext uri="{FF2B5EF4-FFF2-40B4-BE49-F238E27FC236}">
              <a16:creationId xmlns:a16="http://schemas.microsoft.com/office/drawing/2014/main" id="{00000000-0008-0000-0500-0000EB090000}"/>
            </a:ext>
          </a:extLst>
        </xdr:cNvPr>
        <xdr:cNvSpPr txBox="1">
          <a:spLocks noChangeArrowheads="1"/>
        </xdr:cNvSpPr>
      </xdr:nvSpPr>
      <xdr:spPr bwMode="auto">
        <a:xfrm>
          <a:off x="21832455"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21</xdr:col>
      <xdr:colOff>0</xdr:colOff>
      <xdr:row>48</xdr:row>
      <xdr:rowOff>0</xdr:rowOff>
    </xdr:from>
    <xdr:ext cx="95250" cy="171450"/>
    <xdr:sp macro="" textlink="">
      <xdr:nvSpPr>
        <xdr:cNvPr id="2540" name="Text Box 19">
          <a:extLst>
            <a:ext uri="{FF2B5EF4-FFF2-40B4-BE49-F238E27FC236}">
              <a16:creationId xmlns:a16="http://schemas.microsoft.com/office/drawing/2014/main" id="{00000000-0008-0000-0500-0000EC090000}"/>
            </a:ext>
          </a:extLst>
        </xdr:cNvPr>
        <xdr:cNvSpPr txBox="1">
          <a:spLocks noChangeArrowheads="1"/>
        </xdr:cNvSpPr>
      </xdr:nvSpPr>
      <xdr:spPr bwMode="auto">
        <a:xfrm>
          <a:off x="21832455"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44</xdr:row>
      <xdr:rowOff>504825</xdr:rowOff>
    </xdr:from>
    <xdr:ext cx="95250" cy="444014"/>
    <xdr:sp macro="" textlink="">
      <xdr:nvSpPr>
        <xdr:cNvPr id="2541" name="Text Box 15">
          <a:extLst>
            <a:ext uri="{FF2B5EF4-FFF2-40B4-BE49-F238E27FC236}">
              <a16:creationId xmlns:a16="http://schemas.microsoft.com/office/drawing/2014/main" id="{00000000-0008-0000-0500-0000ED090000}"/>
            </a:ext>
          </a:extLst>
        </xdr:cNvPr>
        <xdr:cNvSpPr txBox="1">
          <a:spLocks noChangeArrowheads="1"/>
        </xdr:cNvSpPr>
      </xdr:nvSpPr>
      <xdr:spPr bwMode="auto">
        <a:xfrm>
          <a:off x="4664364" y="6733020"/>
          <a:ext cx="95250" cy="444014"/>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48</xdr:row>
      <xdr:rowOff>0</xdr:rowOff>
    </xdr:from>
    <xdr:ext cx="95250" cy="171450"/>
    <xdr:sp macro="" textlink="">
      <xdr:nvSpPr>
        <xdr:cNvPr id="2542" name="Text Box 16">
          <a:extLst>
            <a:ext uri="{FF2B5EF4-FFF2-40B4-BE49-F238E27FC236}">
              <a16:creationId xmlns:a16="http://schemas.microsoft.com/office/drawing/2014/main" id="{00000000-0008-0000-0500-0000EE090000}"/>
            </a:ext>
          </a:extLst>
        </xdr:cNvPr>
        <xdr:cNvSpPr txBox="1">
          <a:spLocks noChangeArrowheads="1"/>
        </xdr:cNvSpPr>
      </xdr:nvSpPr>
      <xdr:spPr bwMode="auto">
        <a:xfrm>
          <a:off x="4664364"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48</xdr:row>
      <xdr:rowOff>0</xdr:rowOff>
    </xdr:from>
    <xdr:ext cx="95250" cy="171450"/>
    <xdr:sp macro="" textlink="">
      <xdr:nvSpPr>
        <xdr:cNvPr id="2543" name="Text Box 17">
          <a:extLst>
            <a:ext uri="{FF2B5EF4-FFF2-40B4-BE49-F238E27FC236}">
              <a16:creationId xmlns:a16="http://schemas.microsoft.com/office/drawing/2014/main" id="{00000000-0008-0000-0500-0000EF090000}"/>
            </a:ext>
          </a:extLst>
        </xdr:cNvPr>
        <xdr:cNvSpPr txBox="1">
          <a:spLocks noChangeArrowheads="1"/>
        </xdr:cNvSpPr>
      </xdr:nvSpPr>
      <xdr:spPr bwMode="auto">
        <a:xfrm>
          <a:off x="4664364"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48</xdr:row>
      <xdr:rowOff>0</xdr:rowOff>
    </xdr:from>
    <xdr:ext cx="95250" cy="171450"/>
    <xdr:sp macro="" textlink="">
      <xdr:nvSpPr>
        <xdr:cNvPr id="2544" name="Text Box 18">
          <a:extLst>
            <a:ext uri="{FF2B5EF4-FFF2-40B4-BE49-F238E27FC236}">
              <a16:creationId xmlns:a16="http://schemas.microsoft.com/office/drawing/2014/main" id="{00000000-0008-0000-0500-0000F0090000}"/>
            </a:ext>
          </a:extLst>
        </xdr:cNvPr>
        <xdr:cNvSpPr txBox="1">
          <a:spLocks noChangeArrowheads="1"/>
        </xdr:cNvSpPr>
      </xdr:nvSpPr>
      <xdr:spPr bwMode="auto">
        <a:xfrm>
          <a:off x="4664364"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48</xdr:row>
      <xdr:rowOff>0</xdr:rowOff>
    </xdr:from>
    <xdr:ext cx="95250" cy="171450"/>
    <xdr:sp macro="" textlink="">
      <xdr:nvSpPr>
        <xdr:cNvPr id="2545" name="Text Box 19">
          <a:extLst>
            <a:ext uri="{FF2B5EF4-FFF2-40B4-BE49-F238E27FC236}">
              <a16:creationId xmlns:a16="http://schemas.microsoft.com/office/drawing/2014/main" id="{00000000-0008-0000-0500-0000F1090000}"/>
            </a:ext>
          </a:extLst>
        </xdr:cNvPr>
        <xdr:cNvSpPr txBox="1">
          <a:spLocks noChangeArrowheads="1"/>
        </xdr:cNvSpPr>
      </xdr:nvSpPr>
      <xdr:spPr bwMode="auto">
        <a:xfrm>
          <a:off x="4664364"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44</xdr:row>
      <xdr:rowOff>504825</xdr:rowOff>
    </xdr:from>
    <xdr:ext cx="95250" cy="442269"/>
    <xdr:sp macro="" textlink="">
      <xdr:nvSpPr>
        <xdr:cNvPr id="2546" name="Text Box 15">
          <a:extLst>
            <a:ext uri="{FF2B5EF4-FFF2-40B4-BE49-F238E27FC236}">
              <a16:creationId xmlns:a16="http://schemas.microsoft.com/office/drawing/2014/main" id="{00000000-0008-0000-0500-0000F2090000}"/>
            </a:ext>
          </a:extLst>
        </xdr:cNvPr>
        <xdr:cNvSpPr txBox="1">
          <a:spLocks noChangeArrowheads="1"/>
        </xdr:cNvSpPr>
      </xdr:nvSpPr>
      <xdr:spPr bwMode="auto">
        <a:xfrm>
          <a:off x="12540961" y="6733020"/>
          <a:ext cx="95250" cy="442269"/>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48</xdr:row>
      <xdr:rowOff>0</xdr:rowOff>
    </xdr:from>
    <xdr:ext cx="95250" cy="171450"/>
    <xdr:sp macro="" textlink="">
      <xdr:nvSpPr>
        <xdr:cNvPr id="2547" name="Text Box 16">
          <a:extLst>
            <a:ext uri="{FF2B5EF4-FFF2-40B4-BE49-F238E27FC236}">
              <a16:creationId xmlns:a16="http://schemas.microsoft.com/office/drawing/2014/main" id="{00000000-0008-0000-0500-0000F3090000}"/>
            </a:ext>
          </a:extLst>
        </xdr:cNvPr>
        <xdr:cNvSpPr txBox="1">
          <a:spLocks noChangeArrowheads="1"/>
        </xdr:cNvSpPr>
      </xdr:nvSpPr>
      <xdr:spPr bwMode="auto">
        <a:xfrm>
          <a:off x="12540961"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48</xdr:row>
      <xdr:rowOff>0</xdr:rowOff>
    </xdr:from>
    <xdr:ext cx="95250" cy="171450"/>
    <xdr:sp macro="" textlink="">
      <xdr:nvSpPr>
        <xdr:cNvPr id="2548" name="Text Box 17">
          <a:extLst>
            <a:ext uri="{FF2B5EF4-FFF2-40B4-BE49-F238E27FC236}">
              <a16:creationId xmlns:a16="http://schemas.microsoft.com/office/drawing/2014/main" id="{00000000-0008-0000-0500-0000F4090000}"/>
            </a:ext>
          </a:extLst>
        </xdr:cNvPr>
        <xdr:cNvSpPr txBox="1">
          <a:spLocks noChangeArrowheads="1"/>
        </xdr:cNvSpPr>
      </xdr:nvSpPr>
      <xdr:spPr bwMode="auto">
        <a:xfrm>
          <a:off x="12540961"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48</xdr:row>
      <xdr:rowOff>0</xdr:rowOff>
    </xdr:from>
    <xdr:ext cx="95250" cy="171450"/>
    <xdr:sp macro="" textlink="">
      <xdr:nvSpPr>
        <xdr:cNvPr id="2549" name="Text Box 18">
          <a:extLst>
            <a:ext uri="{FF2B5EF4-FFF2-40B4-BE49-F238E27FC236}">
              <a16:creationId xmlns:a16="http://schemas.microsoft.com/office/drawing/2014/main" id="{00000000-0008-0000-0500-0000F5090000}"/>
            </a:ext>
          </a:extLst>
        </xdr:cNvPr>
        <xdr:cNvSpPr txBox="1">
          <a:spLocks noChangeArrowheads="1"/>
        </xdr:cNvSpPr>
      </xdr:nvSpPr>
      <xdr:spPr bwMode="auto">
        <a:xfrm>
          <a:off x="12540961"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48</xdr:row>
      <xdr:rowOff>0</xdr:rowOff>
    </xdr:from>
    <xdr:ext cx="95250" cy="171450"/>
    <xdr:sp macro="" textlink="">
      <xdr:nvSpPr>
        <xdr:cNvPr id="2550" name="Text Box 16">
          <a:extLst>
            <a:ext uri="{FF2B5EF4-FFF2-40B4-BE49-F238E27FC236}">
              <a16:creationId xmlns:a16="http://schemas.microsoft.com/office/drawing/2014/main" id="{00000000-0008-0000-0500-0000F6090000}"/>
            </a:ext>
          </a:extLst>
        </xdr:cNvPr>
        <xdr:cNvSpPr txBox="1">
          <a:spLocks noChangeArrowheads="1"/>
        </xdr:cNvSpPr>
      </xdr:nvSpPr>
      <xdr:spPr bwMode="auto">
        <a:xfrm>
          <a:off x="15388070"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48</xdr:row>
      <xdr:rowOff>0</xdr:rowOff>
    </xdr:from>
    <xdr:ext cx="95250" cy="171450"/>
    <xdr:sp macro="" textlink="">
      <xdr:nvSpPr>
        <xdr:cNvPr id="2551" name="Text Box 17">
          <a:extLst>
            <a:ext uri="{FF2B5EF4-FFF2-40B4-BE49-F238E27FC236}">
              <a16:creationId xmlns:a16="http://schemas.microsoft.com/office/drawing/2014/main" id="{00000000-0008-0000-0500-0000F7090000}"/>
            </a:ext>
          </a:extLst>
        </xdr:cNvPr>
        <xdr:cNvSpPr txBox="1">
          <a:spLocks noChangeArrowheads="1"/>
        </xdr:cNvSpPr>
      </xdr:nvSpPr>
      <xdr:spPr bwMode="auto">
        <a:xfrm>
          <a:off x="15388070"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48</xdr:row>
      <xdr:rowOff>0</xdr:rowOff>
    </xdr:from>
    <xdr:ext cx="95250" cy="171450"/>
    <xdr:sp macro="" textlink="">
      <xdr:nvSpPr>
        <xdr:cNvPr id="2552" name="Text Box 18">
          <a:extLst>
            <a:ext uri="{FF2B5EF4-FFF2-40B4-BE49-F238E27FC236}">
              <a16:creationId xmlns:a16="http://schemas.microsoft.com/office/drawing/2014/main" id="{00000000-0008-0000-0500-0000F8090000}"/>
            </a:ext>
          </a:extLst>
        </xdr:cNvPr>
        <xdr:cNvSpPr txBox="1">
          <a:spLocks noChangeArrowheads="1"/>
        </xdr:cNvSpPr>
      </xdr:nvSpPr>
      <xdr:spPr bwMode="auto">
        <a:xfrm>
          <a:off x="15388070"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48</xdr:row>
      <xdr:rowOff>0</xdr:rowOff>
    </xdr:from>
    <xdr:ext cx="95250" cy="171450"/>
    <xdr:sp macro="" textlink="">
      <xdr:nvSpPr>
        <xdr:cNvPr id="2553" name="Text Box 19">
          <a:extLst>
            <a:ext uri="{FF2B5EF4-FFF2-40B4-BE49-F238E27FC236}">
              <a16:creationId xmlns:a16="http://schemas.microsoft.com/office/drawing/2014/main" id="{00000000-0008-0000-0500-0000F9090000}"/>
            </a:ext>
          </a:extLst>
        </xdr:cNvPr>
        <xdr:cNvSpPr txBox="1">
          <a:spLocks noChangeArrowheads="1"/>
        </xdr:cNvSpPr>
      </xdr:nvSpPr>
      <xdr:spPr bwMode="auto">
        <a:xfrm>
          <a:off x="15388070"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48</xdr:row>
      <xdr:rowOff>0</xdr:rowOff>
    </xdr:from>
    <xdr:ext cx="95250" cy="171450"/>
    <xdr:sp macro="" textlink="">
      <xdr:nvSpPr>
        <xdr:cNvPr id="2554" name="Text Box 16">
          <a:extLst>
            <a:ext uri="{FF2B5EF4-FFF2-40B4-BE49-F238E27FC236}">
              <a16:creationId xmlns:a16="http://schemas.microsoft.com/office/drawing/2014/main" id="{00000000-0008-0000-0500-0000FA090000}"/>
            </a:ext>
          </a:extLst>
        </xdr:cNvPr>
        <xdr:cNvSpPr txBox="1">
          <a:spLocks noChangeArrowheads="1"/>
        </xdr:cNvSpPr>
      </xdr:nvSpPr>
      <xdr:spPr bwMode="auto">
        <a:xfrm>
          <a:off x="15388070"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48</xdr:row>
      <xdr:rowOff>0</xdr:rowOff>
    </xdr:from>
    <xdr:ext cx="95250" cy="171450"/>
    <xdr:sp macro="" textlink="">
      <xdr:nvSpPr>
        <xdr:cNvPr id="2555" name="Text Box 17">
          <a:extLst>
            <a:ext uri="{FF2B5EF4-FFF2-40B4-BE49-F238E27FC236}">
              <a16:creationId xmlns:a16="http://schemas.microsoft.com/office/drawing/2014/main" id="{00000000-0008-0000-0500-0000FB090000}"/>
            </a:ext>
          </a:extLst>
        </xdr:cNvPr>
        <xdr:cNvSpPr txBox="1">
          <a:spLocks noChangeArrowheads="1"/>
        </xdr:cNvSpPr>
      </xdr:nvSpPr>
      <xdr:spPr bwMode="auto">
        <a:xfrm>
          <a:off x="15388070"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48</xdr:row>
      <xdr:rowOff>0</xdr:rowOff>
    </xdr:from>
    <xdr:ext cx="95250" cy="171450"/>
    <xdr:sp macro="" textlink="">
      <xdr:nvSpPr>
        <xdr:cNvPr id="2556" name="Text Box 18">
          <a:extLst>
            <a:ext uri="{FF2B5EF4-FFF2-40B4-BE49-F238E27FC236}">
              <a16:creationId xmlns:a16="http://schemas.microsoft.com/office/drawing/2014/main" id="{00000000-0008-0000-0500-0000FC090000}"/>
            </a:ext>
          </a:extLst>
        </xdr:cNvPr>
        <xdr:cNvSpPr txBox="1">
          <a:spLocks noChangeArrowheads="1"/>
        </xdr:cNvSpPr>
      </xdr:nvSpPr>
      <xdr:spPr bwMode="auto">
        <a:xfrm>
          <a:off x="15388070"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10</xdr:col>
      <xdr:colOff>28575</xdr:colOff>
      <xdr:row>48</xdr:row>
      <xdr:rowOff>170392</xdr:rowOff>
    </xdr:from>
    <xdr:ext cx="95250" cy="213632"/>
    <xdr:sp macro="" textlink="">
      <xdr:nvSpPr>
        <xdr:cNvPr id="2557" name="Text Box 15">
          <a:extLst>
            <a:ext uri="{FF2B5EF4-FFF2-40B4-BE49-F238E27FC236}">
              <a16:creationId xmlns:a16="http://schemas.microsoft.com/office/drawing/2014/main" id="{00000000-0008-0000-0500-0000FD090000}"/>
            </a:ext>
          </a:extLst>
        </xdr:cNvPr>
        <xdr:cNvSpPr txBox="1">
          <a:spLocks noChangeArrowheads="1"/>
        </xdr:cNvSpPr>
      </xdr:nvSpPr>
      <xdr:spPr bwMode="auto">
        <a:xfrm>
          <a:off x="12578484" y="7270847"/>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48</xdr:row>
      <xdr:rowOff>0</xdr:rowOff>
    </xdr:from>
    <xdr:ext cx="95250" cy="171450"/>
    <xdr:sp macro="" textlink="">
      <xdr:nvSpPr>
        <xdr:cNvPr id="2558" name="Text Box 16">
          <a:extLst>
            <a:ext uri="{FF2B5EF4-FFF2-40B4-BE49-F238E27FC236}">
              <a16:creationId xmlns:a16="http://schemas.microsoft.com/office/drawing/2014/main" id="{00000000-0008-0000-0500-0000FE090000}"/>
            </a:ext>
          </a:extLst>
        </xdr:cNvPr>
        <xdr:cNvSpPr txBox="1">
          <a:spLocks noChangeArrowheads="1"/>
        </xdr:cNvSpPr>
      </xdr:nvSpPr>
      <xdr:spPr bwMode="auto">
        <a:xfrm>
          <a:off x="4664364"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48</xdr:row>
      <xdr:rowOff>0</xdr:rowOff>
    </xdr:from>
    <xdr:ext cx="95250" cy="171450"/>
    <xdr:sp macro="" textlink="">
      <xdr:nvSpPr>
        <xdr:cNvPr id="2559" name="Text Box 17">
          <a:extLst>
            <a:ext uri="{FF2B5EF4-FFF2-40B4-BE49-F238E27FC236}">
              <a16:creationId xmlns:a16="http://schemas.microsoft.com/office/drawing/2014/main" id="{00000000-0008-0000-0500-0000FF090000}"/>
            </a:ext>
          </a:extLst>
        </xdr:cNvPr>
        <xdr:cNvSpPr txBox="1">
          <a:spLocks noChangeArrowheads="1"/>
        </xdr:cNvSpPr>
      </xdr:nvSpPr>
      <xdr:spPr bwMode="auto">
        <a:xfrm>
          <a:off x="4664364"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48</xdr:row>
      <xdr:rowOff>0</xdr:rowOff>
    </xdr:from>
    <xdr:ext cx="95250" cy="171450"/>
    <xdr:sp macro="" textlink="">
      <xdr:nvSpPr>
        <xdr:cNvPr id="2560" name="Text Box 18">
          <a:extLst>
            <a:ext uri="{FF2B5EF4-FFF2-40B4-BE49-F238E27FC236}">
              <a16:creationId xmlns:a16="http://schemas.microsoft.com/office/drawing/2014/main" id="{00000000-0008-0000-0500-0000000A0000}"/>
            </a:ext>
          </a:extLst>
        </xdr:cNvPr>
        <xdr:cNvSpPr txBox="1">
          <a:spLocks noChangeArrowheads="1"/>
        </xdr:cNvSpPr>
      </xdr:nvSpPr>
      <xdr:spPr bwMode="auto">
        <a:xfrm>
          <a:off x="4664364"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48</xdr:row>
      <xdr:rowOff>0</xdr:rowOff>
    </xdr:from>
    <xdr:ext cx="95250" cy="171450"/>
    <xdr:sp macro="" textlink="">
      <xdr:nvSpPr>
        <xdr:cNvPr id="2561" name="Text Box 19">
          <a:extLst>
            <a:ext uri="{FF2B5EF4-FFF2-40B4-BE49-F238E27FC236}">
              <a16:creationId xmlns:a16="http://schemas.microsoft.com/office/drawing/2014/main" id="{00000000-0008-0000-0500-0000010A0000}"/>
            </a:ext>
          </a:extLst>
        </xdr:cNvPr>
        <xdr:cNvSpPr txBox="1">
          <a:spLocks noChangeArrowheads="1"/>
        </xdr:cNvSpPr>
      </xdr:nvSpPr>
      <xdr:spPr bwMode="auto">
        <a:xfrm>
          <a:off x="4664364"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48</xdr:row>
      <xdr:rowOff>0</xdr:rowOff>
    </xdr:from>
    <xdr:ext cx="95250" cy="171450"/>
    <xdr:sp macro="" textlink="">
      <xdr:nvSpPr>
        <xdr:cNvPr id="2562" name="Text Box 16">
          <a:extLst>
            <a:ext uri="{FF2B5EF4-FFF2-40B4-BE49-F238E27FC236}">
              <a16:creationId xmlns:a16="http://schemas.microsoft.com/office/drawing/2014/main" id="{00000000-0008-0000-0500-0000020A0000}"/>
            </a:ext>
          </a:extLst>
        </xdr:cNvPr>
        <xdr:cNvSpPr txBox="1">
          <a:spLocks noChangeArrowheads="1"/>
        </xdr:cNvSpPr>
      </xdr:nvSpPr>
      <xdr:spPr bwMode="auto">
        <a:xfrm>
          <a:off x="12540961"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48</xdr:row>
      <xdr:rowOff>0</xdr:rowOff>
    </xdr:from>
    <xdr:ext cx="95250" cy="171450"/>
    <xdr:sp macro="" textlink="">
      <xdr:nvSpPr>
        <xdr:cNvPr id="2563" name="Text Box 17">
          <a:extLst>
            <a:ext uri="{FF2B5EF4-FFF2-40B4-BE49-F238E27FC236}">
              <a16:creationId xmlns:a16="http://schemas.microsoft.com/office/drawing/2014/main" id="{00000000-0008-0000-0500-0000030A0000}"/>
            </a:ext>
          </a:extLst>
        </xdr:cNvPr>
        <xdr:cNvSpPr txBox="1">
          <a:spLocks noChangeArrowheads="1"/>
        </xdr:cNvSpPr>
      </xdr:nvSpPr>
      <xdr:spPr bwMode="auto">
        <a:xfrm>
          <a:off x="12540961"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48</xdr:row>
      <xdr:rowOff>0</xdr:rowOff>
    </xdr:from>
    <xdr:ext cx="95250" cy="171450"/>
    <xdr:sp macro="" textlink="">
      <xdr:nvSpPr>
        <xdr:cNvPr id="2564" name="Text Box 18">
          <a:extLst>
            <a:ext uri="{FF2B5EF4-FFF2-40B4-BE49-F238E27FC236}">
              <a16:creationId xmlns:a16="http://schemas.microsoft.com/office/drawing/2014/main" id="{00000000-0008-0000-0500-0000040A0000}"/>
            </a:ext>
          </a:extLst>
        </xdr:cNvPr>
        <xdr:cNvSpPr txBox="1">
          <a:spLocks noChangeArrowheads="1"/>
        </xdr:cNvSpPr>
      </xdr:nvSpPr>
      <xdr:spPr bwMode="auto">
        <a:xfrm>
          <a:off x="12540961"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48</xdr:row>
      <xdr:rowOff>0</xdr:rowOff>
    </xdr:from>
    <xdr:ext cx="95250" cy="171450"/>
    <xdr:sp macro="" textlink="">
      <xdr:nvSpPr>
        <xdr:cNvPr id="2565" name="Text Box 19">
          <a:extLst>
            <a:ext uri="{FF2B5EF4-FFF2-40B4-BE49-F238E27FC236}">
              <a16:creationId xmlns:a16="http://schemas.microsoft.com/office/drawing/2014/main" id="{00000000-0008-0000-0500-0000050A0000}"/>
            </a:ext>
          </a:extLst>
        </xdr:cNvPr>
        <xdr:cNvSpPr txBox="1">
          <a:spLocks noChangeArrowheads="1"/>
        </xdr:cNvSpPr>
      </xdr:nvSpPr>
      <xdr:spPr bwMode="auto">
        <a:xfrm>
          <a:off x="12540961"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21</xdr:col>
      <xdr:colOff>0</xdr:colOff>
      <xdr:row>43</xdr:row>
      <xdr:rowOff>0</xdr:rowOff>
    </xdr:from>
    <xdr:ext cx="95250" cy="171450"/>
    <xdr:sp macro="" textlink="">
      <xdr:nvSpPr>
        <xdr:cNvPr id="2566" name="Text Box 16">
          <a:extLst>
            <a:ext uri="{FF2B5EF4-FFF2-40B4-BE49-F238E27FC236}">
              <a16:creationId xmlns:a16="http://schemas.microsoft.com/office/drawing/2014/main" id="{00000000-0008-0000-0500-0000060A0000}"/>
            </a:ext>
          </a:extLst>
        </xdr:cNvPr>
        <xdr:cNvSpPr txBox="1">
          <a:spLocks noChangeArrowheads="1"/>
        </xdr:cNvSpPr>
      </xdr:nvSpPr>
      <xdr:spPr bwMode="auto">
        <a:xfrm>
          <a:off x="21832455" y="5992091"/>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21</xdr:col>
      <xdr:colOff>0</xdr:colOff>
      <xdr:row>43</xdr:row>
      <xdr:rowOff>0</xdr:rowOff>
    </xdr:from>
    <xdr:ext cx="95250" cy="171450"/>
    <xdr:sp macro="" textlink="">
      <xdr:nvSpPr>
        <xdr:cNvPr id="2567" name="Text Box 17">
          <a:extLst>
            <a:ext uri="{FF2B5EF4-FFF2-40B4-BE49-F238E27FC236}">
              <a16:creationId xmlns:a16="http://schemas.microsoft.com/office/drawing/2014/main" id="{00000000-0008-0000-0500-0000070A0000}"/>
            </a:ext>
          </a:extLst>
        </xdr:cNvPr>
        <xdr:cNvSpPr txBox="1">
          <a:spLocks noChangeArrowheads="1"/>
        </xdr:cNvSpPr>
      </xdr:nvSpPr>
      <xdr:spPr bwMode="auto">
        <a:xfrm>
          <a:off x="21832455" y="5992091"/>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21</xdr:col>
      <xdr:colOff>0</xdr:colOff>
      <xdr:row>43</xdr:row>
      <xdr:rowOff>0</xdr:rowOff>
    </xdr:from>
    <xdr:ext cx="95250" cy="171450"/>
    <xdr:sp macro="" textlink="">
      <xdr:nvSpPr>
        <xdr:cNvPr id="2568" name="Text Box 18">
          <a:extLst>
            <a:ext uri="{FF2B5EF4-FFF2-40B4-BE49-F238E27FC236}">
              <a16:creationId xmlns:a16="http://schemas.microsoft.com/office/drawing/2014/main" id="{00000000-0008-0000-0500-0000080A0000}"/>
            </a:ext>
          </a:extLst>
        </xdr:cNvPr>
        <xdr:cNvSpPr txBox="1">
          <a:spLocks noChangeArrowheads="1"/>
        </xdr:cNvSpPr>
      </xdr:nvSpPr>
      <xdr:spPr bwMode="auto">
        <a:xfrm>
          <a:off x="21832455" y="5992091"/>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21</xdr:col>
      <xdr:colOff>0</xdr:colOff>
      <xdr:row>43</xdr:row>
      <xdr:rowOff>0</xdr:rowOff>
    </xdr:from>
    <xdr:ext cx="95250" cy="171450"/>
    <xdr:sp macro="" textlink="">
      <xdr:nvSpPr>
        <xdr:cNvPr id="2569" name="Text Box 19">
          <a:extLst>
            <a:ext uri="{FF2B5EF4-FFF2-40B4-BE49-F238E27FC236}">
              <a16:creationId xmlns:a16="http://schemas.microsoft.com/office/drawing/2014/main" id="{00000000-0008-0000-0500-0000090A0000}"/>
            </a:ext>
          </a:extLst>
        </xdr:cNvPr>
        <xdr:cNvSpPr txBox="1">
          <a:spLocks noChangeArrowheads="1"/>
        </xdr:cNvSpPr>
      </xdr:nvSpPr>
      <xdr:spPr bwMode="auto">
        <a:xfrm>
          <a:off x="21832455" y="5992091"/>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44</xdr:row>
      <xdr:rowOff>504825</xdr:rowOff>
    </xdr:from>
    <xdr:ext cx="95250" cy="444014"/>
    <xdr:sp macro="" textlink="">
      <xdr:nvSpPr>
        <xdr:cNvPr id="2570" name="Text Box 15">
          <a:extLst>
            <a:ext uri="{FF2B5EF4-FFF2-40B4-BE49-F238E27FC236}">
              <a16:creationId xmlns:a16="http://schemas.microsoft.com/office/drawing/2014/main" id="{00000000-0008-0000-0500-00000A0A0000}"/>
            </a:ext>
          </a:extLst>
        </xdr:cNvPr>
        <xdr:cNvSpPr txBox="1">
          <a:spLocks noChangeArrowheads="1"/>
        </xdr:cNvSpPr>
      </xdr:nvSpPr>
      <xdr:spPr bwMode="auto">
        <a:xfrm>
          <a:off x="4664364" y="6733020"/>
          <a:ext cx="95250" cy="444014"/>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48</xdr:row>
      <xdr:rowOff>0</xdr:rowOff>
    </xdr:from>
    <xdr:ext cx="95250" cy="171450"/>
    <xdr:sp macro="" textlink="">
      <xdr:nvSpPr>
        <xdr:cNvPr id="2571" name="Text Box 16">
          <a:extLst>
            <a:ext uri="{FF2B5EF4-FFF2-40B4-BE49-F238E27FC236}">
              <a16:creationId xmlns:a16="http://schemas.microsoft.com/office/drawing/2014/main" id="{00000000-0008-0000-0500-00000B0A0000}"/>
            </a:ext>
          </a:extLst>
        </xdr:cNvPr>
        <xdr:cNvSpPr txBox="1">
          <a:spLocks noChangeArrowheads="1"/>
        </xdr:cNvSpPr>
      </xdr:nvSpPr>
      <xdr:spPr bwMode="auto">
        <a:xfrm>
          <a:off x="4664364"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48</xdr:row>
      <xdr:rowOff>0</xdr:rowOff>
    </xdr:from>
    <xdr:ext cx="95250" cy="171450"/>
    <xdr:sp macro="" textlink="">
      <xdr:nvSpPr>
        <xdr:cNvPr id="2572" name="Text Box 17">
          <a:extLst>
            <a:ext uri="{FF2B5EF4-FFF2-40B4-BE49-F238E27FC236}">
              <a16:creationId xmlns:a16="http://schemas.microsoft.com/office/drawing/2014/main" id="{00000000-0008-0000-0500-00000C0A0000}"/>
            </a:ext>
          </a:extLst>
        </xdr:cNvPr>
        <xdr:cNvSpPr txBox="1">
          <a:spLocks noChangeArrowheads="1"/>
        </xdr:cNvSpPr>
      </xdr:nvSpPr>
      <xdr:spPr bwMode="auto">
        <a:xfrm>
          <a:off x="4664364"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48</xdr:row>
      <xdr:rowOff>0</xdr:rowOff>
    </xdr:from>
    <xdr:ext cx="95250" cy="171450"/>
    <xdr:sp macro="" textlink="">
      <xdr:nvSpPr>
        <xdr:cNvPr id="2573" name="Text Box 18">
          <a:extLst>
            <a:ext uri="{FF2B5EF4-FFF2-40B4-BE49-F238E27FC236}">
              <a16:creationId xmlns:a16="http://schemas.microsoft.com/office/drawing/2014/main" id="{00000000-0008-0000-0500-00000D0A0000}"/>
            </a:ext>
          </a:extLst>
        </xdr:cNvPr>
        <xdr:cNvSpPr txBox="1">
          <a:spLocks noChangeArrowheads="1"/>
        </xdr:cNvSpPr>
      </xdr:nvSpPr>
      <xdr:spPr bwMode="auto">
        <a:xfrm>
          <a:off x="4664364"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48</xdr:row>
      <xdr:rowOff>0</xdr:rowOff>
    </xdr:from>
    <xdr:ext cx="95250" cy="171450"/>
    <xdr:sp macro="" textlink="">
      <xdr:nvSpPr>
        <xdr:cNvPr id="2574" name="Text Box 19">
          <a:extLst>
            <a:ext uri="{FF2B5EF4-FFF2-40B4-BE49-F238E27FC236}">
              <a16:creationId xmlns:a16="http://schemas.microsoft.com/office/drawing/2014/main" id="{00000000-0008-0000-0500-00000E0A0000}"/>
            </a:ext>
          </a:extLst>
        </xdr:cNvPr>
        <xdr:cNvSpPr txBox="1">
          <a:spLocks noChangeArrowheads="1"/>
        </xdr:cNvSpPr>
      </xdr:nvSpPr>
      <xdr:spPr bwMode="auto">
        <a:xfrm>
          <a:off x="4664364"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48</xdr:row>
      <xdr:rowOff>0</xdr:rowOff>
    </xdr:from>
    <xdr:ext cx="95250" cy="171450"/>
    <xdr:sp macro="" textlink="">
      <xdr:nvSpPr>
        <xdr:cNvPr id="2575" name="Text Box 16">
          <a:extLst>
            <a:ext uri="{FF2B5EF4-FFF2-40B4-BE49-F238E27FC236}">
              <a16:creationId xmlns:a16="http://schemas.microsoft.com/office/drawing/2014/main" id="{00000000-0008-0000-0500-00000F0A0000}"/>
            </a:ext>
          </a:extLst>
        </xdr:cNvPr>
        <xdr:cNvSpPr txBox="1">
          <a:spLocks noChangeArrowheads="1"/>
        </xdr:cNvSpPr>
      </xdr:nvSpPr>
      <xdr:spPr bwMode="auto">
        <a:xfrm>
          <a:off x="12540961"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48</xdr:row>
      <xdr:rowOff>0</xdr:rowOff>
    </xdr:from>
    <xdr:ext cx="95250" cy="171450"/>
    <xdr:sp macro="" textlink="">
      <xdr:nvSpPr>
        <xdr:cNvPr id="2576" name="Text Box 17">
          <a:extLst>
            <a:ext uri="{FF2B5EF4-FFF2-40B4-BE49-F238E27FC236}">
              <a16:creationId xmlns:a16="http://schemas.microsoft.com/office/drawing/2014/main" id="{00000000-0008-0000-0500-0000100A0000}"/>
            </a:ext>
          </a:extLst>
        </xdr:cNvPr>
        <xdr:cNvSpPr txBox="1">
          <a:spLocks noChangeArrowheads="1"/>
        </xdr:cNvSpPr>
      </xdr:nvSpPr>
      <xdr:spPr bwMode="auto">
        <a:xfrm>
          <a:off x="12540961"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1020762</xdr:colOff>
      <xdr:row>48</xdr:row>
      <xdr:rowOff>15875</xdr:rowOff>
    </xdr:from>
    <xdr:ext cx="95250" cy="171450"/>
    <xdr:sp macro="" textlink="">
      <xdr:nvSpPr>
        <xdr:cNvPr id="2577" name="Text Box 18">
          <a:extLst>
            <a:ext uri="{FF2B5EF4-FFF2-40B4-BE49-F238E27FC236}">
              <a16:creationId xmlns:a16="http://schemas.microsoft.com/office/drawing/2014/main" id="{00000000-0008-0000-0500-0000110A0000}"/>
            </a:ext>
          </a:extLst>
        </xdr:cNvPr>
        <xdr:cNvSpPr txBox="1">
          <a:spLocks noChangeArrowheads="1"/>
        </xdr:cNvSpPr>
      </xdr:nvSpPr>
      <xdr:spPr bwMode="auto">
        <a:xfrm>
          <a:off x="12485398" y="7116330"/>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48</xdr:row>
      <xdr:rowOff>0</xdr:rowOff>
    </xdr:from>
    <xdr:ext cx="95250" cy="171450"/>
    <xdr:sp macro="" textlink="">
      <xdr:nvSpPr>
        <xdr:cNvPr id="2578" name="Text Box 16">
          <a:extLst>
            <a:ext uri="{FF2B5EF4-FFF2-40B4-BE49-F238E27FC236}">
              <a16:creationId xmlns:a16="http://schemas.microsoft.com/office/drawing/2014/main" id="{00000000-0008-0000-0500-0000120A0000}"/>
            </a:ext>
          </a:extLst>
        </xdr:cNvPr>
        <xdr:cNvSpPr txBox="1">
          <a:spLocks noChangeArrowheads="1"/>
        </xdr:cNvSpPr>
      </xdr:nvSpPr>
      <xdr:spPr bwMode="auto">
        <a:xfrm>
          <a:off x="15388070"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48</xdr:row>
      <xdr:rowOff>0</xdr:rowOff>
    </xdr:from>
    <xdr:ext cx="95250" cy="171450"/>
    <xdr:sp macro="" textlink="">
      <xdr:nvSpPr>
        <xdr:cNvPr id="2579" name="Text Box 17">
          <a:extLst>
            <a:ext uri="{FF2B5EF4-FFF2-40B4-BE49-F238E27FC236}">
              <a16:creationId xmlns:a16="http://schemas.microsoft.com/office/drawing/2014/main" id="{00000000-0008-0000-0500-0000130A0000}"/>
            </a:ext>
          </a:extLst>
        </xdr:cNvPr>
        <xdr:cNvSpPr txBox="1">
          <a:spLocks noChangeArrowheads="1"/>
        </xdr:cNvSpPr>
      </xdr:nvSpPr>
      <xdr:spPr bwMode="auto">
        <a:xfrm>
          <a:off x="15388070"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48</xdr:row>
      <xdr:rowOff>0</xdr:rowOff>
    </xdr:from>
    <xdr:ext cx="95250" cy="171450"/>
    <xdr:sp macro="" textlink="">
      <xdr:nvSpPr>
        <xdr:cNvPr id="2580" name="Text Box 18">
          <a:extLst>
            <a:ext uri="{FF2B5EF4-FFF2-40B4-BE49-F238E27FC236}">
              <a16:creationId xmlns:a16="http://schemas.microsoft.com/office/drawing/2014/main" id="{00000000-0008-0000-0500-0000140A0000}"/>
            </a:ext>
          </a:extLst>
        </xdr:cNvPr>
        <xdr:cNvSpPr txBox="1">
          <a:spLocks noChangeArrowheads="1"/>
        </xdr:cNvSpPr>
      </xdr:nvSpPr>
      <xdr:spPr bwMode="auto">
        <a:xfrm>
          <a:off x="15388070"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48</xdr:row>
      <xdr:rowOff>0</xdr:rowOff>
    </xdr:from>
    <xdr:ext cx="95250" cy="171450"/>
    <xdr:sp macro="" textlink="">
      <xdr:nvSpPr>
        <xdr:cNvPr id="2581" name="Text Box 19">
          <a:extLst>
            <a:ext uri="{FF2B5EF4-FFF2-40B4-BE49-F238E27FC236}">
              <a16:creationId xmlns:a16="http://schemas.microsoft.com/office/drawing/2014/main" id="{00000000-0008-0000-0500-0000150A0000}"/>
            </a:ext>
          </a:extLst>
        </xdr:cNvPr>
        <xdr:cNvSpPr txBox="1">
          <a:spLocks noChangeArrowheads="1"/>
        </xdr:cNvSpPr>
      </xdr:nvSpPr>
      <xdr:spPr bwMode="auto">
        <a:xfrm>
          <a:off x="15388070"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48</xdr:row>
      <xdr:rowOff>0</xdr:rowOff>
    </xdr:from>
    <xdr:ext cx="95250" cy="171450"/>
    <xdr:sp macro="" textlink="">
      <xdr:nvSpPr>
        <xdr:cNvPr id="2582" name="Text Box 16">
          <a:extLst>
            <a:ext uri="{FF2B5EF4-FFF2-40B4-BE49-F238E27FC236}">
              <a16:creationId xmlns:a16="http://schemas.microsoft.com/office/drawing/2014/main" id="{00000000-0008-0000-0500-0000160A0000}"/>
            </a:ext>
          </a:extLst>
        </xdr:cNvPr>
        <xdr:cNvSpPr txBox="1">
          <a:spLocks noChangeArrowheads="1"/>
        </xdr:cNvSpPr>
      </xdr:nvSpPr>
      <xdr:spPr bwMode="auto">
        <a:xfrm>
          <a:off x="15388070"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10</xdr:col>
      <xdr:colOff>28575</xdr:colOff>
      <xdr:row>48</xdr:row>
      <xdr:rowOff>170392</xdr:rowOff>
    </xdr:from>
    <xdr:ext cx="95250" cy="213632"/>
    <xdr:sp macro="" textlink="">
      <xdr:nvSpPr>
        <xdr:cNvPr id="2583" name="Text Box 15">
          <a:extLst>
            <a:ext uri="{FF2B5EF4-FFF2-40B4-BE49-F238E27FC236}">
              <a16:creationId xmlns:a16="http://schemas.microsoft.com/office/drawing/2014/main" id="{00000000-0008-0000-0500-0000170A0000}"/>
            </a:ext>
          </a:extLst>
        </xdr:cNvPr>
        <xdr:cNvSpPr txBox="1">
          <a:spLocks noChangeArrowheads="1"/>
        </xdr:cNvSpPr>
      </xdr:nvSpPr>
      <xdr:spPr bwMode="auto">
        <a:xfrm>
          <a:off x="12578484" y="7270847"/>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48</xdr:row>
      <xdr:rowOff>504825</xdr:rowOff>
    </xdr:from>
    <xdr:ext cx="95250" cy="448496"/>
    <xdr:sp macro="" textlink="">
      <xdr:nvSpPr>
        <xdr:cNvPr id="2584" name="Text Box 15">
          <a:extLst>
            <a:ext uri="{FF2B5EF4-FFF2-40B4-BE49-F238E27FC236}">
              <a16:creationId xmlns:a16="http://schemas.microsoft.com/office/drawing/2014/main" id="{00000000-0008-0000-0500-0000180A0000}"/>
            </a:ext>
          </a:extLst>
        </xdr:cNvPr>
        <xdr:cNvSpPr txBox="1">
          <a:spLocks noChangeArrowheads="1"/>
        </xdr:cNvSpPr>
      </xdr:nvSpPr>
      <xdr:spPr bwMode="auto">
        <a:xfrm>
          <a:off x="4664364" y="5994111"/>
          <a:ext cx="95250" cy="448496"/>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48</xdr:row>
      <xdr:rowOff>504825</xdr:rowOff>
    </xdr:from>
    <xdr:ext cx="95250" cy="442269"/>
    <xdr:sp macro="" textlink="">
      <xdr:nvSpPr>
        <xdr:cNvPr id="2585" name="Text Box 15">
          <a:extLst>
            <a:ext uri="{FF2B5EF4-FFF2-40B4-BE49-F238E27FC236}">
              <a16:creationId xmlns:a16="http://schemas.microsoft.com/office/drawing/2014/main" id="{00000000-0008-0000-0500-0000190A0000}"/>
            </a:ext>
          </a:extLst>
        </xdr:cNvPr>
        <xdr:cNvSpPr txBox="1">
          <a:spLocks noChangeArrowheads="1"/>
        </xdr:cNvSpPr>
      </xdr:nvSpPr>
      <xdr:spPr bwMode="auto">
        <a:xfrm>
          <a:off x="12540961" y="5994111"/>
          <a:ext cx="95250" cy="442269"/>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48</xdr:row>
      <xdr:rowOff>504825</xdr:rowOff>
    </xdr:from>
    <xdr:ext cx="95250" cy="213632"/>
    <xdr:sp macro="" textlink="">
      <xdr:nvSpPr>
        <xdr:cNvPr id="2587" name="Text Box 15">
          <a:extLst>
            <a:ext uri="{FF2B5EF4-FFF2-40B4-BE49-F238E27FC236}">
              <a16:creationId xmlns:a16="http://schemas.microsoft.com/office/drawing/2014/main" id="{00000000-0008-0000-0500-00001B0A0000}"/>
            </a:ext>
          </a:extLst>
        </xdr:cNvPr>
        <xdr:cNvSpPr txBox="1">
          <a:spLocks noChangeArrowheads="1"/>
        </xdr:cNvSpPr>
      </xdr:nvSpPr>
      <xdr:spPr bwMode="auto">
        <a:xfrm>
          <a:off x="4664364" y="5994111"/>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48</xdr:row>
      <xdr:rowOff>504825</xdr:rowOff>
    </xdr:from>
    <xdr:ext cx="95250" cy="444331"/>
    <xdr:sp macro="" textlink="">
      <xdr:nvSpPr>
        <xdr:cNvPr id="2588" name="Text Box 15">
          <a:extLst>
            <a:ext uri="{FF2B5EF4-FFF2-40B4-BE49-F238E27FC236}">
              <a16:creationId xmlns:a16="http://schemas.microsoft.com/office/drawing/2014/main" id="{00000000-0008-0000-0500-00001C0A0000}"/>
            </a:ext>
          </a:extLst>
        </xdr:cNvPr>
        <xdr:cNvSpPr txBox="1">
          <a:spLocks noChangeArrowheads="1"/>
        </xdr:cNvSpPr>
      </xdr:nvSpPr>
      <xdr:spPr bwMode="auto">
        <a:xfrm>
          <a:off x="4664364" y="5994111"/>
          <a:ext cx="95250" cy="444331"/>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10</xdr:col>
      <xdr:colOff>28575</xdr:colOff>
      <xdr:row>48</xdr:row>
      <xdr:rowOff>170392</xdr:rowOff>
    </xdr:from>
    <xdr:ext cx="95250" cy="213632"/>
    <xdr:sp macro="" textlink="">
      <xdr:nvSpPr>
        <xdr:cNvPr id="2589" name="Text Box 15">
          <a:extLst>
            <a:ext uri="{FF2B5EF4-FFF2-40B4-BE49-F238E27FC236}">
              <a16:creationId xmlns:a16="http://schemas.microsoft.com/office/drawing/2014/main" id="{00000000-0008-0000-0500-00001D0A0000}"/>
            </a:ext>
          </a:extLst>
        </xdr:cNvPr>
        <xdr:cNvSpPr txBox="1">
          <a:spLocks noChangeArrowheads="1"/>
        </xdr:cNvSpPr>
      </xdr:nvSpPr>
      <xdr:spPr bwMode="auto">
        <a:xfrm>
          <a:off x="12578484" y="5793028"/>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54</xdr:row>
      <xdr:rowOff>0</xdr:rowOff>
    </xdr:from>
    <xdr:ext cx="95250" cy="171450"/>
    <xdr:sp macro="" textlink="">
      <xdr:nvSpPr>
        <xdr:cNvPr id="2590" name="Text Box 16">
          <a:extLst>
            <a:ext uri="{FF2B5EF4-FFF2-40B4-BE49-F238E27FC236}">
              <a16:creationId xmlns:a16="http://schemas.microsoft.com/office/drawing/2014/main" id="{00000000-0008-0000-0500-00001E0A0000}"/>
            </a:ext>
          </a:extLst>
        </xdr:cNvPr>
        <xdr:cNvSpPr txBox="1">
          <a:spLocks noChangeArrowheads="1"/>
        </xdr:cNvSpPr>
      </xdr:nvSpPr>
      <xdr:spPr bwMode="auto">
        <a:xfrm>
          <a:off x="4664364"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54</xdr:row>
      <xdr:rowOff>0</xdr:rowOff>
    </xdr:from>
    <xdr:ext cx="95250" cy="171450"/>
    <xdr:sp macro="" textlink="">
      <xdr:nvSpPr>
        <xdr:cNvPr id="2591" name="Text Box 17">
          <a:extLst>
            <a:ext uri="{FF2B5EF4-FFF2-40B4-BE49-F238E27FC236}">
              <a16:creationId xmlns:a16="http://schemas.microsoft.com/office/drawing/2014/main" id="{00000000-0008-0000-0500-00001F0A0000}"/>
            </a:ext>
          </a:extLst>
        </xdr:cNvPr>
        <xdr:cNvSpPr txBox="1">
          <a:spLocks noChangeArrowheads="1"/>
        </xdr:cNvSpPr>
      </xdr:nvSpPr>
      <xdr:spPr bwMode="auto">
        <a:xfrm>
          <a:off x="4664364"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54</xdr:row>
      <xdr:rowOff>0</xdr:rowOff>
    </xdr:from>
    <xdr:ext cx="95250" cy="171450"/>
    <xdr:sp macro="" textlink="">
      <xdr:nvSpPr>
        <xdr:cNvPr id="2592" name="Text Box 18">
          <a:extLst>
            <a:ext uri="{FF2B5EF4-FFF2-40B4-BE49-F238E27FC236}">
              <a16:creationId xmlns:a16="http://schemas.microsoft.com/office/drawing/2014/main" id="{00000000-0008-0000-0500-0000200A0000}"/>
            </a:ext>
          </a:extLst>
        </xdr:cNvPr>
        <xdr:cNvSpPr txBox="1">
          <a:spLocks noChangeArrowheads="1"/>
        </xdr:cNvSpPr>
      </xdr:nvSpPr>
      <xdr:spPr bwMode="auto">
        <a:xfrm>
          <a:off x="4664364"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54</xdr:row>
      <xdr:rowOff>0</xdr:rowOff>
    </xdr:from>
    <xdr:ext cx="95250" cy="171450"/>
    <xdr:sp macro="" textlink="">
      <xdr:nvSpPr>
        <xdr:cNvPr id="2593" name="Text Box 19">
          <a:extLst>
            <a:ext uri="{FF2B5EF4-FFF2-40B4-BE49-F238E27FC236}">
              <a16:creationId xmlns:a16="http://schemas.microsoft.com/office/drawing/2014/main" id="{00000000-0008-0000-0500-0000210A0000}"/>
            </a:ext>
          </a:extLst>
        </xdr:cNvPr>
        <xdr:cNvSpPr txBox="1">
          <a:spLocks noChangeArrowheads="1"/>
        </xdr:cNvSpPr>
      </xdr:nvSpPr>
      <xdr:spPr bwMode="auto">
        <a:xfrm>
          <a:off x="4664364"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54</xdr:row>
      <xdr:rowOff>0</xdr:rowOff>
    </xdr:from>
    <xdr:ext cx="95250" cy="171450"/>
    <xdr:sp macro="" textlink="">
      <xdr:nvSpPr>
        <xdr:cNvPr id="2594" name="Text Box 16">
          <a:extLst>
            <a:ext uri="{FF2B5EF4-FFF2-40B4-BE49-F238E27FC236}">
              <a16:creationId xmlns:a16="http://schemas.microsoft.com/office/drawing/2014/main" id="{00000000-0008-0000-0500-0000220A0000}"/>
            </a:ext>
          </a:extLst>
        </xdr:cNvPr>
        <xdr:cNvSpPr txBox="1">
          <a:spLocks noChangeArrowheads="1"/>
        </xdr:cNvSpPr>
      </xdr:nvSpPr>
      <xdr:spPr bwMode="auto">
        <a:xfrm>
          <a:off x="12540961"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54</xdr:row>
      <xdr:rowOff>0</xdr:rowOff>
    </xdr:from>
    <xdr:ext cx="95250" cy="171450"/>
    <xdr:sp macro="" textlink="">
      <xdr:nvSpPr>
        <xdr:cNvPr id="2595" name="Text Box 17">
          <a:extLst>
            <a:ext uri="{FF2B5EF4-FFF2-40B4-BE49-F238E27FC236}">
              <a16:creationId xmlns:a16="http://schemas.microsoft.com/office/drawing/2014/main" id="{00000000-0008-0000-0500-0000230A0000}"/>
            </a:ext>
          </a:extLst>
        </xdr:cNvPr>
        <xdr:cNvSpPr txBox="1">
          <a:spLocks noChangeArrowheads="1"/>
        </xdr:cNvSpPr>
      </xdr:nvSpPr>
      <xdr:spPr bwMode="auto">
        <a:xfrm>
          <a:off x="12540961"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54</xdr:row>
      <xdr:rowOff>0</xdr:rowOff>
    </xdr:from>
    <xdr:ext cx="95250" cy="171450"/>
    <xdr:sp macro="" textlink="">
      <xdr:nvSpPr>
        <xdr:cNvPr id="2596" name="Text Box 18">
          <a:extLst>
            <a:ext uri="{FF2B5EF4-FFF2-40B4-BE49-F238E27FC236}">
              <a16:creationId xmlns:a16="http://schemas.microsoft.com/office/drawing/2014/main" id="{00000000-0008-0000-0500-0000240A0000}"/>
            </a:ext>
          </a:extLst>
        </xdr:cNvPr>
        <xdr:cNvSpPr txBox="1">
          <a:spLocks noChangeArrowheads="1"/>
        </xdr:cNvSpPr>
      </xdr:nvSpPr>
      <xdr:spPr bwMode="auto">
        <a:xfrm>
          <a:off x="12540961"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54</xdr:row>
      <xdr:rowOff>0</xdr:rowOff>
    </xdr:from>
    <xdr:ext cx="95250" cy="171450"/>
    <xdr:sp macro="" textlink="">
      <xdr:nvSpPr>
        <xdr:cNvPr id="2597" name="Text Box 19">
          <a:extLst>
            <a:ext uri="{FF2B5EF4-FFF2-40B4-BE49-F238E27FC236}">
              <a16:creationId xmlns:a16="http://schemas.microsoft.com/office/drawing/2014/main" id="{00000000-0008-0000-0500-0000250A0000}"/>
            </a:ext>
          </a:extLst>
        </xdr:cNvPr>
        <xdr:cNvSpPr txBox="1">
          <a:spLocks noChangeArrowheads="1"/>
        </xdr:cNvSpPr>
      </xdr:nvSpPr>
      <xdr:spPr bwMode="auto">
        <a:xfrm>
          <a:off x="12540961"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21</xdr:col>
      <xdr:colOff>0</xdr:colOff>
      <xdr:row>54</xdr:row>
      <xdr:rowOff>0</xdr:rowOff>
    </xdr:from>
    <xdr:ext cx="95250" cy="171450"/>
    <xdr:sp macro="" textlink="">
      <xdr:nvSpPr>
        <xdr:cNvPr id="2598" name="Text Box 16">
          <a:extLst>
            <a:ext uri="{FF2B5EF4-FFF2-40B4-BE49-F238E27FC236}">
              <a16:creationId xmlns:a16="http://schemas.microsoft.com/office/drawing/2014/main" id="{00000000-0008-0000-0500-0000260A0000}"/>
            </a:ext>
          </a:extLst>
        </xdr:cNvPr>
        <xdr:cNvSpPr txBox="1">
          <a:spLocks noChangeArrowheads="1"/>
        </xdr:cNvSpPr>
      </xdr:nvSpPr>
      <xdr:spPr bwMode="auto">
        <a:xfrm>
          <a:off x="21832455"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21</xdr:col>
      <xdr:colOff>0</xdr:colOff>
      <xdr:row>54</xdr:row>
      <xdr:rowOff>0</xdr:rowOff>
    </xdr:from>
    <xdr:ext cx="95250" cy="171450"/>
    <xdr:sp macro="" textlink="">
      <xdr:nvSpPr>
        <xdr:cNvPr id="2599" name="Text Box 17">
          <a:extLst>
            <a:ext uri="{FF2B5EF4-FFF2-40B4-BE49-F238E27FC236}">
              <a16:creationId xmlns:a16="http://schemas.microsoft.com/office/drawing/2014/main" id="{00000000-0008-0000-0500-0000270A0000}"/>
            </a:ext>
          </a:extLst>
        </xdr:cNvPr>
        <xdr:cNvSpPr txBox="1">
          <a:spLocks noChangeArrowheads="1"/>
        </xdr:cNvSpPr>
      </xdr:nvSpPr>
      <xdr:spPr bwMode="auto">
        <a:xfrm>
          <a:off x="21832455"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21</xdr:col>
      <xdr:colOff>0</xdr:colOff>
      <xdr:row>54</xdr:row>
      <xdr:rowOff>0</xdr:rowOff>
    </xdr:from>
    <xdr:ext cx="95250" cy="171450"/>
    <xdr:sp macro="" textlink="">
      <xdr:nvSpPr>
        <xdr:cNvPr id="2600" name="Text Box 18">
          <a:extLst>
            <a:ext uri="{FF2B5EF4-FFF2-40B4-BE49-F238E27FC236}">
              <a16:creationId xmlns:a16="http://schemas.microsoft.com/office/drawing/2014/main" id="{00000000-0008-0000-0500-0000280A0000}"/>
            </a:ext>
          </a:extLst>
        </xdr:cNvPr>
        <xdr:cNvSpPr txBox="1">
          <a:spLocks noChangeArrowheads="1"/>
        </xdr:cNvSpPr>
      </xdr:nvSpPr>
      <xdr:spPr bwMode="auto">
        <a:xfrm>
          <a:off x="21832455"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21</xdr:col>
      <xdr:colOff>0</xdr:colOff>
      <xdr:row>54</xdr:row>
      <xdr:rowOff>0</xdr:rowOff>
    </xdr:from>
    <xdr:ext cx="95250" cy="171450"/>
    <xdr:sp macro="" textlink="">
      <xdr:nvSpPr>
        <xdr:cNvPr id="2601" name="Text Box 19">
          <a:extLst>
            <a:ext uri="{FF2B5EF4-FFF2-40B4-BE49-F238E27FC236}">
              <a16:creationId xmlns:a16="http://schemas.microsoft.com/office/drawing/2014/main" id="{00000000-0008-0000-0500-0000290A0000}"/>
            </a:ext>
          </a:extLst>
        </xdr:cNvPr>
        <xdr:cNvSpPr txBox="1">
          <a:spLocks noChangeArrowheads="1"/>
        </xdr:cNvSpPr>
      </xdr:nvSpPr>
      <xdr:spPr bwMode="auto">
        <a:xfrm>
          <a:off x="21832455"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50</xdr:row>
      <xdr:rowOff>504825</xdr:rowOff>
    </xdr:from>
    <xdr:ext cx="95250" cy="444014"/>
    <xdr:sp macro="" textlink="">
      <xdr:nvSpPr>
        <xdr:cNvPr id="2602" name="Text Box 15">
          <a:extLst>
            <a:ext uri="{FF2B5EF4-FFF2-40B4-BE49-F238E27FC236}">
              <a16:creationId xmlns:a16="http://schemas.microsoft.com/office/drawing/2014/main" id="{00000000-0008-0000-0500-00002A0A0000}"/>
            </a:ext>
          </a:extLst>
        </xdr:cNvPr>
        <xdr:cNvSpPr txBox="1">
          <a:spLocks noChangeArrowheads="1"/>
        </xdr:cNvSpPr>
      </xdr:nvSpPr>
      <xdr:spPr bwMode="auto">
        <a:xfrm>
          <a:off x="4664364" y="6733020"/>
          <a:ext cx="95250" cy="444014"/>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54</xdr:row>
      <xdr:rowOff>0</xdr:rowOff>
    </xdr:from>
    <xdr:ext cx="95250" cy="171450"/>
    <xdr:sp macro="" textlink="">
      <xdr:nvSpPr>
        <xdr:cNvPr id="2603" name="Text Box 16">
          <a:extLst>
            <a:ext uri="{FF2B5EF4-FFF2-40B4-BE49-F238E27FC236}">
              <a16:creationId xmlns:a16="http://schemas.microsoft.com/office/drawing/2014/main" id="{00000000-0008-0000-0500-00002B0A0000}"/>
            </a:ext>
          </a:extLst>
        </xdr:cNvPr>
        <xdr:cNvSpPr txBox="1">
          <a:spLocks noChangeArrowheads="1"/>
        </xdr:cNvSpPr>
      </xdr:nvSpPr>
      <xdr:spPr bwMode="auto">
        <a:xfrm>
          <a:off x="4664364"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54</xdr:row>
      <xdr:rowOff>0</xdr:rowOff>
    </xdr:from>
    <xdr:ext cx="95250" cy="171450"/>
    <xdr:sp macro="" textlink="">
      <xdr:nvSpPr>
        <xdr:cNvPr id="2604" name="Text Box 17">
          <a:extLst>
            <a:ext uri="{FF2B5EF4-FFF2-40B4-BE49-F238E27FC236}">
              <a16:creationId xmlns:a16="http://schemas.microsoft.com/office/drawing/2014/main" id="{00000000-0008-0000-0500-00002C0A0000}"/>
            </a:ext>
          </a:extLst>
        </xdr:cNvPr>
        <xdr:cNvSpPr txBox="1">
          <a:spLocks noChangeArrowheads="1"/>
        </xdr:cNvSpPr>
      </xdr:nvSpPr>
      <xdr:spPr bwMode="auto">
        <a:xfrm>
          <a:off x="4664364"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54</xdr:row>
      <xdr:rowOff>0</xdr:rowOff>
    </xdr:from>
    <xdr:ext cx="95250" cy="171450"/>
    <xdr:sp macro="" textlink="">
      <xdr:nvSpPr>
        <xdr:cNvPr id="2605" name="Text Box 18">
          <a:extLst>
            <a:ext uri="{FF2B5EF4-FFF2-40B4-BE49-F238E27FC236}">
              <a16:creationId xmlns:a16="http://schemas.microsoft.com/office/drawing/2014/main" id="{00000000-0008-0000-0500-00002D0A0000}"/>
            </a:ext>
          </a:extLst>
        </xdr:cNvPr>
        <xdr:cNvSpPr txBox="1">
          <a:spLocks noChangeArrowheads="1"/>
        </xdr:cNvSpPr>
      </xdr:nvSpPr>
      <xdr:spPr bwMode="auto">
        <a:xfrm>
          <a:off x="4664364"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54</xdr:row>
      <xdr:rowOff>0</xdr:rowOff>
    </xdr:from>
    <xdr:ext cx="95250" cy="171450"/>
    <xdr:sp macro="" textlink="">
      <xdr:nvSpPr>
        <xdr:cNvPr id="2606" name="Text Box 19">
          <a:extLst>
            <a:ext uri="{FF2B5EF4-FFF2-40B4-BE49-F238E27FC236}">
              <a16:creationId xmlns:a16="http://schemas.microsoft.com/office/drawing/2014/main" id="{00000000-0008-0000-0500-00002E0A0000}"/>
            </a:ext>
          </a:extLst>
        </xdr:cNvPr>
        <xdr:cNvSpPr txBox="1">
          <a:spLocks noChangeArrowheads="1"/>
        </xdr:cNvSpPr>
      </xdr:nvSpPr>
      <xdr:spPr bwMode="auto">
        <a:xfrm>
          <a:off x="4664364"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54</xdr:row>
      <xdr:rowOff>0</xdr:rowOff>
    </xdr:from>
    <xdr:ext cx="95250" cy="171450"/>
    <xdr:sp macro="" textlink="">
      <xdr:nvSpPr>
        <xdr:cNvPr id="2607" name="Text Box 16">
          <a:extLst>
            <a:ext uri="{FF2B5EF4-FFF2-40B4-BE49-F238E27FC236}">
              <a16:creationId xmlns:a16="http://schemas.microsoft.com/office/drawing/2014/main" id="{00000000-0008-0000-0500-00002F0A0000}"/>
            </a:ext>
          </a:extLst>
        </xdr:cNvPr>
        <xdr:cNvSpPr txBox="1">
          <a:spLocks noChangeArrowheads="1"/>
        </xdr:cNvSpPr>
      </xdr:nvSpPr>
      <xdr:spPr bwMode="auto">
        <a:xfrm>
          <a:off x="12540961"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54</xdr:row>
      <xdr:rowOff>0</xdr:rowOff>
    </xdr:from>
    <xdr:ext cx="95250" cy="171450"/>
    <xdr:sp macro="" textlink="">
      <xdr:nvSpPr>
        <xdr:cNvPr id="2608" name="Text Box 17">
          <a:extLst>
            <a:ext uri="{FF2B5EF4-FFF2-40B4-BE49-F238E27FC236}">
              <a16:creationId xmlns:a16="http://schemas.microsoft.com/office/drawing/2014/main" id="{00000000-0008-0000-0500-0000300A0000}"/>
            </a:ext>
          </a:extLst>
        </xdr:cNvPr>
        <xdr:cNvSpPr txBox="1">
          <a:spLocks noChangeArrowheads="1"/>
        </xdr:cNvSpPr>
      </xdr:nvSpPr>
      <xdr:spPr bwMode="auto">
        <a:xfrm>
          <a:off x="12540961"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54</xdr:row>
      <xdr:rowOff>0</xdr:rowOff>
    </xdr:from>
    <xdr:ext cx="95250" cy="171450"/>
    <xdr:sp macro="" textlink="">
      <xdr:nvSpPr>
        <xdr:cNvPr id="2609" name="Text Box 18">
          <a:extLst>
            <a:ext uri="{FF2B5EF4-FFF2-40B4-BE49-F238E27FC236}">
              <a16:creationId xmlns:a16="http://schemas.microsoft.com/office/drawing/2014/main" id="{00000000-0008-0000-0500-0000310A0000}"/>
            </a:ext>
          </a:extLst>
        </xdr:cNvPr>
        <xdr:cNvSpPr txBox="1">
          <a:spLocks noChangeArrowheads="1"/>
        </xdr:cNvSpPr>
      </xdr:nvSpPr>
      <xdr:spPr bwMode="auto">
        <a:xfrm>
          <a:off x="12540961"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54</xdr:row>
      <xdr:rowOff>0</xdr:rowOff>
    </xdr:from>
    <xdr:ext cx="95250" cy="171450"/>
    <xdr:sp macro="" textlink="">
      <xdr:nvSpPr>
        <xdr:cNvPr id="2610" name="Text Box 16">
          <a:extLst>
            <a:ext uri="{FF2B5EF4-FFF2-40B4-BE49-F238E27FC236}">
              <a16:creationId xmlns:a16="http://schemas.microsoft.com/office/drawing/2014/main" id="{00000000-0008-0000-0500-0000320A0000}"/>
            </a:ext>
          </a:extLst>
        </xdr:cNvPr>
        <xdr:cNvSpPr txBox="1">
          <a:spLocks noChangeArrowheads="1"/>
        </xdr:cNvSpPr>
      </xdr:nvSpPr>
      <xdr:spPr bwMode="auto">
        <a:xfrm>
          <a:off x="15388070"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54</xdr:row>
      <xdr:rowOff>0</xdr:rowOff>
    </xdr:from>
    <xdr:ext cx="95250" cy="171450"/>
    <xdr:sp macro="" textlink="">
      <xdr:nvSpPr>
        <xdr:cNvPr id="2611" name="Text Box 17">
          <a:extLst>
            <a:ext uri="{FF2B5EF4-FFF2-40B4-BE49-F238E27FC236}">
              <a16:creationId xmlns:a16="http://schemas.microsoft.com/office/drawing/2014/main" id="{00000000-0008-0000-0500-0000330A0000}"/>
            </a:ext>
          </a:extLst>
        </xdr:cNvPr>
        <xdr:cNvSpPr txBox="1">
          <a:spLocks noChangeArrowheads="1"/>
        </xdr:cNvSpPr>
      </xdr:nvSpPr>
      <xdr:spPr bwMode="auto">
        <a:xfrm>
          <a:off x="15388070"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54</xdr:row>
      <xdr:rowOff>0</xdr:rowOff>
    </xdr:from>
    <xdr:ext cx="95250" cy="171450"/>
    <xdr:sp macro="" textlink="">
      <xdr:nvSpPr>
        <xdr:cNvPr id="2612" name="Text Box 18">
          <a:extLst>
            <a:ext uri="{FF2B5EF4-FFF2-40B4-BE49-F238E27FC236}">
              <a16:creationId xmlns:a16="http://schemas.microsoft.com/office/drawing/2014/main" id="{00000000-0008-0000-0500-0000340A0000}"/>
            </a:ext>
          </a:extLst>
        </xdr:cNvPr>
        <xdr:cNvSpPr txBox="1">
          <a:spLocks noChangeArrowheads="1"/>
        </xdr:cNvSpPr>
      </xdr:nvSpPr>
      <xdr:spPr bwMode="auto">
        <a:xfrm>
          <a:off x="15388070"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54</xdr:row>
      <xdr:rowOff>0</xdr:rowOff>
    </xdr:from>
    <xdr:ext cx="95250" cy="171450"/>
    <xdr:sp macro="" textlink="">
      <xdr:nvSpPr>
        <xdr:cNvPr id="2613" name="Text Box 19">
          <a:extLst>
            <a:ext uri="{FF2B5EF4-FFF2-40B4-BE49-F238E27FC236}">
              <a16:creationId xmlns:a16="http://schemas.microsoft.com/office/drawing/2014/main" id="{00000000-0008-0000-0500-0000350A0000}"/>
            </a:ext>
          </a:extLst>
        </xdr:cNvPr>
        <xdr:cNvSpPr txBox="1">
          <a:spLocks noChangeArrowheads="1"/>
        </xdr:cNvSpPr>
      </xdr:nvSpPr>
      <xdr:spPr bwMode="auto">
        <a:xfrm>
          <a:off x="15388070"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54</xdr:row>
      <xdr:rowOff>0</xdr:rowOff>
    </xdr:from>
    <xdr:ext cx="95250" cy="171450"/>
    <xdr:sp macro="" textlink="">
      <xdr:nvSpPr>
        <xdr:cNvPr id="2614" name="Text Box 16">
          <a:extLst>
            <a:ext uri="{FF2B5EF4-FFF2-40B4-BE49-F238E27FC236}">
              <a16:creationId xmlns:a16="http://schemas.microsoft.com/office/drawing/2014/main" id="{00000000-0008-0000-0500-0000360A0000}"/>
            </a:ext>
          </a:extLst>
        </xdr:cNvPr>
        <xdr:cNvSpPr txBox="1">
          <a:spLocks noChangeArrowheads="1"/>
        </xdr:cNvSpPr>
      </xdr:nvSpPr>
      <xdr:spPr bwMode="auto">
        <a:xfrm>
          <a:off x="15388070"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54</xdr:row>
      <xdr:rowOff>0</xdr:rowOff>
    </xdr:from>
    <xdr:ext cx="95250" cy="171450"/>
    <xdr:sp macro="" textlink="">
      <xdr:nvSpPr>
        <xdr:cNvPr id="2615" name="Text Box 17">
          <a:extLst>
            <a:ext uri="{FF2B5EF4-FFF2-40B4-BE49-F238E27FC236}">
              <a16:creationId xmlns:a16="http://schemas.microsoft.com/office/drawing/2014/main" id="{00000000-0008-0000-0500-0000370A0000}"/>
            </a:ext>
          </a:extLst>
        </xdr:cNvPr>
        <xdr:cNvSpPr txBox="1">
          <a:spLocks noChangeArrowheads="1"/>
        </xdr:cNvSpPr>
      </xdr:nvSpPr>
      <xdr:spPr bwMode="auto">
        <a:xfrm>
          <a:off x="15388070"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54</xdr:row>
      <xdr:rowOff>0</xdr:rowOff>
    </xdr:from>
    <xdr:ext cx="95250" cy="171450"/>
    <xdr:sp macro="" textlink="">
      <xdr:nvSpPr>
        <xdr:cNvPr id="2616" name="Text Box 18">
          <a:extLst>
            <a:ext uri="{FF2B5EF4-FFF2-40B4-BE49-F238E27FC236}">
              <a16:creationId xmlns:a16="http://schemas.microsoft.com/office/drawing/2014/main" id="{00000000-0008-0000-0500-0000380A0000}"/>
            </a:ext>
          </a:extLst>
        </xdr:cNvPr>
        <xdr:cNvSpPr txBox="1">
          <a:spLocks noChangeArrowheads="1"/>
        </xdr:cNvSpPr>
      </xdr:nvSpPr>
      <xdr:spPr bwMode="auto">
        <a:xfrm>
          <a:off x="15388070"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54</xdr:row>
      <xdr:rowOff>0</xdr:rowOff>
    </xdr:from>
    <xdr:ext cx="95250" cy="171450"/>
    <xdr:sp macro="" textlink="">
      <xdr:nvSpPr>
        <xdr:cNvPr id="2617" name="Text Box 19">
          <a:extLst>
            <a:ext uri="{FF2B5EF4-FFF2-40B4-BE49-F238E27FC236}">
              <a16:creationId xmlns:a16="http://schemas.microsoft.com/office/drawing/2014/main" id="{00000000-0008-0000-0500-0000390A0000}"/>
            </a:ext>
          </a:extLst>
        </xdr:cNvPr>
        <xdr:cNvSpPr txBox="1">
          <a:spLocks noChangeArrowheads="1"/>
        </xdr:cNvSpPr>
      </xdr:nvSpPr>
      <xdr:spPr bwMode="auto">
        <a:xfrm>
          <a:off x="15388070"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48</xdr:row>
      <xdr:rowOff>504825</xdr:rowOff>
    </xdr:from>
    <xdr:ext cx="95250" cy="456743"/>
    <xdr:sp macro="" textlink="">
      <xdr:nvSpPr>
        <xdr:cNvPr id="2618" name="Text Box 15">
          <a:extLst>
            <a:ext uri="{FF2B5EF4-FFF2-40B4-BE49-F238E27FC236}">
              <a16:creationId xmlns:a16="http://schemas.microsoft.com/office/drawing/2014/main" id="{00000000-0008-0000-0500-00003A0A0000}"/>
            </a:ext>
          </a:extLst>
        </xdr:cNvPr>
        <xdr:cNvSpPr txBox="1">
          <a:spLocks noChangeArrowheads="1"/>
        </xdr:cNvSpPr>
      </xdr:nvSpPr>
      <xdr:spPr bwMode="auto">
        <a:xfrm>
          <a:off x="4664364" y="5994111"/>
          <a:ext cx="95250" cy="456743"/>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48</xdr:row>
      <xdr:rowOff>504825</xdr:rowOff>
    </xdr:from>
    <xdr:ext cx="95250" cy="442269"/>
    <xdr:sp macro="" textlink="">
      <xdr:nvSpPr>
        <xdr:cNvPr id="2619" name="Text Box 15">
          <a:extLst>
            <a:ext uri="{FF2B5EF4-FFF2-40B4-BE49-F238E27FC236}">
              <a16:creationId xmlns:a16="http://schemas.microsoft.com/office/drawing/2014/main" id="{00000000-0008-0000-0500-00003B0A0000}"/>
            </a:ext>
          </a:extLst>
        </xdr:cNvPr>
        <xdr:cNvSpPr txBox="1">
          <a:spLocks noChangeArrowheads="1"/>
        </xdr:cNvSpPr>
      </xdr:nvSpPr>
      <xdr:spPr bwMode="auto">
        <a:xfrm>
          <a:off x="12540961" y="5994111"/>
          <a:ext cx="95250" cy="442269"/>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48</xdr:row>
      <xdr:rowOff>504825</xdr:rowOff>
    </xdr:from>
    <xdr:ext cx="95250" cy="213632"/>
    <xdr:sp macro="" textlink="">
      <xdr:nvSpPr>
        <xdr:cNvPr id="2621" name="Text Box 15">
          <a:extLst>
            <a:ext uri="{FF2B5EF4-FFF2-40B4-BE49-F238E27FC236}">
              <a16:creationId xmlns:a16="http://schemas.microsoft.com/office/drawing/2014/main" id="{00000000-0008-0000-0500-00003D0A0000}"/>
            </a:ext>
          </a:extLst>
        </xdr:cNvPr>
        <xdr:cNvSpPr txBox="1">
          <a:spLocks noChangeArrowheads="1"/>
        </xdr:cNvSpPr>
      </xdr:nvSpPr>
      <xdr:spPr bwMode="auto">
        <a:xfrm>
          <a:off x="4664364" y="5994111"/>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48</xdr:row>
      <xdr:rowOff>504825</xdr:rowOff>
    </xdr:from>
    <xdr:ext cx="95250" cy="444331"/>
    <xdr:sp macro="" textlink="">
      <xdr:nvSpPr>
        <xdr:cNvPr id="2622" name="Text Box 15">
          <a:extLst>
            <a:ext uri="{FF2B5EF4-FFF2-40B4-BE49-F238E27FC236}">
              <a16:creationId xmlns:a16="http://schemas.microsoft.com/office/drawing/2014/main" id="{00000000-0008-0000-0500-00003E0A0000}"/>
            </a:ext>
          </a:extLst>
        </xdr:cNvPr>
        <xdr:cNvSpPr txBox="1">
          <a:spLocks noChangeArrowheads="1"/>
        </xdr:cNvSpPr>
      </xdr:nvSpPr>
      <xdr:spPr bwMode="auto">
        <a:xfrm>
          <a:off x="4664364" y="5994111"/>
          <a:ext cx="95250" cy="444331"/>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48</xdr:row>
      <xdr:rowOff>504825</xdr:rowOff>
    </xdr:from>
    <xdr:ext cx="95250" cy="213632"/>
    <xdr:sp macro="" textlink="">
      <xdr:nvSpPr>
        <xdr:cNvPr id="2623" name="Text Box 15">
          <a:extLst>
            <a:ext uri="{FF2B5EF4-FFF2-40B4-BE49-F238E27FC236}">
              <a16:creationId xmlns:a16="http://schemas.microsoft.com/office/drawing/2014/main" id="{00000000-0008-0000-0500-00003F0A0000}"/>
            </a:ext>
          </a:extLst>
        </xdr:cNvPr>
        <xdr:cNvSpPr txBox="1">
          <a:spLocks noChangeArrowheads="1"/>
        </xdr:cNvSpPr>
      </xdr:nvSpPr>
      <xdr:spPr bwMode="auto">
        <a:xfrm>
          <a:off x="12540961" y="5994111"/>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54</xdr:row>
      <xdr:rowOff>0</xdr:rowOff>
    </xdr:from>
    <xdr:ext cx="95250" cy="171450"/>
    <xdr:sp macro="" textlink="">
      <xdr:nvSpPr>
        <xdr:cNvPr id="2624" name="Text Box 16">
          <a:extLst>
            <a:ext uri="{FF2B5EF4-FFF2-40B4-BE49-F238E27FC236}">
              <a16:creationId xmlns:a16="http://schemas.microsoft.com/office/drawing/2014/main" id="{00000000-0008-0000-0500-0000400A0000}"/>
            </a:ext>
          </a:extLst>
        </xdr:cNvPr>
        <xdr:cNvSpPr txBox="1">
          <a:spLocks noChangeArrowheads="1"/>
        </xdr:cNvSpPr>
      </xdr:nvSpPr>
      <xdr:spPr bwMode="auto">
        <a:xfrm>
          <a:off x="4664364"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54</xdr:row>
      <xdr:rowOff>0</xdr:rowOff>
    </xdr:from>
    <xdr:ext cx="95250" cy="171450"/>
    <xdr:sp macro="" textlink="">
      <xdr:nvSpPr>
        <xdr:cNvPr id="2625" name="Text Box 17">
          <a:extLst>
            <a:ext uri="{FF2B5EF4-FFF2-40B4-BE49-F238E27FC236}">
              <a16:creationId xmlns:a16="http://schemas.microsoft.com/office/drawing/2014/main" id="{00000000-0008-0000-0500-0000410A0000}"/>
            </a:ext>
          </a:extLst>
        </xdr:cNvPr>
        <xdr:cNvSpPr txBox="1">
          <a:spLocks noChangeArrowheads="1"/>
        </xdr:cNvSpPr>
      </xdr:nvSpPr>
      <xdr:spPr bwMode="auto">
        <a:xfrm>
          <a:off x="4664364"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54</xdr:row>
      <xdr:rowOff>0</xdr:rowOff>
    </xdr:from>
    <xdr:ext cx="95250" cy="171450"/>
    <xdr:sp macro="" textlink="">
      <xdr:nvSpPr>
        <xdr:cNvPr id="2626" name="Text Box 18">
          <a:extLst>
            <a:ext uri="{FF2B5EF4-FFF2-40B4-BE49-F238E27FC236}">
              <a16:creationId xmlns:a16="http://schemas.microsoft.com/office/drawing/2014/main" id="{00000000-0008-0000-0500-0000420A0000}"/>
            </a:ext>
          </a:extLst>
        </xdr:cNvPr>
        <xdr:cNvSpPr txBox="1">
          <a:spLocks noChangeArrowheads="1"/>
        </xdr:cNvSpPr>
      </xdr:nvSpPr>
      <xdr:spPr bwMode="auto">
        <a:xfrm>
          <a:off x="4664364"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54</xdr:row>
      <xdr:rowOff>0</xdr:rowOff>
    </xdr:from>
    <xdr:ext cx="95250" cy="171450"/>
    <xdr:sp macro="" textlink="">
      <xdr:nvSpPr>
        <xdr:cNvPr id="2627" name="Text Box 19">
          <a:extLst>
            <a:ext uri="{FF2B5EF4-FFF2-40B4-BE49-F238E27FC236}">
              <a16:creationId xmlns:a16="http://schemas.microsoft.com/office/drawing/2014/main" id="{00000000-0008-0000-0500-0000430A0000}"/>
            </a:ext>
          </a:extLst>
        </xdr:cNvPr>
        <xdr:cNvSpPr txBox="1">
          <a:spLocks noChangeArrowheads="1"/>
        </xdr:cNvSpPr>
      </xdr:nvSpPr>
      <xdr:spPr bwMode="auto">
        <a:xfrm>
          <a:off x="4664364"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54</xdr:row>
      <xdr:rowOff>0</xdr:rowOff>
    </xdr:from>
    <xdr:ext cx="95250" cy="171450"/>
    <xdr:sp macro="" textlink="">
      <xdr:nvSpPr>
        <xdr:cNvPr id="2628" name="Text Box 16">
          <a:extLst>
            <a:ext uri="{FF2B5EF4-FFF2-40B4-BE49-F238E27FC236}">
              <a16:creationId xmlns:a16="http://schemas.microsoft.com/office/drawing/2014/main" id="{00000000-0008-0000-0500-0000440A0000}"/>
            </a:ext>
          </a:extLst>
        </xdr:cNvPr>
        <xdr:cNvSpPr txBox="1">
          <a:spLocks noChangeArrowheads="1"/>
        </xdr:cNvSpPr>
      </xdr:nvSpPr>
      <xdr:spPr bwMode="auto">
        <a:xfrm>
          <a:off x="12540961"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54</xdr:row>
      <xdr:rowOff>0</xdr:rowOff>
    </xdr:from>
    <xdr:ext cx="95250" cy="171450"/>
    <xdr:sp macro="" textlink="">
      <xdr:nvSpPr>
        <xdr:cNvPr id="2629" name="Text Box 17">
          <a:extLst>
            <a:ext uri="{FF2B5EF4-FFF2-40B4-BE49-F238E27FC236}">
              <a16:creationId xmlns:a16="http://schemas.microsoft.com/office/drawing/2014/main" id="{00000000-0008-0000-0500-0000450A0000}"/>
            </a:ext>
          </a:extLst>
        </xdr:cNvPr>
        <xdr:cNvSpPr txBox="1">
          <a:spLocks noChangeArrowheads="1"/>
        </xdr:cNvSpPr>
      </xdr:nvSpPr>
      <xdr:spPr bwMode="auto">
        <a:xfrm>
          <a:off x="12540961"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54</xdr:row>
      <xdr:rowOff>0</xdr:rowOff>
    </xdr:from>
    <xdr:ext cx="95250" cy="171450"/>
    <xdr:sp macro="" textlink="">
      <xdr:nvSpPr>
        <xdr:cNvPr id="2630" name="Text Box 18">
          <a:extLst>
            <a:ext uri="{FF2B5EF4-FFF2-40B4-BE49-F238E27FC236}">
              <a16:creationId xmlns:a16="http://schemas.microsoft.com/office/drawing/2014/main" id="{00000000-0008-0000-0500-0000460A0000}"/>
            </a:ext>
          </a:extLst>
        </xdr:cNvPr>
        <xdr:cNvSpPr txBox="1">
          <a:spLocks noChangeArrowheads="1"/>
        </xdr:cNvSpPr>
      </xdr:nvSpPr>
      <xdr:spPr bwMode="auto">
        <a:xfrm>
          <a:off x="12540961"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54</xdr:row>
      <xdr:rowOff>0</xdr:rowOff>
    </xdr:from>
    <xdr:ext cx="95250" cy="171450"/>
    <xdr:sp macro="" textlink="">
      <xdr:nvSpPr>
        <xdr:cNvPr id="2631" name="Text Box 19">
          <a:extLst>
            <a:ext uri="{FF2B5EF4-FFF2-40B4-BE49-F238E27FC236}">
              <a16:creationId xmlns:a16="http://schemas.microsoft.com/office/drawing/2014/main" id="{00000000-0008-0000-0500-0000470A0000}"/>
            </a:ext>
          </a:extLst>
        </xdr:cNvPr>
        <xdr:cNvSpPr txBox="1">
          <a:spLocks noChangeArrowheads="1"/>
        </xdr:cNvSpPr>
      </xdr:nvSpPr>
      <xdr:spPr bwMode="auto">
        <a:xfrm>
          <a:off x="12540961"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21</xdr:col>
      <xdr:colOff>0</xdr:colOff>
      <xdr:row>54</xdr:row>
      <xdr:rowOff>0</xdr:rowOff>
    </xdr:from>
    <xdr:ext cx="95250" cy="171450"/>
    <xdr:sp macro="" textlink="">
      <xdr:nvSpPr>
        <xdr:cNvPr id="2632" name="Text Box 16">
          <a:extLst>
            <a:ext uri="{FF2B5EF4-FFF2-40B4-BE49-F238E27FC236}">
              <a16:creationId xmlns:a16="http://schemas.microsoft.com/office/drawing/2014/main" id="{00000000-0008-0000-0500-0000480A0000}"/>
            </a:ext>
          </a:extLst>
        </xdr:cNvPr>
        <xdr:cNvSpPr txBox="1">
          <a:spLocks noChangeArrowheads="1"/>
        </xdr:cNvSpPr>
      </xdr:nvSpPr>
      <xdr:spPr bwMode="auto">
        <a:xfrm>
          <a:off x="21832455"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21</xdr:col>
      <xdr:colOff>0</xdr:colOff>
      <xdr:row>54</xdr:row>
      <xdr:rowOff>0</xdr:rowOff>
    </xdr:from>
    <xdr:ext cx="95250" cy="171450"/>
    <xdr:sp macro="" textlink="">
      <xdr:nvSpPr>
        <xdr:cNvPr id="2633" name="Text Box 17">
          <a:extLst>
            <a:ext uri="{FF2B5EF4-FFF2-40B4-BE49-F238E27FC236}">
              <a16:creationId xmlns:a16="http://schemas.microsoft.com/office/drawing/2014/main" id="{00000000-0008-0000-0500-0000490A0000}"/>
            </a:ext>
          </a:extLst>
        </xdr:cNvPr>
        <xdr:cNvSpPr txBox="1">
          <a:spLocks noChangeArrowheads="1"/>
        </xdr:cNvSpPr>
      </xdr:nvSpPr>
      <xdr:spPr bwMode="auto">
        <a:xfrm>
          <a:off x="21832455"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21</xdr:col>
      <xdr:colOff>0</xdr:colOff>
      <xdr:row>54</xdr:row>
      <xdr:rowOff>0</xdr:rowOff>
    </xdr:from>
    <xdr:ext cx="95250" cy="171450"/>
    <xdr:sp macro="" textlink="">
      <xdr:nvSpPr>
        <xdr:cNvPr id="2634" name="Text Box 18">
          <a:extLst>
            <a:ext uri="{FF2B5EF4-FFF2-40B4-BE49-F238E27FC236}">
              <a16:creationId xmlns:a16="http://schemas.microsoft.com/office/drawing/2014/main" id="{00000000-0008-0000-0500-00004A0A0000}"/>
            </a:ext>
          </a:extLst>
        </xdr:cNvPr>
        <xdr:cNvSpPr txBox="1">
          <a:spLocks noChangeArrowheads="1"/>
        </xdr:cNvSpPr>
      </xdr:nvSpPr>
      <xdr:spPr bwMode="auto">
        <a:xfrm>
          <a:off x="21832455"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21</xdr:col>
      <xdr:colOff>0</xdr:colOff>
      <xdr:row>54</xdr:row>
      <xdr:rowOff>0</xdr:rowOff>
    </xdr:from>
    <xdr:ext cx="95250" cy="171450"/>
    <xdr:sp macro="" textlink="">
      <xdr:nvSpPr>
        <xdr:cNvPr id="2635" name="Text Box 19">
          <a:extLst>
            <a:ext uri="{FF2B5EF4-FFF2-40B4-BE49-F238E27FC236}">
              <a16:creationId xmlns:a16="http://schemas.microsoft.com/office/drawing/2014/main" id="{00000000-0008-0000-0500-00004B0A0000}"/>
            </a:ext>
          </a:extLst>
        </xdr:cNvPr>
        <xdr:cNvSpPr txBox="1">
          <a:spLocks noChangeArrowheads="1"/>
        </xdr:cNvSpPr>
      </xdr:nvSpPr>
      <xdr:spPr bwMode="auto">
        <a:xfrm>
          <a:off x="21832455"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50</xdr:row>
      <xdr:rowOff>504825</xdr:rowOff>
    </xdr:from>
    <xdr:ext cx="95250" cy="444014"/>
    <xdr:sp macro="" textlink="">
      <xdr:nvSpPr>
        <xdr:cNvPr id="2636" name="Text Box 15">
          <a:extLst>
            <a:ext uri="{FF2B5EF4-FFF2-40B4-BE49-F238E27FC236}">
              <a16:creationId xmlns:a16="http://schemas.microsoft.com/office/drawing/2014/main" id="{00000000-0008-0000-0500-00004C0A0000}"/>
            </a:ext>
          </a:extLst>
        </xdr:cNvPr>
        <xdr:cNvSpPr txBox="1">
          <a:spLocks noChangeArrowheads="1"/>
        </xdr:cNvSpPr>
      </xdr:nvSpPr>
      <xdr:spPr bwMode="auto">
        <a:xfrm>
          <a:off x="4664364" y="6733020"/>
          <a:ext cx="95250" cy="444014"/>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54</xdr:row>
      <xdr:rowOff>0</xdr:rowOff>
    </xdr:from>
    <xdr:ext cx="95250" cy="171450"/>
    <xdr:sp macro="" textlink="">
      <xdr:nvSpPr>
        <xdr:cNvPr id="2637" name="Text Box 16">
          <a:extLst>
            <a:ext uri="{FF2B5EF4-FFF2-40B4-BE49-F238E27FC236}">
              <a16:creationId xmlns:a16="http://schemas.microsoft.com/office/drawing/2014/main" id="{00000000-0008-0000-0500-00004D0A0000}"/>
            </a:ext>
          </a:extLst>
        </xdr:cNvPr>
        <xdr:cNvSpPr txBox="1">
          <a:spLocks noChangeArrowheads="1"/>
        </xdr:cNvSpPr>
      </xdr:nvSpPr>
      <xdr:spPr bwMode="auto">
        <a:xfrm>
          <a:off x="4664364"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54</xdr:row>
      <xdr:rowOff>0</xdr:rowOff>
    </xdr:from>
    <xdr:ext cx="95250" cy="171450"/>
    <xdr:sp macro="" textlink="">
      <xdr:nvSpPr>
        <xdr:cNvPr id="2638" name="Text Box 17">
          <a:extLst>
            <a:ext uri="{FF2B5EF4-FFF2-40B4-BE49-F238E27FC236}">
              <a16:creationId xmlns:a16="http://schemas.microsoft.com/office/drawing/2014/main" id="{00000000-0008-0000-0500-00004E0A0000}"/>
            </a:ext>
          </a:extLst>
        </xdr:cNvPr>
        <xdr:cNvSpPr txBox="1">
          <a:spLocks noChangeArrowheads="1"/>
        </xdr:cNvSpPr>
      </xdr:nvSpPr>
      <xdr:spPr bwMode="auto">
        <a:xfrm>
          <a:off x="4664364"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54</xdr:row>
      <xdr:rowOff>0</xdr:rowOff>
    </xdr:from>
    <xdr:ext cx="95250" cy="171450"/>
    <xdr:sp macro="" textlink="">
      <xdr:nvSpPr>
        <xdr:cNvPr id="2639" name="Text Box 18">
          <a:extLst>
            <a:ext uri="{FF2B5EF4-FFF2-40B4-BE49-F238E27FC236}">
              <a16:creationId xmlns:a16="http://schemas.microsoft.com/office/drawing/2014/main" id="{00000000-0008-0000-0500-00004F0A0000}"/>
            </a:ext>
          </a:extLst>
        </xdr:cNvPr>
        <xdr:cNvSpPr txBox="1">
          <a:spLocks noChangeArrowheads="1"/>
        </xdr:cNvSpPr>
      </xdr:nvSpPr>
      <xdr:spPr bwMode="auto">
        <a:xfrm>
          <a:off x="4664364"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54</xdr:row>
      <xdr:rowOff>0</xdr:rowOff>
    </xdr:from>
    <xdr:ext cx="95250" cy="171450"/>
    <xdr:sp macro="" textlink="">
      <xdr:nvSpPr>
        <xdr:cNvPr id="2640" name="Text Box 19">
          <a:extLst>
            <a:ext uri="{FF2B5EF4-FFF2-40B4-BE49-F238E27FC236}">
              <a16:creationId xmlns:a16="http://schemas.microsoft.com/office/drawing/2014/main" id="{00000000-0008-0000-0500-0000500A0000}"/>
            </a:ext>
          </a:extLst>
        </xdr:cNvPr>
        <xdr:cNvSpPr txBox="1">
          <a:spLocks noChangeArrowheads="1"/>
        </xdr:cNvSpPr>
      </xdr:nvSpPr>
      <xdr:spPr bwMode="auto">
        <a:xfrm>
          <a:off x="4664364"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50</xdr:row>
      <xdr:rowOff>504825</xdr:rowOff>
    </xdr:from>
    <xdr:ext cx="95250" cy="442269"/>
    <xdr:sp macro="" textlink="">
      <xdr:nvSpPr>
        <xdr:cNvPr id="2641" name="Text Box 15">
          <a:extLst>
            <a:ext uri="{FF2B5EF4-FFF2-40B4-BE49-F238E27FC236}">
              <a16:creationId xmlns:a16="http://schemas.microsoft.com/office/drawing/2014/main" id="{00000000-0008-0000-0500-0000510A0000}"/>
            </a:ext>
          </a:extLst>
        </xdr:cNvPr>
        <xdr:cNvSpPr txBox="1">
          <a:spLocks noChangeArrowheads="1"/>
        </xdr:cNvSpPr>
      </xdr:nvSpPr>
      <xdr:spPr bwMode="auto">
        <a:xfrm>
          <a:off x="12540961" y="6733020"/>
          <a:ext cx="95250" cy="442269"/>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54</xdr:row>
      <xdr:rowOff>0</xdr:rowOff>
    </xdr:from>
    <xdr:ext cx="95250" cy="171450"/>
    <xdr:sp macro="" textlink="">
      <xdr:nvSpPr>
        <xdr:cNvPr id="2642" name="Text Box 16">
          <a:extLst>
            <a:ext uri="{FF2B5EF4-FFF2-40B4-BE49-F238E27FC236}">
              <a16:creationId xmlns:a16="http://schemas.microsoft.com/office/drawing/2014/main" id="{00000000-0008-0000-0500-0000520A0000}"/>
            </a:ext>
          </a:extLst>
        </xdr:cNvPr>
        <xdr:cNvSpPr txBox="1">
          <a:spLocks noChangeArrowheads="1"/>
        </xdr:cNvSpPr>
      </xdr:nvSpPr>
      <xdr:spPr bwMode="auto">
        <a:xfrm>
          <a:off x="12540961"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54</xdr:row>
      <xdr:rowOff>0</xdr:rowOff>
    </xdr:from>
    <xdr:ext cx="95250" cy="171450"/>
    <xdr:sp macro="" textlink="">
      <xdr:nvSpPr>
        <xdr:cNvPr id="2643" name="Text Box 17">
          <a:extLst>
            <a:ext uri="{FF2B5EF4-FFF2-40B4-BE49-F238E27FC236}">
              <a16:creationId xmlns:a16="http://schemas.microsoft.com/office/drawing/2014/main" id="{00000000-0008-0000-0500-0000530A0000}"/>
            </a:ext>
          </a:extLst>
        </xdr:cNvPr>
        <xdr:cNvSpPr txBox="1">
          <a:spLocks noChangeArrowheads="1"/>
        </xdr:cNvSpPr>
      </xdr:nvSpPr>
      <xdr:spPr bwMode="auto">
        <a:xfrm>
          <a:off x="12540961"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54</xdr:row>
      <xdr:rowOff>0</xdr:rowOff>
    </xdr:from>
    <xdr:ext cx="95250" cy="171450"/>
    <xdr:sp macro="" textlink="">
      <xdr:nvSpPr>
        <xdr:cNvPr id="2644" name="Text Box 18">
          <a:extLst>
            <a:ext uri="{FF2B5EF4-FFF2-40B4-BE49-F238E27FC236}">
              <a16:creationId xmlns:a16="http://schemas.microsoft.com/office/drawing/2014/main" id="{00000000-0008-0000-0500-0000540A0000}"/>
            </a:ext>
          </a:extLst>
        </xdr:cNvPr>
        <xdr:cNvSpPr txBox="1">
          <a:spLocks noChangeArrowheads="1"/>
        </xdr:cNvSpPr>
      </xdr:nvSpPr>
      <xdr:spPr bwMode="auto">
        <a:xfrm>
          <a:off x="12540961"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54</xdr:row>
      <xdr:rowOff>0</xdr:rowOff>
    </xdr:from>
    <xdr:ext cx="95250" cy="171450"/>
    <xdr:sp macro="" textlink="">
      <xdr:nvSpPr>
        <xdr:cNvPr id="2645" name="Text Box 16">
          <a:extLst>
            <a:ext uri="{FF2B5EF4-FFF2-40B4-BE49-F238E27FC236}">
              <a16:creationId xmlns:a16="http://schemas.microsoft.com/office/drawing/2014/main" id="{00000000-0008-0000-0500-0000550A0000}"/>
            </a:ext>
          </a:extLst>
        </xdr:cNvPr>
        <xdr:cNvSpPr txBox="1">
          <a:spLocks noChangeArrowheads="1"/>
        </xdr:cNvSpPr>
      </xdr:nvSpPr>
      <xdr:spPr bwMode="auto">
        <a:xfrm>
          <a:off x="15388070"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54</xdr:row>
      <xdr:rowOff>0</xdr:rowOff>
    </xdr:from>
    <xdr:ext cx="95250" cy="171450"/>
    <xdr:sp macro="" textlink="">
      <xdr:nvSpPr>
        <xdr:cNvPr id="2646" name="Text Box 17">
          <a:extLst>
            <a:ext uri="{FF2B5EF4-FFF2-40B4-BE49-F238E27FC236}">
              <a16:creationId xmlns:a16="http://schemas.microsoft.com/office/drawing/2014/main" id="{00000000-0008-0000-0500-0000560A0000}"/>
            </a:ext>
          </a:extLst>
        </xdr:cNvPr>
        <xdr:cNvSpPr txBox="1">
          <a:spLocks noChangeArrowheads="1"/>
        </xdr:cNvSpPr>
      </xdr:nvSpPr>
      <xdr:spPr bwMode="auto">
        <a:xfrm>
          <a:off x="15388070"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54</xdr:row>
      <xdr:rowOff>0</xdr:rowOff>
    </xdr:from>
    <xdr:ext cx="95250" cy="171450"/>
    <xdr:sp macro="" textlink="">
      <xdr:nvSpPr>
        <xdr:cNvPr id="2647" name="Text Box 18">
          <a:extLst>
            <a:ext uri="{FF2B5EF4-FFF2-40B4-BE49-F238E27FC236}">
              <a16:creationId xmlns:a16="http://schemas.microsoft.com/office/drawing/2014/main" id="{00000000-0008-0000-0500-0000570A0000}"/>
            </a:ext>
          </a:extLst>
        </xdr:cNvPr>
        <xdr:cNvSpPr txBox="1">
          <a:spLocks noChangeArrowheads="1"/>
        </xdr:cNvSpPr>
      </xdr:nvSpPr>
      <xdr:spPr bwMode="auto">
        <a:xfrm>
          <a:off x="15388070"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54</xdr:row>
      <xdr:rowOff>0</xdr:rowOff>
    </xdr:from>
    <xdr:ext cx="95250" cy="171450"/>
    <xdr:sp macro="" textlink="">
      <xdr:nvSpPr>
        <xdr:cNvPr id="2648" name="Text Box 19">
          <a:extLst>
            <a:ext uri="{FF2B5EF4-FFF2-40B4-BE49-F238E27FC236}">
              <a16:creationId xmlns:a16="http://schemas.microsoft.com/office/drawing/2014/main" id="{00000000-0008-0000-0500-0000580A0000}"/>
            </a:ext>
          </a:extLst>
        </xdr:cNvPr>
        <xdr:cNvSpPr txBox="1">
          <a:spLocks noChangeArrowheads="1"/>
        </xdr:cNvSpPr>
      </xdr:nvSpPr>
      <xdr:spPr bwMode="auto">
        <a:xfrm>
          <a:off x="15388070"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54</xdr:row>
      <xdr:rowOff>0</xdr:rowOff>
    </xdr:from>
    <xdr:ext cx="95250" cy="171450"/>
    <xdr:sp macro="" textlink="">
      <xdr:nvSpPr>
        <xdr:cNvPr id="2649" name="Text Box 16">
          <a:extLst>
            <a:ext uri="{FF2B5EF4-FFF2-40B4-BE49-F238E27FC236}">
              <a16:creationId xmlns:a16="http://schemas.microsoft.com/office/drawing/2014/main" id="{00000000-0008-0000-0500-0000590A0000}"/>
            </a:ext>
          </a:extLst>
        </xdr:cNvPr>
        <xdr:cNvSpPr txBox="1">
          <a:spLocks noChangeArrowheads="1"/>
        </xdr:cNvSpPr>
      </xdr:nvSpPr>
      <xdr:spPr bwMode="auto">
        <a:xfrm>
          <a:off x="15388070"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54</xdr:row>
      <xdr:rowOff>0</xdr:rowOff>
    </xdr:from>
    <xdr:ext cx="95250" cy="171450"/>
    <xdr:sp macro="" textlink="">
      <xdr:nvSpPr>
        <xdr:cNvPr id="2650" name="Text Box 17">
          <a:extLst>
            <a:ext uri="{FF2B5EF4-FFF2-40B4-BE49-F238E27FC236}">
              <a16:creationId xmlns:a16="http://schemas.microsoft.com/office/drawing/2014/main" id="{00000000-0008-0000-0500-00005A0A0000}"/>
            </a:ext>
          </a:extLst>
        </xdr:cNvPr>
        <xdr:cNvSpPr txBox="1">
          <a:spLocks noChangeArrowheads="1"/>
        </xdr:cNvSpPr>
      </xdr:nvSpPr>
      <xdr:spPr bwMode="auto">
        <a:xfrm>
          <a:off x="15388070"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54</xdr:row>
      <xdr:rowOff>0</xdr:rowOff>
    </xdr:from>
    <xdr:ext cx="95250" cy="171450"/>
    <xdr:sp macro="" textlink="">
      <xdr:nvSpPr>
        <xdr:cNvPr id="2651" name="Text Box 18">
          <a:extLst>
            <a:ext uri="{FF2B5EF4-FFF2-40B4-BE49-F238E27FC236}">
              <a16:creationId xmlns:a16="http://schemas.microsoft.com/office/drawing/2014/main" id="{00000000-0008-0000-0500-00005B0A0000}"/>
            </a:ext>
          </a:extLst>
        </xdr:cNvPr>
        <xdr:cNvSpPr txBox="1">
          <a:spLocks noChangeArrowheads="1"/>
        </xdr:cNvSpPr>
      </xdr:nvSpPr>
      <xdr:spPr bwMode="auto">
        <a:xfrm>
          <a:off x="15388070"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10</xdr:col>
      <xdr:colOff>28575</xdr:colOff>
      <xdr:row>54</xdr:row>
      <xdr:rowOff>170392</xdr:rowOff>
    </xdr:from>
    <xdr:ext cx="95250" cy="213632"/>
    <xdr:sp macro="" textlink="">
      <xdr:nvSpPr>
        <xdr:cNvPr id="2652" name="Text Box 15">
          <a:extLst>
            <a:ext uri="{FF2B5EF4-FFF2-40B4-BE49-F238E27FC236}">
              <a16:creationId xmlns:a16="http://schemas.microsoft.com/office/drawing/2014/main" id="{00000000-0008-0000-0500-00005C0A0000}"/>
            </a:ext>
          </a:extLst>
        </xdr:cNvPr>
        <xdr:cNvSpPr txBox="1">
          <a:spLocks noChangeArrowheads="1"/>
        </xdr:cNvSpPr>
      </xdr:nvSpPr>
      <xdr:spPr bwMode="auto">
        <a:xfrm>
          <a:off x="12578484" y="7270847"/>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54</xdr:row>
      <xdr:rowOff>0</xdr:rowOff>
    </xdr:from>
    <xdr:ext cx="95250" cy="171450"/>
    <xdr:sp macro="" textlink="">
      <xdr:nvSpPr>
        <xdr:cNvPr id="2653" name="Text Box 16">
          <a:extLst>
            <a:ext uri="{FF2B5EF4-FFF2-40B4-BE49-F238E27FC236}">
              <a16:creationId xmlns:a16="http://schemas.microsoft.com/office/drawing/2014/main" id="{00000000-0008-0000-0500-00005D0A0000}"/>
            </a:ext>
          </a:extLst>
        </xdr:cNvPr>
        <xdr:cNvSpPr txBox="1">
          <a:spLocks noChangeArrowheads="1"/>
        </xdr:cNvSpPr>
      </xdr:nvSpPr>
      <xdr:spPr bwMode="auto">
        <a:xfrm>
          <a:off x="4664364"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54</xdr:row>
      <xdr:rowOff>0</xdr:rowOff>
    </xdr:from>
    <xdr:ext cx="95250" cy="171450"/>
    <xdr:sp macro="" textlink="">
      <xdr:nvSpPr>
        <xdr:cNvPr id="2654" name="Text Box 17">
          <a:extLst>
            <a:ext uri="{FF2B5EF4-FFF2-40B4-BE49-F238E27FC236}">
              <a16:creationId xmlns:a16="http://schemas.microsoft.com/office/drawing/2014/main" id="{00000000-0008-0000-0500-00005E0A0000}"/>
            </a:ext>
          </a:extLst>
        </xdr:cNvPr>
        <xdr:cNvSpPr txBox="1">
          <a:spLocks noChangeArrowheads="1"/>
        </xdr:cNvSpPr>
      </xdr:nvSpPr>
      <xdr:spPr bwMode="auto">
        <a:xfrm>
          <a:off x="4664364"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54</xdr:row>
      <xdr:rowOff>0</xdr:rowOff>
    </xdr:from>
    <xdr:ext cx="95250" cy="171450"/>
    <xdr:sp macro="" textlink="">
      <xdr:nvSpPr>
        <xdr:cNvPr id="2655" name="Text Box 18">
          <a:extLst>
            <a:ext uri="{FF2B5EF4-FFF2-40B4-BE49-F238E27FC236}">
              <a16:creationId xmlns:a16="http://schemas.microsoft.com/office/drawing/2014/main" id="{00000000-0008-0000-0500-00005F0A0000}"/>
            </a:ext>
          </a:extLst>
        </xdr:cNvPr>
        <xdr:cNvSpPr txBox="1">
          <a:spLocks noChangeArrowheads="1"/>
        </xdr:cNvSpPr>
      </xdr:nvSpPr>
      <xdr:spPr bwMode="auto">
        <a:xfrm>
          <a:off x="4664364"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54</xdr:row>
      <xdr:rowOff>0</xdr:rowOff>
    </xdr:from>
    <xdr:ext cx="95250" cy="171450"/>
    <xdr:sp macro="" textlink="">
      <xdr:nvSpPr>
        <xdr:cNvPr id="2656" name="Text Box 19">
          <a:extLst>
            <a:ext uri="{FF2B5EF4-FFF2-40B4-BE49-F238E27FC236}">
              <a16:creationId xmlns:a16="http://schemas.microsoft.com/office/drawing/2014/main" id="{00000000-0008-0000-0500-0000600A0000}"/>
            </a:ext>
          </a:extLst>
        </xdr:cNvPr>
        <xdr:cNvSpPr txBox="1">
          <a:spLocks noChangeArrowheads="1"/>
        </xdr:cNvSpPr>
      </xdr:nvSpPr>
      <xdr:spPr bwMode="auto">
        <a:xfrm>
          <a:off x="4664364"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54</xdr:row>
      <xdr:rowOff>0</xdr:rowOff>
    </xdr:from>
    <xdr:ext cx="95250" cy="171450"/>
    <xdr:sp macro="" textlink="">
      <xdr:nvSpPr>
        <xdr:cNvPr id="2657" name="Text Box 16">
          <a:extLst>
            <a:ext uri="{FF2B5EF4-FFF2-40B4-BE49-F238E27FC236}">
              <a16:creationId xmlns:a16="http://schemas.microsoft.com/office/drawing/2014/main" id="{00000000-0008-0000-0500-0000610A0000}"/>
            </a:ext>
          </a:extLst>
        </xdr:cNvPr>
        <xdr:cNvSpPr txBox="1">
          <a:spLocks noChangeArrowheads="1"/>
        </xdr:cNvSpPr>
      </xdr:nvSpPr>
      <xdr:spPr bwMode="auto">
        <a:xfrm>
          <a:off x="12540961"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54</xdr:row>
      <xdr:rowOff>0</xdr:rowOff>
    </xdr:from>
    <xdr:ext cx="95250" cy="171450"/>
    <xdr:sp macro="" textlink="">
      <xdr:nvSpPr>
        <xdr:cNvPr id="2658" name="Text Box 17">
          <a:extLst>
            <a:ext uri="{FF2B5EF4-FFF2-40B4-BE49-F238E27FC236}">
              <a16:creationId xmlns:a16="http://schemas.microsoft.com/office/drawing/2014/main" id="{00000000-0008-0000-0500-0000620A0000}"/>
            </a:ext>
          </a:extLst>
        </xdr:cNvPr>
        <xdr:cNvSpPr txBox="1">
          <a:spLocks noChangeArrowheads="1"/>
        </xdr:cNvSpPr>
      </xdr:nvSpPr>
      <xdr:spPr bwMode="auto">
        <a:xfrm>
          <a:off x="12540961"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54</xdr:row>
      <xdr:rowOff>0</xdr:rowOff>
    </xdr:from>
    <xdr:ext cx="95250" cy="171450"/>
    <xdr:sp macro="" textlink="">
      <xdr:nvSpPr>
        <xdr:cNvPr id="2659" name="Text Box 18">
          <a:extLst>
            <a:ext uri="{FF2B5EF4-FFF2-40B4-BE49-F238E27FC236}">
              <a16:creationId xmlns:a16="http://schemas.microsoft.com/office/drawing/2014/main" id="{00000000-0008-0000-0500-0000630A0000}"/>
            </a:ext>
          </a:extLst>
        </xdr:cNvPr>
        <xdr:cNvSpPr txBox="1">
          <a:spLocks noChangeArrowheads="1"/>
        </xdr:cNvSpPr>
      </xdr:nvSpPr>
      <xdr:spPr bwMode="auto">
        <a:xfrm>
          <a:off x="12540961"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54</xdr:row>
      <xdr:rowOff>0</xdr:rowOff>
    </xdr:from>
    <xdr:ext cx="95250" cy="171450"/>
    <xdr:sp macro="" textlink="">
      <xdr:nvSpPr>
        <xdr:cNvPr id="2660" name="Text Box 19">
          <a:extLst>
            <a:ext uri="{FF2B5EF4-FFF2-40B4-BE49-F238E27FC236}">
              <a16:creationId xmlns:a16="http://schemas.microsoft.com/office/drawing/2014/main" id="{00000000-0008-0000-0500-0000640A0000}"/>
            </a:ext>
          </a:extLst>
        </xdr:cNvPr>
        <xdr:cNvSpPr txBox="1">
          <a:spLocks noChangeArrowheads="1"/>
        </xdr:cNvSpPr>
      </xdr:nvSpPr>
      <xdr:spPr bwMode="auto">
        <a:xfrm>
          <a:off x="12540961"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21</xdr:col>
      <xdr:colOff>0</xdr:colOff>
      <xdr:row>49</xdr:row>
      <xdr:rowOff>0</xdr:rowOff>
    </xdr:from>
    <xdr:ext cx="95250" cy="171450"/>
    <xdr:sp macro="" textlink="">
      <xdr:nvSpPr>
        <xdr:cNvPr id="2661" name="Text Box 16">
          <a:extLst>
            <a:ext uri="{FF2B5EF4-FFF2-40B4-BE49-F238E27FC236}">
              <a16:creationId xmlns:a16="http://schemas.microsoft.com/office/drawing/2014/main" id="{00000000-0008-0000-0500-0000650A0000}"/>
            </a:ext>
          </a:extLst>
        </xdr:cNvPr>
        <xdr:cNvSpPr txBox="1">
          <a:spLocks noChangeArrowheads="1"/>
        </xdr:cNvSpPr>
      </xdr:nvSpPr>
      <xdr:spPr bwMode="auto">
        <a:xfrm>
          <a:off x="21832455" y="5992091"/>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21</xdr:col>
      <xdr:colOff>0</xdr:colOff>
      <xdr:row>49</xdr:row>
      <xdr:rowOff>0</xdr:rowOff>
    </xdr:from>
    <xdr:ext cx="95250" cy="171450"/>
    <xdr:sp macro="" textlink="">
      <xdr:nvSpPr>
        <xdr:cNvPr id="2662" name="Text Box 17">
          <a:extLst>
            <a:ext uri="{FF2B5EF4-FFF2-40B4-BE49-F238E27FC236}">
              <a16:creationId xmlns:a16="http://schemas.microsoft.com/office/drawing/2014/main" id="{00000000-0008-0000-0500-0000660A0000}"/>
            </a:ext>
          </a:extLst>
        </xdr:cNvPr>
        <xdr:cNvSpPr txBox="1">
          <a:spLocks noChangeArrowheads="1"/>
        </xdr:cNvSpPr>
      </xdr:nvSpPr>
      <xdr:spPr bwMode="auto">
        <a:xfrm>
          <a:off x="21832455" y="5992091"/>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21</xdr:col>
      <xdr:colOff>0</xdr:colOff>
      <xdr:row>49</xdr:row>
      <xdr:rowOff>0</xdr:rowOff>
    </xdr:from>
    <xdr:ext cx="95250" cy="171450"/>
    <xdr:sp macro="" textlink="">
      <xdr:nvSpPr>
        <xdr:cNvPr id="2663" name="Text Box 18">
          <a:extLst>
            <a:ext uri="{FF2B5EF4-FFF2-40B4-BE49-F238E27FC236}">
              <a16:creationId xmlns:a16="http://schemas.microsoft.com/office/drawing/2014/main" id="{00000000-0008-0000-0500-0000670A0000}"/>
            </a:ext>
          </a:extLst>
        </xdr:cNvPr>
        <xdr:cNvSpPr txBox="1">
          <a:spLocks noChangeArrowheads="1"/>
        </xdr:cNvSpPr>
      </xdr:nvSpPr>
      <xdr:spPr bwMode="auto">
        <a:xfrm>
          <a:off x="21832455" y="5992091"/>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21</xdr:col>
      <xdr:colOff>0</xdr:colOff>
      <xdr:row>49</xdr:row>
      <xdr:rowOff>0</xdr:rowOff>
    </xdr:from>
    <xdr:ext cx="95250" cy="171450"/>
    <xdr:sp macro="" textlink="">
      <xdr:nvSpPr>
        <xdr:cNvPr id="2664" name="Text Box 19">
          <a:extLst>
            <a:ext uri="{FF2B5EF4-FFF2-40B4-BE49-F238E27FC236}">
              <a16:creationId xmlns:a16="http://schemas.microsoft.com/office/drawing/2014/main" id="{00000000-0008-0000-0500-0000680A0000}"/>
            </a:ext>
          </a:extLst>
        </xdr:cNvPr>
        <xdr:cNvSpPr txBox="1">
          <a:spLocks noChangeArrowheads="1"/>
        </xdr:cNvSpPr>
      </xdr:nvSpPr>
      <xdr:spPr bwMode="auto">
        <a:xfrm>
          <a:off x="21832455" y="5992091"/>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50</xdr:row>
      <xdr:rowOff>504825</xdr:rowOff>
    </xdr:from>
    <xdr:ext cx="95250" cy="444014"/>
    <xdr:sp macro="" textlink="">
      <xdr:nvSpPr>
        <xdr:cNvPr id="2665" name="Text Box 15">
          <a:extLst>
            <a:ext uri="{FF2B5EF4-FFF2-40B4-BE49-F238E27FC236}">
              <a16:creationId xmlns:a16="http://schemas.microsoft.com/office/drawing/2014/main" id="{00000000-0008-0000-0500-0000690A0000}"/>
            </a:ext>
          </a:extLst>
        </xdr:cNvPr>
        <xdr:cNvSpPr txBox="1">
          <a:spLocks noChangeArrowheads="1"/>
        </xdr:cNvSpPr>
      </xdr:nvSpPr>
      <xdr:spPr bwMode="auto">
        <a:xfrm>
          <a:off x="4664364" y="6733020"/>
          <a:ext cx="95250" cy="444014"/>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54</xdr:row>
      <xdr:rowOff>0</xdr:rowOff>
    </xdr:from>
    <xdr:ext cx="95250" cy="171450"/>
    <xdr:sp macro="" textlink="">
      <xdr:nvSpPr>
        <xdr:cNvPr id="2666" name="Text Box 16">
          <a:extLst>
            <a:ext uri="{FF2B5EF4-FFF2-40B4-BE49-F238E27FC236}">
              <a16:creationId xmlns:a16="http://schemas.microsoft.com/office/drawing/2014/main" id="{00000000-0008-0000-0500-00006A0A0000}"/>
            </a:ext>
          </a:extLst>
        </xdr:cNvPr>
        <xdr:cNvSpPr txBox="1">
          <a:spLocks noChangeArrowheads="1"/>
        </xdr:cNvSpPr>
      </xdr:nvSpPr>
      <xdr:spPr bwMode="auto">
        <a:xfrm>
          <a:off x="4664364"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54</xdr:row>
      <xdr:rowOff>0</xdr:rowOff>
    </xdr:from>
    <xdr:ext cx="95250" cy="171450"/>
    <xdr:sp macro="" textlink="">
      <xdr:nvSpPr>
        <xdr:cNvPr id="2667" name="Text Box 17">
          <a:extLst>
            <a:ext uri="{FF2B5EF4-FFF2-40B4-BE49-F238E27FC236}">
              <a16:creationId xmlns:a16="http://schemas.microsoft.com/office/drawing/2014/main" id="{00000000-0008-0000-0500-00006B0A0000}"/>
            </a:ext>
          </a:extLst>
        </xdr:cNvPr>
        <xdr:cNvSpPr txBox="1">
          <a:spLocks noChangeArrowheads="1"/>
        </xdr:cNvSpPr>
      </xdr:nvSpPr>
      <xdr:spPr bwMode="auto">
        <a:xfrm>
          <a:off x="4664364"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54</xdr:row>
      <xdr:rowOff>0</xdr:rowOff>
    </xdr:from>
    <xdr:ext cx="95250" cy="171450"/>
    <xdr:sp macro="" textlink="">
      <xdr:nvSpPr>
        <xdr:cNvPr id="2668" name="Text Box 18">
          <a:extLst>
            <a:ext uri="{FF2B5EF4-FFF2-40B4-BE49-F238E27FC236}">
              <a16:creationId xmlns:a16="http://schemas.microsoft.com/office/drawing/2014/main" id="{00000000-0008-0000-0500-00006C0A0000}"/>
            </a:ext>
          </a:extLst>
        </xdr:cNvPr>
        <xdr:cNvSpPr txBox="1">
          <a:spLocks noChangeArrowheads="1"/>
        </xdr:cNvSpPr>
      </xdr:nvSpPr>
      <xdr:spPr bwMode="auto">
        <a:xfrm>
          <a:off x="4664364"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54</xdr:row>
      <xdr:rowOff>0</xdr:rowOff>
    </xdr:from>
    <xdr:ext cx="95250" cy="171450"/>
    <xdr:sp macro="" textlink="">
      <xdr:nvSpPr>
        <xdr:cNvPr id="2669" name="Text Box 19">
          <a:extLst>
            <a:ext uri="{FF2B5EF4-FFF2-40B4-BE49-F238E27FC236}">
              <a16:creationId xmlns:a16="http://schemas.microsoft.com/office/drawing/2014/main" id="{00000000-0008-0000-0500-00006D0A0000}"/>
            </a:ext>
          </a:extLst>
        </xdr:cNvPr>
        <xdr:cNvSpPr txBox="1">
          <a:spLocks noChangeArrowheads="1"/>
        </xdr:cNvSpPr>
      </xdr:nvSpPr>
      <xdr:spPr bwMode="auto">
        <a:xfrm>
          <a:off x="4664364"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54</xdr:row>
      <xdr:rowOff>0</xdr:rowOff>
    </xdr:from>
    <xdr:ext cx="95250" cy="171450"/>
    <xdr:sp macro="" textlink="">
      <xdr:nvSpPr>
        <xdr:cNvPr id="2670" name="Text Box 16">
          <a:extLst>
            <a:ext uri="{FF2B5EF4-FFF2-40B4-BE49-F238E27FC236}">
              <a16:creationId xmlns:a16="http://schemas.microsoft.com/office/drawing/2014/main" id="{00000000-0008-0000-0500-00006E0A0000}"/>
            </a:ext>
          </a:extLst>
        </xdr:cNvPr>
        <xdr:cNvSpPr txBox="1">
          <a:spLocks noChangeArrowheads="1"/>
        </xdr:cNvSpPr>
      </xdr:nvSpPr>
      <xdr:spPr bwMode="auto">
        <a:xfrm>
          <a:off x="12540961"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54</xdr:row>
      <xdr:rowOff>0</xdr:rowOff>
    </xdr:from>
    <xdr:ext cx="95250" cy="171450"/>
    <xdr:sp macro="" textlink="">
      <xdr:nvSpPr>
        <xdr:cNvPr id="2671" name="Text Box 17">
          <a:extLst>
            <a:ext uri="{FF2B5EF4-FFF2-40B4-BE49-F238E27FC236}">
              <a16:creationId xmlns:a16="http://schemas.microsoft.com/office/drawing/2014/main" id="{00000000-0008-0000-0500-00006F0A0000}"/>
            </a:ext>
          </a:extLst>
        </xdr:cNvPr>
        <xdr:cNvSpPr txBox="1">
          <a:spLocks noChangeArrowheads="1"/>
        </xdr:cNvSpPr>
      </xdr:nvSpPr>
      <xdr:spPr bwMode="auto">
        <a:xfrm>
          <a:off x="12540961"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1020762</xdr:colOff>
      <xdr:row>54</xdr:row>
      <xdr:rowOff>15875</xdr:rowOff>
    </xdr:from>
    <xdr:ext cx="95250" cy="171450"/>
    <xdr:sp macro="" textlink="">
      <xdr:nvSpPr>
        <xdr:cNvPr id="2672" name="Text Box 18">
          <a:extLst>
            <a:ext uri="{FF2B5EF4-FFF2-40B4-BE49-F238E27FC236}">
              <a16:creationId xmlns:a16="http://schemas.microsoft.com/office/drawing/2014/main" id="{00000000-0008-0000-0500-0000700A0000}"/>
            </a:ext>
          </a:extLst>
        </xdr:cNvPr>
        <xdr:cNvSpPr txBox="1">
          <a:spLocks noChangeArrowheads="1"/>
        </xdr:cNvSpPr>
      </xdr:nvSpPr>
      <xdr:spPr bwMode="auto">
        <a:xfrm>
          <a:off x="12485398" y="7116330"/>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54</xdr:row>
      <xdr:rowOff>0</xdr:rowOff>
    </xdr:from>
    <xdr:ext cx="95250" cy="171450"/>
    <xdr:sp macro="" textlink="">
      <xdr:nvSpPr>
        <xdr:cNvPr id="2673" name="Text Box 16">
          <a:extLst>
            <a:ext uri="{FF2B5EF4-FFF2-40B4-BE49-F238E27FC236}">
              <a16:creationId xmlns:a16="http://schemas.microsoft.com/office/drawing/2014/main" id="{00000000-0008-0000-0500-0000710A0000}"/>
            </a:ext>
          </a:extLst>
        </xdr:cNvPr>
        <xdr:cNvSpPr txBox="1">
          <a:spLocks noChangeArrowheads="1"/>
        </xdr:cNvSpPr>
      </xdr:nvSpPr>
      <xdr:spPr bwMode="auto">
        <a:xfrm>
          <a:off x="15388070"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54</xdr:row>
      <xdr:rowOff>0</xdr:rowOff>
    </xdr:from>
    <xdr:ext cx="95250" cy="171450"/>
    <xdr:sp macro="" textlink="">
      <xdr:nvSpPr>
        <xdr:cNvPr id="2674" name="Text Box 17">
          <a:extLst>
            <a:ext uri="{FF2B5EF4-FFF2-40B4-BE49-F238E27FC236}">
              <a16:creationId xmlns:a16="http://schemas.microsoft.com/office/drawing/2014/main" id="{00000000-0008-0000-0500-0000720A0000}"/>
            </a:ext>
          </a:extLst>
        </xdr:cNvPr>
        <xdr:cNvSpPr txBox="1">
          <a:spLocks noChangeArrowheads="1"/>
        </xdr:cNvSpPr>
      </xdr:nvSpPr>
      <xdr:spPr bwMode="auto">
        <a:xfrm>
          <a:off x="15388070"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54</xdr:row>
      <xdr:rowOff>0</xdr:rowOff>
    </xdr:from>
    <xdr:ext cx="95250" cy="171450"/>
    <xdr:sp macro="" textlink="">
      <xdr:nvSpPr>
        <xdr:cNvPr id="2675" name="Text Box 18">
          <a:extLst>
            <a:ext uri="{FF2B5EF4-FFF2-40B4-BE49-F238E27FC236}">
              <a16:creationId xmlns:a16="http://schemas.microsoft.com/office/drawing/2014/main" id="{00000000-0008-0000-0500-0000730A0000}"/>
            </a:ext>
          </a:extLst>
        </xdr:cNvPr>
        <xdr:cNvSpPr txBox="1">
          <a:spLocks noChangeArrowheads="1"/>
        </xdr:cNvSpPr>
      </xdr:nvSpPr>
      <xdr:spPr bwMode="auto">
        <a:xfrm>
          <a:off x="15388070"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54</xdr:row>
      <xdr:rowOff>0</xdr:rowOff>
    </xdr:from>
    <xdr:ext cx="95250" cy="171450"/>
    <xdr:sp macro="" textlink="">
      <xdr:nvSpPr>
        <xdr:cNvPr id="2676" name="Text Box 19">
          <a:extLst>
            <a:ext uri="{FF2B5EF4-FFF2-40B4-BE49-F238E27FC236}">
              <a16:creationId xmlns:a16="http://schemas.microsoft.com/office/drawing/2014/main" id="{00000000-0008-0000-0500-0000740A0000}"/>
            </a:ext>
          </a:extLst>
        </xdr:cNvPr>
        <xdr:cNvSpPr txBox="1">
          <a:spLocks noChangeArrowheads="1"/>
        </xdr:cNvSpPr>
      </xdr:nvSpPr>
      <xdr:spPr bwMode="auto">
        <a:xfrm>
          <a:off x="15388070"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54</xdr:row>
      <xdr:rowOff>0</xdr:rowOff>
    </xdr:from>
    <xdr:ext cx="95250" cy="171450"/>
    <xdr:sp macro="" textlink="">
      <xdr:nvSpPr>
        <xdr:cNvPr id="2677" name="Text Box 16">
          <a:extLst>
            <a:ext uri="{FF2B5EF4-FFF2-40B4-BE49-F238E27FC236}">
              <a16:creationId xmlns:a16="http://schemas.microsoft.com/office/drawing/2014/main" id="{00000000-0008-0000-0500-0000750A0000}"/>
            </a:ext>
          </a:extLst>
        </xdr:cNvPr>
        <xdr:cNvSpPr txBox="1">
          <a:spLocks noChangeArrowheads="1"/>
        </xdr:cNvSpPr>
      </xdr:nvSpPr>
      <xdr:spPr bwMode="auto">
        <a:xfrm>
          <a:off x="15388070"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10</xdr:col>
      <xdr:colOff>28575</xdr:colOff>
      <xdr:row>54</xdr:row>
      <xdr:rowOff>170392</xdr:rowOff>
    </xdr:from>
    <xdr:ext cx="95250" cy="213632"/>
    <xdr:sp macro="" textlink="">
      <xdr:nvSpPr>
        <xdr:cNvPr id="2678" name="Text Box 15">
          <a:extLst>
            <a:ext uri="{FF2B5EF4-FFF2-40B4-BE49-F238E27FC236}">
              <a16:creationId xmlns:a16="http://schemas.microsoft.com/office/drawing/2014/main" id="{00000000-0008-0000-0500-0000760A0000}"/>
            </a:ext>
          </a:extLst>
        </xdr:cNvPr>
        <xdr:cNvSpPr txBox="1">
          <a:spLocks noChangeArrowheads="1"/>
        </xdr:cNvSpPr>
      </xdr:nvSpPr>
      <xdr:spPr bwMode="auto">
        <a:xfrm>
          <a:off x="12578484" y="7270847"/>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54</xdr:row>
      <xdr:rowOff>504825</xdr:rowOff>
    </xdr:from>
    <xdr:ext cx="95250" cy="448496"/>
    <xdr:sp macro="" textlink="">
      <xdr:nvSpPr>
        <xdr:cNvPr id="2679" name="Text Box 15">
          <a:extLst>
            <a:ext uri="{FF2B5EF4-FFF2-40B4-BE49-F238E27FC236}">
              <a16:creationId xmlns:a16="http://schemas.microsoft.com/office/drawing/2014/main" id="{00000000-0008-0000-0500-0000770A0000}"/>
            </a:ext>
          </a:extLst>
        </xdr:cNvPr>
        <xdr:cNvSpPr txBox="1">
          <a:spLocks noChangeArrowheads="1"/>
        </xdr:cNvSpPr>
      </xdr:nvSpPr>
      <xdr:spPr bwMode="auto">
        <a:xfrm>
          <a:off x="4664364" y="5994111"/>
          <a:ext cx="95250" cy="448496"/>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54</xdr:row>
      <xdr:rowOff>504825</xdr:rowOff>
    </xdr:from>
    <xdr:ext cx="95250" cy="442269"/>
    <xdr:sp macro="" textlink="">
      <xdr:nvSpPr>
        <xdr:cNvPr id="2680" name="Text Box 15">
          <a:extLst>
            <a:ext uri="{FF2B5EF4-FFF2-40B4-BE49-F238E27FC236}">
              <a16:creationId xmlns:a16="http://schemas.microsoft.com/office/drawing/2014/main" id="{00000000-0008-0000-0500-0000780A0000}"/>
            </a:ext>
          </a:extLst>
        </xdr:cNvPr>
        <xdr:cNvSpPr txBox="1">
          <a:spLocks noChangeArrowheads="1"/>
        </xdr:cNvSpPr>
      </xdr:nvSpPr>
      <xdr:spPr bwMode="auto">
        <a:xfrm>
          <a:off x="12540961" y="5994111"/>
          <a:ext cx="95250" cy="442269"/>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54</xdr:row>
      <xdr:rowOff>504825</xdr:rowOff>
    </xdr:from>
    <xdr:ext cx="95250" cy="213632"/>
    <xdr:sp macro="" textlink="">
      <xdr:nvSpPr>
        <xdr:cNvPr id="2682" name="Text Box 15">
          <a:extLst>
            <a:ext uri="{FF2B5EF4-FFF2-40B4-BE49-F238E27FC236}">
              <a16:creationId xmlns:a16="http://schemas.microsoft.com/office/drawing/2014/main" id="{00000000-0008-0000-0500-00007A0A0000}"/>
            </a:ext>
          </a:extLst>
        </xdr:cNvPr>
        <xdr:cNvSpPr txBox="1">
          <a:spLocks noChangeArrowheads="1"/>
        </xdr:cNvSpPr>
      </xdr:nvSpPr>
      <xdr:spPr bwMode="auto">
        <a:xfrm>
          <a:off x="4664364" y="5994111"/>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54</xdr:row>
      <xdr:rowOff>504825</xdr:rowOff>
    </xdr:from>
    <xdr:ext cx="95250" cy="444331"/>
    <xdr:sp macro="" textlink="">
      <xdr:nvSpPr>
        <xdr:cNvPr id="2683" name="Text Box 15">
          <a:extLst>
            <a:ext uri="{FF2B5EF4-FFF2-40B4-BE49-F238E27FC236}">
              <a16:creationId xmlns:a16="http://schemas.microsoft.com/office/drawing/2014/main" id="{00000000-0008-0000-0500-00007B0A0000}"/>
            </a:ext>
          </a:extLst>
        </xdr:cNvPr>
        <xdr:cNvSpPr txBox="1">
          <a:spLocks noChangeArrowheads="1"/>
        </xdr:cNvSpPr>
      </xdr:nvSpPr>
      <xdr:spPr bwMode="auto">
        <a:xfrm>
          <a:off x="4664364" y="5994111"/>
          <a:ext cx="95250" cy="444331"/>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10</xdr:col>
      <xdr:colOff>28575</xdr:colOff>
      <xdr:row>54</xdr:row>
      <xdr:rowOff>170392</xdr:rowOff>
    </xdr:from>
    <xdr:ext cx="95250" cy="213632"/>
    <xdr:sp macro="" textlink="">
      <xdr:nvSpPr>
        <xdr:cNvPr id="2684" name="Text Box 15">
          <a:extLst>
            <a:ext uri="{FF2B5EF4-FFF2-40B4-BE49-F238E27FC236}">
              <a16:creationId xmlns:a16="http://schemas.microsoft.com/office/drawing/2014/main" id="{00000000-0008-0000-0500-00007C0A0000}"/>
            </a:ext>
          </a:extLst>
        </xdr:cNvPr>
        <xdr:cNvSpPr txBox="1">
          <a:spLocks noChangeArrowheads="1"/>
        </xdr:cNvSpPr>
      </xdr:nvSpPr>
      <xdr:spPr bwMode="auto">
        <a:xfrm>
          <a:off x="12578484" y="5793028"/>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60</xdr:row>
      <xdr:rowOff>0</xdr:rowOff>
    </xdr:from>
    <xdr:ext cx="95250" cy="171450"/>
    <xdr:sp macro="" textlink="">
      <xdr:nvSpPr>
        <xdr:cNvPr id="2685" name="Text Box 16">
          <a:extLst>
            <a:ext uri="{FF2B5EF4-FFF2-40B4-BE49-F238E27FC236}">
              <a16:creationId xmlns:a16="http://schemas.microsoft.com/office/drawing/2014/main" id="{00000000-0008-0000-0500-00007D0A0000}"/>
            </a:ext>
          </a:extLst>
        </xdr:cNvPr>
        <xdr:cNvSpPr txBox="1">
          <a:spLocks noChangeArrowheads="1"/>
        </xdr:cNvSpPr>
      </xdr:nvSpPr>
      <xdr:spPr bwMode="auto">
        <a:xfrm>
          <a:off x="4664364"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60</xdr:row>
      <xdr:rowOff>0</xdr:rowOff>
    </xdr:from>
    <xdr:ext cx="95250" cy="171450"/>
    <xdr:sp macro="" textlink="">
      <xdr:nvSpPr>
        <xdr:cNvPr id="2686" name="Text Box 17">
          <a:extLst>
            <a:ext uri="{FF2B5EF4-FFF2-40B4-BE49-F238E27FC236}">
              <a16:creationId xmlns:a16="http://schemas.microsoft.com/office/drawing/2014/main" id="{00000000-0008-0000-0500-00007E0A0000}"/>
            </a:ext>
          </a:extLst>
        </xdr:cNvPr>
        <xdr:cNvSpPr txBox="1">
          <a:spLocks noChangeArrowheads="1"/>
        </xdr:cNvSpPr>
      </xdr:nvSpPr>
      <xdr:spPr bwMode="auto">
        <a:xfrm>
          <a:off x="4664364"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60</xdr:row>
      <xdr:rowOff>0</xdr:rowOff>
    </xdr:from>
    <xdr:ext cx="95250" cy="171450"/>
    <xdr:sp macro="" textlink="">
      <xdr:nvSpPr>
        <xdr:cNvPr id="2687" name="Text Box 18">
          <a:extLst>
            <a:ext uri="{FF2B5EF4-FFF2-40B4-BE49-F238E27FC236}">
              <a16:creationId xmlns:a16="http://schemas.microsoft.com/office/drawing/2014/main" id="{00000000-0008-0000-0500-00007F0A0000}"/>
            </a:ext>
          </a:extLst>
        </xdr:cNvPr>
        <xdr:cNvSpPr txBox="1">
          <a:spLocks noChangeArrowheads="1"/>
        </xdr:cNvSpPr>
      </xdr:nvSpPr>
      <xdr:spPr bwMode="auto">
        <a:xfrm>
          <a:off x="4664364"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60</xdr:row>
      <xdr:rowOff>0</xdr:rowOff>
    </xdr:from>
    <xdr:ext cx="95250" cy="171450"/>
    <xdr:sp macro="" textlink="">
      <xdr:nvSpPr>
        <xdr:cNvPr id="2688" name="Text Box 19">
          <a:extLst>
            <a:ext uri="{FF2B5EF4-FFF2-40B4-BE49-F238E27FC236}">
              <a16:creationId xmlns:a16="http://schemas.microsoft.com/office/drawing/2014/main" id="{00000000-0008-0000-0500-0000800A0000}"/>
            </a:ext>
          </a:extLst>
        </xdr:cNvPr>
        <xdr:cNvSpPr txBox="1">
          <a:spLocks noChangeArrowheads="1"/>
        </xdr:cNvSpPr>
      </xdr:nvSpPr>
      <xdr:spPr bwMode="auto">
        <a:xfrm>
          <a:off x="4664364"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60</xdr:row>
      <xdr:rowOff>0</xdr:rowOff>
    </xdr:from>
    <xdr:ext cx="95250" cy="171450"/>
    <xdr:sp macro="" textlink="">
      <xdr:nvSpPr>
        <xdr:cNvPr id="2689" name="Text Box 16">
          <a:extLst>
            <a:ext uri="{FF2B5EF4-FFF2-40B4-BE49-F238E27FC236}">
              <a16:creationId xmlns:a16="http://schemas.microsoft.com/office/drawing/2014/main" id="{00000000-0008-0000-0500-0000810A0000}"/>
            </a:ext>
          </a:extLst>
        </xdr:cNvPr>
        <xdr:cNvSpPr txBox="1">
          <a:spLocks noChangeArrowheads="1"/>
        </xdr:cNvSpPr>
      </xdr:nvSpPr>
      <xdr:spPr bwMode="auto">
        <a:xfrm>
          <a:off x="12540961"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60</xdr:row>
      <xdr:rowOff>0</xdr:rowOff>
    </xdr:from>
    <xdr:ext cx="95250" cy="171450"/>
    <xdr:sp macro="" textlink="">
      <xdr:nvSpPr>
        <xdr:cNvPr id="2690" name="Text Box 17">
          <a:extLst>
            <a:ext uri="{FF2B5EF4-FFF2-40B4-BE49-F238E27FC236}">
              <a16:creationId xmlns:a16="http://schemas.microsoft.com/office/drawing/2014/main" id="{00000000-0008-0000-0500-0000820A0000}"/>
            </a:ext>
          </a:extLst>
        </xdr:cNvPr>
        <xdr:cNvSpPr txBox="1">
          <a:spLocks noChangeArrowheads="1"/>
        </xdr:cNvSpPr>
      </xdr:nvSpPr>
      <xdr:spPr bwMode="auto">
        <a:xfrm>
          <a:off x="12540961"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60</xdr:row>
      <xdr:rowOff>0</xdr:rowOff>
    </xdr:from>
    <xdr:ext cx="95250" cy="171450"/>
    <xdr:sp macro="" textlink="">
      <xdr:nvSpPr>
        <xdr:cNvPr id="2691" name="Text Box 18">
          <a:extLst>
            <a:ext uri="{FF2B5EF4-FFF2-40B4-BE49-F238E27FC236}">
              <a16:creationId xmlns:a16="http://schemas.microsoft.com/office/drawing/2014/main" id="{00000000-0008-0000-0500-0000830A0000}"/>
            </a:ext>
          </a:extLst>
        </xdr:cNvPr>
        <xdr:cNvSpPr txBox="1">
          <a:spLocks noChangeArrowheads="1"/>
        </xdr:cNvSpPr>
      </xdr:nvSpPr>
      <xdr:spPr bwMode="auto">
        <a:xfrm>
          <a:off x="12540961"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60</xdr:row>
      <xdr:rowOff>0</xdr:rowOff>
    </xdr:from>
    <xdr:ext cx="95250" cy="171450"/>
    <xdr:sp macro="" textlink="">
      <xdr:nvSpPr>
        <xdr:cNvPr id="2692" name="Text Box 19">
          <a:extLst>
            <a:ext uri="{FF2B5EF4-FFF2-40B4-BE49-F238E27FC236}">
              <a16:creationId xmlns:a16="http://schemas.microsoft.com/office/drawing/2014/main" id="{00000000-0008-0000-0500-0000840A0000}"/>
            </a:ext>
          </a:extLst>
        </xdr:cNvPr>
        <xdr:cNvSpPr txBox="1">
          <a:spLocks noChangeArrowheads="1"/>
        </xdr:cNvSpPr>
      </xdr:nvSpPr>
      <xdr:spPr bwMode="auto">
        <a:xfrm>
          <a:off x="12540961"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21</xdr:col>
      <xdr:colOff>0</xdr:colOff>
      <xdr:row>60</xdr:row>
      <xdr:rowOff>0</xdr:rowOff>
    </xdr:from>
    <xdr:ext cx="95250" cy="171450"/>
    <xdr:sp macro="" textlink="">
      <xdr:nvSpPr>
        <xdr:cNvPr id="2693" name="Text Box 16">
          <a:extLst>
            <a:ext uri="{FF2B5EF4-FFF2-40B4-BE49-F238E27FC236}">
              <a16:creationId xmlns:a16="http://schemas.microsoft.com/office/drawing/2014/main" id="{00000000-0008-0000-0500-0000850A0000}"/>
            </a:ext>
          </a:extLst>
        </xdr:cNvPr>
        <xdr:cNvSpPr txBox="1">
          <a:spLocks noChangeArrowheads="1"/>
        </xdr:cNvSpPr>
      </xdr:nvSpPr>
      <xdr:spPr bwMode="auto">
        <a:xfrm>
          <a:off x="21832455"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21</xdr:col>
      <xdr:colOff>0</xdr:colOff>
      <xdr:row>60</xdr:row>
      <xdr:rowOff>0</xdr:rowOff>
    </xdr:from>
    <xdr:ext cx="95250" cy="171450"/>
    <xdr:sp macro="" textlink="">
      <xdr:nvSpPr>
        <xdr:cNvPr id="2694" name="Text Box 17">
          <a:extLst>
            <a:ext uri="{FF2B5EF4-FFF2-40B4-BE49-F238E27FC236}">
              <a16:creationId xmlns:a16="http://schemas.microsoft.com/office/drawing/2014/main" id="{00000000-0008-0000-0500-0000860A0000}"/>
            </a:ext>
          </a:extLst>
        </xdr:cNvPr>
        <xdr:cNvSpPr txBox="1">
          <a:spLocks noChangeArrowheads="1"/>
        </xdr:cNvSpPr>
      </xdr:nvSpPr>
      <xdr:spPr bwMode="auto">
        <a:xfrm>
          <a:off x="21832455"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21</xdr:col>
      <xdr:colOff>0</xdr:colOff>
      <xdr:row>60</xdr:row>
      <xdr:rowOff>0</xdr:rowOff>
    </xdr:from>
    <xdr:ext cx="95250" cy="171450"/>
    <xdr:sp macro="" textlink="">
      <xdr:nvSpPr>
        <xdr:cNvPr id="2695" name="Text Box 18">
          <a:extLst>
            <a:ext uri="{FF2B5EF4-FFF2-40B4-BE49-F238E27FC236}">
              <a16:creationId xmlns:a16="http://schemas.microsoft.com/office/drawing/2014/main" id="{00000000-0008-0000-0500-0000870A0000}"/>
            </a:ext>
          </a:extLst>
        </xdr:cNvPr>
        <xdr:cNvSpPr txBox="1">
          <a:spLocks noChangeArrowheads="1"/>
        </xdr:cNvSpPr>
      </xdr:nvSpPr>
      <xdr:spPr bwMode="auto">
        <a:xfrm>
          <a:off x="21832455"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21</xdr:col>
      <xdr:colOff>0</xdr:colOff>
      <xdr:row>60</xdr:row>
      <xdr:rowOff>0</xdr:rowOff>
    </xdr:from>
    <xdr:ext cx="95250" cy="171450"/>
    <xdr:sp macro="" textlink="">
      <xdr:nvSpPr>
        <xdr:cNvPr id="2696" name="Text Box 19">
          <a:extLst>
            <a:ext uri="{FF2B5EF4-FFF2-40B4-BE49-F238E27FC236}">
              <a16:creationId xmlns:a16="http://schemas.microsoft.com/office/drawing/2014/main" id="{00000000-0008-0000-0500-0000880A0000}"/>
            </a:ext>
          </a:extLst>
        </xdr:cNvPr>
        <xdr:cNvSpPr txBox="1">
          <a:spLocks noChangeArrowheads="1"/>
        </xdr:cNvSpPr>
      </xdr:nvSpPr>
      <xdr:spPr bwMode="auto">
        <a:xfrm>
          <a:off x="21832455"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56</xdr:row>
      <xdr:rowOff>504825</xdr:rowOff>
    </xdr:from>
    <xdr:ext cx="95250" cy="444014"/>
    <xdr:sp macro="" textlink="">
      <xdr:nvSpPr>
        <xdr:cNvPr id="2697" name="Text Box 15">
          <a:extLst>
            <a:ext uri="{FF2B5EF4-FFF2-40B4-BE49-F238E27FC236}">
              <a16:creationId xmlns:a16="http://schemas.microsoft.com/office/drawing/2014/main" id="{00000000-0008-0000-0500-0000890A0000}"/>
            </a:ext>
          </a:extLst>
        </xdr:cNvPr>
        <xdr:cNvSpPr txBox="1">
          <a:spLocks noChangeArrowheads="1"/>
        </xdr:cNvSpPr>
      </xdr:nvSpPr>
      <xdr:spPr bwMode="auto">
        <a:xfrm>
          <a:off x="4664364" y="6733020"/>
          <a:ext cx="95250" cy="444014"/>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60</xdr:row>
      <xdr:rowOff>0</xdr:rowOff>
    </xdr:from>
    <xdr:ext cx="95250" cy="171450"/>
    <xdr:sp macro="" textlink="">
      <xdr:nvSpPr>
        <xdr:cNvPr id="2698" name="Text Box 16">
          <a:extLst>
            <a:ext uri="{FF2B5EF4-FFF2-40B4-BE49-F238E27FC236}">
              <a16:creationId xmlns:a16="http://schemas.microsoft.com/office/drawing/2014/main" id="{00000000-0008-0000-0500-00008A0A0000}"/>
            </a:ext>
          </a:extLst>
        </xdr:cNvPr>
        <xdr:cNvSpPr txBox="1">
          <a:spLocks noChangeArrowheads="1"/>
        </xdr:cNvSpPr>
      </xdr:nvSpPr>
      <xdr:spPr bwMode="auto">
        <a:xfrm>
          <a:off x="4664364"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60</xdr:row>
      <xdr:rowOff>0</xdr:rowOff>
    </xdr:from>
    <xdr:ext cx="95250" cy="171450"/>
    <xdr:sp macro="" textlink="">
      <xdr:nvSpPr>
        <xdr:cNvPr id="2699" name="Text Box 17">
          <a:extLst>
            <a:ext uri="{FF2B5EF4-FFF2-40B4-BE49-F238E27FC236}">
              <a16:creationId xmlns:a16="http://schemas.microsoft.com/office/drawing/2014/main" id="{00000000-0008-0000-0500-00008B0A0000}"/>
            </a:ext>
          </a:extLst>
        </xdr:cNvPr>
        <xdr:cNvSpPr txBox="1">
          <a:spLocks noChangeArrowheads="1"/>
        </xdr:cNvSpPr>
      </xdr:nvSpPr>
      <xdr:spPr bwMode="auto">
        <a:xfrm>
          <a:off x="4664364"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60</xdr:row>
      <xdr:rowOff>0</xdr:rowOff>
    </xdr:from>
    <xdr:ext cx="95250" cy="171450"/>
    <xdr:sp macro="" textlink="">
      <xdr:nvSpPr>
        <xdr:cNvPr id="2700" name="Text Box 18">
          <a:extLst>
            <a:ext uri="{FF2B5EF4-FFF2-40B4-BE49-F238E27FC236}">
              <a16:creationId xmlns:a16="http://schemas.microsoft.com/office/drawing/2014/main" id="{00000000-0008-0000-0500-00008C0A0000}"/>
            </a:ext>
          </a:extLst>
        </xdr:cNvPr>
        <xdr:cNvSpPr txBox="1">
          <a:spLocks noChangeArrowheads="1"/>
        </xdr:cNvSpPr>
      </xdr:nvSpPr>
      <xdr:spPr bwMode="auto">
        <a:xfrm>
          <a:off x="4664364"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60</xdr:row>
      <xdr:rowOff>0</xdr:rowOff>
    </xdr:from>
    <xdr:ext cx="95250" cy="171450"/>
    <xdr:sp macro="" textlink="">
      <xdr:nvSpPr>
        <xdr:cNvPr id="2701" name="Text Box 19">
          <a:extLst>
            <a:ext uri="{FF2B5EF4-FFF2-40B4-BE49-F238E27FC236}">
              <a16:creationId xmlns:a16="http://schemas.microsoft.com/office/drawing/2014/main" id="{00000000-0008-0000-0500-00008D0A0000}"/>
            </a:ext>
          </a:extLst>
        </xdr:cNvPr>
        <xdr:cNvSpPr txBox="1">
          <a:spLocks noChangeArrowheads="1"/>
        </xdr:cNvSpPr>
      </xdr:nvSpPr>
      <xdr:spPr bwMode="auto">
        <a:xfrm>
          <a:off x="4664364"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60</xdr:row>
      <xdr:rowOff>0</xdr:rowOff>
    </xdr:from>
    <xdr:ext cx="95250" cy="171450"/>
    <xdr:sp macro="" textlink="">
      <xdr:nvSpPr>
        <xdr:cNvPr id="2702" name="Text Box 16">
          <a:extLst>
            <a:ext uri="{FF2B5EF4-FFF2-40B4-BE49-F238E27FC236}">
              <a16:creationId xmlns:a16="http://schemas.microsoft.com/office/drawing/2014/main" id="{00000000-0008-0000-0500-00008E0A0000}"/>
            </a:ext>
          </a:extLst>
        </xdr:cNvPr>
        <xdr:cNvSpPr txBox="1">
          <a:spLocks noChangeArrowheads="1"/>
        </xdr:cNvSpPr>
      </xdr:nvSpPr>
      <xdr:spPr bwMode="auto">
        <a:xfrm>
          <a:off x="12540961"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60</xdr:row>
      <xdr:rowOff>0</xdr:rowOff>
    </xdr:from>
    <xdr:ext cx="95250" cy="171450"/>
    <xdr:sp macro="" textlink="">
      <xdr:nvSpPr>
        <xdr:cNvPr id="2703" name="Text Box 17">
          <a:extLst>
            <a:ext uri="{FF2B5EF4-FFF2-40B4-BE49-F238E27FC236}">
              <a16:creationId xmlns:a16="http://schemas.microsoft.com/office/drawing/2014/main" id="{00000000-0008-0000-0500-00008F0A0000}"/>
            </a:ext>
          </a:extLst>
        </xdr:cNvPr>
        <xdr:cNvSpPr txBox="1">
          <a:spLocks noChangeArrowheads="1"/>
        </xdr:cNvSpPr>
      </xdr:nvSpPr>
      <xdr:spPr bwMode="auto">
        <a:xfrm>
          <a:off x="12540961"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60</xdr:row>
      <xdr:rowOff>0</xdr:rowOff>
    </xdr:from>
    <xdr:ext cx="95250" cy="171450"/>
    <xdr:sp macro="" textlink="">
      <xdr:nvSpPr>
        <xdr:cNvPr id="2704" name="Text Box 18">
          <a:extLst>
            <a:ext uri="{FF2B5EF4-FFF2-40B4-BE49-F238E27FC236}">
              <a16:creationId xmlns:a16="http://schemas.microsoft.com/office/drawing/2014/main" id="{00000000-0008-0000-0500-0000900A0000}"/>
            </a:ext>
          </a:extLst>
        </xdr:cNvPr>
        <xdr:cNvSpPr txBox="1">
          <a:spLocks noChangeArrowheads="1"/>
        </xdr:cNvSpPr>
      </xdr:nvSpPr>
      <xdr:spPr bwMode="auto">
        <a:xfrm>
          <a:off x="12540961"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60</xdr:row>
      <xdr:rowOff>0</xdr:rowOff>
    </xdr:from>
    <xdr:ext cx="95250" cy="171450"/>
    <xdr:sp macro="" textlink="">
      <xdr:nvSpPr>
        <xdr:cNvPr id="2705" name="Text Box 16">
          <a:extLst>
            <a:ext uri="{FF2B5EF4-FFF2-40B4-BE49-F238E27FC236}">
              <a16:creationId xmlns:a16="http://schemas.microsoft.com/office/drawing/2014/main" id="{00000000-0008-0000-0500-0000910A0000}"/>
            </a:ext>
          </a:extLst>
        </xdr:cNvPr>
        <xdr:cNvSpPr txBox="1">
          <a:spLocks noChangeArrowheads="1"/>
        </xdr:cNvSpPr>
      </xdr:nvSpPr>
      <xdr:spPr bwMode="auto">
        <a:xfrm>
          <a:off x="15388070"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60</xdr:row>
      <xdr:rowOff>0</xdr:rowOff>
    </xdr:from>
    <xdr:ext cx="95250" cy="171450"/>
    <xdr:sp macro="" textlink="">
      <xdr:nvSpPr>
        <xdr:cNvPr id="2706" name="Text Box 17">
          <a:extLst>
            <a:ext uri="{FF2B5EF4-FFF2-40B4-BE49-F238E27FC236}">
              <a16:creationId xmlns:a16="http://schemas.microsoft.com/office/drawing/2014/main" id="{00000000-0008-0000-0500-0000920A0000}"/>
            </a:ext>
          </a:extLst>
        </xdr:cNvPr>
        <xdr:cNvSpPr txBox="1">
          <a:spLocks noChangeArrowheads="1"/>
        </xdr:cNvSpPr>
      </xdr:nvSpPr>
      <xdr:spPr bwMode="auto">
        <a:xfrm>
          <a:off x="15388070"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60</xdr:row>
      <xdr:rowOff>0</xdr:rowOff>
    </xdr:from>
    <xdr:ext cx="95250" cy="171450"/>
    <xdr:sp macro="" textlink="">
      <xdr:nvSpPr>
        <xdr:cNvPr id="2707" name="Text Box 18">
          <a:extLst>
            <a:ext uri="{FF2B5EF4-FFF2-40B4-BE49-F238E27FC236}">
              <a16:creationId xmlns:a16="http://schemas.microsoft.com/office/drawing/2014/main" id="{00000000-0008-0000-0500-0000930A0000}"/>
            </a:ext>
          </a:extLst>
        </xdr:cNvPr>
        <xdr:cNvSpPr txBox="1">
          <a:spLocks noChangeArrowheads="1"/>
        </xdr:cNvSpPr>
      </xdr:nvSpPr>
      <xdr:spPr bwMode="auto">
        <a:xfrm>
          <a:off x="15388070"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60</xdr:row>
      <xdr:rowOff>0</xdr:rowOff>
    </xdr:from>
    <xdr:ext cx="95250" cy="171450"/>
    <xdr:sp macro="" textlink="">
      <xdr:nvSpPr>
        <xdr:cNvPr id="2708" name="Text Box 19">
          <a:extLst>
            <a:ext uri="{FF2B5EF4-FFF2-40B4-BE49-F238E27FC236}">
              <a16:creationId xmlns:a16="http://schemas.microsoft.com/office/drawing/2014/main" id="{00000000-0008-0000-0500-0000940A0000}"/>
            </a:ext>
          </a:extLst>
        </xdr:cNvPr>
        <xdr:cNvSpPr txBox="1">
          <a:spLocks noChangeArrowheads="1"/>
        </xdr:cNvSpPr>
      </xdr:nvSpPr>
      <xdr:spPr bwMode="auto">
        <a:xfrm>
          <a:off x="15388070"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60</xdr:row>
      <xdr:rowOff>0</xdr:rowOff>
    </xdr:from>
    <xdr:ext cx="95250" cy="171450"/>
    <xdr:sp macro="" textlink="">
      <xdr:nvSpPr>
        <xdr:cNvPr id="2709" name="Text Box 16">
          <a:extLst>
            <a:ext uri="{FF2B5EF4-FFF2-40B4-BE49-F238E27FC236}">
              <a16:creationId xmlns:a16="http://schemas.microsoft.com/office/drawing/2014/main" id="{00000000-0008-0000-0500-0000950A0000}"/>
            </a:ext>
          </a:extLst>
        </xdr:cNvPr>
        <xdr:cNvSpPr txBox="1">
          <a:spLocks noChangeArrowheads="1"/>
        </xdr:cNvSpPr>
      </xdr:nvSpPr>
      <xdr:spPr bwMode="auto">
        <a:xfrm>
          <a:off x="15388070"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60</xdr:row>
      <xdr:rowOff>0</xdr:rowOff>
    </xdr:from>
    <xdr:ext cx="95250" cy="171450"/>
    <xdr:sp macro="" textlink="">
      <xdr:nvSpPr>
        <xdr:cNvPr id="2710" name="Text Box 17">
          <a:extLst>
            <a:ext uri="{FF2B5EF4-FFF2-40B4-BE49-F238E27FC236}">
              <a16:creationId xmlns:a16="http://schemas.microsoft.com/office/drawing/2014/main" id="{00000000-0008-0000-0500-0000960A0000}"/>
            </a:ext>
          </a:extLst>
        </xdr:cNvPr>
        <xdr:cNvSpPr txBox="1">
          <a:spLocks noChangeArrowheads="1"/>
        </xdr:cNvSpPr>
      </xdr:nvSpPr>
      <xdr:spPr bwMode="auto">
        <a:xfrm>
          <a:off x="15388070"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60</xdr:row>
      <xdr:rowOff>0</xdr:rowOff>
    </xdr:from>
    <xdr:ext cx="95250" cy="171450"/>
    <xdr:sp macro="" textlink="">
      <xdr:nvSpPr>
        <xdr:cNvPr id="2711" name="Text Box 18">
          <a:extLst>
            <a:ext uri="{FF2B5EF4-FFF2-40B4-BE49-F238E27FC236}">
              <a16:creationId xmlns:a16="http://schemas.microsoft.com/office/drawing/2014/main" id="{00000000-0008-0000-0500-0000970A0000}"/>
            </a:ext>
          </a:extLst>
        </xdr:cNvPr>
        <xdr:cNvSpPr txBox="1">
          <a:spLocks noChangeArrowheads="1"/>
        </xdr:cNvSpPr>
      </xdr:nvSpPr>
      <xdr:spPr bwMode="auto">
        <a:xfrm>
          <a:off x="15388070"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60</xdr:row>
      <xdr:rowOff>0</xdr:rowOff>
    </xdr:from>
    <xdr:ext cx="95250" cy="171450"/>
    <xdr:sp macro="" textlink="">
      <xdr:nvSpPr>
        <xdr:cNvPr id="2712" name="Text Box 19">
          <a:extLst>
            <a:ext uri="{FF2B5EF4-FFF2-40B4-BE49-F238E27FC236}">
              <a16:creationId xmlns:a16="http://schemas.microsoft.com/office/drawing/2014/main" id="{00000000-0008-0000-0500-0000980A0000}"/>
            </a:ext>
          </a:extLst>
        </xdr:cNvPr>
        <xdr:cNvSpPr txBox="1">
          <a:spLocks noChangeArrowheads="1"/>
        </xdr:cNvSpPr>
      </xdr:nvSpPr>
      <xdr:spPr bwMode="auto">
        <a:xfrm>
          <a:off x="15388070"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54</xdr:row>
      <xdr:rowOff>504825</xdr:rowOff>
    </xdr:from>
    <xdr:ext cx="95250" cy="456743"/>
    <xdr:sp macro="" textlink="">
      <xdr:nvSpPr>
        <xdr:cNvPr id="2713" name="Text Box 15">
          <a:extLst>
            <a:ext uri="{FF2B5EF4-FFF2-40B4-BE49-F238E27FC236}">
              <a16:creationId xmlns:a16="http://schemas.microsoft.com/office/drawing/2014/main" id="{00000000-0008-0000-0500-0000990A0000}"/>
            </a:ext>
          </a:extLst>
        </xdr:cNvPr>
        <xdr:cNvSpPr txBox="1">
          <a:spLocks noChangeArrowheads="1"/>
        </xdr:cNvSpPr>
      </xdr:nvSpPr>
      <xdr:spPr bwMode="auto">
        <a:xfrm>
          <a:off x="4664364" y="5994111"/>
          <a:ext cx="95250" cy="456743"/>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54</xdr:row>
      <xdr:rowOff>504825</xdr:rowOff>
    </xdr:from>
    <xdr:ext cx="95250" cy="442269"/>
    <xdr:sp macro="" textlink="">
      <xdr:nvSpPr>
        <xdr:cNvPr id="2714" name="Text Box 15">
          <a:extLst>
            <a:ext uri="{FF2B5EF4-FFF2-40B4-BE49-F238E27FC236}">
              <a16:creationId xmlns:a16="http://schemas.microsoft.com/office/drawing/2014/main" id="{00000000-0008-0000-0500-00009A0A0000}"/>
            </a:ext>
          </a:extLst>
        </xdr:cNvPr>
        <xdr:cNvSpPr txBox="1">
          <a:spLocks noChangeArrowheads="1"/>
        </xdr:cNvSpPr>
      </xdr:nvSpPr>
      <xdr:spPr bwMode="auto">
        <a:xfrm>
          <a:off x="12540961" y="5994111"/>
          <a:ext cx="95250" cy="442269"/>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54</xdr:row>
      <xdr:rowOff>504825</xdr:rowOff>
    </xdr:from>
    <xdr:ext cx="95250" cy="213632"/>
    <xdr:sp macro="" textlink="">
      <xdr:nvSpPr>
        <xdr:cNvPr id="2716" name="Text Box 15">
          <a:extLst>
            <a:ext uri="{FF2B5EF4-FFF2-40B4-BE49-F238E27FC236}">
              <a16:creationId xmlns:a16="http://schemas.microsoft.com/office/drawing/2014/main" id="{00000000-0008-0000-0500-00009C0A0000}"/>
            </a:ext>
          </a:extLst>
        </xdr:cNvPr>
        <xdr:cNvSpPr txBox="1">
          <a:spLocks noChangeArrowheads="1"/>
        </xdr:cNvSpPr>
      </xdr:nvSpPr>
      <xdr:spPr bwMode="auto">
        <a:xfrm>
          <a:off x="4664364" y="5994111"/>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54</xdr:row>
      <xdr:rowOff>504825</xdr:rowOff>
    </xdr:from>
    <xdr:ext cx="95250" cy="444331"/>
    <xdr:sp macro="" textlink="">
      <xdr:nvSpPr>
        <xdr:cNvPr id="2717" name="Text Box 15">
          <a:extLst>
            <a:ext uri="{FF2B5EF4-FFF2-40B4-BE49-F238E27FC236}">
              <a16:creationId xmlns:a16="http://schemas.microsoft.com/office/drawing/2014/main" id="{00000000-0008-0000-0500-00009D0A0000}"/>
            </a:ext>
          </a:extLst>
        </xdr:cNvPr>
        <xdr:cNvSpPr txBox="1">
          <a:spLocks noChangeArrowheads="1"/>
        </xdr:cNvSpPr>
      </xdr:nvSpPr>
      <xdr:spPr bwMode="auto">
        <a:xfrm>
          <a:off x="4664364" y="5994111"/>
          <a:ext cx="95250" cy="444331"/>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54</xdr:row>
      <xdr:rowOff>504825</xdr:rowOff>
    </xdr:from>
    <xdr:ext cx="95250" cy="213632"/>
    <xdr:sp macro="" textlink="">
      <xdr:nvSpPr>
        <xdr:cNvPr id="2718" name="Text Box 15">
          <a:extLst>
            <a:ext uri="{FF2B5EF4-FFF2-40B4-BE49-F238E27FC236}">
              <a16:creationId xmlns:a16="http://schemas.microsoft.com/office/drawing/2014/main" id="{00000000-0008-0000-0500-00009E0A0000}"/>
            </a:ext>
          </a:extLst>
        </xdr:cNvPr>
        <xdr:cNvSpPr txBox="1">
          <a:spLocks noChangeArrowheads="1"/>
        </xdr:cNvSpPr>
      </xdr:nvSpPr>
      <xdr:spPr bwMode="auto">
        <a:xfrm>
          <a:off x="12540961" y="5994111"/>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60</xdr:row>
      <xdr:rowOff>0</xdr:rowOff>
    </xdr:from>
    <xdr:ext cx="95250" cy="171450"/>
    <xdr:sp macro="" textlink="">
      <xdr:nvSpPr>
        <xdr:cNvPr id="2719" name="Text Box 16">
          <a:extLst>
            <a:ext uri="{FF2B5EF4-FFF2-40B4-BE49-F238E27FC236}">
              <a16:creationId xmlns:a16="http://schemas.microsoft.com/office/drawing/2014/main" id="{00000000-0008-0000-0500-00009F0A0000}"/>
            </a:ext>
          </a:extLst>
        </xdr:cNvPr>
        <xdr:cNvSpPr txBox="1">
          <a:spLocks noChangeArrowheads="1"/>
        </xdr:cNvSpPr>
      </xdr:nvSpPr>
      <xdr:spPr bwMode="auto">
        <a:xfrm>
          <a:off x="4664364"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60</xdr:row>
      <xdr:rowOff>0</xdr:rowOff>
    </xdr:from>
    <xdr:ext cx="95250" cy="171450"/>
    <xdr:sp macro="" textlink="">
      <xdr:nvSpPr>
        <xdr:cNvPr id="2720" name="Text Box 17">
          <a:extLst>
            <a:ext uri="{FF2B5EF4-FFF2-40B4-BE49-F238E27FC236}">
              <a16:creationId xmlns:a16="http://schemas.microsoft.com/office/drawing/2014/main" id="{00000000-0008-0000-0500-0000A00A0000}"/>
            </a:ext>
          </a:extLst>
        </xdr:cNvPr>
        <xdr:cNvSpPr txBox="1">
          <a:spLocks noChangeArrowheads="1"/>
        </xdr:cNvSpPr>
      </xdr:nvSpPr>
      <xdr:spPr bwMode="auto">
        <a:xfrm>
          <a:off x="4664364"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60</xdr:row>
      <xdr:rowOff>0</xdr:rowOff>
    </xdr:from>
    <xdr:ext cx="95250" cy="171450"/>
    <xdr:sp macro="" textlink="">
      <xdr:nvSpPr>
        <xdr:cNvPr id="2721" name="Text Box 18">
          <a:extLst>
            <a:ext uri="{FF2B5EF4-FFF2-40B4-BE49-F238E27FC236}">
              <a16:creationId xmlns:a16="http://schemas.microsoft.com/office/drawing/2014/main" id="{00000000-0008-0000-0500-0000A10A0000}"/>
            </a:ext>
          </a:extLst>
        </xdr:cNvPr>
        <xdr:cNvSpPr txBox="1">
          <a:spLocks noChangeArrowheads="1"/>
        </xdr:cNvSpPr>
      </xdr:nvSpPr>
      <xdr:spPr bwMode="auto">
        <a:xfrm>
          <a:off x="4664364"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60</xdr:row>
      <xdr:rowOff>0</xdr:rowOff>
    </xdr:from>
    <xdr:ext cx="95250" cy="171450"/>
    <xdr:sp macro="" textlink="">
      <xdr:nvSpPr>
        <xdr:cNvPr id="2722" name="Text Box 19">
          <a:extLst>
            <a:ext uri="{FF2B5EF4-FFF2-40B4-BE49-F238E27FC236}">
              <a16:creationId xmlns:a16="http://schemas.microsoft.com/office/drawing/2014/main" id="{00000000-0008-0000-0500-0000A20A0000}"/>
            </a:ext>
          </a:extLst>
        </xdr:cNvPr>
        <xdr:cNvSpPr txBox="1">
          <a:spLocks noChangeArrowheads="1"/>
        </xdr:cNvSpPr>
      </xdr:nvSpPr>
      <xdr:spPr bwMode="auto">
        <a:xfrm>
          <a:off x="4664364"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60</xdr:row>
      <xdr:rowOff>0</xdr:rowOff>
    </xdr:from>
    <xdr:ext cx="95250" cy="171450"/>
    <xdr:sp macro="" textlink="">
      <xdr:nvSpPr>
        <xdr:cNvPr id="2723" name="Text Box 16">
          <a:extLst>
            <a:ext uri="{FF2B5EF4-FFF2-40B4-BE49-F238E27FC236}">
              <a16:creationId xmlns:a16="http://schemas.microsoft.com/office/drawing/2014/main" id="{00000000-0008-0000-0500-0000A30A0000}"/>
            </a:ext>
          </a:extLst>
        </xdr:cNvPr>
        <xdr:cNvSpPr txBox="1">
          <a:spLocks noChangeArrowheads="1"/>
        </xdr:cNvSpPr>
      </xdr:nvSpPr>
      <xdr:spPr bwMode="auto">
        <a:xfrm>
          <a:off x="12540961"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60</xdr:row>
      <xdr:rowOff>0</xdr:rowOff>
    </xdr:from>
    <xdr:ext cx="95250" cy="171450"/>
    <xdr:sp macro="" textlink="">
      <xdr:nvSpPr>
        <xdr:cNvPr id="2724" name="Text Box 17">
          <a:extLst>
            <a:ext uri="{FF2B5EF4-FFF2-40B4-BE49-F238E27FC236}">
              <a16:creationId xmlns:a16="http://schemas.microsoft.com/office/drawing/2014/main" id="{00000000-0008-0000-0500-0000A40A0000}"/>
            </a:ext>
          </a:extLst>
        </xdr:cNvPr>
        <xdr:cNvSpPr txBox="1">
          <a:spLocks noChangeArrowheads="1"/>
        </xdr:cNvSpPr>
      </xdr:nvSpPr>
      <xdr:spPr bwMode="auto">
        <a:xfrm>
          <a:off x="12540961"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60</xdr:row>
      <xdr:rowOff>0</xdr:rowOff>
    </xdr:from>
    <xdr:ext cx="95250" cy="171450"/>
    <xdr:sp macro="" textlink="">
      <xdr:nvSpPr>
        <xdr:cNvPr id="2725" name="Text Box 18">
          <a:extLst>
            <a:ext uri="{FF2B5EF4-FFF2-40B4-BE49-F238E27FC236}">
              <a16:creationId xmlns:a16="http://schemas.microsoft.com/office/drawing/2014/main" id="{00000000-0008-0000-0500-0000A50A0000}"/>
            </a:ext>
          </a:extLst>
        </xdr:cNvPr>
        <xdr:cNvSpPr txBox="1">
          <a:spLocks noChangeArrowheads="1"/>
        </xdr:cNvSpPr>
      </xdr:nvSpPr>
      <xdr:spPr bwMode="auto">
        <a:xfrm>
          <a:off x="12540961"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60</xdr:row>
      <xdr:rowOff>0</xdr:rowOff>
    </xdr:from>
    <xdr:ext cx="95250" cy="171450"/>
    <xdr:sp macro="" textlink="">
      <xdr:nvSpPr>
        <xdr:cNvPr id="2726" name="Text Box 19">
          <a:extLst>
            <a:ext uri="{FF2B5EF4-FFF2-40B4-BE49-F238E27FC236}">
              <a16:creationId xmlns:a16="http://schemas.microsoft.com/office/drawing/2014/main" id="{00000000-0008-0000-0500-0000A60A0000}"/>
            </a:ext>
          </a:extLst>
        </xdr:cNvPr>
        <xdr:cNvSpPr txBox="1">
          <a:spLocks noChangeArrowheads="1"/>
        </xdr:cNvSpPr>
      </xdr:nvSpPr>
      <xdr:spPr bwMode="auto">
        <a:xfrm>
          <a:off x="12540961"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21</xdr:col>
      <xdr:colOff>0</xdr:colOff>
      <xdr:row>60</xdr:row>
      <xdr:rowOff>0</xdr:rowOff>
    </xdr:from>
    <xdr:ext cx="95250" cy="171450"/>
    <xdr:sp macro="" textlink="">
      <xdr:nvSpPr>
        <xdr:cNvPr id="2727" name="Text Box 16">
          <a:extLst>
            <a:ext uri="{FF2B5EF4-FFF2-40B4-BE49-F238E27FC236}">
              <a16:creationId xmlns:a16="http://schemas.microsoft.com/office/drawing/2014/main" id="{00000000-0008-0000-0500-0000A70A0000}"/>
            </a:ext>
          </a:extLst>
        </xdr:cNvPr>
        <xdr:cNvSpPr txBox="1">
          <a:spLocks noChangeArrowheads="1"/>
        </xdr:cNvSpPr>
      </xdr:nvSpPr>
      <xdr:spPr bwMode="auto">
        <a:xfrm>
          <a:off x="21832455"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21</xdr:col>
      <xdr:colOff>0</xdr:colOff>
      <xdr:row>60</xdr:row>
      <xdr:rowOff>0</xdr:rowOff>
    </xdr:from>
    <xdr:ext cx="95250" cy="171450"/>
    <xdr:sp macro="" textlink="">
      <xdr:nvSpPr>
        <xdr:cNvPr id="2728" name="Text Box 17">
          <a:extLst>
            <a:ext uri="{FF2B5EF4-FFF2-40B4-BE49-F238E27FC236}">
              <a16:creationId xmlns:a16="http://schemas.microsoft.com/office/drawing/2014/main" id="{00000000-0008-0000-0500-0000A80A0000}"/>
            </a:ext>
          </a:extLst>
        </xdr:cNvPr>
        <xdr:cNvSpPr txBox="1">
          <a:spLocks noChangeArrowheads="1"/>
        </xdr:cNvSpPr>
      </xdr:nvSpPr>
      <xdr:spPr bwMode="auto">
        <a:xfrm>
          <a:off x="21832455"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21</xdr:col>
      <xdr:colOff>0</xdr:colOff>
      <xdr:row>60</xdr:row>
      <xdr:rowOff>0</xdr:rowOff>
    </xdr:from>
    <xdr:ext cx="95250" cy="171450"/>
    <xdr:sp macro="" textlink="">
      <xdr:nvSpPr>
        <xdr:cNvPr id="2729" name="Text Box 18">
          <a:extLst>
            <a:ext uri="{FF2B5EF4-FFF2-40B4-BE49-F238E27FC236}">
              <a16:creationId xmlns:a16="http://schemas.microsoft.com/office/drawing/2014/main" id="{00000000-0008-0000-0500-0000A90A0000}"/>
            </a:ext>
          </a:extLst>
        </xdr:cNvPr>
        <xdr:cNvSpPr txBox="1">
          <a:spLocks noChangeArrowheads="1"/>
        </xdr:cNvSpPr>
      </xdr:nvSpPr>
      <xdr:spPr bwMode="auto">
        <a:xfrm>
          <a:off x="21832455"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21</xdr:col>
      <xdr:colOff>0</xdr:colOff>
      <xdr:row>60</xdr:row>
      <xdr:rowOff>0</xdr:rowOff>
    </xdr:from>
    <xdr:ext cx="95250" cy="171450"/>
    <xdr:sp macro="" textlink="">
      <xdr:nvSpPr>
        <xdr:cNvPr id="2730" name="Text Box 19">
          <a:extLst>
            <a:ext uri="{FF2B5EF4-FFF2-40B4-BE49-F238E27FC236}">
              <a16:creationId xmlns:a16="http://schemas.microsoft.com/office/drawing/2014/main" id="{00000000-0008-0000-0500-0000AA0A0000}"/>
            </a:ext>
          </a:extLst>
        </xdr:cNvPr>
        <xdr:cNvSpPr txBox="1">
          <a:spLocks noChangeArrowheads="1"/>
        </xdr:cNvSpPr>
      </xdr:nvSpPr>
      <xdr:spPr bwMode="auto">
        <a:xfrm>
          <a:off x="21832455"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56</xdr:row>
      <xdr:rowOff>504825</xdr:rowOff>
    </xdr:from>
    <xdr:ext cx="95250" cy="444014"/>
    <xdr:sp macro="" textlink="">
      <xdr:nvSpPr>
        <xdr:cNvPr id="2731" name="Text Box 15">
          <a:extLst>
            <a:ext uri="{FF2B5EF4-FFF2-40B4-BE49-F238E27FC236}">
              <a16:creationId xmlns:a16="http://schemas.microsoft.com/office/drawing/2014/main" id="{00000000-0008-0000-0500-0000AB0A0000}"/>
            </a:ext>
          </a:extLst>
        </xdr:cNvPr>
        <xdr:cNvSpPr txBox="1">
          <a:spLocks noChangeArrowheads="1"/>
        </xdr:cNvSpPr>
      </xdr:nvSpPr>
      <xdr:spPr bwMode="auto">
        <a:xfrm>
          <a:off x="4664364" y="6733020"/>
          <a:ext cx="95250" cy="444014"/>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60</xdr:row>
      <xdr:rowOff>0</xdr:rowOff>
    </xdr:from>
    <xdr:ext cx="95250" cy="171450"/>
    <xdr:sp macro="" textlink="">
      <xdr:nvSpPr>
        <xdr:cNvPr id="2732" name="Text Box 16">
          <a:extLst>
            <a:ext uri="{FF2B5EF4-FFF2-40B4-BE49-F238E27FC236}">
              <a16:creationId xmlns:a16="http://schemas.microsoft.com/office/drawing/2014/main" id="{00000000-0008-0000-0500-0000AC0A0000}"/>
            </a:ext>
          </a:extLst>
        </xdr:cNvPr>
        <xdr:cNvSpPr txBox="1">
          <a:spLocks noChangeArrowheads="1"/>
        </xdr:cNvSpPr>
      </xdr:nvSpPr>
      <xdr:spPr bwMode="auto">
        <a:xfrm>
          <a:off x="4664364"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60</xdr:row>
      <xdr:rowOff>0</xdr:rowOff>
    </xdr:from>
    <xdr:ext cx="95250" cy="171450"/>
    <xdr:sp macro="" textlink="">
      <xdr:nvSpPr>
        <xdr:cNvPr id="2733" name="Text Box 17">
          <a:extLst>
            <a:ext uri="{FF2B5EF4-FFF2-40B4-BE49-F238E27FC236}">
              <a16:creationId xmlns:a16="http://schemas.microsoft.com/office/drawing/2014/main" id="{00000000-0008-0000-0500-0000AD0A0000}"/>
            </a:ext>
          </a:extLst>
        </xdr:cNvPr>
        <xdr:cNvSpPr txBox="1">
          <a:spLocks noChangeArrowheads="1"/>
        </xdr:cNvSpPr>
      </xdr:nvSpPr>
      <xdr:spPr bwMode="auto">
        <a:xfrm>
          <a:off x="4664364"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60</xdr:row>
      <xdr:rowOff>0</xdr:rowOff>
    </xdr:from>
    <xdr:ext cx="95250" cy="171450"/>
    <xdr:sp macro="" textlink="">
      <xdr:nvSpPr>
        <xdr:cNvPr id="2734" name="Text Box 18">
          <a:extLst>
            <a:ext uri="{FF2B5EF4-FFF2-40B4-BE49-F238E27FC236}">
              <a16:creationId xmlns:a16="http://schemas.microsoft.com/office/drawing/2014/main" id="{00000000-0008-0000-0500-0000AE0A0000}"/>
            </a:ext>
          </a:extLst>
        </xdr:cNvPr>
        <xdr:cNvSpPr txBox="1">
          <a:spLocks noChangeArrowheads="1"/>
        </xdr:cNvSpPr>
      </xdr:nvSpPr>
      <xdr:spPr bwMode="auto">
        <a:xfrm>
          <a:off x="4664364"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60</xdr:row>
      <xdr:rowOff>0</xdr:rowOff>
    </xdr:from>
    <xdr:ext cx="95250" cy="171450"/>
    <xdr:sp macro="" textlink="">
      <xdr:nvSpPr>
        <xdr:cNvPr id="2735" name="Text Box 19">
          <a:extLst>
            <a:ext uri="{FF2B5EF4-FFF2-40B4-BE49-F238E27FC236}">
              <a16:creationId xmlns:a16="http://schemas.microsoft.com/office/drawing/2014/main" id="{00000000-0008-0000-0500-0000AF0A0000}"/>
            </a:ext>
          </a:extLst>
        </xdr:cNvPr>
        <xdr:cNvSpPr txBox="1">
          <a:spLocks noChangeArrowheads="1"/>
        </xdr:cNvSpPr>
      </xdr:nvSpPr>
      <xdr:spPr bwMode="auto">
        <a:xfrm>
          <a:off x="4664364"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56</xdr:row>
      <xdr:rowOff>504825</xdr:rowOff>
    </xdr:from>
    <xdr:ext cx="95250" cy="442269"/>
    <xdr:sp macro="" textlink="">
      <xdr:nvSpPr>
        <xdr:cNvPr id="2736" name="Text Box 15">
          <a:extLst>
            <a:ext uri="{FF2B5EF4-FFF2-40B4-BE49-F238E27FC236}">
              <a16:creationId xmlns:a16="http://schemas.microsoft.com/office/drawing/2014/main" id="{00000000-0008-0000-0500-0000B00A0000}"/>
            </a:ext>
          </a:extLst>
        </xdr:cNvPr>
        <xdr:cNvSpPr txBox="1">
          <a:spLocks noChangeArrowheads="1"/>
        </xdr:cNvSpPr>
      </xdr:nvSpPr>
      <xdr:spPr bwMode="auto">
        <a:xfrm>
          <a:off x="12540961" y="6733020"/>
          <a:ext cx="95250" cy="442269"/>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60</xdr:row>
      <xdr:rowOff>0</xdr:rowOff>
    </xdr:from>
    <xdr:ext cx="95250" cy="171450"/>
    <xdr:sp macro="" textlink="">
      <xdr:nvSpPr>
        <xdr:cNvPr id="2737" name="Text Box 16">
          <a:extLst>
            <a:ext uri="{FF2B5EF4-FFF2-40B4-BE49-F238E27FC236}">
              <a16:creationId xmlns:a16="http://schemas.microsoft.com/office/drawing/2014/main" id="{00000000-0008-0000-0500-0000B10A0000}"/>
            </a:ext>
          </a:extLst>
        </xdr:cNvPr>
        <xdr:cNvSpPr txBox="1">
          <a:spLocks noChangeArrowheads="1"/>
        </xdr:cNvSpPr>
      </xdr:nvSpPr>
      <xdr:spPr bwMode="auto">
        <a:xfrm>
          <a:off x="12540961"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60</xdr:row>
      <xdr:rowOff>0</xdr:rowOff>
    </xdr:from>
    <xdr:ext cx="95250" cy="171450"/>
    <xdr:sp macro="" textlink="">
      <xdr:nvSpPr>
        <xdr:cNvPr id="2738" name="Text Box 17">
          <a:extLst>
            <a:ext uri="{FF2B5EF4-FFF2-40B4-BE49-F238E27FC236}">
              <a16:creationId xmlns:a16="http://schemas.microsoft.com/office/drawing/2014/main" id="{00000000-0008-0000-0500-0000B20A0000}"/>
            </a:ext>
          </a:extLst>
        </xdr:cNvPr>
        <xdr:cNvSpPr txBox="1">
          <a:spLocks noChangeArrowheads="1"/>
        </xdr:cNvSpPr>
      </xdr:nvSpPr>
      <xdr:spPr bwMode="auto">
        <a:xfrm>
          <a:off x="12540961"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60</xdr:row>
      <xdr:rowOff>0</xdr:rowOff>
    </xdr:from>
    <xdr:ext cx="95250" cy="171450"/>
    <xdr:sp macro="" textlink="">
      <xdr:nvSpPr>
        <xdr:cNvPr id="2739" name="Text Box 18">
          <a:extLst>
            <a:ext uri="{FF2B5EF4-FFF2-40B4-BE49-F238E27FC236}">
              <a16:creationId xmlns:a16="http://schemas.microsoft.com/office/drawing/2014/main" id="{00000000-0008-0000-0500-0000B30A0000}"/>
            </a:ext>
          </a:extLst>
        </xdr:cNvPr>
        <xdr:cNvSpPr txBox="1">
          <a:spLocks noChangeArrowheads="1"/>
        </xdr:cNvSpPr>
      </xdr:nvSpPr>
      <xdr:spPr bwMode="auto">
        <a:xfrm>
          <a:off x="12540961"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60</xdr:row>
      <xdr:rowOff>0</xdr:rowOff>
    </xdr:from>
    <xdr:ext cx="95250" cy="171450"/>
    <xdr:sp macro="" textlink="">
      <xdr:nvSpPr>
        <xdr:cNvPr id="2740" name="Text Box 16">
          <a:extLst>
            <a:ext uri="{FF2B5EF4-FFF2-40B4-BE49-F238E27FC236}">
              <a16:creationId xmlns:a16="http://schemas.microsoft.com/office/drawing/2014/main" id="{00000000-0008-0000-0500-0000B40A0000}"/>
            </a:ext>
          </a:extLst>
        </xdr:cNvPr>
        <xdr:cNvSpPr txBox="1">
          <a:spLocks noChangeArrowheads="1"/>
        </xdr:cNvSpPr>
      </xdr:nvSpPr>
      <xdr:spPr bwMode="auto">
        <a:xfrm>
          <a:off x="15388070"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60</xdr:row>
      <xdr:rowOff>0</xdr:rowOff>
    </xdr:from>
    <xdr:ext cx="95250" cy="171450"/>
    <xdr:sp macro="" textlink="">
      <xdr:nvSpPr>
        <xdr:cNvPr id="2741" name="Text Box 17">
          <a:extLst>
            <a:ext uri="{FF2B5EF4-FFF2-40B4-BE49-F238E27FC236}">
              <a16:creationId xmlns:a16="http://schemas.microsoft.com/office/drawing/2014/main" id="{00000000-0008-0000-0500-0000B50A0000}"/>
            </a:ext>
          </a:extLst>
        </xdr:cNvPr>
        <xdr:cNvSpPr txBox="1">
          <a:spLocks noChangeArrowheads="1"/>
        </xdr:cNvSpPr>
      </xdr:nvSpPr>
      <xdr:spPr bwMode="auto">
        <a:xfrm>
          <a:off x="15388070"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60</xdr:row>
      <xdr:rowOff>0</xdr:rowOff>
    </xdr:from>
    <xdr:ext cx="95250" cy="171450"/>
    <xdr:sp macro="" textlink="">
      <xdr:nvSpPr>
        <xdr:cNvPr id="2742" name="Text Box 18">
          <a:extLst>
            <a:ext uri="{FF2B5EF4-FFF2-40B4-BE49-F238E27FC236}">
              <a16:creationId xmlns:a16="http://schemas.microsoft.com/office/drawing/2014/main" id="{00000000-0008-0000-0500-0000B60A0000}"/>
            </a:ext>
          </a:extLst>
        </xdr:cNvPr>
        <xdr:cNvSpPr txBox="1">
          <a:spLocks noChangeArrowheads="1"/>
        </xdr:cNvSpPr>
      </xdr:nvSpPr>
      <xdr:spPr bwMode="auto">
        <a:xfrm>
          <a:off x="15388070"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60</xdr:row>
      <xdr:rowOff>0</xdr:rowOff>
    </xdr:from>
    <xdr:ext cx="95250" cy="171450"/>
    <xdr:sp macro="" textlink="">
      <xdr:nvSpPr>
        <xdr:cNvPr id="2743" name="Text Box 19">
          <a:extLst>
            <a:ext uri="{FF2B5EF4-FFF2-40B4-BE49-F238E27FC236}">
              <a16:creationId xmlns:a16="http://schemas.microsoft.com/office/drawing/2014/main" id="{00000000-0008-0000-0500-0000B70A0000}"/>
            </a:ext>
          </a:extLst>
        </xdr:cNvPr>
        <xdr:cNvSpPr txBox="1">
          <a:spLocks noChangeArrowheads="1"/>
        </xdr:cNvSpPr>
      </xdr:nvSpPr>
      <xdr:spPr bwMode="auto">
        <a:xfrm>
          <a:off x="15388070"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60</xdr:row>
      <xdr:rowOff>0</xdr:rowOff>
    </xdr:from>
    <xdr:ext cx="95250" cy="171450"/>
    <xdr:sp macro="" textlink="">
      <xdr:nvSpPr>
        <xdr:cNvPr id="2744" name="Text Box 16">
          <a:extLst>
            <a:ext uri="{FF2B5EF4-FFF2-40B4-BE49-F238E27FC236}">
              <a16:creationId xmlns:a16="http://schemas.microsoft.com/office/drawing/2014/main" id="{00000000-0008-0000-0500-0000B80A0000}"/>
            </a:ext>
          </a:extLst>
        </xdr:cNvPr>
        <xdr:cNvSpPr txBox="1">
          <a:spLocks noChangeArrowheads="1"/>
        </xdr:cNvSpPr>
      </xdr:nvSpPr>
      <xdr:spPr bwMode="auto">
        <a:xfrm>
          <a:off x="15388070"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60</xdr:row>
      <xdr:rowOff>0</xdr:rowOff>
    </xdr:from>
    <xdr:ext cx="95250" cy="171450"/>
    <xdr:sp macro="" textlink="">
      <xdr:nvSpPr>
        <xdr:cNvPr id="2745" name="Text Box 17">
          <a:extLst>
            <a:ext uri="{FF2B5EF4-FFF2-40B4-BE49-F238E27FC236}">
              <a16:creationId xmlns:a16="http://schemas.microsoft.com/office/drawing/2014/main" id="{00000000-0008-0000-0500-0000B90A0000}"/>
            </a:ext>
          </a:extLst>
        </xdr:cNvPr>
        <xdr:cNvSpPr txBox="1">
          <a:spLocks noChangeArrowheads="1"/>
        </xdr:cNvSpPr>
      </xdr:nvSpPr>
      <xdr:spPr bwMode="auto">
        <a:xfrm>
          <a:off x="15388070"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60</xdr:row>
      <xdr:rowOff>0</xdr:rowOff>
    </xdr:from>
    <xdr:ext cx="95250" cy="171450"/>
    <xdr:sp macro="" textlink="">
      <xdr:nvSpPr>
        <xdr:cNvPr id="2746" name="Text Box 18">
          <a:extLst>
            <a:ext uri="{FF2B5EF4-FFF2-40B4-BE49-F238E27FC236}">
              <a16:creationId xmlns:a16="http://schemas.microsoft.com/office/drawing/2014/main" id="{00000000-0008-0000-0500-0000BA0A0000}"/>
            </a:ext>
          </a:extLst>
        </xdr:cNvPr>
        <xdr:cNvSpPr txBox="1">
          <a:spLocks noChangeArrowheads="1"/>
        </xdr:cNvSpPr>
      </xdr:nvSpPr>
      <xdr:spPr bwMode="auto">
        <a:xfrm>
          <a:off x="15388070"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10</xdr:col>
      <xdr:colOff>28575</xdr:colOff>
      <xdr:row>60</xdr:row>
      <xdr:rowOff>170392</xdr:rowOff>
    </xdr:from>
    <xdr:ext cx="95250" cy="213632"/>
    <xdr:sp macro="" textlink="">
      <xdr:nvSpPr>
        <xdr:cNvPr id="2747" name="Text Box 15">
          <a:extLst>
            <a:ext uri="{FF2B5EF4-FFF2-40B4-BE49-F238E27FC236}">
              <a16:creationId xmlns:a16="http://schemas.microsoft.com/office/drawing/2014/main" id="{00000000-0008-0000-0500-0000BB0A0000}"/>
            </a:ext>
          </a:extLst>
        </xdr:cNvPr>
        <xdr:cNvSpPr txBox="1">
          <a:spLocks noChangeArrowheads="1"/>
        </xdr:cNvSpPr>
      </xdr:nvSpPr>
      <xdr:spPr bwMode="auto">
        <a:xfrm>
          <a:off x="12578484" y="7270847"/>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60</xdr:row>
      <xdr:rowOff>0</xdr:rowOff>
    </xdr:from>
    <xdr:ext cx="95250" cy="171450"/>
    <xdr:sp macro="" textlink="">
      <xdr:nvSpPr>
        <xdr:cNvPr id="2748" name="Text Box 16">
          <a:extLst>
            <a:ext uri="{FF2B5EF4-FFF2-40B4-BE49-F238E27FC236}">
              <a16:creationId xmlns:a16="http://schemas.microsoft.com/office/drawing/2014/main" id="{00000000-0008-0000-0500-0000BC0A0000}"/>
            </a:ext>
          </a:extLst>
        </xdr:cNvPr>
        <xdr:cNvSpPr txBox="1">
          <a:spLocks noChangeArrowheads="1"/>
        </xdr:cNvSpPr>
      </xdr:nvSpPr>
      <xdr:spPr bwMode="auto">
        <a:xfrm>
          <a:off x="4664364"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60</xdr:row>
      <xdr:rowOff>0</xdr:rowOff>
    </xdr:from>
    <xdr:ext cx="95250" cy="171450"/>
    <xdr:sp macro="" textlink="">
      <xdr:nvSpPr>
        <xdr:cNvPr id="2749" name="Text Box 17">
          <a:extLst>
            <a:ext uri="{FF2B5EF4-FFF2-40B4-BE49-F238E27FC236}">
              <a16:creationId xmlns:a16="http://schemas.microsoft.com/office/drawing/2014/main" id="{00000000-0008-0000-0500-0000BD0A0000}"/>
            </a:ext>
          </a:extLst>
        </xdr:cNvPr>
        <xdr:cNvSpPr txBox="1">
          <a:spLocks noChangeArrowheads="1"/>
        </xdr:cNvSpPr>
      </xdr:nvSpPr>
      <xdr:spPr bwMode="auto">
        <a:xfrm>
          <a:off x="4664364"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60</xdr:row>
      <xdr:rowOff>0</xdr:rowOff>
    </xdr:from>
    <xdr:ext cx="95250" cy="171450"/>
    <xdr:sp macro="" textlink="">
      <xdr:nvSpPr>
        <xdr:cNvPr id="2750" name="Text Box 18">
          <a:extLst>
            <a:ext uri="{FF2B5EF4-FFF2-40B4-BE49-F238E27FC236}">
              <a16:creationId xmlns:a16="http://schemas.microsoft.com/office/drawing/2014/main" id="{00000000-0008-0000-0500-0000BE0A0000}"/>
            </a:ext>
          </a:extLst>
        </xdr:cNvPr>
        <xdr:cNvSpPr txBox="1">
          <a:spLocks noChangeArrowheads="1"/>
        </xdr:cNvSpPr>
      </xdr:nvSpPr>
      <xdr:spPr bwMode="auto">
        <a:xfrm>
          <a:off x="4664364"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60</xdr:row>
      <xdr:rowOff>0</xdr:rowOff>
    </xdr:from>
    <xdr:ext cx="95250" cy="171450"/>
    <xdr:sp macro="" textlink="">
      <xdr:nvSpPr>
        <xdr:cNvPr id="2751" name="Text Box 19">
          <a:extLst>
            <a:ext uri="{FF2B5EF4-FFF2-40B4-BE49-F238E27FC236}">
              <a16:creationId xmlns:a16="http://schemas.microsoft.com/office/drawing/2014/main" id="{00000000-0008-0000-0500-0000BF0A0000}"/>
            </a:ext>
          </a:extLst>
        </xdr:cNvPr>
        <xdr:cNvSpPr txBox="1">
          <a:spLocks noChangeArrowheads="1"/>
        </xdr:cNvSpPr>
      </xdr:nvSpPr>
      <xdr:spPr bwMode="auto">
        <a:xfrm>
          <a:off x="4664364"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60</xdr:row>
      <xdr:rowOff>0</xdr:rowOff>
    </xdr:from>
    <xdr:ext cx="95250" cy="171450"/>
    <xdr:sp macro="" textlink="">
      <xdr:nvSpPr>
        <xdr:cNvPr id="2752" name="Text Box 16">
          <a:extLst>
            <a:ext uri="{FF2B5EF4-FFF2-40B4-BE49-F238E27FC236}">
              <a16:creationId xmlns:a16="http://schemas.microsoft.com/office/drawing/2014/main" id="{00000000-0008-0000-0500-0000C00A0000}"/>
            </a:ext>
          </a:extLst>
        </xdr:cNvPr>
        <xdr:cNvSpPr txBox="1">
          <a:spLocks noChangeArrowheads="1"/>
        </xdr:cNvSpPr>
      </xdr:nvSpPr>
      <xdr:spPr bwMode="auto">
        <a:xfrm>
          <a:off x="12540961"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60</xdr:row>
      <xdr:rowOff>0</xdr:rowOff>
    </xdr:from>
    <xdr:ext cx="95250" cy="171450"/>
    <xdr:sp macro="" textlink="">
      <xdr:nvSpPr>
        <xdr:cNvPr id="2753" name="Text Box 17">
          <a:extLst>
            <a:ext uri="{FF2B5EF4-FFF2-40B4-BE49-F238E27FC236}">
              <a16:creationId xmlns:a16="http://schemas.microsoft.com/office/drawing/2014/main" id="{00000000-0008-0000-0500-0000C10A0000}"/>
            </a:ext>
          </a:extLst>
        </xdr:cNvPr>
        <xdr:cNvSpPr txBox="1">
          <a:spLocks noChangeArrowheads="1"/>
        </xdr:cNvSpPr>
      </xdr:nvSpPr>
      <xdr:spPr bwMode="auto">
        <a:xfrm>
          <a:off x="12540961"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60</xdr:row>
      <xdr:rowOff>0</xdr:rowOff>
    </xdr:from>
    <xdr:ext cx="95250" cy="171450"/>
    <xdr:sp macro="" textlink="">
      <xdr:nvSpPr>
        <xdr:cNvPr id="2754" name="Text Box 18">
          <a:extLst>
            <a:ext uri="{FF2B5EF4-FFF2-40B4-BE49-F238E27FC236}">
              <a16:creationId xmlns:a16="http://schemas.microsoft.com/office/drawing/2014/main" id="{00000000-0008-0000-0500-0000C20A0000}"/>
            </a:ext>
          </a:extLst>
        </xdr:cNvPr>
        <xdr:cNvSpPr txBox="1">
          <a:spLocks noChangeArrowheads="1"/>
        </xdr:cNvSpPr>
      </xdr:nvSpPr>
      <xdr:spPr bwMode="auto">
        <a:xfrm>
          <a:off x="12540961"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60</xdr:row>
      <xdr:rowOff>0</xdr:rowOff>
    </xdr:from>
    <xdr:ext cx="95250" cy="171450"/>
    <xdr:sp macro="" textlink="">
      <xdr:nvSpPr>
        <xdr:cNvPr id="2755" name="Text Box 19">
          <a:extLst>
            <a:ext uri="{FF2B5EF4-FFF2-40B4-BE49-F238E27FC236}">
              <a16:creationId xmlns:a16="http://schemas.microsoft.com/office/drawing/2014/main" id="{00000000-0008-0000-0500-0000C30A0000}"/>
            </a:ext>
          </a:extLst>
        </xdr:cNvPr>
        <xdr:cNvSpPr txBox="1">
          <a:spLocks noChangeArrowheads="1"/>
        </xdr:cNvSpPr>
      </xdr:nvSpPr>
      <xdr:spPr bwMode="auto">
        <a:xfrm>
          <a:off x="12540961"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21</xdr:col>
      <xdr:colOff>0</xdr:colOff>
      <xdr:row>55</xdr:row>
      <xdr:rowOff>0</xdr:rowOff>
    </xdr:from>
    <xdr:ext cx="95250" cy="171450"/>
    <xdr:sp macro="" textlink="">
      <xdr:nvSpPr>
        <xdr:cNvPr id="2756" name="Text Box 16">
          <a:extLst>
            <a:ext uri="{FF2B5EF4-FFF2-40B4-BE49-F238E27FC236}">
              <a16:creationId xmlns:a16="http://schemas.microsoft.com/office/drawing/2014/main" id="{00000000-0008-0000-0500-0000C40A0000}"/>
            </a:ext>
          </a:extLst>
        </xdr:cNvPr>
        <xdr:cNvSpPr txBox="1">
          <a:spLocks noChangeArrowheads="1"/>
        </xdr:cNvSpPr>
      </xdr:nvSpPr>
      <xdr:spPr bwMode="auto">
        <a:xfrm>
          <a:off x="21832455" y="5992091"/>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21</xdr:col>
      <xdr:colOff>0</xdr:colOff>
      <xdr:row>55</xdr:row>
      <xdr:rowOff>0</xdr:rowOff>
    </xdr:from>
    <xdr:ext cx="95250" cy="171450"/>
    <xdr:sp macro="" textlink="">
      <xdr:nvSpPr>
        <xdr:cNvPr id="2757" name="Text Box 17">
          <a:extLst>
            <a:ext uri="{FF2B5EF4-FFF2-40B4-BE49-F238E27FC236}">
              <a16:creationId xmlns:a16="http://schemas.microsoft.com/office/drawing/2014/main" id="{00000000-0008-0000-0500-0000C50A0000}"/>
            </a:ext>
          </a:extLst>
        </xdr:cNvPr>
        <xdr:cNvSpPr txBox="1">
          <a:spLocks noChangeArrowheads="1"/>
        </xdr:cNvSpPr>
      </xdr:nvSpPr>
      <xdr:spPr bwMode="auto">
        <a:xfrm>
          <a:off x="21832455" y="5992091"/>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21</xdr:col>
      <xdr:colOff>0</xdr:colOff>
      <xdr:row>55</xdr:row>
      <xdr:rowOff>0</xdr:rowOff>
    </xdr:from>
    <xdr:ext cx="95250" cy="171450"/>
    <xdr:sp macro="" textlink="">
      <xdr:nvSpPr>
        <xdr:cNvPr id="2758" name="Text Box 18">
          <a:extLst>
            <a:ext uri="{FF2B5EF4-FFF2-40B4-BE49-F238E27FC236}">
              <a16:creationId xmlns:a16="http://schemas.microsoft.com/office/drawing/2014/main" id="{00000000-0008-0000-0500-0000C60A0000}"/>
            </a:ext>
          </a:extLst>
        </xdr:cNvPr>
        <xdr:cNvSpPr txBox="1">
          <a:spLocks noChangeArrowheads="1"/>
        </xdr:cNvSpPr>
      </xdr:nvSpPr>
      <xdr:spPr bwMode="auto">
        <a:xfrm>
          <a:off x="21832455" y="5992091"/>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21</xdr:col>
      <xdr:colOff>0</xdr:colOff>
      <xdr:row>55</xdr:row>
      <xdr:rowOff>0</xdr:rowOff>
    </xdr:from>
    <xdr:ext cx="95250" cy="171450"/>
    <xdr:sp macro="" textlink="">
      <xdr:nvSpPr>
        <xdr:cNvPr id="2759" name="Text Box 19">
          <a:extLst>
            <a:ext uri="{FF2B5EF4-FFF2-40B4-BE49-F238E27FC236}">
              <a16:creationId xmlns:a16="http://schemas.microsoft.com/office/drawing/2014/main" id="{00000000-0008-0000-0500-0000C70A0000}"/>
            </a:ext>
          </a:extLst>
        </xdr:cNvPr>
        <xdr:cNvSpPr txBox="1">
          <a:spLocks noChangeArrowheads="1"/>
        </xdr:cNvSpPr>
      </xdr:nvSpPr>
      <xdr:spPr bwMode="auto">
        <a:xfrm>
          <a:off x="21832455" y="5992091"/>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56</xdr:row>
      <xdr:rowOff>504825</xdr:rowOff>
    </xdr:from>
    <xdr:ext cx="95250" cy="444014"/>
    <xdr:sp macro="" textlink="">
      <xdr:nvSpPr>
        <xdr:cNvPr id="2760" name="Text Box 15">
          <a:extLst>
            <a:ext uri="{FF2B5EF4-FFF2-40B4-BE49-F238E27FC236}">
              <a16:creationId xmlns:a16="http://schemas.microsoft.com/office/drawing/2014/main" id="{00000000-0008-0000-0500-0000C80A0000}"/>
            </a:ext>
          </a:extLst>
        </xdr:cNvPr>
        <xdr:cNvSpPr txBox="1">
          <a:spLocks noChangeArrowheads="1"/>
        </xdr:cNvSpPr>
      </xdr:nvSpPr>
      <xdr:spPr bwMode="auto">
        <a:xfrm>
          <a:off x="4664364" y="6733020"/>
          <a:ext cx="95250" cy="444014"/>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60</xdr:row>
      <xdr:rowOff>0</xdr:rowOff>
    </xdr:from>
    <xdr:ext cx="95250" cy="171450"/>
    <xdr:sp macro="" textlink="">
      <xdr:nvSpPr>
        <xdr:cNvPr id="2761" name="Text Box 16">
          <a:extLst>
            <a:ext uri="{FF2B5EF4-FFF2-40B4-BE49-F238E27FC236}">
              <a16:creationId xmlns:a16="http://schemas.microsoft.com/office/drawing/2014/main" id="{00000000-0008-0000-0500-0000C90A0000}"/>
            </a:ext>
          </a:extLst>
        </xdr:cNvPr>
        <xdr:cNvSpPr txBox="1">
          <a:spLocks noChangeArrowheads="1"/>
        </xdr:cNvSpPr>
      </xdr:nvSpPr>
      <xdr:spPr bwMode="auto">
        <a:xfrm>
          <a:off x="4664364"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60</xdr:row>
      <xdr:rowOff>0</xdr:rowOff>
    </xdr:from>
    <xdr:ext cx="95250" cy="171450"/>
    <xdr:sp macro="" textlink="">
      <xdr:nvSpPr>
        <xdr:cNvPr id="2762" name="Text Box 17">
          <a:extLst>
            <a:ext uri="{FF2B5EF4-FFF2-40B4-BE49-F238E27FC236}">
              <a16:creationId xmlns:a16="http://schemas.microsoft.com/office/drawing/2014/main" id="{00000000-0008-0000-0500-0000CA0A0000}"/>
            </a:ext>
          </a:extLst>
        </xdr:cNvPr>
        <xdr:cNvSpPr txBox="1">
          <a:spLocks noChangeArrowheads="1"/>
        </xdr:cNvSpPr>
      </xdr:nvSpPr>
      <xdr:spPr bwMode="auto">
        <a:xfrm>
          <a:off x="4664364"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60</xdr:row>
      <xdr:rowOff>0</xdr:rowOff>
    </xdr:from>
    <xdr:ext cx="95250" cy="171450"/>
    <xdr:sp macro="" textlink="">
      <xdr:nvSpPr>
        <xdr:cNvPr id="2763" name="Text Box 18">
          <a:extLst>
            <a:ext uri="{FF2B5EF4-FFF2-40B4-BE49-F238E27FC236}">
              <a16:creationId xmlns:a16="http://schemas.microsoft.com/office/drawing/2014/main" id="{00000000-0008-0000-0500-0000CB0A0000}"/>
            </a:ext>
          </a:extLst>
        </xdr:cNvPr>
        <xdr:cNvSpPr txBox="1">
          <a:spLocks noChangeArrowheads="1"/>
        </xdr:cNvSpPr>
      </xdr:nvSpPr>
      <xdr:spPr bwMode="auto">
        <a:xfrm>
          <a:off x="4664364"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60</xdr:row>
      <xdr:rowOff>0</xdr:rowOff>
    </xdr:from>
    <xdr:ext cx="95250" cy="171450"/>
    <xdr:sp macro="" textlink="">
      <xdr:nvSpPr>
        <xdr:cNvPr id="2764" name="Text Box 19">
          <a:extLst>
            <a:ext uri="{FF2B5EF4-FFF2-40B4-BE49-F238E27FC236}">
              <a16:creationId xmlns:a16="http://schemas.microsoft.com/office/drawing/2014/main" id="{00000000-0008-0000-0500-0000CC0A0000}"/>
            </a:ext>
          </a:extLst>
        </xdr:cNvPr>
        <xdr:cNvSpPr txBox="1">
          <a:spLocks noChangeArrowheads="1"/>
        </xdr:cNvSpPr>
      </xdr:nvSpPr>
      <xdr:spPr bwMode="auto">
        <a:xfrm>
          <a:off x="4664364"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60</xdr:row>
      <xdr:rowOff>0</xdr:rowOff>
    </xdr:from>
    <xdr:ext cx="95250" cy="171450"/>
    <xdr:sp macro="" textlink="">
      <xdr:nvSpPr>
        <xdr:cNvPr id="2765" name="Text Box 16">
          <a:extLst>
            <a:ext uri="{FF2B5EF4-FFF2-40B4-BE49-F238E27FC236}">
              <a16:creationId xmlns:a16="http://schemas.microsoft.com/office/drawing/2014/main" id="{00000000-0008-0000-0500-0000CD0A0000}"/>
            </a:ext>
          </a:extLst>
        </xdr:cNvPr>
        <xdr:cNvSpPr txBox="1">
          <a:spLocks noChangeArrowheads="1"/>
        </xdr:cNvSpPr>
      </xdr:nvSpPr>
      <xdr:spPr bwMode="auto">
        <a:xfrm>
          <a:off x="12540961"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60</xdr:row>
      <xdr:rowOff>0</xdr:rowOff>
    </xdr:from>
    <xdr:ext cx="95250" cy="171450"/>
    <xdr:sp macro="" textlink="">
      <xdr:nvSpPr>
        <xdr:cNvPr id="2766" name="Text Box 17">
          <a:extLst>
            <a:ext uri="{FF2B5EF4-FFF2-40B4-BE49-F238E27FC236}">
              <a16:creationId xmlns:a16="http://schemas.microsoft.com/office/drawing/2014/main" id="{00000000-0008-0000-0500-0000CE0A0000}"/>
            </a:ext>
          </a:extLst>
        </xdr:cNvPr>
        <xdr:cNvSpPr txBox="1">
          <a:spLocks noChangeArrowheads="1"/>
        </xdr:cNvSpPr>
      </xdr:nvSpPr>
      <xdr:spPr bwMode="auto">
        <a:xfrm>
          <a:off x="12540961"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1020762</xdr:colOff>
      <xdr:row>60</xdr:row>
      <xdr:rowOff>15875</xdr:rowOff>
    </xdr:from>
    <xdr:ext cx="95250" cy="171450"/>
    <xdr:sp macro="" textlink="">
      <xdr:nvSpPr>
        <xdr:cNvPr id="2767" name="Text Box 18">
          <a:extLst>
            <a:ext uri="{FF2B5EF4-FFF2-40B4-BE49-F238E27FC236}">
              <a16:creationId xmlns:a16="http://schemas.microsoft.com/office/drawing/2014/main" id="{00000000-0008-0000-0500-0000CF0A0000}"/>
            </a:ext>
          </a:extLst>
        </xdr:cNvPr>
        <xdr:cNvSpPr txBox="1">
          <a:spLocks noChangeArrowheads="1"/>
        </xdr:cNvSpPr>
      </xdr:nvSpPr>
      <xdr:spPr bwMode="auto">
        <a:xfrm>
          <a:off x="12485398" y="7116330"/>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60</xdr:row>
      <xdr:rowOff>0</xdr:rowOff>
    </xdr:from>
    <xdr:ext cx="95250" cy="171450"/>
    <xdr:sp macro="" textlink="">
      <xdr:nvSpPr>
        <xdr:cNvPr id="2768" name="Text Box 16">
          <a:extLst>
            <a:ext uri="{FF2B5EF4-FFF2-40B4-BE49-F238E27FC236}">
              <a16:creationId xmlns:a16="http://schemas.microsoft.com/office/drawing/2014/main" id="{00000000-0008-0000-0500-0000D00A0000}"/>
            </a:ext>
          </a:extLst>
        </xdr:cNvPr>
        <xdr:cNvSpPr txBox="1">
          <a:spLocks noChangeArrowheads="1"/>
        </xdr:cNvSpPr>
      </xdr:nvSpPr>
      <xdr:spPr bwMode="auto">
        <a:xfrm>
          <a:off x="15388070"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60</xdr:row>
      <xdr:rowOff>0</xdr:rowOff>
    </xdr:from>
    <xdr:ext cx="95250" cy="171450"/>
    <xdr:sp macro="" textlink="">
      <xdr:nvSpPr>
        <xdr:cNvPr id="2769" name="Text Box 17">
          <a:extLst>
            <a:ext uri="{FF2B5EF4-FFF2-40B4-BE49-F238E27FC236}">
              <a16:creationId xmlns:a16="http://schemas.microsoft.com/office/drawing/2014/main" id="{00000000-0008-0000-0500-0000D10A0000}"/>
            </a:ext>
          </a:extLst>
        </xdr:cNvPr>
        <xdr:cNvSpPr txBox="1">
          <a:spLocks noChangeArrowheads="1"/>
        </xdr:cNvSpPr>
      </xdr:nvSpPr>
      <xdr:spPr bwMode="auto">
        <a:xfrm>
          <a:off x="15388070"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60</xdr:row>
      <xdr:rowOff>0</xdr:rowOff>
    </xdr:from>
    <xdr:ext cx="95250" cy="171450"/>
    <xdr:sp macro="" textlink="">
      <xdr:nvSpPr>
        <xdr:cNvPr id="2770" name="Text Box 18">
          <a:extLst>
            <a:ext uri="{FF2B5EF4-FFF2-40B4-BE49-F238E27FC236}">
              <a16:creationId xmlns:a16="http://schemas.microsoft.com/office/drawing/2014/main" id="{00000000-0008-0000-0500-0000D20A0000}"/>
            </a:ext>
          </a:extLst>
        </xdr:cNvPr>
        <xdr:cNvSpPr txBox="1">
          <a:spLocks noChangeArrowheads="1"/>
        </xdr:cNvSpPr>
      </xdr:nvSpPr>
      <xdr:spPr bwMode="auto">
        <a:xfrm>
          <a:off x="15388070"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60</xdr:row>
      <xdr:rowOff>0</xdr:rowOff>
    </xdr:from>
    <xdr:ext cx="95250" cy="171450"/>
    <xdr:sp macro="" textlink="">
      <xdr:nvSpPr>
        <xdr:cNvPr id="2771" name="Text Box 19">
          <a:extLst>
            <a:ext uri="{FF2B5EF4-FFF2-40B4-BE49-F238E27FC236}">
              <a16:creationId xmlns:a16="http://schemas.microsoft.com/office/drawing/2014/main" id="{00000000-0008-0000-0500-0000D30A0000}"/>
            </a:ext>
          </a:extLst>
        </xdr:cNvPr>
        <xdr:cNvSpPr txBox="1">
          <a:spLocks noChangeArrowheads="1"/>
        </xdr:cNvSpPr>
      </xdr:nvSpPr>
      <xdr:spPr bwMode="auto">
        <a:xfrm>
          <a:off x="15388070"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60</xdr:row>
      <xdr:rowOff>0</xdr:rowOff>
    </xdr:from>
    <xdr:ext cx="95250" cy="171450"/>
    <xdr:sp macro="" textlink="">
      <xdr:nvSpPr>
        <xdr:cNvPr id="2772" name="Text Box 16">
          <a:extLst>
            <a:ext uri="{FF2B5EF4-FFF2-40B4-BE49-F238E27FC236}">
              <a16:creationId xmlns:a16="http://schemas.microsoft.com/office/drawing/2014/main" id="{00000000-0008-0000-0500-0000D40A0000}"/>
            </a:ext>
          </a:extLst>
        </xdr:cNvPr>
        <xdr:cNvSpPr txBox="1">
          <a:spLocks noChangeArrowheads="1"/>
        </xdr:cNvSpPr>
      </xdr:nvSpPr>
      <xdr:spPr bwMode="auto">
        <a:xfrm>
          <a:off x="15388070"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10</xdr:col>
      <xdr:colOff>28575</xdr:colOff>
      <xdr:row>60</xdr:row>
      <xdr:rowOff>170392</xdr:rowOff>
    </xdr:from>
    <xdr:ext cx="95250" cy="213632"/>
    <xdr:sp macro="" textlink="">
      <xdr:nvSpPr>
        <xdr:cNvPr id="2773" name="Text Box 15">
          <a:extLst>
            <a:ext uri="{FF2B5EF4-FFF2-40B4-BE49-F238E27FC236}">
              <a16:creationId xmlns:a16="http://schemas.microsoft.com/office/drawing/2014/main" id="{00000000-0008-0000-0500-0000D50A0000}"/>
            </a:ext>
          </a:extLst>
        </xdr:cNvPr>
        <xdr:cNvSpPr txBox="1">
          <a:spLocks noChangeArrowheads="1"/>
        </xdr:cNvSpPr>
      </xdr:nvSpPr>
      <xdr:spPr bwMode="auto">
        <a:xfrm>
          <a:off x="12578484" y="7270847"/>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60</xdr:row>
      <xdr:rowOff>504825</xdr:rowOff>
    </xdr:from>
    <xdr:ext cx="95250" cy="448496"/>
    <xdr:sp macro="" textlink="">
      <xdr:nvSpPr>
        <xdr:cNvPr id="2774" name="Text Box 15">
          <a:extLst>
            <a:ext uri="{FF2B5EF4-FFF2-40B4-BE49-F238E27FC236}">
              <a16:creationId xmlns:a16="http://schemas.microsoft.com/office/drawing/2014/main" id="{00000000-0008-0000-0500-0000D60A0000}"/>
            </a:ext>
          </a:extLst>
        </xdr:cNvPr>
        <xdr:cNvSpPr txBox="1">
          <a:spLocks noChangeArrowheads="1"/>
        </xdr:cNvSpPr>
      </xdr:nvSpPr>
      <xdr:spPr bwMode="auto">
        <a:xfrm>
          <a:off x="4664364" y="5994111"/>
          <a:ext cx="95250" cy="448496"/>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60</xdr:row>
      <xdr:rowOff>504825</xdr:rowOff>
    </xdr:from>
    <xdr:ext cx="95250" cy="442269"/>
    <xdr:sp macro="" textlink="">
      <xdr:nvSpPr>
        <xdr:cNvPr id="2775" name="Text Box 15">
          <a:extLst>
            <a:ext uri="{FF2B5EF4-FFF2-40B4-BE49-F238E27FC236}">
              <a16:creationId xmlns:a16="http://schemas.microsoft.com/office/drawing/2014/main" id="{00000000-0008-0000-0500-0000D70A0000}"/>
            </a:ext>
          </a:extLst>
        </xdr:cNvPr>
        <xdr:cNvSpPr txBox="1">
          <a:spLocks noChangeArrowheads="1"/>
        </xdr:cNvSpPr>
      </xdr:nvSpPr>
      <xdr:spPr bwMode="auto">
        <a:xfrm>
          <a:off x="12540961" y="5994111"/>
          <a:ext cx="95250" cy="442269"/>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60</xdr:row>
      <xdr:rowOff>504825</xdr:rowOff>
    </xdr:from>
    <xdr:ext cx="95250" cy="213632"/>
    <xdr:sp macro="" textlink="">
      <xdr:nvSpPr>
        <xdr:cNvPr id="2777" name="Text Box 15">
          <a:extLst>
            <a:ext uri="{FF2B5EF4-FFF2-40B4-BE49-F238E27FC236}">
              <a16:creationId xmlns:a16="http://schemas.microsoft.com/office/drawing/2014/main" id="{00000000-0008-0000-0500-0000D90A0000}"/>
            </a:ext>
          </a:extLst>
        </xdr:cNvPr>
        <xdr:cNvSpPr txBox="1">
          <a:spLocks noChangeArrowheads="1"/>
        </xdr:cNvSpPr>
      </xdr:nvSpPr>
      <xdr:spPr bwMode="auto">
        <a:xfrm>
          <a:off x="4664364" y="5994111"/>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60</xdr:row>
      <xdr:rowOff>504825</xdr:rowOff>
    </xdr:from>
    <xdr:ext cx="95250" cy="444331"/>
    <xdr:sp macro="" textlink="">
      <xdr:nvSpPr>
        <xdr:cNvPr id="2778" name="Text Box 15">
          <a:extLst>
            <a:ext uri="{FF2B5EF4-FFF2-40B4-BE49-F238E27FC236}">
              <a16:creationId xmlns:a16="http://schemas.microsoft.com/office/drawing/2014/main" id="{00000000-0008-0000-0500-0000DA0A0000}"/>
            </a:ext>
          </a:extLst>
        </xdr:cNvPr>
        <xdr:cNvSpPr txBox="1">
          <a:spLocks noChangeArrowheads="1"/>
        </xdr:cNvSpPr>
      </xdr:nvSpPr>
      <xdr:spPr bwMode="auto">
        <a:xfrm>
          <a:off x="4664364" y="5994111"/>
          <a:ext cx="95250" cy="444331"/>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10</xdr:col>
      <xdr:colOff>28575</xdr:colOff>
      <xdr:row>60</xdr:row>
      <xdr:rowOff>170392</xdr:rowOff>
    </xdr:from>
    <xdr:ext cx="95250" cy="213632"/>
    <xdr:sp macro="" textlink="">
      <xdr:nvSpPr>
        <xdr:cNvPr id="2779" name="Text Box 15">
          <a:extLst>
            <a:ext uri="{FF2B5EF4-FFF2-40B4-BE49-F238E27FC236}">
              <a16:creationId xmlns:a16="http://schemas.microsoft.com/office/drawing/2014/main" id="{00000000-0008-0000-0500-0000DB0A0000}"/>
            </a:ext>
          </a:extLst>
        </xdr:cNvPr>
        <xdr:cNvSpPr txBox="1">
          <a:spLocks noChangeArrowheads="1"/>
        </xdr:cNvSpPr>
      </xdr:nvSpPr>
      <xdr:spPr bwMode="auto">
        <a:xfrm>
          <a:off x="12578484" y="5793028"/>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66</xdr:row>
      <xdr:rowOff>0</xdr:rowOff>
    </xdr:from>
    <xdr:ext cx="95250" cy="171450"/>
    <xdr:sp macro="" textlink="">
      <xdr:nvSpPr>
        <xdr:cNvPr id="2780" name="Text Box 16">
          <a:extLst>
            <a:ext uri="{FF2B5EF4-FFF2-40B4-BE49-F238E27FC236}">
              <a16:creationId xmlns:a16="http://schemas.microsoft.com/office/drawing/2014/main" id="{00000000-0008-0000-0500-0000DC0A0000}"/>
            </a:ext>
          </a:extLst>
        </xdr:cNvPr>
        <xdr:cNvSpPr txBox="1">
          <a:spLocks noChangeArrowheads="1"/>
        </xdr:cNvSpPr>
      </xdr:nvSpPr>
      <xdr:spPr bwMode="auto">
        <a:xfrm>
          <a:off x="4664364"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66</xdr:row>
      <xdr:rowOff>0</xdr:rowOff>
    </xdr:from>
    <xdr:ext cx="95250" cy="171450"/>
    <xdr:sp macro="" textlink="">
      <xdr:nvSpPr>
        <xdr:cNvPr id="2781" name="Text Box 17">
          <a:extLst>
            <a:ext uri="{FF2B5EF4-FFF2-40B4-BE49-F238E27FC236}">
              <a16:creationId xmlns:a16="http://schemas.microsoft.com/office/drawing/2014/main" id="{00000000-0008-0000-0500-0000DD0A0000}"/>
            </a:ext>
          </a:extLst>
        </xdr:cNvPr>
        <xdr:cNvSpPr txBox="1">
          <a:spLocks noChangeArrowheads="1"/>
        </xdr:cNvSpPr>
      </xdr:nvSpPr>
      <xdr:spPr bwMode="auto">
        <a:xfrm>
          <a:off x="4664364"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66</xdr:row>
      <xdr:rowOff>0</xdr:rowOff>
    </xdr:from>
    <xdr:ext cx="95250" cy="171450"/>
    <xdr:sp macro="" textlink="">
      <xdr:nvSpPr>
        <xdr:cNvPr id="2782" name="Text Box 18">
          <a:extLst>
            <a:ext uri="{FF2B5EF4-FFF2-40B4-BE49-F238E27FC236}">
              <a16:creationId xmlns:a16="http://schemas.microsoft.com/office/drawing/2014/main" id="{00000000-0008-0000-0500-0000DE0A0000}"/>
            </a:ext>
          </a:extLst>
        </xdr:cNvPr>
        <xdr:cNvSpPr txBox="1">
          <a:spLocks noChangeArrowheads="1"/>
        </xdr:cNvSpPr>
      </xdr:nvSpPr>
      <xdr:spPr bwMode="auto">
        <a:xfrm>
          <a:off x="4664364"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66</xdr:row>
      <xdr:rowOff>0</xdr:rowOff>
    </xdr:from>
    <xdr:ext cx="95250" cy="171450"/>
    <xdr:sp macro="" textlink="">
      <xdr:nvSpPr>
        <xdr:cNvPr id="2783" name="Text Box 19">
          <a:extLst>
            <a:ext uri="{FF2B5EF4-FFF2-40B4-BE49-F238E27FC236}">
              <a16:creationId xmlns:a16="http://schemas.microsoft.com/office/drawing/2014/main" id="{00000000-0008-0000-0500-0000DF0A0000}"/>
            </a:ext>
          </a:extLst>
        </xdr:cNvPr>
        <xdr:cNvSpPr txBox="1">
          <a:spLocks noChangeArrowheads="1"/>
        </xdr:cNvSpPr>
      </xdr:nvSpPr>
      <xdr:spPr bwMode="auto">
        <a:xfrm>
          <a:off x="4664364"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66</xdr:row>
      <xdr:rowOff>0</xdr:rowOff>
    </xdr:from>
    <xdr:ext cx="95250" cy="171450"/>
    <xdr:sp macro="" textlink="">
      <xdr:nvSpPr>
        <xdr:cNvPr id="2784" name="Text Box 16">
          <a:extLst>
            <a:ext uri="{FF2B5EF4-FFF2-40B4-BE49-F238E27FC236}">
              <a16:creationId xmlns:a16="http://schemas.microsoft.com/office/drawing/2014/main" id="{00000000-0008-0000-0500-0000E00A0000}"/>
            </a:ext>
          </a:extLst>
        </xdr:cNvPr>
        <xdr:cNvSpPr txBox="1">
          <a:spLocks noChangeArrowheads="1"/>
        </xdr:cNvSpPr>
      </xdr:nvSpPr>
      <xdr:spPr bwMode="auto">
        <a:xfrm>
          <a:off x="12540961"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66</xdr:row>
      <xdr:rowOff>0</xdr:rowOff>
    </xdr:from>
    <xdr:ext cx="95250" cy="171450"/>
    <xdr:sp macro="" textlink="">
      <xdr:nvSpPr>
        <xdr:cNvPr id="2785" name="Text Box 17">
          <a:extLst>
            <a:ext uri="{FF2B5EF4-FFF2-40B4-BE49-F238E27FC236}">
              <a16:creationId xmlns:a16="http://schemas.microsoft.com/office/drawing/2014/main" id="{00000000-0008-0000-0500-0000E10A0000}"/>
            </a:ext>
          </a:extLst>
        </xdr:cNvPr>
        <xdr:cNvSpPr txBox="1">
          <a:spLocks noChangeArrowheads="1"/>
        </xdr:cNvSpPr>
      </xdr:nvSpPr>
      <xdr:spPr bwMode="auto">
        <a:xfrm>
          <a:off x="12540961"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66</xdr:row>
      <xdr:rowOff>0</xdr:rowOff>
    </xdr:from>
    <xdr:ext cx="95250" cy="171450"/>
    <xdr:sp macro="" textlink="">
      <xdr:nvSpPr>
        <xdr:cNvPr id="2786" name="Text Box 18">
          <a:extLst>
            <a:ext uri="{FF2B5EF4-FFF2-40B4-BE49-F238E27FC236}">
              <a16:creationId xmlns:a16="http://schemas.microsoft.com/office/drawing/2014/main" id="{00000000-0008-0000-0500-0000E20A0000}"/>
            </a:ext>
          </a:extLst>
        </xdr:cNvPr>
        <xdr:cNvSpPr txBox="1">
          <a:spLocks noChangeArrowheads="1"/>
        </xdr:cNvSpPr>
      </xdr:nvSpPr>
      <xdr:spPr bwMode="auto">
        <a:xfrm>
          <a:off x="12540961"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66</xdr:row>
      <xdr:rowOff>0</xdr:rowOff>
    </xdr:from>
    <xdr:ext cx="95250" cy="171450"/>
    <xdr:sp macro="" textlink="">
      <xdr:nvSpPr>
        <xdr:cNvPr id="2787" name="Text Box 19">
          <a:extLst>
            <a:ext uri="{FF2B5EF4-FFF2-40B4-BE49-F238E27FC236}">
              <a16:creationId xmlns:a16="http://schemas.microsoft.com/office/drawing/2014/main" id="{00000000-0008-0000-0500-0000E30A0000}"/>
            </a:ext>
          </a:extLst>
        </xdr:cNvPr>
        <xdr:cNvSpPr txBox="1">
          <a:spLocks noChangeArrowheads="1"/>
        </xdr:cNvSpPr>
      </xdr:nvSpPr>
      <xdr:spPr bwMode="auto">
        <a:xfrm>
          <a:off x="12540961"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21</xdr:col>
      <xdr:colOff>0</xdr:colOff>
      <xdr:row>66</xdr:row>
      <xdr:rowOff>0</xdr:rowOff>
    </xdr:from>
    <xdr:ext cx="95250" cy="171450"/>
    <xdr:sp macro="" textlink="">
      <xdr:nvSpPr>
        <xdr:cNvPr id="2788" name="Text Box 16">
          <a:extLst>
            <a:ext uri="{FF2B5EF4-FFF2-40B4-BE49-F238E27FC236}">
              <a16:creationId xmlns:a16="http://schemas.microsoft.com/office/drawing/2014/main" id="{00000000-0008-0000-0500-0000E40A0000}"/>
            </a:ext>
          </a:extLst>
        </xdr:cNvPr>
        <xdr:cNvSpPr txBox="1">
          <a:spLocks noChangeArrowheads="1"/>
        </xdr:cNvSpPr>
      </xdr:nvSpPr>
      <xdr:spPr bwMode="auto">
        <a:xfrm>
          <a:off x="21832455"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21</xdr:col>
      <xdr:colOff>0</xdr:colOff>
      <xdr:row>66</xdr:row>
      <xdr:rowOff>0</xdr:rowOff>
    </xdr:from>
    <xdr:ext cx="95250" cy="171450"/>
    <xdr:sp macro="" textlink="">
      <xdr:nvSpPr>
        <xdr:cNvPr id="2789" name="Text Box 17">
          <a:extLst>
            <a:ext uri="{FF2B5EF4-FFF2-40B4-BE49-F238E27FC236}">
              <a16:creationId xmlns:a16="http://schemas.microsoft.com/office/drawing/2014/main" id="{00000000-0008-0000-0500-0000E50A0000}"/>
            </a:ext>
          </a:extLst>
        </xdr:cNvPr>
        <xdr:cNvSpPr txBox="1">
          <a:spLocks noChangeArrowheads="1"/>
        </xdr:cNvSpPr>
      </xdr:nvSpPr>
      <xdr:spPr bwMode="auto">
        <a:xfrm>
          <a:off x="21832455"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21</xdr:col>
      <xdr:colOff>0</xdr:colOff>
      <xdr:row>66</xdr:row>
      <xdr:rowOff>0</xdr:rowOff>
    </xdr:from>
    <xdr:ext cx="95250" cy="171450"/>
    <xdr:sp macro="" textlink="">
      <xdr:nvSpPr>
        <xdr:cNvPr id="2790" name="Text Box 18">
          <a:extLst>
            <a:ext uri="{FF2B5EF4-FFF2-40B4-BE49-F238E27FC236}">
              <a16:creationId xmlns:a16="http://schemas.microsoft.com/office/drawing/2014/main" id="{00000000-0008-0000-0500-0000E60A0000}"/>
            </a:ext>
          </a:extLst>
        </xdr:cNvPr>
        <xdr:cNvSpPr txBox="1">
          <a:spLocks noChangeArrowheads="1"/>
        </xdr:cNvSpPr>
      </xdr:nvSpPr>
      <xdr:spPr bwMode="auto">
        <a:xfrm>
          <a:off x="21832455"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21</xdr:col>
      <xdr:colOff>0</xdr:colOff>
      <xdr:row>66</xdr:row>
      <xdr:rowOff>0</xdr:rowOff>
    </xdr:from>
    <xdr:ext cx="95250" cy="171450"/>
    <xdr:sp macro="" textlink="">
      <xdr:nvSpPr>
        <xdr:cNvPr id="2791" name="Text Box 19">
          <a:extLst>
            <a:ext uri="{FF2B5EF4-FFF2-40B4-BE49-F238E27FC236}">
              <a16:creationId xmlns:a16="http://schemas.microsoft.com/office/drawing/2014/main" id="{00000000-0008-0000-0500-0000E70A0000}"/>
            </a:ext>
          </a:extLst>
        </xdr:cNvPr>
        <xdr:cNvSpPr txBox="1">
          <a:spLocks noChangeArrowheads="1"/>
        </xdr:cNvSpPr>
      </xdr:nvSpPr>
      <xdr:spPr bwMode="auto">
        <a:xfrm>
          <a:off x="21832455"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62</xdr:row>
      <xdr:rowOff>504825</xdr:rowOff>
    </xdr:from>
    <xdr:ext cx="95250" cy="444014"/>
    <xdr:sp macro="" textlink="">
      <xdr:nvSpPr>
        <xdr:cNvPr id="2792" name="Text Box 15">
          <a:extLst>
            <a:ext uri="{FF2B5EF4-FFF2-40B4-BE49-F238E27FC236}">
              <a16:creationId xmlns:a16="http://schemas.microsoft.com/office/drawing/2014/main" id="{00000000-0008-0000-0500-0000E80A0000}"/>
            </a:ext>
          </a:extLst>
        </xdr:cNvPr>
        <xdr:cNvSpPr txBox="1">
          <a:spLocks noChangeArrowheads="1"/>
        </xdr:cNvSpPr>
      </xdr:nvSpPr>
      <xdr:spPr bwMode="auto">
        <a:xfrm>
          <a:off x="4664364" y="6733020"/>
          <a:ext cx="95250" cy="444014"/>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66</xdr:row>
      <xdr:rowOff>0</xdr:rowOff>
    </xdr:from>
    <xdr:ext cx="95250" cy="171450"/>
    <xdr:sp macro="" textlink="">
      <xdr:nvSpPr>
        <xdr:cNvPr id="2793" name="Text Box 16">
          <a:extLst>
            <a:ext uri="{FF2B5EF4-FFF2-40B4-BE49-F238E27FC236}">
              <a16:creationId xmlns:a16="http://schemas.microsoft.com/office/drawing/2014/main" id="{00000000-0008-0000-0500-0000E90A0000}"/>
            </a:ext>
          </a:extLst>
        </xdr:cNvPr>
        <xdr:cNvSpPr txBox="1">
          <a:spLocks noChangeArrowheads="1"/>
        </xdr:cNvSpPr>
      </xdr:nvSpPr>
      <xdr:spPr bwMode="auto">
        <a:xfrm>
          <a:off x="4664364"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66</xdr:row>
      <xdr:rowOff>0</xdr:rowOff>
    </xdr:from>
    <xdr:ext cx="95250" cy="171450"/>
    <xdr:sp macro="" textlink="">
      <xdr:nvSpPr>
        <xdr:cNvPr id="2794" name="Text Box 17">
          <a:extLst>
            <a:ext uri="{FF2B5EF4-FFF2-40B4-BE49-F238E27FC236}">
              <a16:creationId xmlns:a16="http://schemas.microsoft.com/office/drawing/2014/main" id="{00000000-0008-0000-0500-0000EA0A0000}"/>
            </a:ext>
          </a:extLst>
        </xdr:cNvPr>
        <xdr:cNvSpPr txBox="1">
          <a:spLocks noChangeArrowheads="1"/>
        </xdr:cNvSpPr>
      </xdr:nvSpPr>
      <xdr:spPr bwMode="auto">
        <a:xfrm>
          <a:off x="4664364"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66</xdr:row>
      <xdr:rowOff>0</xdr:rowOff>
    </xdr:from>
    <xdr:ext cx="95250" cy="171450"/>
    <xdr:sp macro="" textlink="">
      <xdr:nvSpPr>
        <xdr:cNvPr id="2795" name="Text Box 18">
          <a:extLst>
            <a:ext uri="{FF2B5EF4-FFF2-40B4-BE49-F238E27FC236}">
              <a16:creationId xmlns:a16="http://schemas.microsoft.com/office/drawing/2014/main" id="{00000000-0008-0000-0500-0000EB0A0000}"/>
            </a:ext>
          </a:extLst>
        </xdr:cNvPr>
        <xdr:cNvSpPr txBox="1">
          <a:spLocks noChangeArrowheads="1"/>
        </xdr:cNvSpPr>
      </xdr:nvSpPr>
      <xdr:spPr bwMode="auto">
        <a:xfrm>
          <a:off x="4664364"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66</xdr:row>
      <xdr:rowOff>0</xdr:rowOff>
    </xdr:from>
    <xdr:ext cx="95250" cy="171450"/>
    <xdr:sp macro="" textlink="">
      <xdr:nvSpPr>
        <xdr:cNvPr id="2796" name="Text Box 19">
          <a:extLst>
            <a:ext uri="{FF2B5EF4-FFF2-40B4-BE49-F238E27FC236}">
              <a16:creationId xmlns:a16="http://schemas.microsoft.com/office/drawing/2014/main" id="{00000000-0008-0000-0500-0000EC0A0000}"/>
            </a:ext>
          </a:extLst>
        </xdr:cNvPr>
        <xdr:cNvSpPr txBox="1">
          <a:spLocks noChangeArrowheads="1"/>
        </xdr:cNvSpPr>
      </xdr:nvSpPr>
      <xdr:spPr bwMode="auto">
        <a:xfrm>
          <a:off x="4664364"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66</xdr:row>
      <xdr:rowOff>0</xdr:rowOff>
    </xdr:from>
    <xdr:ext cx="95250" cy="171450"/>
    <xdr:sp macro="" textlink="">
      <xdr:nvSpPr>
        <xdr:cNvPr id="2797" name="Text Box 16">
          <a:extLst>
            <a:ext uri="{FF2B5EF4-FFF2-40B4-BE49-F238E27FC236}">
              <a16:creationId xmlns:a16="http://schemas.microsoft.com/office/drawing/2014/main" id="{00000000-0008-0000-0500-0000ED0A0000}"/>
            </a:ext>
          </a:extLst>
        </xdr:cNvPr>
        <xdr:cNvSpPr txBox="1">
          <a:spLocks noChangeArrowheads="1"/>
        </xdr:cNvSpPr>
      </xdr:nvSpPr>
      <xdr:spPr bwMode="auto">
        <a:xfrm>
          <a:off x="12540961"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66</xdr:row>
      <xdr:rowOff>0</xdr:rowOff>
    </xdr:from>
    <xdr:ext cx="95250" cy="171450"/>
    <xdr:sp macro="" textlink="">
      <xdr:nvSpPr>
        <xdr:cNvPr id="2798" name="Text Box 17">
          <a:extLst>
            <a:ext uri="{FF2B5EF4-FFF2-40B4-BE49-F238E27FC236}">
              <a16:creationId xmlns:a16="http://schemas.microsoft.com/office/drawing/2014/main" id="{00000000-0008-0000-0500-0000EE0A0000}"/>
            </a:ext>
          </a:extLst>
        </xdr:cNvPr>
        <xdr:cNvSpPr txBox="1">
          <a:spLocks noChangeArrowheads="1"/>
        </xdr:cNvSpPr>
      </xdr:nvSpPr>
      <xdr:spPr bwMode="auto">
        <a:xfrm>
          <a:off x="12540961"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66</xdr:row>
      <xdr:rowOff>0</xdr:rowOff>
    </xdr:from>
    <xdr:ext cx="95250" cy="171450"/>
    <xdr:sp macro="" textlink="">
      <xdr:nvSpPr>
        <xdr:cNvPr id="2799" name="Text Box 18">
          <a:extLst>
            <a:ext uri="{FF2B5EF4-FFF2-40B4-BE49-F238E27FC236}">
              <a16:creationId xmlns:a16="http://schemas.microsoft.com/office/drawing/2014/main" id="{00000000-0008-0000-0500-0000EF0A0000}"/>
            </a:ext>
          </a:extLst>
        </xdr:cNvPr>
        <xdr:cNvSpPr txBox="1">
          <a:spLocks noChangeArrowheads="1"/>
        </xdr:cNvSpPr>
      </xdr:nvSpPr>
      <xdr:spPr bwMode="auto">
        <a:xfrm>
          <a:off x="12540961"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66</xdr:row>
      <xdr:rowOff>0</xdr:rowOff>
    </xdr:from>
    <xdr:ext cx="95250" cy="171450"/>
    <xdr:sp macro="" textlink="">
      <xdr:nvSpPr>
        <xdr:cNvPr id="2800" name="Text Box 16">
          <a:extLst>
            <a:ext uri="{FF2B5EF4-FFF2-40B4-BE49-F238E27FC236}">
              <a16:creationId xmlns:a16="http://schemas.microsoft.com/office/drawing/2014/main" id="{00000000-0008-0000-0500-0000F00A0000}"/>
            </a:ext>
          </a:extLst>
        </xdr:cNvPr>
        <xdr:cNvSpPr txBox="1">
          <a:spLocks noChangeArrowheads="1"/>
        </xdr:cNvSpPr>
      </xdr:nvSpPr>
      <xdr:spPr bwMode="auto">
        <a:xfrm>
          <a:off x="15388070"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66</xdr:row>
      <xdr:rowOff>0</xdr:rowOff>
    </xdr:from>
    <xdr:ext cx="95250" cy="171450"/>
    <xdr:sp macro="" textlink="">
      <xdr:nvSpPr>
        <xdr:cNvPr id="2801" name="Text Box 17">
          <a:extLst>
            <a:ext uri="{FF2B5EF4-FFF2-40B4-BE49-F238E27FC236}">
              <a16:creationId xmlns:a16="http://schemas.microsoft.com/office/drawing/2014/main" id="{00000000-0008-0000-0500-0000F10A0000}"/>
            </a:ext>
          </a:extLst>
        </xdr:cNvPr>
        <xdr:cNvSpPr txBox="1">
          <a:spLocks noChangeArrowheads="1"/>
        </xdr:cNvSpPr>
      </xdr:nvSpPr>
      <xdr:spPr bwMode="auto">
        <a:xfrm>
          <a:off x="15388070"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66</xdr:row>
      <xdr:rowOff>0</xdr:rowOff>
    </xdr:from>
    <xdr:ext cx="95250" cy="171450"/>
    <xdr:sp macro="" textlink="">
      <xdr:nvSpPr>
        <xdr:cNvPr id="2802" name="Text Box 18">
          <a:extLst>
            <a:ext uri="{FF2B5EF4-FFF2-40B4-BE49-F238E27FC236}">
              <a16:creationId xmlns:a16="http://schemas.microsoft.com/office/drawing/2014/main" id="{00000000-0008-0000-0500-0000F20A0000}"/>
            </a:ext>
          </a:extLst>
        </xdr:cNvPr>
        <xdr:cNvSpPr txBox="1">
          <a:spLocks noChangeArrowheads="1"/>
        </xdr:cNvSpPr>
      </xdr:nvSpPr>
      <xdr:spPr bwMode="auto">
        <a:xfrm>
          <a:off x="15388070"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66</xdr:row>
      <xdr:rowOff>0</xdr:rowOff>
    </xdr:from>
    <xdr:ext cx="95250" cy="171450"/>
    <xdr:sp macro="" textlink="">
      <xdr:nvSpPr>
        <xdr:cNvPr id="2803" name="Text Box 19">
          <a:extLst>
            <a:ext uri="{FF2B5EF4-FFF2-40B4-BE49-F238E27FC236}">
              <a16:creationId xmlns:a16="http://schemas.microsoft.com/office/drawing/2014/main" id="{00000000-0008-0000-0500-0000F30A0000}"/>
            </a:ext>
          </a:extLst>
        </xdr:cNvPr>
        <xdr:cNvSpPr txBox="1">
          <a:spLocks noChangeArrowheads="1"/>
        </xdr:cNvSpPr>
      </xdr:nvSpPr>
      <xdr:spPr bwMode="auto">
        <a:xfrm>
          <a:off x="15388070"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66</xdr:row>
      <xdr:rowOff>0</xdr:rowOff>
    </xdr:from>
    <xdr:ext cx="95250" cy="171450"/>
    <xdr:sp macro="" textlink="">
      <xdr:nvSpPr>
        <xdr:cNvPr id="2804" name="Text Box 16">
          <a:extLst>
            <a:ext uri="{FF2B5EF4-FFF2-40B4-BE49-F238E27FC236}">
              <a16:creationId xmlns:a16="http://schemas.microsoft.com/office/drawing/2014/main" id="{00000000-0008-0000-0500-0000F40A0000}"/>
            </a:ext>
          </a:extLst>
        </xdr:cNvPr>
        <xdr:cNvSpPr txBox="1">
          <a:spLocks noChangeArrowheads="1"/>
        </xdr:cNvSpPr>
      </xdr:nvSpPr>
      <xdr:spPr bwMode="auto">
        <a:xfrm>
          <a:off x="15388070"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66</xdr:row>
      <xdr:rowOff>0</xdr:rowOff>
    </xdr:from>
    <xdr:ext cx="95250" cy="171450"/>
    <xdr:sp macro="" textlink="">
      <xdr:nvSpPr>
        <xdr:cNvPr id="2805" name="Text Box 17">
          <a:extLst>
            <a:ext uri="{FF2B5EF4-FFF2-40B4-BE49-F238E27FC236}">
              <a16:creationId xmlns:a16="http://schemas.microsoft.com/office/drawing/2014/main" id="{00000000-0008-0000-0500-0000F50A0000}"/>
            </a:ext>
          </a:extLst>
        </xdr:cNvPr>
        <xdr:cNvSpPr txBox="1">
          <a:spLocks noChangeArrowheads="1"/>
        </xdr:cNvSpPr>
      </xdr:nvSpPr>
      <xdr:spPr bwMode="auto">
        <a:xfrm>
          <a:off x="15388070"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66</xdr:row>
      <xdr:rowOff>0</xdr:rowOff>
    </xdr:from>
    <xdr:ext cx="95250" cy="171450"/>
    <xdr:sp macro="" textlink="">
      <xdr:nvSpPr>
        <xdr:cNvPr id="2806" name="Text Box 18">
          <a:extLst>
            <a:ext uri="{FF2B5EF4-FFF2-40B4-BE49-F238E27FC236}">
              <a16:creationId xmlns:a16="http://schemas.microsoft.com/office/drawing/2014/main" id="{00000000-0008-0000-0500-0000F60A0000}"/>
            </a:ext>
          </a:extLst>
        </xdr:cNvPr>
        <xdr:cNvSpPr txBox="1">
          <a:spLocks noChangeArrowheads="1"/>
        </xdr:cNvSpPr>
      </xdr:nvSpPr>
      <xdr:spPr bwMode="auto">
        <a:xfrm>
          <a:off x="15388070"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66</xdr:row>
      <xdr:rowOff>0</xdr:rowOff>
    </xdr:from>
    <xdr:ext cx="95250" cy="171450"/>
    <xdr:sp macro="" textlink="">
      <xdr:nvSpPr>
        <xdr:cNvPr id="2807" name="Text Box 19">
          <a:extLst>
            <a:ext uri="{FF2B5EF4-FFF2-40B4-BE49-F238E27FC236}">
              <a16:creationId xmlns:a16="http://schemas.microsoft.com/office/drawing/2014/main" id="{00000000-0008-0000-0500-0000F70A0000}"/>
            </a:ext>
          </a:extLst>
        </xdr:cNvPr>
        <xdr:cNvSpPr txBox="1">
          <a:spLocks noChangeArrowheads="1"/>
        </xdr:cNvSpPr>
      </xdr:nvSpPr>
      <xdr:spPr bwMode="auto">
        <a:xfrm>
          <a:off x="15388070"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60</xdr:row>
      <xdr:rowOff>504825</xdr:rowOff>
    </xdr:from>
    <xdr:ext cx="95250" cy="456743"/>
    <xdr:sp macro="" textlink="">
      <xdr:nvSpPr>
        <xdr:cNvPr id="2808" name="Text Box 15">
          <a:extLst>
            <a:ext uri="{FF2B5EF4-FFF2-40B4-BE49-F238E27FC236}">
              <a16:creationId xmlns:a16="http://schemas.microsoft.com/office/drawing/2014/main" id="{00000000-0008-0000-0500-0000F80A0000}"/>
            </a:ext>
          </a:extLst>
        </xdr:cNvPr>
        <xdr:cNvSpPr txBox="1">
          <a:spLocks noChangeArrowheads="1"/>
        </xdr:cNvSpPr>
      </xdr:nvSpPr>
      <xdr:spPr bwMode="auto">
        <a:xfrm>
          <a:off x="4664364" y="5994111"/>
          <a:ext cx="95250" cy="456743"/>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60</xdr:row>
      <xdr:rowOff>504825</xdr:rowOff>
    </xdr:from>
    <xdr:ext cx="95250" cy="442269"/>
    <xdr:sp macro="" textlink="">
      <xdr:nvSpPr>
        <xdr:cNvPr id="2809" name="Text Box 15">
          <a:extLst>
            <a:ext uri="{FF2B5EF4-FFF2-40B4-BE49-F238E27FC236}">
              <a16:creationId xmlns:a16="http://schemas.microsoft.com/office/drawing/2014/main" id="{00000000-0008-0000-0500-0000F90A0000}"/>
            </a:ext>
          </a:extLst>
        </xdr:cNvPr>
        <xdr:cNvSpPr txBox="1">
          <a:spLocks noChangeArrowheads="1"/>
        </xdr:cNvSpPr>
      </xdr:nvSpPr>
      <xdr:spPr bwMode="auto">
        <a:xfrm>
          <a:off x="12540961" y="5994111"/>
          <a:ext cx="95250" cy="442269"/>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60</xdr:row>
      <xdr:rowOff>504825</xdr:rowOff>
    </xdr:from>
    <xdr:ext cx="95250" cy="213632"/>
    <xdr:sp macro="" textlink="">
      <xdr:nvSpPr>
        <xdr:cNvPr id="2811" name="Text Box 15">
          <a:extLst>
            <a:ext uri="{FF2B5EF4-FFF2-40B4-BE49-F238E27FC236}">
              <a16:creationId xmlns:a16="http://schemas.microsoft.com/office/drawing/2014/main" id="{00000000-0008-0000-0500-0000FB0A0000}"/>
            </a:ext>
          </a:extLst>
        </xdr:cNvPr>
        <xdr:cNvSpPr txBox="1">
          <a:spLocks noChangeArrowheads="1"/>
        </xdr:cNvSpPr>
      </xdr:nvSpPr>
      <xdr:spPr bwMode="auto">
        <a:xfrm>
          <a:off x="4664364" y="5994111"/>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60</xdr:row>
      <xdr:rowOff>504825</xdr:rowOff>
    </xdr:from>
    <xdr:ext cx="95250" cy="444331"/>
    <xdr:sp macro="" textlink="">
      <xdr:nvSpPr>
        <xdr:cNvPr id="2812" name="Text Box 15">
          <a:extLst>
            <a:ext uri="{FF2B5EF4-FFF2-40B4-BE49-F238E27FC236}">
              <a16:creationId xmlns:a16="http://schemas.microsoft.com/office/drawing/2014/main" id="{00000000-0008-0000-0500-0000FC0A0000}"/>
            </a:ext>
          </a:extLst>
        </xdr:cNvPr>
        <xdr:cNvSpPr txBox="1">
          <a:spLocks noChangeArrowheads="1"/>
        </xdr:cNvSpPr>
      </xdr:nvSpPr>
      <xdr:spPr bwMode="auto">
        <a:xfrm>
          <a:off x="4664364" y="5994111"/>
          <a:ext cx="95250" cy="444331"/>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60</xdr:row>
      <xdr:rowOff>504825</xdr:rowOff>
    </xdr:from>
    <xdr:ext cx="95250" cy="213632"/>
    <xdr:sp macro="" textlink="">
      <xdr:nvSpPr>
        <xdr:cNvPr id="2813" name="Text Box 15">
          <a:extLst>
            <a:ext uri="{FF2B5EF4-FFF2-40B4-BE49-F238E27FC236}">
              <a16:creationId xmlns:a16="http://schemas.microsoft.com/office/drawing/2014/main" id="{00000000-0008-0000-0500-0000FD0A0000}"/>
            </a:ext>
          </a:extLst>
        </xdr:cNvPr>
        <xdr:cNvSpPr txBox="1">
          <a:spLocks noChangeArrowheads="1"/>
        </xdr:cNvSpPr>
      </xdr:nvSpPr>
      <xdr:spPr bwMode="auto">
        <a:xfrm>
          <a:off x="12540961" y="5994111"/>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66</xdr:row>
      <xdr:rowOff>0</xdr:rowOff>
    </xdr:from>
    <xdr:ext cx="95250" cy="171450"/>
    <xdr:sp macro="" textlink="">
      <xdr:nvSpPr>
        <xdr:cNvPr id="2814" name="Text Box 16">
          <a:extLst>
            <a:ext uri="{FF2B5EF4-FFF2-40B4-BE49-F238E27FC236}">
              <a16:creationId xmlns:a16="http://schemas.microsoft.com/office/drawing/2014/main" id="{00000000-0008-0000-0500-0000FE0A0000}"/>
            </a:ext>
          </a:extLst>
        </xdr:cNvPr>
        <xdr:cNvSpPr txBox="1">
          <a:spLocks noChangeArrowheads="1"/>
        </xdr:cNvSpPr>
      </xdr:nvSpPr>
      <xdr:spPr bwMode="auto">
        <a:xfrm>
          <a:off x="4664364"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66</xdr:row>
      <xdr:rowOff>0</xdr:rowOff>
    </xdr:from>
    <xdr:ext cx="95250" cy="171450"/>
    <xdr:sp macro="" textlink="">
      <xdr:nvSpPr>
        <xdr:cNvPr id="2815" name="Text Box 17">
          <a:extLst>
            <a:ext uri="{FF2B5EF4-FFF2-40B4-BE49-F238E27FC236}">
              <a16:creationId xmlns:a16="http://schemas.microsoft.com/office/drawing/2014/main" id="{00000000-0008-0000-0500-0000FF0A0000}"/>
            </a:ext>
          </a:extLst>
        </xdr:cNvPr>
        <xdr:cNvSpPr txBox="1">
          <a:spLocks noChangeArrowheads="1"/>
        </xdr:cNvSpPr>
      </xdr:nvSpPr>
      <xdr:spPr bwMode="auto">
        <a:xfrm>
          <a:off x="4664364"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66</xdr:row>
      <xdr:rowOff>0</xdr:rowOff>
    </xdr:from>
    <xdr:ext cx="95250" cy="171450"/>
    <xdr:sp macro="" textlink="">
      <xdr:nvSpPr>
        <xdr:cNvPr id="2816" name="Text Box 18">
          <a:extLst>
            <a:ext uri="{FF2B5EF4-FFF2-40B4-BE49-F238E27FC236}">
              <a16:creationId xmlns:a16="http://schemas.microsoft.com/office/drawing/2014/main" id="{00000000-0008-0000-0500-0000000B0000}"/>
            </a:ext>
          </a:extLst>
        </xdr:cNvPr>
        <xdr:cNvSpPr txBox="1">
          <a:spLocks noChangeArrowheads="1"/>
        </xdr:cNvSpPr>
      </xdr:nvSpPr>
      <xdr:spPr bwMode="auto">
        <a:xfrm>
          <a:off x="4664364"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66</xdr:row>
      <xdr:rowOff>0</xdr:rowOff>
    </xdr:from>
    <xdr:ext cx="95250" cy="171450"/>
    <xdr:sp macro="" textlink="">
      <xdr:nvSpPr>
        <xdr:cNvPr id="2817" name="Text Box 19">
          <a:extLst>
            <a:ext uri="{FF2B5EF4-FFF2-40B4-BE49-F238E27FC236}">
              <a16:creationId xmlns:a16="http://schemas.microsoft.com/office/drawing/2014/main" id="{00000000-0008-0000-0500-0000010B0000}"/>
            </a:ext>
          </a:extLst>
        </xdr:cNvPr>
        <xdr:cNvSpPr txBox="1">
          <a:spLocks noChangeArrowheads="1"/>
        </xdr:cNvSpPr>
      </xdr:nvSpPr>
      <xdr:spPr bwMode="auto">
        <a:xfrm>
          <a:off x="4664364"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66</xdr:row>
      <xdr:rowOff>0</xdr:rowOff>
    </xdr:from>
    <xdr:ext cx="95250" cy="171450"/>
    <xdr:sp macro="" textlink="">
      <xdr:nvSpPr>
        <xdr:cNvPr id="2818" name="Text Box 16">
          <a:extLst>
            <a:ext uri="{FF2B5EF4-FFF2-40B4-BE49-F238E27FC236}">
              <a16:creationId xmlns:a16="http://schemas.microsoft.com/office/drawing/2014/main" id="{00000000-0008-0000-0500-0000020B0000}"/>
            </a:ext>
          </a:extLst>
        </xdr:cNvPr>
        <xdr:cNvSpPr txBox="1">
          <a:spLocks noChangeArrowheads="1"/>
        </xdr:cNvSpPr>
      </xdr:nvSpPr>
      <xdr:spPr bwMode="auto">
        <a:xfrm>
          <a:off x="12540961"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66</xdr:row>
      <xdr:rowOff>0</xdr:rowOff>
    </xdr:from>
    <xdr:ext cx="95250" cy="171450"/>
    <xdr:sp macro="" textlink="">
      <xdr:nvSpPr>
        <xdr:cNvPr id="2819" name="Text Box 17">
          <a:extLst>
            <a:ext uri="{FF2B5EF4-FFF2-40B4-BE49-F238E27FC236}">
              <a16:creationId xmlns:a16="http://schemas.microsoft.com/office/drawing/2014/main" id="{00000000-0008-0000-0500-0000030B0000}"/>
            </a:ext>
          </a:extLst>
        </xdr:cNvPr>
        <xdr:cNvSpPr txBox="1">
          <a:spLocks noChangeArrowheads="1"/>
        </xdr:cNvSpPr>
      </xdr:nvSpPr>
      <xdr:spPr bwMode="auto">
        <a:xfrm>
          <a:off x="12540961"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66</xdr:row>
      <xdr:rowOff>0</xdr:rowOff>
    </xdr:from>
    <xdr:ext cx="95250" cy="171450"/>
    <xdr:sp macro="" textlink="">
      <xdr:nvSpPr>
        <xdr:cNvPr id="2820" name="Text Box 18">
          <a:extLst>
            <a:ext uri="{FF2B5EF4-FFF2-40B4-BE49-F238E27FC236}">
              <a16:creationId xmlns:a16="http://schemas.microsoft.com/office/drawing/2014/main" id="{00000000-0008-0000-0500-0000040B0000}"/>
            </a:ext>
          </a:extLst>
        </xdr:cNvPr>
        <xdr:cNvSpPr txBox="1">
          <a:spLocks noChangeArrowheads="1"/>
        </xdr:cNvSpPr>
      </xdr:nvSpPr>
      <xdr:spPr bwMode="auto">
        <a:xfrm>
          <a:off x="12540961"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66</xdr:row>
      <xdr:rowOff>0</xdr:rowOff>
    </xdr:from>
    <xdr:ext cx="95250" cy="171450"/>
    <xdr:sp macro="" textlink="">
      <xdr:nvSpPr>
        <xdr:cNvPr id="2821" name="Text Box 19">
          <a:extLst>
            <a:ext uri="{FF2B5EF4-FFF2-40B4-BE49-F238E27FC236}">
              <a16:creationId xmlns:a16="http://schemas.microsoft.com/office/drawing/2014/main" id="{00000000-0008-0000-0500-0000050B0000}"/>
            </a:ext>
          </a:extLst>
        </xdr:cNvPr>
        <xdr:cNvSpPr txBox="1">
          <a:spLocks noChangeArrowheads="1"/>
        </xdr:cNvSpPr>
      </xdr:nvSpPr>
      <xdr:spPr bwMode="auto">
        <a:xfrm>
          <a:off x="12540961"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21</xdr:col>
      <xdr:colOff>0</xdr:colOff>
      <xdr:row>66</xdr:row>
      <xdr:rowOff>0</xdr:rowOff>
    </xdr:from>
    <xdr:ext cx="95250" cy="171450"/>
    <xdr:sp macro="" textlink="">
      <xdr:nvSpPr>
        <xdr:cNvPr id="2822" name="Text Box 16">
          <a:extLst>
            <a:ext uri="{FF2B5EF4-FFF2-40B4-BE49-F238E27FC236}">
              <a16:creationId xmlns:a16="http://schemas.microsoft.com/office/drawing/2014/main" id="{00000000-0008-0000-0500-0000060B0000}"/>
            </a:ext>
          </a:extLst>
        </xdr:cNvPr>
        <xdr:cNvSpPr txBox="1">
          <a:spLocks noChangeArrowheads="1"/>
        </xdr:cNvSpPr>
      </xdr:nvSpPr>
      <xdr:spPr bwMode="auto">
        <a:xfrm>
          <a:off x="21832455"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21</xdr:col>
      <xdr:colOff>0</xdr:colOff>
      <xdr:row>66</xdr:row>
      <xdr:rowOff>0</xdr:rowOff>
    </xdr:from>
    <xdr:ext cx="95250" cy="171450"/>
    <xdr:sp macro="" textlink="">
      <xdr:nvSpPr>
        <xdr:cNvPr id="2823" name="Text Box 17">
          <a:extLst>
            <a:ext uri="{FF2B5EF4-FFF2-40B4-BE49-F238E27FC236}">
              <a16:creationId xmlns:a16="http://schemas.microsoft.com/office/drawing/2014/main" id="{00000000-0008-0000-0500-0000070B0000}"/>
            </a:ext>
          </a:extLst>
        </xdr:cNvPr>
        <xdr:cNvSpPr txBox="1">
          <a:spLocks noChangeArrowheads="1"/>
        </xdr:cNvSpPr>
      </xdr:nvSpPr>
      <xdr:spPr bwMode="auto">
        <a:xfrm>
          <a:off x="21832455"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21</xdr:col>
      <xdr:colOff>0</xdr:colOff>
      <xdr:row>66</xdr:row>
      <xdr:rowOff>0</xdr:rowOff>
    </xdr:from>
    <xdr:ext cx="95250" cy="171450"/>
    <xdr:sp macro="" textlink="">
      <xdr:nvSpPr>
        <xdr:cNvPr id="2824" name="Text Box 18">
          <a:extLst>
            <a:ext uri="{FF2B5EF4-FFF2-40B4-BE49-F238E27FC236}">
              <a16:creationId xmlns:a16="http://schemas.microsoft.com/office/drawing/2014/main" id="{00000000-0008-0000-0500-0000080B0000}"/>
            </a:ext>
          </a:extLst>
        </xdr:cNvPr>
        <xdr:cNvSpPr txBox="1">
          <a:spLocks noChangeArrowheads="1"/>
        </xdr:cNvSpPr>
      </xdr:nvSpPr>
      <xdr:spPr bwMode="auto">
        <a:xfrm>
          <a:off x="21832455"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21</xdr:col>
      <xdr:colOff>0</xdr:colOff>
      <xdr:row>66</xdr:row>
      <xdr:rowOff>0</xdr:rowOff>
    </xdr:from>
    <xdr:ext cx="95250" cy="171450"/>
    <xdr:sp macro="" textlink="">
      <xdr:nvSpPr>
        <xdr:cNvPr id="2825" name="Text Box 19">
          <a:extLst>
            <a:ext uri="{FF2B5EF4-FFF2-40B4-BE49-F238E27FC236}">
              <a16:creationId xmlns:a16="http://schemas.microsoft.com/office/drawing/2014/main" id="{00000000-0008-0000-0500-0000090B0000}"/>
            </a:ext>
          </a:extLst>
        </xdr:cNvPr>
        <xdr:cNvSpPr txBox="1">
          <a:spLocks noChangeArrowheads="1"/>
        </xdr:cNvSpPr>
      </xdr:nvSpPr>
      <xdr:spPr bwMode="auto">
        <a:xfrm>
          <a:off x="21832455"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62</xdr:row>
      <xdr:rowOff>504825</xdr:rowOff>
    </xdr:from>
    <xdr:ext cx="95250" cy="444014"/>
    <xdr:sp macro="" textlink="">
      <xdr:nvSpPr>
        <xdr:cNvPr id="2826" name="Text Box 15">
          <a:extLst>
            <a:ext uri="{FF2B5EF4-FFF2-40B4-BE49-F238E27FC236}">
              <a16:creationId xmlns:a16="http://schemas.microsoft.com/office/drawing/2014/main" id="{00000000-0008-0000-0500-00000A0B0000}"/>
            </a:ext>
          </a:extLst>
        </xdr:cNvPr>
        <xdr:cNvSpPr txBox="1">
          <a:spLocks noChangeArrowheads="1"/>
        </xdr:cNvSpPr>
      </xdr:nvSpPr>
      <xdr:spPr bwMode="auto">
        <a:xfrm>
          <a:off x="4664364" y="6733020"/>
          <a:ext cx="95250" cy="444014"/>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66</xdr:row>
      <xdr:rowOff>0</xdr:rowOff>
    </xdr:from>
    <xdr:ext cx="95250" cy="171450"/>
    <xdr:sp macro="" textlink="">
      <xdr:nvSpPr>
        <xdr:cNvPr id="2827" name="Text Box 16">
          <a:extLst>
            <a:ext uri="{FF2B5EF4-FFF2-40B4-BE49-F238E27FC236}">
              <a16:creationId xmlns:a16="http://schemas.microsoft.com/office/drawing/2014/main" id="{00000000-0008-0000-0500-00000B0B0000}"/>
            </a:ext>
          </a:extLst>
        </xdr:cNvPr>
        <xdr:cNvSpPr txBox="1">
          <a:spLocks noChangeArrowheads="1"/>
        </xdr:cNvSpPr>
      </xdr:nvSpPr>
      <xdr:spPr bwMode="auto">
        <a:xfrm>
          <a:off x="4664364"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66</xdr:row>
      <xdr:rowOff>0</xdr:rowOff>
    </xdr:from>
    <xdr:ext cx="95250" cy="171450"/>
    <xdr:sp macro="" textlink="">
      <xdr:nvSpPr>
        <xdr:cNvPr id="2828" name="Text Box 17">
          <a:extLst>
            <a:ext uri="{FF2B5EF4-FFF2-40B4-BE49-F238E27FC236}">
              <a16:creationId xmlns:a16="http://schemas.microsoft.com/office/drawing/2014/main" id="{00000000-0008-0000-0500-00000C0B0000}"/>
            </a:ext>
          </a:extLst>
        </xdr:cNvPr>
        <xdr:cNvSpPr txBox="1">
          <a:spLocks noChangeArrowheads="1"/>
        </xdr:cNvSpPr>
      </xdr:nvSpPr>
      <xdr:spPr bwMode="auto">
        <a:xfrm>
          <a:off x="4664364"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66</xdr:row>
      <xdr:rowOff>0</xdr:rowOff>
    </xdr:from>
    <xdr:ext cx="95250" cy="171450"/>
    <xdr:sp macro="" textlink="">
      <xdr:nvSpPr>
        <xdr:cNvPr id="2829" name="Text Box 18">
          <a:extLst>
            <a:ext uri="{FF2B5EF4-FFF2-40B4-BE49-F238E27FC236}">
              <a16:creationId xmlns:a16="http://schemas.microsoft.com/office/drawing/2014/main" id="{00000000-0008-0000-0500-00000D0B0000}"/>
            </a:ext>
          </a:extLst>
        </xdr:cNvPr>
        <xdr:cNvSpPr txBox="1">
          <a:spLocks noChangeArrowheads="1"/>
        </xdr:cNvSpPr>
      </xdr:nvSpPr>
      <xdr:spPr bwMode="auto">
        <a:xfrm>
          <a:off x="4664364"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66</xdr:row>
      <xdr:rowOff>0</xdr:rowOff>
    </xdr:from>
    <xdr:ext cx="95250" cy="171450"/>
    <xdr:sp macro="" textlink="">
      <xdr:nvSpPr>
        <xdr:cNvPr id="2830" name="Text Box 19">
          <a:extLst>
            <a:ext uri="{FF2B5EF4-FFF2-40B4-BE49-F238E27FC236}">
              <a16:creationId xmlns:a16="http://schemas.microsoft.com/office/drawing/2014/main" id="{00000000-0008-0000-0500-00000E0B0000}"/>
            </a:ext>
          </a:extLst>
        </xdr:cNvPr>
        <xdr:cNvSpPr txBox="1">
          <a:spLocks noChangeArrowheads="1"/>
        </xdr:cNvSpPr>
      </xdr:nvSpPr>
      <xdr:spPr bwMode="auto">
        <a:xfrm>
          <a:off x="4664364"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62</xdr:row>
      <xdr:rowOff>504825</xdr:rowOff>
    </xdr:from>
    <xdr:ext cx="95250" cy="442269"/>
    <xdr:sp macro="" textlink="">
      <xdr:nvSpPr>
        <xdr:cNvPr id="2831" name="Text Box 15">
          <a:extLst>
            <a:ext uri="{FF2B5EF4-FFF2-40B4-BE49-F238E27FC236}">
              <a16:creationId xmlns:a16="http://schemas.microsoft.com/office/drawing/2014/main" id="{00000000-0008-0000-0500-00000F0B0000}"/>
            </a:ext>
          </a:extLst>
        </xdr:cNvPr>
        <xdr:cNvSpPr txBox="1">
          <a:spLocks noChangeArrowheads="1"/>
        </xdr:cNvSpPr>
      </xdr:nvSpPr>
      <xdr:spPr bwMode="auto">
        <a:xfrm>
          <a:off x="12540961" y="6733020"/>
          <a:ext cx="95250" cy="442269"/>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66</xdr:row>
      <xdr:rowOff>0</xdr:rowOff>
    </xdr:from>
    <xdr:ext cx="95250" cy="171450"/>
    <xdr:sp macro="" textlink="">
      <xdr:nvSpPr>
        <xdr:cNvPr id="2832" name="Text Box 16">
          <a:extLst>
            <a:ext uri="{FF2B5EF4-FFF2-40B4-BE49-F238E27FC236}">
              <a16:creationId xmlns:a16="http://schemas.microsoft.com/office/drawing/2014/main" id="{00000000-0008-0000-0500-0000100B0000}"/>
            </a:ext>
          </a:extLst>
        </xdr:cNvPr>
        <xdr:cNvSpPr txBox="1">
          <a:spLocks noChangeArrowheads="1"/>
        </xdr:cNvSpPr>
      </xdr:nvSpPr>
      <xdr:spPr bwMode="auto">
        <a:xfrm>
          <a:off x="12540961"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66</xdr:row>
      <xdr:rowOff>0</xdr:rowOff>
    </xdr:from>
    <xdr:ext cx="95250" cy="171450"/>
    <xdr:sp macro="" textlink="">
      <xdr:nvSpPr>
        <xdr:cNvPr id="2833" name="Text Box 17">
          <a:extLst>
            <a:ext uri="{FF2B5EF4-FFF2-40B4-BE49-F238E27FC236}">
              <a16:creationId xmlns:a16="http://schemas.microsoft.com/office/drawing/2014/main" id="{00000000-0008-0000-0500-0000110B0000}"/>
            </a:ext>
          </a:extLst>
        </xdr:cNvPr>
        <xdr:cNvSpPr txBox="1">
          <a:spLocks noChangeArrowheads="1"/>
        </xdr:cNvSpPr>
      </xdr:nvSpPr>
      <xdr:spPr bwMode="auto">
        <a:xfrm>
          <a:off x="12540961"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66</xdr:row>
      <xdr:rowOff>0</xdr:rowOff>
    </xdr:from>
    <xdr:ext cx="95250" cy="171450"/>
    <xdr:sp macro="" textlink="">
      <xdr:nvSpPr>
        <xdr:cNvPr id="2834" name="Text Box 18">
          <a:extLst>
            <a:ext uri="{FF2B5EF4-FFF2-40B4-BE49-F238E27FC236}">
              <a16:creationId xmlns:a16="http://schemas.microsoft.com/office/drawing/2014/main" id="{00000000-0008-0000-0500-0000120B0000}"/>
            </a:ext>
          </a:extLst>
        </xdr:cNvPr>
        <xdr:cNvSpPr txBox="1">
          <a:spLocks noChangeArrowheads="1"/>
        </xdr:cNvSpPr>
      </xdr:nvSpPr>
      <xdr:spPr bwMode="auto">
        <a:xfrm>
          <a:off x="12540961"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66</xdr:row>
      <xdr:rowOff>0</xdr:rowOff>
    </xdr:from>
    <xdr:ext cx="95250" cy="171450"/>
    <xdr:sp macro="" textlink="">
      <xdr:nvSpPr>
        <xdr:cNvPr id="2835" name="Text Box 16">
          <a:extLst>
            <a:ext uri="{FF2B5EF4-FFF2-40B4-BE49-F238E27FC236}">
              <a16:creationId xmlns:a16="http://schemas.microsoft.com/office/drawing/2014/main" id="{00000000-0008-0000-0500-0000130B0000}"/>
            </a:ext>
          </a:extLst>
        </xdr:cNvPr>
        <xdr:cNvSpPr txBox="1">
          <a:spLocks noChangeArrowheads="1"/>
        </xdr:cNvSpPr>
      </xdr:nvSpPr>
      <xdr:spPr bwMode="auto">
        <a:xfrm>
          <a:off x="15388070"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66</xdr:row>
      <xdr:rowOff>0</xdr:rowOff>
    </xdr:from>
    <xdr:ext cx="95250" cy="171450"/>
    <xdr:sp macro="" textlink="">
      <xdr:nvSpPr>
        <xdr:cNvPr id="2836" name="Text Box 17">
          <a:extLst>
            <a:ext uri="{FF2B5EF4-FFF2-40B4-BE49-F238E27FC236}">
              <a16:creationId xmlns:a16="http://schemas.microsoft.com/office/drawing/2014/main" id="{00000000-0008-0000-0500-0000140B0000}"/>
            </a:ext>
          </a:extLst>
        </xdr:cNvPr>
        <xdr:cNvSpPr txBox="1">
          <a:spLocks noChangeArrowheads="1"/>
        </xdr:cNvSpPr>
      </xdr:nvSpPr>
      <xdr:spPr bwMode="auto">
        <a:xfrm>
          <a:off x="15388070"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66</xdr:row>
      <xdr:rowOff>0</xdr:rowOff>
    </xdr:from>
    <xdr:ext cx="95250" cy="171450"/>
    <xdr:sp macro="" textlink="">
      <xdr:nvSpPr>
        <xdr:cNvPr id="2837" name="Text Box 18">
          <a:extLst>
            <a:ext uri="{FF2B5EF4-FFF2-40B4-BE49-F238E27FC236}">
              <a16:creationId xmlns:a16="http://schemas.microsoft.com/office/drawing/2014/main" id="{00000000-0008-0000-0500-0000150B0000}"/>
            </a:ext>
          </a:extLst>
        </xdr:cNvPr>
        <xdr:cNvSpPr txBox="1">
          <a:spLocks noChangeArrowheads="1"/>
        </xdr:cNvSpPr>
      </xdr:nvSpPr>
      <xdr:spPr bwMode="auto">
        <a:xfrm>
          <a:off x="15388070"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66</xdr:row>
      <xdr:rowOff>0</xdr:rowOff>
    </xdr:from>
    <xdr:ext cx="95250" cy="171450"/>
    <xdr:sp macro="" textlink="">
      <xdr:nvSpPr>
        <xdr:cNvPr id="2838" name="Text Box 19">
          <a:extLst>
            <a:ext uri="{FF2B5EF4-FFF2-40B4-BE49-F238E27FC236}">
              <a16:creationId xmlns:a16="http://schemas.microsoft.com/office/drawing/2014/main" id="{00000000-0008-0000-0500-0000160B0000}"/>
            </a:ext>
          </a:extLst>
        </xdr:cNvPr>
        <xdr:cNvSpPr txBox="1">
          <a:spLocks noChangeArrowheads="1"/>
        </xdr:cNvSpPr>
      </xdr:nvSpPr>
      <xdr:spPr bwMode="auto">
        <a:xfrm>
          <a:off x="15388070"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66</xdr:row>
      <xdr:rowOff>0</xdr:rowOff>
    </xdr:from>
    <xdr:ext cx="95250" cy="171450"/>
    <xdr:sp macro="" textlink="">
      <xdr:nvSpPr>
        <xdr:cNvPr id="2839" name="Text Box 16">
          <a:extLst>
            <a:ext uri="{FF2B5EF4-FFF2-40B4-BE49-F238E27FC236}">
              <a16:creationId xmlns:a16="http://schemas.microsoft.com/office/drawing/2014/main" id="{00000000-0008-0000-0500-0000170B0000}"/>
            </a:ext>
          </a:extLst>
        </xdr:cNvPr>
        <xdr:cNvSpPr txBox="1">
          <a:spLocks noChangeArrowheads="1"/>
        </xdr:cNvSpPr>
      </xdr:nvSpPr>
      <xdr:spPr bwMode="auto">
        <a:xfrm>
          <a:off x="15388070"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66</xdr:row>
      <xdr:rowOff>0</xdr:rowOff>
    </xdr:from>
    <xdr:ext cx="95250" cy="171450"/>
    <xdr:sp macro="" textlink="">
      <xdr:nvSpPr>
        <xdr:cNvPr id="2840" name="Text Box 17">
          <a:extLst>
            <a:ext uri="{FF2B5EF4-FFF2-40B4-BE49-F238E27FC236}">
              <a16:creationId xmlns:a16="http://schemas.microsoft.com/office/drawing/2014/main" id="{00000000-0008-0000-0500-0000180B0000}"/>
            </a:ext>
          </a:extLst>
        </xdr:cNvPr>
        <xdr:cNvSpPr txBox="1">
          <a:spLocks noChangeArrowheads="1"/>
        </xdr:cNvSpPr>
      </xdr:nvSpPr>
      <xdr:spPr bwMode="auto">
        <a:xfrm>
          <a:off x="15388070"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66</xdr:row>
      <xdr:rowOff>0</xdr:rowOff>
    </xdr:from>
    <xdr:ext cx="95250" cy="171450"/>
    <xdr:sp macro="" textlink="">
      <xdr:nvSpPr>
        <xdr:cNvPr id="2841" name="Text Box 18">
          <a:extLst>
            <a:ext uri="{FF2B5EF4-FFF2-40B4-BE49-F238E27FC236}">
              <a16:creationId xmlns:a16="http://schemas.microsoft.com/office/drawing/2014/main" id="{00000000-0008-0000-0500-0000190B0000}"/>
            </a:ext>
          </a:extLst>
        </xdr:cNvPr>
        <xdr:cNvSpPr txBox="1">
          <a:spLocks noChangeArrowheads="1"/>
        </xdr:cNvSpPr>
      </xdr:nvSpPr>
      <xdr:spPr bwMode="auto">
        <a:xfrm>
          <a:off x="15388070"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10</xdr:col>
      <xdr:colOff>28575</xdr:colOff>
      <xdr:row>66</xdr:row>
      <xdr:rowOff>170392</xdr:rowOff>
    </xdr:from>
    <xdr:ext cx="95250" cy="213632"/>
    <xdr:sp macro="" textlink="">
      <xdr:nvSpPr>
        <xdr:cNvPr id="2842" name="Text Box 15">
          <a:extLst>
            <a:ext uri="{FF2B5EF4-FFF2-40B4-BE49-F238E27FC236}">
              <a16:creationId xmlns:a16="http://schemas.microsoft.com/office/drawing/2014/main" id="{00000000-0008-0000-0500-00001A0B0000}"/>
            </a:ext>
          </a:extLst>
        </xdr:cNvPr>
        <xdr:cNvSpPr txBox="1">
          <a:spLocks noChangeArrowheads="1"/>
        </xdr:cNvSpPr>
      </xdr:nvSpPr>
      <xdr:spPr bwMode="auto">
        <a:xfrm>
          <a:off x="12578484" y="7270847"/>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66</xdr:row>
      <xdr:rowOff>0</xdr:rowOff>
    </xdr:from>
    <xdr:ext cx="95250" cy="171450"/>
    <xdr:sp macro="" textlink="">
      <xdr:nvSpPr>
        <xdr:cNvPr id="2843" name="Text Box 16">
          <a:extLst>
            <a:ext uri="{FF2B5EF4-FFF2-40B4-BE49-F238E27FC236}">
              <a16:creationId xmlns:a16="http://schemas.microsoft.com/office/drawing/2014/main" id="{00000000-0008-0000-0500-00001B0B0000}"/>
            </a:ext>
          </a:extLst>
        </xdr:cNvPr>
        <xdr:cNvSpPr txBox="1">
          <a:spLocks noChangeArrowheads="1"/>
        </xdr:cNvSpPr>
      </xdr:nvSpPr>
      <xdr:spPr bwMode="auto">
        <a:xfrm>
          <a:off x="4664364"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66</xdr:row>
      <xdr:rowOff>0</xdr:rowOff>
    </xdr:from>
    <xdr:ext cx="95250" cy="171450"/>
    <xdr:sp macro="" textlink="">
      <xdr:nvSpPr>
        <xdr:cNvPr id="2844" name="Text Box 17">
          <a:extLst>
            <a:ext uri="{FF2B5EF4-FFF2-40B4-BE49-F238E27FC236}">
              <a16:creationId xmlns:a16="http://schemas.microsoft.com/office/drawing/2014/main" id="{00000000-0008-0000-0500-00001C0B0000}"/>
            </a:ext>
          </a:extLst>
        </xdr:cNvPr>
        <xdr:cNvSpPr txBox="1">
          <a:spLocks noChangeArrowheads="1"/>
        </xdr:cNvSpPr>
      </xdr:nvSpPr>
      <xdr:spPr bwMode="auto">
        <a:xfrm>
          <a:off x="4664364"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66</xdr:row>
      <xdr:rowOff>0</xdr:rowOff>
    </xdr:from>
    <xdr:ext cx="95250" cy="171450"/>
    <xdr:sp macro="" textlink="">
      <xdr:nvSpPr>
        <xdr:cNvPr id="2845" name="Text Box 18">
          <a:extLst>
            <a:ext uri="{FF2B5EF4-FFF2-40B4-BE49-F238E27FC236}">
              <a16:creationId xmlns:a16="http://schemas.microsoft.com/office/drawing/2014/main" id="{00000000-0008-0000-0500-00001D0B0000}"/>
            </a:ext>
          </a:extLst>
        </xdr:cNvPr>
        <xdr:cNvSpPr txBox="1">
          <a:spLocks noChangeArrowheads="1"/>
        </xdr:cNvSpPr>
      </xdr:nvSpPr>
      <xdr:spPr bwMode="auto">
        <a:xfrm>
          <a:off x="4664364"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66</xdr:row>
      <xdr:rowOff>0</xdr:rowOff>
    </xdr:from>
    <xdr:ext cx="95250" cy="171450"/>
    <xdr:sp macro="" textlink="">
      <xdr:nvSpPr>
        <xdr:cNvPr id="2846" name="Text Box 19">
          <a:extLst>
            <a:ext uri="{FF2B5EF4-FFF2-40B4-BE49-F238E27FC236}">
              <a16:creationId xmlns:a16="http://schemas.microsoft.com/office/drawing/2014/main" id="{00000000-0008-0000-0500-00001E0B0000}"/>
            </a:ext>
          </a:extLst>
        </xdr:cNvPr>
        <xdr:cNvSpPr txBox="1">
          <a:spLocks noChangeArrowheads="1"/>
        </xdr:cNvSpPr>
      </xdr:nvSpPr>
      <xdr:spPr bwMode="auto">
        <a:xfrm>
          <a:off x="4664364"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66</xdr:row>
      <xdr:rowOff>0</xdr:rowOff>
    </xdr:from>
    <xdr:ext cx="95250" cy="171450"/>
    <xdr:sp macro="" textlink="">
      <xdr:nvSpPr>
        <xdr:cNvPr id="2847" name="Text Box 16">
          <a:extLst>
            <a:ext uri="{FF2B5EF4-FFF2-40B4-BE49-F238E27FC236}">
              <a16:creationId xmlns:a16="http://schemas.microsoft.com/office/drawing/2014/main" id="{00000000-0008-0000-0500-00001F0B0000}"/>
            </a:ext>
          </a:extLst>
        </xdr:cNvPr>
        <xdr:cNvSpPr txBox="1">
          <a:spLocks noChangeArrowheads="1"/>
        </xdr:cNvSpPr>
      </xdr:nvSpPr>
      <xdr:spPr bwMode="auto">
        <a:xfrm>
          <a:off x="12540961"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66</xdr:row>
      <xdr:rowOff>0</xdr:rowOff>
    </xdr:from>
    <xdr:ext cx="95250" cy="171450"/>
    <xdr:sp macro="" textlink="">
      <xdr:nvSpPr>
        <xdr:cNvPr id="2848" name="Text Box 17">
          <a:extLst>
            <a:ext uri="{FF2B5EF4-FFF2-40B4-BE49-F238E27FC236}">
              <a16:creationId xmlns:a16="http://schemas.microsoft.com/office/drawing/2014/main" id="{00000000-0008-0000-0500-0000200B0000}"/>
            </a:ext>
          </a:extLst>
        </xdr:cNvPr>
        <xdr:cNvSpPr txBox="1">
          <a:spLocks noChangeArrowheads="1"/>
        </xdr:cNvSpPr>
      </xdr:nvSpPr>
      <xdr:spPr bwMode="auto">
        <a:xfrm>
          <a:off x="12540961"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66</xdr:row>
      <xdr:rowOff>0</xdr:rowOff>
    </xdr:from>
    <xdr:ext cx="95250" cy="171450"/>
    <xdr:sp macro="" textlink="">
      <xdr:nvSpPr>
        <xdr:cNvPr id="2849" name="Text Box 18">
          <a:extLst>
            <a:ext uri="{FF2B5EF4-FFF2-40B4-BE49-F238E27FC236}">
              <a16:creationId xmlns:a16="http://schemas.microsoft.com/office/drawing/2014/main" id="{00000000-0008-0000-0500-0000210B0000}"/>
            </a:ext>
          </a:extLst>
        </xdr:cNvPr>
        <xdr:cNvSpPr txBox="1">
          <a:spLocks noChangeArrowheads="1"/>
        </xdr:cNvSpPr>
      </xdr:nvSpPr>
      <xdr:spPr bwMode="auto">
        <a:xfrm>
          <a:off x="12540961"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66</xdr:row>
      <xdr:rowOff>0</xdr:rowOff>
    </xdr:from>
    <xdr:ext cx="95250" cy="171450"/>
    <xdr:sp macro="" textlink="">
      <xdr:nvSpPr>
        <xdr:cNvPr id="2850" name="Text Box 19">
          <a:extLst>
            <a:ext uri="{FF2B5EF4-FFF2-40B4-BE49-F238E27FC236}">
              <a16:creationId xmlns:a16="http://schemas.microsoft.com/office/drawing/2014/main" id="{00000000-0008-0000-0500-0000220B0000}"/>
            </a:ext>
          </a:extLst>
        </xdr:cNvPr>
        <xdr:cNvSpPr txBox="1">
          <a:spLocks noChangeArrowheads="1"/>
        </xdr:cNvSpPr>
      </xdr:nvSpPr>
      <xdr:spPr bwMode="auto">
        <a:xfrm>
          <a:off x="12540961"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21</xdr:col>
      <xdr:colOff>0</xdr:colOff>
      <xdr:row>61</xdr:row>
      <xdr:rowOff>0</xdr:rowOff>
    </xdr:from>
    <xdr:ext cx="95250" cy="171450"/>
    <xdr:sp macro="" textlink="">
      <xdr:nvSpPr>
        <xdr:cNvPr id="2851" name="Text Box 16">
          <a:extLst>
            <a:ext uri="{FF2B5EF4-FFF2-40B4-BE49-F238E27FC236}">
              <a16:creationId xmlns:a16="http://schemas.microsoft.com/office/drawing/2014/main" id="{00000000-0008-0000-0500-0000230B0000}"/>
            </a:ext>
          </a:extLst>
        </xdr:cNvPr>
        <xdr:cNvSpPr txBox="1">
          <a:spLocks noChangeArrowheads="1"/>
        </xdr:cNvSpPr>
      </xdr:nvSpPr>
      <xdr:spPr bwMode="auto">
        <a:xfrm>
          <a:off x="21832455" y="5992091"/>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21</xdr:col>
      <xdr:colOff>0</xdr:colOff>
      <xdr:row>61</xdr:row>
      <xdr:rowOff>0</xdr:rowOff>
    </xdr:from>
    <xdr:ext cx="95250" cy="171450"/>
    <xdr:sp macro="" textlink="">
      <xdr:nvSpPr>
        <xdr:cNvPr id="2852" name="Text Box 17">
          <a:extLst>
            <a:ext uri="{FF2B5EF4-FFF2-40B4-BE49-F238E27FC236}">
              <a16:creationId xmlns:a16="http://schemas.microsoft.com/office/drawing/2014/main" id="{00000000-0008-0000-0500-0000240B0000}"/>
            </a:ext>
          </a:extLst>
        </xdr:cNvPr>
        <xdr:cNvSpPr txBox="1">
          <a:spLocks noChangeArrowheads="1"/>
        </xdr:cNvSpPr>
      </xdr:nvSpPr>
      <xdr:spPr bwMode="auto">
        <a:xfrm>
          <a:off x="21832455" y="5992091"/>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21</xdr:col>
      <xdr:colOff>0</xdr:colOff>
      <xdr:row>61</xdr:row>
      <xdr:rowOff>0</xdr:rowOff>
    </xdr:from>
    <xdr:ext cx="95250" cy="171450"/>
    <xdr:sp macro="" textlink="">
      <xdr:nvSpPr>
        <xdr:cNvPr id="2853" name="Text Box 18">
          <a:extLst>
            <a:ext uri="{FF2B5EF4-FFF2-40B4-BE49-F238E27FC236}">
              <a16:creationId xmlns:a16="http://schemas.microsoft.com/office/drawing/2014/main" id="{00000000-0008-0000-0500-0000250B0000}"/>
            </a:ext>
          </a:extLst>
        </xdr:cNvPr>
        <xdr:cNvSpPr txBox="1">
          <a:spLocks noChangeArrowheads="1"/>
        </xdr:cNvSpPr>
      </xdr:nvSpPr>
      <xdr:spPr bwMode="auto">
        <a:xfrm>
          <a:off x="21832455" y="5992091"/>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21</xdr:col>
      <xdr:colOff>0</xdr:colOff>
      <xdr:row>61</xdr:row>
      <xdr:rowOff>0</xdr:rowOff>
    </xdr:from>
    <xdr:ext cx="95250" cy="171450"/>
    <xdr:sp macro="" textlink="">
      <xdr:nvSpPr>
        <xdr:cNvPr id="2854" name="Text Box 19">
          <a:extLst>
            <a:ext uri="{FF2B5EF4-FFF2-40B4-BE49-F238E27FC236}">
              <a16:creationId xmlns:a16="http://schemas.microsoft.com/office/drawing/2014/main" id="{00000000-0008-0000-0500-0000260B0000}"/>
            </a:ext>
          </a:extLst>
        </xdr:cNvPr>
        <xdr:cNvSpPr txBox="1">
          <a:spLocks noChangeArrowheads="1"/>
        </xdr:cNvSpPr>
      </xdr:nvSpPr>
      <xdr:spPr bwMode="auto">
        <a:xfrm>
          <a:off x="21832455" y="5992091"/>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62</xdr:row>
      <xdr:rowOff>504825</xdr:rowOff>
    </xdr:from>
    <xdr:ext cx="95250" cy="444014"/>
    <xdr:sp macro="" textlink="">
      <xdr:nvSpPr>
        <xdr:cNvPr id="2855" name="Text Box 15">
          <a:extLst>
            <a:ext uri="{FF2B5EF4-FFF2-40B4-BE49-F238E27FC236}">
              <a16:creationId xmlns:a16="http://schemas.microsoft.com/office/drawing/2014/main" id="{00000000-0008-0000-0500-0000270B0000}"/>
            </a:ext>
          </a:extLst>
        </xdr:cNvPr>
        <xdr:cNvSpPr txBox="1">
          <a:spLocks noChangeArrowheads="1"/>
        </xdr:cNvSpPr>
      </xdr:nvSpPr>
      <xdr:spPr bwMode="auto">
        <a:xfrm>
          <a:off x="4664364" y="6733020"/>
          <a:ext cx="95250" cy="444014"/>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66</xdr:row>
      <xdr:rowOff>0</xdr:rowOff>
    </xdr:from>
    <xdr:ext cx="95250" cy="171450"/>
    <xdr:sp macro="" textlink="">
      <xdr:nvSpPr>
        <xdr:cNvPr id="2856" name="Text Box 16">
          <a:extLst>
            <a:ext uri="{FF2B5EF4-FFF2-40B4-BE49-F238E27FC236}">
              <a16:creationId xmlns:a16="http://schemas.microsoft.com/office/drawing/2014/main" id="{00000000-0008-0000-0500-0000280B0000}"/>
            </a:ext>
          </a:extLst>
        </xdr:cNvPr>
        <xdr:cNvSpPr txBox="1">
          <a:spLocks noChangeArrowheads="1"/>
        </xdr:cNvSpPr>
      </xdr:nvSpPr>
      <xdr:spPr bwMode="auto">
        <a:xfrm>
          <a:off x="4664364"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66</xdr:row>
      <xdr:rowOff>0</xdr:rowOff>
    </xdr:from>
    <xdr:ext cx="95250" cy="171450"/>
    <xdr:sp macro="" textlink="">
      <xdr:nvSpPr>
        <xdr:cNvPr id="2857" name="Text Box 17">
          <a:extLst>
            <a:ext uri="{FF2B5EF4-FFF2-40B4-BE49-F238E27FC236}">
              <a16:creationId xmlns:a16="http://schemas.microsoft.com/office/drawing/2014/main" id="{00000000-0008-0000-0500-0000290B0000}"/>
            </a:ext>
          </a:extLst>
        </xdr:cNvPr>
        <xdr:cNvSpPr txBox="1">
          <a:spLocks noChangeArrowheads="1"/>
        </xdr:cNvSpPr>
      </xdr:nvSpPr>
      <xdr:spPr bwMode="auto">
        <a:xfrm>
          <a:off x="4664364"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66</xdr:row>
      <xdr:rowOff>0</xdr:rowOff>
    </xdr:from>
    <xdr:ext cx="95250" cy="171450"/>
    <xdr:sp macro="" textlink="">
      <xdr:nvSpPr>
        <xdr:cNvPr id="2858" name="Text Box 18">
          <a:extLst>
            <a:ext uri="{FF2B5EF4-FFF2-40B4-BE49-F238E27FC236}">
              <a16:creationId xmlns:a16="http://schemas.microsoft.com/office/drawing/2014/main" id="{00000000-0008-0000-0500-00002A0B0000}"/>
            </a:ext>
          </a:extLst>
        </xdr:cNvPr>
        <xdr:cNvSpPr txBox="1">
          <a:spLocks noChangeArrowheads="1"/>
        </xdr:cNvSpPr>
      </xdr:nvSpPr>
      <xdr:spPr bwMode="auto">
        <a:xfrm>
          <a:off x="4664364"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66</xdr:row>
      <xdr:rowOff>0</xdr:rowOff>
    </xdr:from>
    <xdr:ext cx="95250" cy="171450"/>
    <xdr:sp macro="" textlink="">
      <xdr:nvSpPr>
        <xdr:cNvPr id="2859" name="Text Box 19">
          <a:extLst>
            <a:ext uri="{FF2B5EF4-FFF2-40B4-BE49-F238E27FC236}">
              <a16:creationId xmlns:a16="http://schemas.microsoft.com/office/drawing/2014/main" id="{00000000-0008-0000-0500-00002B0B0000}"/>
            </a:ext>
          </a:extLst>
        </xdr:cNvPr>
        <xdr:cNvSpPr txBox="1">
          <a:spLocks noChangeArrowheads="1"/>
        </xdr:cNvSpPr>
      </xdr:nvSpPr>
      <xdr:spPr bwMode="auto">
        <a:xfrm>
          <a:off x="4664364"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66</xdr:row>
      <xdr:rowOff>0</xdr:rowOff>
    </xdr:from>
    <xdr:ext cx="95250" cy="171450"/>
    <xdr:sp macro="" textlink="">
      <xdr:nvSpPr>
        <xdr:cNvPr id="2860" name="Text Box 16">
          <a:extLst>
            <a:ext uri="{FF2B5EF4-FFF2-40B4-BE49-F238E27FC236}">
              <a16:creationId xmlns:a16="http://schemas.microsoft.com/office/drawing/2014/main" id="{00000000-0008-0000-0500-00002C0B0000}"/>
            </a:ext>
          </a:extLst>
        </xdr:cNvPr>
        <xdr:cNvSpPr txBox="1">
          <a:spLocks noChangeArrowheads="1"/>
        </xdr:cNvSpPr>
      </xdr:nvSpPr>
      <xdr:spPr bwMode="auto">
        <a:xfrm>
          <a:off x="12540961"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66</xdr:row>
      <xdr:rowOff>0</xdr:rowOff>
    </xdr:from>
    <xdr:ext cx="95250" cy="171450"/>
    <xdr:sp macro="" textlink="">
      <xdr:nvSpPr>
        <xdr:cNvPr id="2861" name="Text Box 17">
          <a:extLst>
            <a:ext uri="{FF2B5EF4-FFF2-40B4-BE49-F238E27FC236}">
              <a16:creationId xmlns:a16="http://schemas.microsoft.com/office/drawing/2014/main" id="{00000000-0008-0000-0500-00002D0B0000}"/>
            </a:ext>
          </a:extLst>
        </xdr:cNvPr>
        <xdr:cNvSpPr txBox="1">
          <a:spLocks noChangeArrowheads="1"/>
        </xdr:cNvSpPr>
      </xdr:nvSpPr>
      <xdr:spPr bwMode="auto">
        <a:xfrm>
          <a:off x="12540961"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1020762</xdr:colOff>
      <xdr:row>66</xdr:row>
      <xdr:rowOff>15875</xdr:rowOff>
    </xdr:from>
    <xdr:ext cx="95250" cy="171450"/>
    <xdr:sp macro="" textlink="">
      <xdr:nvSpPr>
        <xdr:cNvPr id="2862" name="Text Box 18">
          <a:extLst>
            <a:ext uri="{FF2B5EF4-FFF2-40B4-BE49-F238E27FC236}">
              <a16:creationId xmlns:a16="http://schemas.microsoft.com/office/drawing/2014/main" id="{00000000-0008-0000-0500-00002E0B0000}"/>
            </a:ext>
          </a:extLst>
        </xdr:cNvPr>
        <xdr:cNvSpPr txBox="1">
          <a:spLocks noChangeArrowheads="1"/>
        </xdr:cNvSpPr>
      </xdr:nvSpPr>
      <xdr:spPr bwMode="auto">
        <a:xfrm>
          <a:off x="12485398" y="7116330"/>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66</xdr:row>
      <xdr:rowOff>0</xdr:rowOff>
    </xdr:from>
    <xdr:ext cx="95250" cy="171450"/>
    <xdr:sp macro="" textlink="">
      <xdr:nvSpPr>
        <xdr:cNvPr id="2863" name="Text Box 16">
          <a:extLst>
            <a:ext uri="{FF2B5EF4-FFF2-40B4-BE49-F238E27FC236}">
              <a16:creationId xmlns:a16="http://schemas.microsoft.com/office/drawing/2014/main" id="{00000000-0008-0000-0500-00002F0B0000}"/>
            </a:ext>
          </a:extLst>
        </xdr:cNvPr>
        <xdr:cNvSpPr txBox="1">
          <a:spLocks noChangeArrowheads="1"/>
        </xdr:cNvSpPr>
      </xdr:nvSpPr>
      <xdr:spPr bwMode="auto">
        <a:xfrm>
          <a:off x="15388070"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66</xdr:row>
      <xdr:rowOff>0</xdr:rowOff>
    </xdr:from>
    <xdr:ext cx="95250" cy="171450"/>
    <xdr:sp macro="" textlink="">
      <xdr:nvSpPr>
        <xdr:cNvPr id="2864" name="Text Box 17">
          <a:extLst>
            <a:ext uri="{FF2B5EF4-FFF2-40B4-BE49-F238E27FC236}">
              <a16:creationId xmlns:a16="http://schemas.microsoft.com/office/drawing/2014/main" id="{00000000-0008-0000-0500-0000300B0000}"/>
            </a:ext>
          </a:extLst>
        </xdr:cNvPr>
        <xdr:cNvSpPr txBox="1">
          <a:spLocks noChangeArrowheads="1"/>
        </xdr:cNvSpPr>
      </xdr:nvSpPr>
      <xdr:spPr bwMode="auto">
        <a:xfrm>
          <a:off x="15388070"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66</xdr:row>
      <xdr:rowOff>0</xdr:rowOff>
    </xdr:from>
    <xdr:ext cx="95250" cy="171450"/>
    <xdr:sp macro="" textlink="">
      <xdr:nvSpPr>
        <xdr:cNvPr id="2865" name="Text Box 18">
          <a:extLst>
            <a:ext uri="{FF2B5EF4-FFF2-40B4-BE49-F238E27FC236}">
              <a16:creationId xmlns:a16="http://schemas.microsoft.com/office/drawing/2014/main" id="{00000000-0008-0000-0500-0000310B0000}"/>
            </a:ext>
          </a:extLst>
        </xdr:cNvPr>
        <xdr:cNvSpPr txBox="1">
          <a:spLocks noChangeArrowheads="1"/>
        </xdr:cNvSpPr>
      </xdr:nvSpPr>
      <xdr:spPr bwMode="auto">
        <a:xfrm>
          <a:off x="15388070"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66</xdr:row>
      <xdr:rowOff>0</xdr:rowOff>
    </xdr:from>
    <xdr:ext cx="95250" cy="171450"/>
    <xdr:sp macro="" textlink="">
      <xdr:nvSpPr>
        <xdr:cNvPr id="2866" name="Text Box 19">
          <a:extLst>
            <a:ext uri="{FF2B5EF4-FFF2-40B4-BE49-F238E27FC236}">
              <a16:creationId xmlns:a16="http://schemas.microsoft.com/office/drawing/2014/main" id="{00000000-0008-0000-0500-0000320B0000}"/>
            </a:ext>
          </a:extLst>
        </xdr:cNvPr>
        <xdr:cNvSpPr txBox="1">
          <a:spLocks noChangeArrowheads="1"/>
        </xdr:cNvSpPr>
      </xdr:nvSpPr>
      <xdr:spPr bwMode="auto">
        <a:xfrm>
          <a:off x="15388070"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66</xdr:row>
      <xdr:rowOff>0</xdr:rowOff>
    </xdr:from>
    <xdr:ext cx="95250" cy="171450"/>
    <xdr:sp macro="" textlink="">
      <xdr:nvSpPr>
        <xdr:cNvPr id="2867" name="Text Box 16">
          <a:extLst>
            <a:ext uri="{FF2B5EF4-FFF2-40B4-BE49-F238E27FC236}">
              <a16:creationId xmlns:a16="http://schemas.microsoft.com/office/drawing/2014/main" id="{00000000-0008-0000-0500-0000330B0000}"/>
            </a:ext>
          </a:extLst>
        </xdr:cNvPr>
        <xdr:cNvSpPr txBox="1">
          <a:spLocks noChangeArrowheads="1"/>
        </xdr:cNvSpPr>
      </xdr:nvSpPr>
      <xdr:spPr bwMode="auto">
        <a:xfrm>
          <a:off x="15388070"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10</xdr:col>
      <xdr:colOff>28575</xdr:colOff>
      <xdr:row>66</xdr:row>
      <xdr:rowOff>170392</xdr:rowOff>
    </xdr:from>
    <xdr:ext cx="95250" cy="213632"/>
    <xdr:sp macro="" textlink="">
      <xdr:nvSpPr>
        <xdr:cNvPr id="2868" name="Text Box 15">
          <a:extLst>
            <a:ext uri="{FF2B5EF4-FFF2-40B4-BE49-F238E27FC236}">
              <a16:creationId xmlns:a16="http://schemas.microsoft.com/office/drawing/2014/main" id="{00000000-0008-0000-0500-0000340B0000}"/>
            </a:ext>
          </a:extLst>
        </xdr:cNvPr>
        <xdr:cNvSpPr txBox="1">
          <a:spLocks noChangeArrowheads="1"/>
        </xdr:cNvSpPr>
      </xdr:nvSpPr>
      <xdr:spPr bwMode="auto">
        <a:xfrm>
          <a:off x="12578484" y="7270847"/>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66</xdr:row>
      <xdr:rowOff>504825</xdr:rowOff>
    </xdr:from>
    <xdr:ext cx="95250" cy="448496"/>
    <xdr:sp macro="" textlink="">
      <xdr:nvSpPr>
        <xdr:cNvPr id="2869" name="Text Box 15">
          <a:extLst>
            <a:ext uri="{FF2B5EF4-FFF2-40B4-BE49-F238E27FC236}">
              <a16:creationId xmlns:a16="http://schemas.microsoft.com/office/drawing/2014/main" id="{00000000-0008-0000-0500-0000350B0000}"/>
            </a:ext>
          </a:extLst>
        </xdr:cNvPr>
        <xdr:cNvSpPr txBox="1">
          <a:spLocks noChangeArrowheads="1"/>
        </xdr:cNvSpPr>
      </xdr:nvSpPr>
      <xdr:spPr bwMode="auto">
        <a:xfrm>
          <a:off x="4664364" y="5994111"/>
          <a:ext cx="95250" cy="448496"/>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66</xdr:row>
      <xdr:rowOff>504825</xdr:rowOff>
    </xdr:from>
    <xdr:ext cx="95250" cy="442269"/>
    <xdr:sp macro="" textlink="">
      <xdr:nvSpPr>
        <xdr:cNvPr id="2870" name="Text Box 15">
          <a:extLst>
            <a:ext uri="{FF2B5EF4-FFF2-40B4-BE49-F238E27FC236}">
              <a16:creationId xmlns:a16="http://schemas.microsoft.com/office/drawing/2014/main" id="{00000000-0008-0000-0500-0000360B0000}"/>
            </a:ext>
          </a:extLst>
        </xdr:cNvPr>
        <xdr:cNvSpPr txBox="1">
          <a:spLocks noChangeArrowheads="1"/>
        </xdr:cNvSpPr>
      </xdr:nvSpPr>
      <xdr:spPr bwMode="auto">
        <a:xfrm>
          <a:off x="12540961" y="5994111"/>
          <a:ext cx="95250" cy="442269"/>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66</xdr:row>
      <xdr:rowOff>504825</xdr:rowOff>
    </xdr:from>
    <xdr:ext cx="95250" cy="213632"/>
    <xdr:sp macro="" textlink="">
      <xdr:nvSpPr>
        <xdr:cNvPr id="2872" name="Text Box 15">
          <a:extLst>
            <a:ext uri="{FF2B5EF4-FFF2-40B4-BE49-F238E27FC236}">
              <a16:creationId xmlns:a16="http://schemas.microsoft.com/office/drawing/2014/main" id="{00000000-0008-0000-0500-0000380B0000}"/>
            </a:ext>
          </a:extLst>
        </xdr:cNvPr>
        <xdr:cNvSpPr txBox="1">
          <a:spLocks noChangeArrowheads="1"/>
        </xdr:cNvSpPr>
      </xdr:nvSpPr>
      <xdr:spPr bwMode="auto">
        <a:xfrm>
          <a:off x="4664364" y="5994111"/>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66</xdr:row>
      <xdr:rowOff>504825</xdr:rowOff>
    </xdr:from>
    <xdr:ext cx="95250" cy="444331"/>
    <xdr:sp macro="" textlink="">
      <xdr:nvSpPr>
        <xdr:cNvPr id="2873" name="Text Box 15">
          <a:extLst>
            <a:ext uri="{FF2B5EF4-FFF2-40B4-BE49-F238E27FC236}">
              <a16:creationId xmlns:a16="http://schemas.microsoft.com/office/drawing/2014/main" id="{00000000-0008-0000-0500-0000390B0000}"/>
            </a:ext>
          </a:extLst>
        </xdr:cNvPr>
        <xdr:cNvSpPr txBox="1">
          <a:spLocks noChangeArrowheads="1"/>
        </xdr:cNvSpPr>
      </xdr:nvSpPr>
      <xdr:spPr bwMode="auto">
        <a:xfrm>
          <a:off x="4664364" y="5994111"/>
          <a:ext cx="95250" cy="444331"/>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10</xdr:col>
      <xdr:colOff>28575</xdr:colOff>
      <xdr:row>66</xdr:row>
      <xdr:rowOff>170392</xdr:rowOff>
    </xdr:from>
    <xdr:ext cx="95250" cy="213632"/>
    <xdr:sp macro="" textlink="">
      <xdr:nvSpPr>
        <xdr:cNvPr id="2874" name="Text Box 15">
          <a:extLst>
            <a:ext uri="{FF2B5EF4-FFF2-40B4-BE49-F238E27FC236}">
              <a16:creationId xmlns:a16="http://schemas.microsoft.com/office/drawing/2014/main" id="{00000000-0008-0000-0500-00003A0B0000}"/>
            </a:ext>
          </a:extLst>
        </xdr:cNvPr>
        <xdr:cNvSpPr txBox="1">
          <a:spLocks noChangeArrowheads="1"/>
        </xdr:cNvSpPr>
      </xdr:nvSpPr>
      <xdr:spPr bwMode="auto">
        <a:xfrm>
          <a:off x="12578484" y="5793028"/>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72</xdr:row>
      <xdr:rowOff>0</xdr:rowOff>
    </xdr:from>
    <xdr:ext cx="95250" cy="171450"/>
    <xdr:sp macro="" textlink="">
      <xdr:nvSpPr>
        <xdr:cNvPr id="2875" name="Text Box 16">
          <a:extLst>
            <a:ext uri="{FF2B5EF4-FFF2-40B4-BE49-F238E27FC236}">
              <a16:creationId xmlns:a16="http://schemas.microsoft.com/office/drawing/2014/main" id="{00000000-0008-0000-0500-00003B0B0000}"/>
            </a:ext>
          </a:extLst>
        </xdr:cNvPr>
        <xdr:cNvSpPr txBox="1">
          <a:spLocks noChangeArrowheads="1"/>
        </xdr:cNvSpPr>
      </xdr:nvSpPr>
      <xdr:spPr bwMode="auto">
        <a:xfrm>
          <a:off x="4664364"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72</xdr:row>
      <xdr:rowOff>0</xdr:rowOff>
    </xdr:from>
    <xdr:ext cx="95250" cy="171450"/>
    <xdr:sp macro="" textlink="">
      <xdr:nvSpPr>
        <xdr:cNvPr id="2876" name="Text Box 17">
          <a:extLst>
            <a:ext uri="{FF2B5EF4-FFF2-40B4-BE49-F238E27FC236}">
              <a16:creationId xmlns:a16="http://schemas.microsoft.com/office/drawing/2014/main" id="{00000000-0008-0000-0500-00003C0B0000}"/>
            </a:ext>
          </a:extLst>
        </xdr:cNvPr>
        <xdr:cNvSpPr txBox="1">
          <a:spLocks noChangeArrowheads="1"/>
        </xdr:cNvSpPr>
      </xdr:nvSpPr>
      <xdr:spPr bwMode="auto">
        <a:xfrm>
          <a:off x="4664364"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72</xdr:row>
      <xdr:rowOff>0</xdr:rowOff>
    </xdr:from>
    <xdr:ext cx="95250" cy="171450"/>
    <xdr:sp macro="" textlink="">
      <xdr:nvSpPr>
        <xdr:cNvPr id="2877" name="Text Box 18">
          <a:extLst>
            <a:ext uri="{FF2B5EF4-FFF2-40B4-BE49-F238E27FC236}">
              <a16:creationId xmlns:a16="http://schemas.microsoft.com/office/drawing/2014/main" id="{00000000-0008-0000-0500-00003D0B0000}"/>
            </a:ext>
          </a:extLst>
        </xdr:cNvPr>
        <xdr:cNvSpPr txBox="1">
          <a:spLocks noChangeArrowheads="1"/>
        </xdr:cNvSpPr>
      </xdr:nvSpPr>
      <xdr:spPr bwMode="auto">
        <a:xfrm>
          <a:off x="4664364"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72</xdr:row>
      <xdr:rowOff>0</xdr:rowOff>
    </xdr:from>
    <xdr:ext cx="95250" cy="171450"/>
    <xdr:sp macro="" textlink="">
      <xdr:nvSpPr>
        <xdr:cNvPr id="2878" name="Text Box 19">
          <a:extLst>
            <a:ext uri="{FF2B5EF4-FFF2-40B4-BE49-F238E27FC236}">
              <a16:creationId xmlns:a16="http://schemas.microsoft.com/office/drawing/2014/main" id="{00000000-0008-0000-0500-00003E0B0000}"/>
            </a:ext>
          </a:extLst>
        </xdr:cNvPr>
        <xdr:cNvSpPr txBox="1">
          <a:spLocks noChangeArrowheads="1"/>
        </xdr:cNvSpPr>
      </xdr:nvSpPr>
      <xdr:spPr bwMode="auto">
        <a:xfrm>
          <a:off x="4664364"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72</xdr:row>
      <xdr:rowOff>0</xdr:rowOff>
    </xdr:from>
    <xdr:ext cx="95250" cy="171450"/>
    <xdr:sp macro="" textlink="">
      <xdr:nvSpPr>
        <xdr:cNvPr id="2879" name="Text Box 16">
          <a:extLst>
            <a:ext uri="{FF2B5EF4-FFF2-40B4-BE49-F238E27FC236}">
              <a16:creationId xmlns:a16="http://schemas.microsoft.com/office/drawing/2014/main" id="{00000000-0008-0000-0500-00003F0B0000}"/>
            </a:ext>
          </a:extLst>
        </xdr:cNvPr>
        <xdr:cNvSpPr txBox="1">
          <a:spLocks noChangeArrowheads="1"/>
        </xdr:cNvSpPr>
      </xdr:nvSpPr>
      <xdr:spPr bwMode="auto">
        <a:xfrm>
          <a:off x="12540961"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72</xdr:row>
      <xdr:rowOff>0</xdr:rowOff>
    </xdr:from>
    <xdr:ext cx="95250" cy="171450"/>
    <xdr:sp macro="" textlink="">
      <xdr:nvSpPr>
        <xdr:cNvPr id="2880" name="Text Box 17">
          <a:extLst>
            <a:ext uri="{FF2B5EF4-FFF2-40B4-BE49-F238E27FC236}">
              <a16:creationId xmlns:a16="http://schemas.microsoft.com/office/drawing/2014/main" id="{00000000-0008-0000-0500-0000400B0000}"/>
            </a:ext>
          </a:extLst>
        </xdr:cNvPr>
        <xdr:cNvSpPr txBox="1">
          <a:spLocks noChangeArrowheads="1"/>
        </xdr:cNvSpPr>
      </xdr:nvSpPr>
      <xdr:spPr bwMode="auto">
        <a:xfrm>
          <a:off x="12540961"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72</xdr:row>
      <xdr:rowOff>0</xdr:rowOff>
    </xdr:from>
    <xdr:ext cx="95250" cy="171450"/>
    <xdr:sp macro="" textlink="">
      <xdr:nvSpPr>
        <xdr:cNvPr id="2881" name="Text Box 18">
          <a:extLst>
            <a:ext uri="{FF2B5EF4-FFF2-40B4-BE49-F238E27FC236}">
              <a16:creationId xmlns:a16="http://schemas.microsoft.com/office/drawing/2014/main" id="{00000000-0008-0000-0500-0000410B0000}"/>
            </a:ext>
          </a:extLst>
        </xdr:cNvPr>
        <xdr:cNvSpPr txBox="1">
          <a:spLocks noChangeArrowheads="1"/>
        </xdr:cNvSpPr>
      </xdr:nvSpPr>
      <xdr:spPr bwMode="auto">
        <a:xfrm>
          <a:off x="12540961"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72</xdr:row>
      <xdr:rowOff>0</xdr:rowOff>
    </xdr:from>
    <xdr:ext cx="95250" cy="171450"/>
    <xdr:sp macro="" textlink="">
      <xdr:nvSpPr>
        <xdr:cNvPr id="2882" name="Text Box 19">
          <a:extLst>
            <a:ext uri="{FF2B5EF4-FFF2-40B4-BE49-F238E27FC236}">
              <a16:creationId xmlns:a16="http://schemas.microsoft.com/office/drawing/2014/main" id="{00000000-0008-0000-0500-0000420B0000}"/>
            </a:ext>
          </a:extLst>
        </xdr:cNvPr>
        <xdr:cNvSpPr txBox="1">
          <a:spLocks noChangeArrowheads="1"/>
        </xdr:cNvSpPr>
      </xdr:nvSpPr>
      <xdr:spPr bwMode="auto">
        <a:xfrm>
          <a:off x="12540961"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21</xdr:col>
      <xdr:colOff>0</xdr:colOff>
      <xdr:row>72</xdr:row>
      <xdr:rowOff>0</xdr:rowOff>
    </xdr:from>
    <xdr:ext cx="95250" cy="171450"/>
    <xdr:sp macro="" textlink="">
      <xdr:nvSpPr>
        <xdr:cNvPr id="2883" name="Text Box 16">
          <a:extLst>
            <a:ext uri="{FF2B5EF4-FFF2-40B4-BE49-F238E27FC236}">
              <a16:creationId xmlns:a16="http://schemas.microsoft.com/office/drawing/2014/main" id="{00000000-0008-0000-0500-0000430B0000}"/>
            </a:ext>
          </a:extLst>
        </xdr:cNvPr>
        <xdr:cNvSpPr txBox="1">
          <a:spLocks noChangeArrowheads="1"/>
        </xdr:cNvSpPr>
      </xdr:nvSpPr>
      <xdr:spPr bwMode="auto">
        <a:xfrm>
          <a:off x="21832455"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21</xdr:col>
      <xdr:colOff>0</xdr:colOff>
      <xdr:row>72</xdr:row>
      <xdr:rowOff>0</xdr:rowOff>
    </xdr:from>
    <xdr:ext cx="95250" cy="171450"/>
    <xdr:sp macro="" textlink="">
      <xdr:nvSpPr>
        <xdr:cNvPr id="2884" name="Text Box 17">
          <a:extLst>
            <a:ext uri="{FF2B5EF4-FFF2-40B4-BE49-F238E27FC236}">
              <a16:creationId xmlns:a16="http://schemas.microsoft.com/office/drawing/2014/main" id="{00000000-0008-0000-0500-0000440B0000}"/>
            </a:ext>
          </a:extLst>
        </xdr:cNvPr>
        <xdr:cNvSpPr txBox="1">
          <a:spLocks noChangeArrowheads="1"/>
        </xdr:cNvSpPr>
      </xdr:nvSpPr>
      <xdr:spPr bwMode="auto">
        <a:xfrm>
          <a:off x="21832455"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21</xdr:col>
      <xdr:colOff>0</xdr:colOff>
      <xdr:row>72</xdr:row>
      <xdr:rowOff>0</xdr:rowOff>
    </xdr:from>
    <xdr:ext cx="95250" cy="171450"/>
    <xdr:sp macro="" textlink="">
      <xdr:nvSpPr>
        <xdr:cNvPr id="2885" name="Text Box 18">
          <a:extLst>
            <a:ext uri="{FF2B5EF4-FFF2-40B4-BE49-F238E27FC236}">
              <a16:creationId xmlns:a16="http://schemas.microsoft.com/office/drawing/2014/main" id="{00000000-0008-0000-0500-0000450B0000}"/>
            </a:ext>
          </a:extLst>
        </xdr:cNvPr>
        <xdr:cNvSpPr txBox="1">
          <a:spLocks noChangeArrowheads="1"/>
        </xdr:cNvSpPr>
      </xdr:nvSpPr>
      <xdr:spPr bwMode="auto">
        <a:xfrm>
          <a:off x="21832455"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21</xdr:col>
      <xdr:colOff>0</xdr:colOff>
      <xdr:row>72</xdr:row>
      <xdr:rowOff>0</xdr:rowOff>
    </xdr:from>
    <xdr:ext cx="95250" cy="171450"/>
    <xdr:sp macro="" textlink="">
      <xdr:nvSpPr>
        <xdr:cNvPr id="2886" name="Text Box 19">
          <a:extLst>
            <a:ext uri="{FF2B5EF4-FFF2-40B4-BE49-F238E27FC236}">
              <a16:creationId xmlns:a16="http://schemas.microsoft.com/office/drawing/2014/main" id="{00000000-0008-0000-0500-0000460B0000}"/>
            </a:ext>
          </a:extLst>
        </xdr:cNvPr>
        <xdr:cNvSpPr txBox="1">
          <a:spLocks noChangeArrowheads="1"/>
        </xdr:cNvSpPr>
      </xdr:nvSpPr>
      <xdr:spPr bwMode="auto">
        <a:xfrm>
          <a:off x="21832455"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70</xdr:row>
      <xdr:rowOff>504825</xdr:rowOff>
    </xdr:from>
    <xdr:ext cx="95250" cy="444014"/>
    <xdr:sp macro="" textlink="">
      <xdr:nvSpPr>
        <xdr:cNvPr id="2887" name="Text Box 15">
          <a:extLst>
            <a:ext uri="{FF2B5EF4-FFF2-40B4-BE49-F238E27FC236}">
              <a16:creationId xmlns:a16="http://schemas.microsoft.com/office/drawing/2014/main" id="{00000000-0008-0000-0500-0000470B0000}"/>
            </a:ext>
          </a:extLst>
        </xdr:cNvPr>
        <xdr:cNvSpPr txBox="1">
          <a:spLocks noChangeArrowheads="1"/>
        </xdr:cNvSpPr>
      </xdr:nvSpPr>
      <xdr:spPr bwMode="auto">
        <a:xfrm>
          <a:off x="4664364" y="6733020"/>
          <a:ext cx="95250" cy="444014"/>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72</xdr:row>
      <xdr:rowOff>0</xdr:rowOff>
    </xdr:from>
    <xdr:ext cx="95250" cy="171450"/>
    <xdr:sp macro="" textlink="">
      <xdr:nvSpPr>
        <xdr:cNvPr id="2888" name="Text Box 16">
          <a:extLst>
            <a:ext uri="{FF2B5EF4-FFF2-40B4-BE49-F238E27FC236}">
              <a16:creationId xmlns:a16="http://schemas.microsoft.com/office/drawing/2014/main" id="{00000000-0008-0000-0500-0000480B0000}"/>
            </a:ext>
          </a:extLst>
        </xdr:cNvPr>
        <xdr:cNvSpPr txBox="1">
          <a:spLocks noChangeArrowheads="1"/>
        </xdr:cNvSpPr>
      </xdr:nvSpPr>
      <xdr:spPr bwMode="auto">
        <a:xfrm>
          <a:off x="4664364"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72</xdr:row>
      <xdr:rowOff>0</xdr:rowOff>
    </xdr:from>
    <xdr:ext cx="95250" cy="171450"/>
    <xdr:sp macro="" textlink="">
      <xdr:nvSpPr>
        <xdr:cNvPr id="2889" name="Text Box 17">
          <a:extLst>
            <a:ext uri="{FF2B5EF4-FFF2-40B4-BE49-F238E27FC236}">
              <a16:creationId xmlns:a16="http://schemas.microsoft.com/office/drawing/2014/main" id="{00000000-0008-0000-0500-0000490B0000}"/>
            </a:ext>
          </a:extLst>
        </xdr:cNvPr>
        <xdr:cNvSpPr txBox="1">
          <a:spLocks noChangeArrowheads="1"/>
        </xdr:cNvSpPr>
      </xdr:nvSpPr>
      <xdr:spPr bwMode="auto">
        <a:xfrm>
          <a:off x="4664364"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72</xdr:row>
      <xdr:rowOff>0</xdr:rowOff>
    </xdr:from>
    <xdr:ext cx="95250" cy="171450"/>
    <xdr:sp macro="" textlink="">
      <xdr:nvSpPr>
        <xdr:cNvPr id="2890" name="Text Box 18">
          <a:extLst>
            <a:ext uri="{FF2B5EF4-FFF2-40B4-BE49-F238E27FC236}">
              <a16:creationId xmlns:a16="http://schemas.microsoft.com/office/drawing/2014/main" id="{00000000-0008-0000-0500-00004A0B0000}"/>
            </a:ext>
          </a:extLst>
        </xdr:cNvPr>
        <xdr:cNvSpPr txBox="1">
          <a:spLocks noChangeArrowheads="1"/>
        </xdr:cNvSpPr>
      </xdr:nvSpPr>
      <xdr:spPr bwMode="auto">
        <a:xfrm>
          <a:off x="4664364"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72</xdr:row>
      <xdr:rowOff>0</xdr:rowOff>
    </xdr:from>
    <xdr:ext cx="95250" cy="171450"/>
    <xdr:sp macro="" textlink="">
      <xdr:nvSpPr>
        <xdr:cNvPr id="2891" name="Text Box 19">
          <a:extLst>
            <a:ext uri="{FF2B5EF4-FFF2-40B4-BE49-F238E27FC236}">
              <a16:creationId xmlns:a16="http://schemas.microsoft.com/office/drawing/2014/main" id="{00000000-0008-0000-0500-00004B0B0000}"/>
            </a:ext>
          </a:extLst>
        </xdr:cNvPr>
        <xdr:cNvSpPr txBox="1">
          <a:spLocks noChangeArrowheads="1"/>
        </xdr:cNvSpPr>
      </xdr:nvSpPr>
      <xdr:spPr bwMode="auto">
        <a:xfrm>
          <a:off x="4664364"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72</xdr:row>
      <xdr:rowOff>0</xdr:rowOff>
    </xdr:from>
    <xdr:ext cx="95250" cy="171450"/>
    <xdr:sp macro="" textlink="">
      <xdr:nvSpPr>
        <xdr:cNvPr id="2892" name="Text Box 16">
          <a:extLst>
            <a:ext uri="{FF2B5EF4-FFF2-40B4-BE49-F238E27FC236}">
              <a16:creationId xmlns:a16="http://schemas.microsoft.com/office/drawing/2014/main" id="{00000000-0008-0000-0500-00004C0B0000}"/>
            </a:ext>
          </a:extLst>
        </xdr:cNvPr>
        <xdr:cNvSpPr txBox="1">
          <a:spLocks noChangeArrowheads="1"/>
        </xdr:cNvSpPr>
      </xdr:nvSpPr>
      <xdr:spPr bwMode="auto">
        <a:xfrm>
          <a:off x="12540961"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72</xdr:row>
      <xdr:rowOff>0</xdr:rowOff>
    </xdr:from>
    <xdr:ext cx="95250" cy="171450"/>
    <xdr:sp macro="" textlink="">
      <xdr:nvSpPr>
        <xdr:cNvPr id="2893" name="Text Box 17">
          <a:extLst>
            <a:ext uri="{FF2B5EF4-FFF2-40B4-BE49-F238E27FC236}">
              <a16:creationId xmlns:a16="http://schemas.microsoft.com/office/drawing/2014/main" id="{00000000-0008-0000-0500-00004D0B0000}"/>
            </a:ext>
          </a:extLst>
        </xdr:cNvPr>
        <xdr:cNvSpPr txBox="1">
          <a:spLocks noChangeArrowheads="1"/>
        </xdr:cNvSpPr>
      </xdr:nvSpPr>
      <xdr:spPr bwMode="auto">
        <a:xfrm>
          <a:off x="12540961"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72</xdr:row>
      <xdr:rowOff>0</xdr:rowOff>
    </xdr:from>
    <xdr:ext cx="95250" cy="171450"/>
    <xdr:sp macro="" textlink="">
      <xdr:nvSpPr>
        <xdr:cNvPr id="2894" name="Text Box 18">
          <a:extLst>
            <a:ext uri="{FF2B5EF4-FFF2-40B4-BE49-F238E27FC236}">
              <a16:creationId xmlns:a16="http://schemas.microsoft.com/office/drawing/2014/main" id="{00000000-0008-0000-0500-00004E0B0000}"/>
            </a:ext>
          </a:extLst>
        </xdr:cNvPr>
        <xdr:cNvSpPr txBox="1">
          <a:spLocks noChangeArrowheads="1"/>
        </xdr:cNvSpPr>
      </xdr:nvSpPr>
      <xdr:spPr bwMode="auto">
        <a:xfrm>
          <a:off x="12540961"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72</xdr:row>
      <xdr:rowOff>0</xdr:rowOff>
    </xdr:from>
    <xdr:ext cx="95250" cy="171450"/>
    <xdr:sp macro="" textlink="">
      <xdr:nvSpPr>
        <xdr:cNvPr id="2895" name="Text Box 16">
          <a:extLst>
            <a:ext uri="{FF2B5EF4-FFF2-40B4-BE49-F238E27FC236}">
              <a16:creationId xmlns:a16="http://schemas.microsoft.com/office/drawing/2014/main" id="{00000000-0008-0000-0500-00004F0B0000}"/>
            </a:ext>
          </a:extLst>
        </xdr:cNvPr>
        <xdr:cNvSpPr txBox="1">
          <a:spLocks noChangeArrowheads="1"/>
        </xdr:cNvSpPr>
      </xdr:nvSpPr>
      <xdr:spPr bwMode="auto">
        <a:xfrm>
          <a:off x="15388070"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72</xdr:row>
      <xdr:rowOff>0</xdr:rowOff>
    </xdr:from>
    <xdr:ext cx="95250" cy="171450"/>
    <xdr:sp macro="" textlink="">
      <xdr:nvSpPr>
        <xdr:cNvPr id="2896" name="Text Box 17">
          <a:extLst>
            <a:ext uri="{FF2B5EF4-FFF2-40B4-BE49-F238E27FC236}">
              <a16:creationId xmlns:a16="http://schemas.microsoft.com/office/drawing/2014/main" id="{00000000-0008-0000-0500-0000500B0000}"/>
            </a:ext>
          </a:extLst>
        </xdr:cNvPr>
        <xdr:cNvSpPr txBox="1">
          <a:spLocks noChangeArrowheads="1"/>
        </xdr:cNvSpPr>
      </xdr:nvSpPr>
      <xdr:spPr bwMode="auto">
        <a:xfrm>
          <a:off x="15388070"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72</xdr:row>
      <xdr:rowOff>0</xdr:rowOff>
    </xdr:from>
    <xdr:ext cx="95250" cy="171450"/>
    <xdr:sp macro="" textlink="">
      <xdr:nvSpPr>
        <xdr:cNvPr id="2897" name="Text Box 18">
          <a:extLst>
            <a:ext uri="{FF2B5EF4-FFF2-40B4-BE49-F238E27FC236}">
              <a16:creationId xmlns:a16="http://schemas.microsoft.com/office/drawing/2014/main" id="{00000000-0008-0000-0500-0000510B0000}"/>
            </a:ext>
          </a:extLst>
        </xdr:cNvPr>
        <xdr:cNvSpPr txBox="1">
          <a:spLocks noChangeArrowheads="1"/>
        </xdr:cNvSpPr>
      </xdr:nvSpPr>
      <xdr:spPr bwMode="auto">
        <a:xfrm>
          <a:off x="15388070"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72</xdr:row>
      <xdr:rowOff>0</xdr:rowOff>
    </xdr:from>
    <xdr:ext cx="95250" cy="171450"/>
    <xdr:sp macro="" textlink="">
      <xdr:nvSpPr>
        <xdr:cNvPr id="2898" name="Text Box 19">
          <a:extLst>
            <a:ext uri="{FF2B5EF4-FFF2-40B4-BE49-F238E27FC236}">
              <a16:creationId xmlns:a16="http://schemas.microsoft.com/office/drawing/2014/main" id="{00000000-0008-0000-0500-0000520B0000}"/>
            </a:ext>
          </a:extLst>
        </xdr:cNvPr>
        <xdr:cNvSpPr txBox="1">
          <a:spLocks noChangeArrowheads="1"/>
        </xdr:cNvSpPr>
      </xdr:nvSpPr>
      <xdr:spPr bwMode="auto">
        <a:xfrm>
          <a:off x="15388070"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72</xdr:row>
      <xdr:rowOff>0</xdr:rowOff>
    </xdr:from>
    <xdr:ext cx="95250" cy="171450"/>
    <xdr:sp macro="" textlink="">
      <xdr:nvSpPr>
        <xdr:cNvPr id="2899" name="Text Box 16">
          <a:extLst>
            <a:ext uri="{FF2B5EF4-FFF2-40B4-BE49-F238E27FC236}">
              <a16:creationId xmlns:a16="http://schemas.microsoft.com/office/drawing/2014/main" id="{00000000-0008-0000-0500-0000530B0000}"/>
            </a:ext>
          </a:extLst>
        </xdr:cNvPr>
        <xdr:cNvSpPr txBox="1">
          <a:spLocks noChangeArrowheads="1"/>
        </xdr:cNvSpPr>
      </xdr:nvSpPr>
      <xdr:spPr bwMode="auto">
        <a:xfrm>
          <a:off x="15388070"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72</xdr:row>
      <xdr:rowOff>0</xdr:rowOff>
    </xdr:from>
    <xdr:ext cx="95250" cy="171450"/>
    <xdr:sp macro="" textlink="">
      <xdr:nvSpPr>
        <xdr:cNvPr id="2900" name="Text Box 17">
          <a:extLst>
            <a:ext uri="{FF2B5EF4-FFF2-40B4-BE49-F238E27FC236}">
              <a16:creationId xmlns:a16="http://schemas.microsoft.com/office/drawing/2014/main" id="{00000000-0008-0000-0500-0000540B0000}"/>
            </a:ext>
          </a:extLst>
        </xdr:cNvPr>
        <xdr:cNvSpPr txBox="1">
          <a:spLocks noChangeArrowheads="1"/>
        </xdr:cNvSpPr>
      </xdr:nvSpPr>
      <xdr:spPr bwMode="auto">
        <a:xfrm>
          <a:off x="15388070"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72</xdr:row>
      <xdr:rowOff>0</xdr:rowOff>
    </xdr:from>
    <xdr:ext cx="95250" cy="171450"/>
    <xdr:sp macro="" textlink="">
      <xdr:nvSpPr>
        <xdr:cNvPr id="2901" name="Text Box 18">
          <a:extLst>
            <a:ext uri="{FF2B5EF4-FFF2-40B4-BE49-F238E27FC236}">
              <a16:creationId xmlns:a16="http://schemas.microsoft.com/office/drawing/2014/main" id="{00000000-0008-0000-0500-0000550B0000}"/>
            </a:ext>
          </a:extLst>
        </xdr:cNvPr>
        <xdr:cNvSpPr txBox="1">
          <a:spLocks noChangeArrowheads="1"/>
        </xdr:cNvSpPr>
      </xdr:nvSpPr>
      <xdr:spPr bwMode="auto">
        <a:xfrm>
          <a:off x="15388070"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72</xdr:row>
      <xdr:rowOff>0</xdr:rowOff>
    </xdr:from>
    <xdr:ext cx="95250" cy="171450"/>
    <xdr:sp macro="" textlink="">
      <xdr:nvSpPr>
        <xdr:cNvPr id="2902" name="Text Box 19">
          <a:extLst>
            <a:ext uri="{FF2B5EF4-FFF2-40B4-BE49-F238E27FC236}">
              <a16:creationId xmlns:a16="http://schemas.microsoft.com/office/drawing/2014/main" id="{00000000-0008-0000-0500-0000560B0000}"/>
            </a:ext>
          </a:extLst>
        </xdr:cNvPr>
        <xdr:cNvSpPr txBox="1">
          <a:spLocks noChangeArrowheads="1"/>
        </xdr:cNvSpPr>
      </xdr:nvSpPr>
      <xdr:spPr bwMode="auto">
        <a:xfrm>
          <a:off x="15388070"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66</xdr:row>
      <xdr:rowOff>504825</xdr:rowOff>
    </xdr:from>
    <xdr:ext cx="95250" cy="456743"/>
    <xdr:sp macro="" textlink="">
      <xdr:nvSpPr>
        <xdr:cNvPr id="2903" name="Text Box 15">
          <a:extLst>
            <a:ext uri="{FF2B5EF4-FFF2-40B4-BE49-F238E27FC236}">
              <a16:creationId xmlns:a16="http://schemas.microsoft.com/office/drawing/2014/main" id="{00000000-0008-0000-0500-0000570B0000}"/>
            </a:ext>
          </a:extLst>
        </xdr:cNvPr>
        <xdr:cNvSpPr txBox="1">
          <a:spLocks noChangeArrowheads="1"/>
        </xdr:cNvSpPr>
      </xdr:nvSpPr>
      <xdr:spPr bwMode="auto">
        <a:xfrm>
          <a:off x="4664364" y="5994111"/>
          <a:ext cx="95250" cy="456743"/>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66</xdr:row>
      <xdr:rowOff>504825</xdr:rowOff>
    </xdr:from>
    <xdr:ext cx="95250" cy="442269"/>
    <xdr:sp macro="" textlink="">
      <xdr:nvSpPr>
        <xdr:cNvPr id="2904" name="Text Box 15">
          <a:extLst>
            <a:ext uri="{FF2B5EF4-FFF2-40B4-BE49-F238E27FC236}">
              <a16:creationId xmlns:a16="http://schemas.microsoft.com/office/drawing/2014/main" id="{00000000-0008-0000-0500-0000580B0000}"/>
            </a:ext>
          </a:extLst>
        </xdr:cNvPr>
        <xdr:cNvSpPr txBox="1">
          <a:spLocks noChangeArrowheads="1"/>
        </xdr:cNvSpPr>
      </xdr:nvSpPr>
      <xdr:spPr bwMode="auto">
        <a:xfrm>
          <a:off x="12540961" y="5994111"/>
          <a:ext cx="95250" cy="442269"/>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66</xdr:row>
      <xdr:rowOff>504825</xdr:rowOff>
    </xdr:from>
    <xdr:ext cx="95250" cy="213632"/>
    <xdr:sp macro="" textlink="">
      <xdr:nvSpPr>
        <xdr:cNvPr id="2906" name="Text Box 15">
          <a:extLst>
            <a:ext uri="{FF2B5EF4-FFF2-40B4-BE49-F238E27FC236}">
              <a16:creationId xmlns:a16="http://schemas.microsoft.com/office/drawing/2014/main" id="{00000000-0008-0000-0500-00005A0B0000}"/>
            </a:ext>
          </a:extLst>
        </xdr:cNvPr>
        <xdr:cNvSpPr txBox="1">
          <a:spLocks noChangeArrowheads="1"/>
        </xdr:cNvSpPr>
      </xdr:nvSpPr>
      <xdr:spPr bwMode="auto">
        <a:xfrm>
          <a:off x="4664364" y="5994111"/>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66</xdr:row>
      <xdr:rowOff>504825</xdr:rowOff>
    </xdr:from>
    <xdr:ext cx="95250" cy="444331"/>
    <xdr:sp macro="" textlink="">
      <xdr:nvSpPr>
        <xdr:cNvPr id="2907" name="Text Box 15">
          <a:extLst>
            <a:ext uri="{FF2B5EF4-FFF2-40B4-BE49-F238E27FC236}">
              <a16:creationId xmlns:a16="http://schemas.microsoft.com/office/drawing/2014/main" id="{00000000-0008-0000-0500-00005B0B0000}"/>
            </a:ext>
          </a:extLst>
        </xdr:cNvPr>
        <xdr:cNvSpPr txBox="1">
          <a:spLocks noChangeArrowheads="1"/>
        </xdr:cNvSpPr>
      </xdr:nvSpPr>
      <xdr:spPr bwMode="auto">
        <a:xfrm>
          <a:off x="4664364" y="5994111"/>
          <a:ext cx="95250" cy="444331"/>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66</xdr:row>
      <xdr:rowOff>504825</xdr:rowOff>
    </xdr:from>
    <xdr:ext cx="95250" cy="213632"/>
    <xdr:sp macro="" textlink="">
      <xdr:nvSpPr>
        <xdr:cNvPr id="2908" name="Text Box 15">
          <a:extLst>
            <a:ext uri="{FF2B5EF4-FFF2-40B4-BE49-F238E27FC236}">
              <a16:creationId xmlns:a16="http://schemas.microsoft.com/office/drawing/2014/main" id="{00000000-0008-0000-0500-00005C0B0000}"/>
            </a:ext>
          </a:extLst>
        </xdr:cNvPr>
        <xdr:cNvSpPr txBox="1">
          <a:spLocks noChangeArrowheads="1"/>
        </xdr:cNvSpPr>
      </xdr:nvSpPr>
      <xdr:spPr bwMode="auto">
        <a:xfrm>
          <a:off x="12540961" y="5994111"/>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72</xdr:row>
      <xdr:rowOff>0</xdr:rowOff>
    </xdr:from>
    <xdr:ext cx="95250" cy="171450"/>
    <xdr:sp macro="" textlink="">
      <xdr:nvSpPr>
        <xdr:cNvPr id="2909" name="Text Box 16">
          <a:extLst>
            <a:ext uri="{FF2B5EF4-FFF2-40B4-BE49-F238E27FC236}">
              <a16:creationId xmlns:a16="http://schemas.microsoft.com/office/drawing/2014/main" id="{00000000-0008-0000-0500-00005D0B0000}"/>
            </a:ext>
          </a:extLst>
        </xdr:cNvPr>
        <xdr:cNvSpPr txBox="1">
          <a:spLocks noChangeArrowheads="1"/>
        </xdr:cNvSpPr>
      </xdr:nvSpPr>
      <xdr:spPr bwMode="auto">
        <a:xfrm>
          <a:off x="4664364"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72</xdr:row>
      <xdr:rowOff>0</xdr:rowOff>
    </xdr:from>
    <xdr:ext cx="95250" cy="171450"/>
    <xdr:sp macro="" textlink="">
      <xdr:nvSpPr>
        <xdr:cNvPr id="2910" name="Text Box 17">
          <a:extLst>
            <a:ext uri="{FF2B5EF4-FFF2-40B4-BE49-F238E27FC236}">
              <a16:creationId xmlns:a16="http://schemas.microsoft.com/office/drawing/2014/main" id="{00000000-0008-0000-0500-00005E0B0000}"/>
            </a:ext>
          </a:extLst>
        </xdr:cNvPr>
        <xdr:cNvSpPr txBox="1">
          <a:spLocks noChangeArrowheads="1"/>
        </xdr:cNvSpPr>
      </xdr:nvSpPr>
      <xdr:spPr bwMode="auto">
        <a:xfrm>
          <a:off x="4664364"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72</xdr:row>
      <xdr:rowOff>0</xdr:rowOff>
    </xdr:from>
    <xdr:ext cx="95250" cy="171450"/>
    <xdr:sp macro="" textlink="">
      <xdr:nvSpPr>
        <xdr:cNvPr id="2911" name="Text Box 18">
          <a:extLst>
            <a:ext uri="{FF2B5EF4-FFF2-40B4-BE49-F238E27FC236}">
              <a16:creationId xmlns:a16="http://schemas.microsoft.com/office/drawing/2014/main" id="{00000000-0008-0000-0500-00005F0B0000}"/>
            </a:ext>
          </a:extLst>
        </xdr:cNvPr>
        <xdr:cNvSpPr txBox="1">
          <a:spLocks noChangeArrowheads="1"/>
        </xdr:cNvSpPr>
      </xdr:nvSpPr>
      <xdr:spPr bwMode="auto">
        <a:xfrm>
          <a:off x="4664364"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72</xdr:row>
      <xdr:rowOff>0</xdr:rowOff>
    </xdr:from>
    <xdr:ext cx="95250" cy="171450"/>
    <xdr:sp macro="" textlink="">
      <xdr:nvSpPr>
        <xdr:cNvPr id="2912" name="Text Box 19">
          <a:extLst>
            <a:ext uri="{FF2B5EF4-FFF2-40B4-BE49-F238E27FC236}">
              <a16:creationId xmlns:a16="http://schemas.microsoft.com/office/drawing/2014/main" id="{00000000-0008-0000-0500-0000600B0000}"/>
            </a:ext>
          </a:extLst>
        </xdr:cNvPr>
        <xdr:cNvSpPr txBox="1">
          <a:spLocks noChangeArrowheads="1"/>
        </xdr:cNvSpPr>
      </xdr:nvSpPr>
      <xdr:spPr bwMode="auto">
        <a:xfrm>
          <a:off x="4664364"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72</xdr:row>
      <xdr:rowOff>0</xdr:rowOff>
    </xdr:from>
    <xdr:ext cx="95250" cy="171450"/>
    <xdr:sp macro="" textlink="">
      <xdr:nvSpPr>
        <xdr:cNvPr id="2913" name="Text Box 16">
          <a:extLst>
            <a:ext uri="{FF2B5EF4-FFF2-40B4-BE49-F238E27FC236}">
              <a16:creationId xmlns:a16="http://schemas.microsoft.com/office/drawing/2014/main" id="{00000000-0008-0000-0500-0000610B0000}"/>
            </a:ext>
          </a:extLst>
        </xdr:cNvPr>
        <xdr:cNvSpPr txBox="1">
          <a:spLocks noChangeArrowheads="1"/>
        </xdr:cNvSpPr>
      </xdr:nvSpPr>
      <xdr:spPr bwMode="auto">
        <a:xfrm>
          <a:off x="12540961"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72</xdr:row>
      <xdr:rowOff>0</xdr:rowOff>
    </xdr:from>
    <xdr:ext cx="95250" cy="171450"/>
    <xdr:sp macro="" textlink="">
      <xdr:nvSpPr>
        <xdr:cNvPr id="2914" name="Text Box 17">
          <a:extLst>
            <a:ext uri="{FF2B5EF4-FFF2-40B4-BE49-F238E27FC236}">
              <a16:creationId xmlns:a16="http://schemas.microsoft.com/office/drawing/2014/main" id="{00000000-0008-0000-0500-0000620B0000}"/>
            </a:ext>
          </a:extLst>
        </xdr:cNvPr>
        <xdr:cNvSpPr txBox="1">
          <a:spLocks noChangeArrowheads="1"/>
        </xdr:cNvSpPr>
      </xdr:nvSpPr>
      <xdr:spPr bwMode="auto">
        <a:xfrm>
          <a:off x="12540961"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72</xdr:row>
      <xdr:rowOff>0</xdr:rowOff>
    </xdr:from>
    <xdr:ext cx="95250" cy="171450"/>
    <xdr:sp macro="" textlink="">
      <xdr:nvSpPr>
        <xdr:cNvPr id="2915" name="Text Box 18">
          <a:extLst>
            <a:ext uri="{FF2B5EF4-FFF2-40B4-BE49-F238E27FC236}">
              <a16:creationId xmlns:a16="http://schemas.microsoft.com/office/drawing/2014/main" id="{00000000-0008-0000-0500-0000630B0000}"/>
            </a:ext>
          </a:extLst>
        </xdr:cNvPr>
        <xdr:cNvSpPr txBox="1">
          <a:spLocks noChangeArrowheads="1"/>
        </xdr:cNvSpPr>
      </xdr:nvSpPr>
      <xdr:spPr bwMode="auto">
        <a:xfrm>
          <a:off x="12540961"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72</xdr:row>
      <xdr:rowOff>0</xdr:rowOff>
    </xdr:from>
    <xdr:ext cx="95250" cy="171450"/>
    <xdr:sp macro="" textlink="">
      <xdr:nvSpPr>
        <xdr:cNvPr id="2916" name="Text Box 19">
          <a:extLst>
            <a:ext uri="{FF2B5EF4-FFF2-40B4-BE49-F238E27FC236}">
              <a16:creationId xmlns:a16="http://schemas.microsoft.com/office/drawing/2014/main" id="{00000000-0008-0000-0500-0000640B0000}"/>
            </a:ext>
          </a:extLst>
        </xdr:cNvPr>
        <xdr:cNvSpPr txBox="1">
          <a:spLocks noChangeArrowheads="1"/>
        </xdr:cNvSpPr>
      </xdr:nvSpPr>
      <xdr:spPr bwMode="auto">
        <a:xfrm>
          <a:off x="12540961"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21</xdr:col>
      <xdr:colOff>0</xdr:colOff>
      <xdr:row>72</xdr:row>
      <xdr:rowOff>0</xdr:rowOff>
    </xdr:from>
    <xdr:ext cx="95250" cy="171450"/>
    <xdr:sp macro="" textlink="">
      <xdr:nvSpPr>
        <xdr:cNvPr id="2917" name="Text Box 16">
          <a:extLst>
            <a:ext uri="{FF2B5EF4-FFF2-40B4-BE49-F238E27FC236}">
              <a16:creationId xmlns:a16="http://schemas.microsoft.com/office/drawing/2014/main" id="{00000000-0008-0000-0500-0000650B0000}"/>
            </a:ext>
          </a:extLst>
        </xdr:cNvPr>
        <xdr:cNvSpPr txBox="1">
          <a:spLocks noChangeArrowheads="1"/>
        </xdr:cNvSpPr>
      </xdr:nvSpPr>
      <xdr:spPr bwMode="auto">
        <a:xfrm>
          <a:off x="21832455"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21</xdr:col>
      <xdr:colOff>0</xdr:colOff>
      <xdr:row>72</xdr:row>
      <xdr:rowOff>0</xdr:rowOff>
    </xdr:from>
    <xdr:ext cx="95250" cy="171450"/>
    <xdr:sp macro="" textlink="">
      <xdr:nvSpPr>
        <xdr:cNvPr id="2918" name="Text Box 17">
          <a:extLst>
            <a:ext uri="{FF2B5EF4-FFF2-40B4-BE49-F238E27FC236}">
              <a16:creationId xmlns:a16="http://schemas.microsoft.com/office/drawing/2014/main" id="{00000000-0008-0000-0500-0000660B0000}"/>
            </a:ext>
          </a:extLst>
        </xdr:cNvPr>
        <xdr:cNvSpPr txBox="1">
          <a:spLocks noChangeArrowheads="1"/>
        </xdr:cNvSpPr>
      </xdr:nvSpPr>
      <xdr:spPr bwMode="auto">
        <a:xfrm>
          <a:off x="21832455"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21</xdr:col>
      <xdr:colOff>0</xdr:colOff>
      <xdr:row>72</xdr:row>
      <xdr:rowOff>0</xdr:rowOff>
    </xdr:from>
    <xdr:ext cx="95250" cy="171450"/>
    <xdr:sp macro="" textlink="">
      <xdr:nvSpPr>
        <xdr:cNvPr id="2919" name="Text Box 18">
          <a:extLst>
            <a:ext uri="{FF2B5EF4-FFF2-40B4-BE49-F238E27FC236}">
              <a16:creationId xmlns:a16="http://schemas.microsoft.com/office/drawing/2014/main" id="{00000000-0008-0000-0500-0000670B0000}"/>
            </a:ext>
          </a:extLst>
        </xdr:cNvPr>
        <xdr:cNvSpPr txBox="1">
          <a:spLocks noChangeArrowheads="1"/>
        </xdr:cNvSpPr>
      </xdr:nvSpPr>
      <xdr:spPr bwMode="auto">
        <a:xfrm>
          <a:off x="21832455"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21</xdr:col>
      <xdr:colOff>0</xdr:colOff>
      <xdr:row>72</xdr:row>
      <xdr:rowOff>0</xdr:rowOff>
    </xdr:from>
    <xdr:ext cx="95250" cy="171450"/>
    <xdr:sp macro="" textlink="">
      <xdr:nvSpPr>
        <xdr:cNvPr id="2920" name="Text Box 19">
          <a:extLst>
            <a:ext uri="{FF2B5EF4-FFF2-40B4-BE49-F238E27FC236}">
              <a16:creationId xmlns:a16="http://schemas.microsoft.com/office/drawing/2014/main" id="{00000000-0008-0000-0500-0000680B0000}"/>
            </a:ext>
          </a:extLst>
        </xdr:cNvPr>
        <xdr:cNvSpPr txBox="1">
          <a:spLocks noChangeArrowheads="1"/>
        </xdr:cNvSpPr>
      </xdr:nvSpPr>
      <xdr:spPr bwMode="auto">
        <a:xfrm>
          <a:off x="21832455"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70</xdr:row>
      <xdr:rowOff>504825</xdr:rowOff>
    </xdr:from>
    <xdr:ext cx="95250" cy="444014"/>
    <xdr:sp macro="" textlink="">
      <xdr:nvSpPr>
        <xdr:cNvPr id="2921" name="Text Box 15">
          <a:extLst>
            <a:ext uri="{FF2B5EF4-FFF2-40B4-BE49-F238E27FC236}">
              <a16:creationId xmlns:a16="http://schemas.microsoft.com/office/drawing/2014/main" id="{00000000-0008-0000-0500-0000690B0000}"/>
            </a:ext>
          </a:extLst>
        </xdr:cNvPr>
        <xdr:cNvSpPr txBox="1">
          <a:spLocks noChangeArrowheads="1"/>
        </xdr:cNvSpPr>
      </xdr:nvSpPr>
      <xdr:spPr bwMode="auto">
        <a:xfrm>
          <a:off x="4664364" y="6733020"/>
          <a:ext cx="95250" cy="444014"/>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72</xdr:row>
      <xdr:rowOff>0</xdr:rowOff>
    </xdr:from>
    <xdr:ext cx="95250" cy="171450"/>
    <xdr:sp macro="" textlink="">
      <xdr:nvSpPr>
        <xdr:cNvPr id="2922" name="Text Box 16">
          <a:extLst>
            <a:ext uri="{FF2B5EF4-FFF2-40B4-BE49-F238E27FC236}">
              <a16:creationId xmlns:a16="http://schemas.microsoft.com/office/drawing/2014/main" id="{00000000-0008-0000-0500-00006A0B0000}"/>
            </a:ext>
          </a:extLst>
        </xdr:cNvPr>
        <xdr:cNvSpPr txBox="1">
          <a:spLocks noChangeArrowheads="1"/>
        </xdr:cNvSpPr>
      </xdr:nvSpPr>
      <xdr:spPr bwMode="auto">
        <a:xfrm>
          <a:off x="4664364"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72</xdr:row>
      <xdr:rowOff>0</xdr:rowOff>
    </xdr:from>
    <xdr:ext cx="95250" cy="171450"/>
    <xdr:sp macro="" textlink="">
      <xdr:nvSpPr>
        <xdr:cNvPr id="2923" name="Text Box 17">
          <a:extLst>
            <a:ext uri="{FF2B5EF4-FFF2-40B4-BE49-F238E27FC236}">
              <a16:creationId xmlns:a16="http://schemas.microsoft.com/office/drawing/2014/main" id="{00000000-0008-0000-0500-00006B0B0000}"/>
            </a:ext>
          </a:extLst>
        </xdr:cNvPr>
        <xdr:cNvSpPr txBox="1">
          <a:spLocks noChangeArrowheads="1"/>
        </xdr:cNvSpPr>
      </xdr:nvSpPr>
      <xdr:spPr bwMode="auto">
        <a:xfrm>
          <a:off x="4664364"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72</xdr:row>
      <xdr:rowOff>0</xdr:rowOff>
    </xdr:from>
    <xdr:ext cx="95250" cy="171450"/>
    <xdr:sp macro="" textlink="">
      <xdr:nvSpPr>
        <xdr:cNvPr id="2924" name="Text Box 18">
          <a:extLst>
            <a:ext uri="{FF2B5EF4-FFF2-40B4-BE49-F238E27FC236}">
              <a16:creationId xmlns:a16="http://schemas.microsoft.com/office/drawing/2014/main" id="{00000000-0008-0000-0500-00006C0B0000}"/>
            </a:ext>
          </a:extLst>
        </xdr:cNvPr>
        <xdr:cNvSpPr txBox="1">
          <a:spLocks noChangeArrowheads="1"/>
        </xdr:cNvSpPr>
      </xdr:nvSpPr>
      <xdr:spPr bwMode="auto">
        <a:xfrm>
          <a:off x="4664364"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72</xdr:row>
      <xdr:rowOff>0</xdr:rowOff>
    </xdr:from>
    <xdr:ext cx="95250" cy="171450"/>
    <xdr:sp macro="" textlink="">
      <xdr:nvSpPr>
        <xdr:cNvPr id="2925" name="Text Box 19">
          <a:extLst>
            <a:ext uri="{FF2B5EF4-FFF2-40B4-BE49-F238E27FC236}">
              <a16:creationId xmlns:a16="http://schemas.microsoft.com/office/drawing/2014/main" id="{00000000-0008-0000-0500-00006D0B0000}"/>
            </a:ext>
          </a:extLst>
        </xdr:cNvPr>
        <xdr:cNvSpPr txBox="1">
          <a:spLocks noChangeArrowheads="1"/>
        </xdr:cNvSpPr>
      </xdr:nvSpPr>
      <xdr:spPr bwMode="auto">
        <a:xfrm>
          <a:off x="4664364"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70</xdr:row>
      <xdr:rowOff>504825</xdr:rowOff>
    </xdr:from>
    <xdr:ext cx="95250" cy="442269"/>
    <xdr:sp macro="" textlink="">
      <xdr:nvSpPr>
        <xdr:cNvPr id="2926" name="Text Box 15">
          <a:extLst>
            <a:ext uri="{FF2B5EF4-FFF2-40B4-BE49-F238E27FC236}">
              <a16:creationId xmlns:a16="http://schemas.microsoft.com/office/drawing/2014/main" id="{00000000-0008-0000-0500-00006E0B0000}"/>
            </a:ext>
          </a:extLst>
        </xdr:cNvPr>
        <xdr:cNvSpPr txBox="1">
          <a:spLocks noChangeArrowheads="1"/>
        </xdr:cNvSpPr>
      </xdr:nvSpPr>
      <xdr:spPr bwMode="auto">
        <a:xfrm>
          <a:off x="12540961" y="6733020"/>
          <a:ext cx="95250" cy="442269"/>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72</xdr:row>
      <xdr:rowOff>0</xdr:rowOff>
    </xdr:from>
    <xdr:ext cx="95250" cy="171450"/>
    <xdr:sp macro="" textlink="">
      <xdr:nvSpPr>
        <xdr:cNvPr id="2927" name="Text Box 16">
          <a:extLst>
            <a:ext uri="{FF2B5EF4-FFF2-40B4-BE49-F238E27FC236}">
              <a16:creationId xmlns:a16="http://schemas.microsoft.com/office/drawing/2014/main" id="{00000000-0008-0000-0500-00006F0B0000}"/>
            </a:ext>
          </a:extLst>
        </xdr:cNvPr>
        <xdr:cNvSpPr txBox="1">
          <a:spLocks noChangeArrowheads="1"/>
        </xdr:cNvSpPr>
      </xdr:nvSpPr>
      <xdr:spPr bwMode="auto">
        <a:xfrm>
          <a:off x="12540961"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72</xdr:row>
      <xdr:rowOff>0</xdr:rowOff>
    </xdr:from>
    <xdr:ext cx="95250" cy="171450"/>
    <xdr:sp macro="" textlink="">
      <xdr:nvSpPr>
        <xdr:cNvPr id="2928" name="Text Box 17">
          <a:extLst>
            <a:ext uri="{FF2B5EF4-FFF2-40B4-BE49-F238E27FC236}">
              <a16:creationId xmlns:a16="http://schemas.microsoft.com/office/drawing/2014/main" id="{00000000-0008-0000-0500-0000700B0000}"/>
            </a:ext>
          </a:extLst>
        </xdr:cNvPr>
        <xdr:cNvSpPr txBox="1">
          <a:spLocks noChangeArrowheads="1"/>
        </xdr:cNvSpPr>
      </xdr:nvSpPr>
      <xdr:spPr bwMode="auto">
        <a:xfrm>
          <a:off x="12540961"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72</xdr:row>
      <xdr:rowOff>0</xdr:rowOff>
    </xdr:from>
    <xdr:ext cx="95250" cy="171450"/>
    <xdr:sp macro="" textlink="">
      <xdr:nvSpPr>
        <xdr:cNvPr id="2929" name="Text Box 18">
          <a:extLst>
            <a:ext uri="{FF2B5EF4-FFF2-40B4-BE49-F238E27FC236}">
              <a16:creationId xmlns:a16="http://schemas.microsoft.com/office/drawing/2014/main" id="{00000000-0008-0000-0500-0000710B0000}"/>
            </a:ext>
          </a:extLst>
        </xdr:cNvPr>
        <xdr:cNvSpPr txBox="1">
          <a:spLocks noChangeArrowheads="1"/>
        </xdr:cNvSpPr>
      </xdr:nvSpPr>
      <xdr:spPr bwMode="auto">
        <a:xfrm>
          <a:off x="12540961"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72</xdr:row>
      <xdr:rowOff>0</xdr:rowOff>
    </xdr:from>
    <xdr:ext cx="95250" cy="171450"/>
    <xdr:sp macro="" textlink="">
      <xdr:nvSpPr>
        <xdr:cNvPr id="2930" name="Text Box 16">
          <a:extLst>
            <a:ext uri="{FF2B5EF4-FFF2-40B4-BE49-F238E27FC236}">
              <a16:creationId xmlns:a16="http://schemas.microsoft.com/office/drawing/2014/main" id="{00000000-0008-0000-0500-0000720B0000}"/>
            </a:ext>
          </a:extLst>
        </xdr:cNvPr>
        <xdr:cNvSpPr txBox="1">
          <a:spLocks noChangeArrowheads="1"/>
        </xdr:cNvSpPr>
      </xdr:nvSpPr>
      <xdr:spPr bwMode="auto">
        <a:xfrm>
          <a:off x="15388070"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72</xdr:row>
      <xdr:rowOff>0</xdr:rowOff>
    </xdr:from>
    <xdr:ext cx="95250" cy="171450"/>
    <xdr:sp macro="" textlink="">
      <xdr:nvSpPr>
        <xdr:cNvPr id="2931" name="Text Box 17">
          <a:extLst>
            <a:ext uri="{FF2B5EF4-FFF2-40B4-BE49-F238E27FC236}">
              <a16:creationId xmlns:a16="http://schemas.microsoft.com/office/drawing/2014/main" id="{00000000-0008-0000-0500-0000730B0000}"/>
            </a:ext>
          </a:extLst>
        </xdr:cNvPr>
        <xdr:cNvSpPr txBox="1">
          <a:spLocks noChangeArrowheads="1"/>
        </xdr:cNvSpPr>
      </xdr:nvSpPr>
      <xdr:spPr bwMode="auto">
        <a:xfrm>
          <a:off x="15388070"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72</xdr:row>
      <xdr:rowOff>0</xdr:rowOff>
    </xdr:from>
    <xdr:ext cx="95250" cy="171450"/>
    <xdr:sp macro="" textlink="">
      <xdr:nvSpPr>
        <xdr:cNvPr id="2932" name="Text Box 18">
          <a:extLst>
            <a:ext uri="{FF2B5EF4-FFF2-40B4-BE49-F238E27FC236}">
              <a16:creationId xmlns:a16="http://schemas.microsoft.com/office/drawing/2014/main" id="{00000000-0008-0000-0500-0000740B0000}"/>
            </a:ext>
          </a:extLst>
        </xdr:cNvPr>
        <xdr:cNvSpPr txBox="1">
          <a:spLocks noChangeArrowheads="1"/>
        </xdr:cNvSpPr>
      </xdr:nvSpPr>
      <xdr:spPr bwMode="auto">
        <a:xfrm>
          <a:off x="15388070"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72</xdr:row>
      <xdr:rowOff>0</xdr:rowOff>
    </xdr:from>
    <xdr:ext cx="95250" cy="171450"/>
    <xdr:sp macro="" textlink="">
      <xdr:nvSpPr>
        <xdr:cNvPr id="2933" name="Text Box 19">
          <a:extLst>
            <a:ext uri="{FF2B5EF4-FFF2-40B4-BE49-F238E27FC236}">
              <a16:creationId xmlns:a16="http://schemas.microsoft.com/office/drawing/2014/main" id="{00000000-0008-0000-0500-0000750B0000}"/>
            </a:ext>
          </a:extLst>
        </xdr:cNvPr>
        <xdr:cNvSpPr txBox="1">
          <a:spLocks noChangeArrowheads="1"/>
        </xdr:cNvSpPr>
      </xdr:nvSpPr>
      <xdr:spPr bwMode="auto">
        <a:xfrm>
          <a:off x="15388070"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72</xdr:row>
      <xdr:rowOff>0</xdr:rowOff>
    </xdr:from>
    <xdr:ext cx="95250" cy="171450"/>
    <xdr:sp macro="" textlink="">
      <xdr:nvSpPr>
        <xdr:cNvPr id="2934" name="Text Box 16">
          <a:extLst>
            <a:ext uri="{FF2B5EF4-FFF2-40B4-BE49-F238E27FC236}">
              <a16:creationId xmlns:a16="http://schemas.microsoft.com/office/drawing/2014/main" id="{00000000-0008-0000-0500-0000760B0000}"/>
            </a:ext>
          </a:extLst>
        </xdr:cNvPr>
        <xdr:cNvSpPr txBox="1">
          <a:spLocks noChangeArrowheads="1"/>
        </xdr:cNvSpPr>
      </xdr:nvSpPr>
      <xdr:spPr bwMode="auto">
        <a:xfrm>
          <a:off x="15388070"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72</xdr:row>
      <xdr:rowOff>0</xdr:rowOff>
    </xdr:from>
    <xdr:ext cx="95250" cy="171450"/>
    <xdr:sp macro="" textlink="">
      <xdr:nvSpPr>
        <xdr:cNvPr id="2935" name="Text Box 17">
          <a:extLst>
            <a:ext uri="{FF2B5EF4-FFF2-40B4-BE49-F238E27FC236}">
              <a16:creationId xmlns:a16="http://schemas.microsoft.com/office/drawing/2014/main" id="{00000000-0008-0000-0500-0000770B0000}"/>
            </a:ext>
          </a:extLst>
        </xdr:cNvPr>
        <xdr:cNvSpPr txBox="1">
          <a:spLocks noChangeArrowheads="1"/>
        </xdr:cNvSpPr>
      </xdr:nvSpPr>
      <xdr:spPr bwMode="auto">
        <a:xfrm>
          <a:off x="15388070"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72</xdr:row>
      <xdr:rowOff>0</xdr:rowOff>
    </xdr:from>
    <xdr:ext cx="95250" cy="171450"/>
    <xdr:sp macro="" textlink="">
      <xdr:nvSpPr>
        <xdr:cNvPr id="2936" name="Text Box 18">
          <a:extLst>
            <a:ext uri="{FF2B5EF4-FFF2-40B4-BE49-F238E27FC236}">
              <a16:creationId xmlns:a16="http://schemas.microsoft.com/office/drawing/2014/main" id="{00000000-0008-0000-0500-0000780B0000}"/>
            </a:ext>
          </a:extLst>
        </xdr:cNvPr>
        <xdr:cNvSpPr txBox="1">
          <a:spLocks noChangeArrowheads="1"/>
        </xdr:cNvSpPr>
      </xdr:nvSpPr>
      <xdr:spPr bwMode="auto">
        <a:xfrm>
          <a:off x="15388070"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10</xdr:col>
      <xdr:colOff>28575</xdr:colOff>
      <xdr:row>72</xdr:row>
      <xdr:rowOff>170392</xdr:rowOff>
    </xdr:from>
    <xdr:ext cx="95250" cy="213632"/>
    <xdr:sp macro="" textlink="">
      <xdr:nvSpPr>
        <xdr:cNvPr id="2937" name="Text Box 15">
          <a:extLst>
            <a:ext uri="{FF2B5EF4-FFF2-40B4-BE49-F238E27FC236}">
              <a16:creationId xmlns:a16="http://schemas.microsoft.com/office/drawing/2014/main" id="{00000000-0008-0000-0500-0000790B0000}"/>
            </a:ext>
          </a:extLst>
        </xdr:cNvPr>
        <xdr:cNvSpPr txBox="1">
          <a:spLocks noChangeArrowheads="1"/>
        </xdr:cNvSpPr>
      </xdr:nvSpPr>
      <xdr:spPr bwMode="auto">
        <a:xfrm>
          <a:off x="12578484" y="7270847"/>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72</xdr:row>
      <xdr:rowOff>0</xdr:rowOff>
    </xdr:from>
    <xdr:ext cx="95250" cy="171450"/>
    <xdr:sp macro="" textlink="">
      <xdr:nvSpPr>
        <xdr:cNvPr id="2938" name="Text Box 16">
          <a:extLst>
            <a:ext uri="{FF2B5EF4-FFF2-40B4-BE49-F238E27FC236}">
              <a16:creationId xmlns:a16="http://schemas.microsoft.com/office/drawing/2014/main" id="{00000000-0008-0000-0500-00007A0B0000}"/>
            </a:ext>
          </a:extLst>
        </xdr:cNvPr>
        <xdr:cNvSpPr txBox="1">
          <a:spLocks noChangeArrowheads="1"/>
        </xdr:cNvSpPr>
      </xdr:nvSpPr>
      <xdr:spPr bwMode="auto">
        <a:xfrm>
          <a:off x="4664364"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72</xdr:row>
      <xdr:rowOff>0</xdr:rowOff>
    </xdr:from>
    <xdr:ext cx="95250" cy="171450"/>
    <xdr:sp macro="" textlink="">
      <xdr:nvSpPr>
        <xdr:cNvPr id="2939" name="Text Box 17">
          <a:extLst>
            <a:ext uri="{FF2B5EF4-FFF2-40B4-BE49-F238E27FC236}">
              <a16:creationId xmlns:a16="http://schemas.microsoft.com/office/drawing/2014/main" id="{00000000-0008-0000-0500-00007B0B0000}"/>
            </a:ext>
          </a:extLst>
        </xdr:cNvPr>
        <xdr:cNvSpPr txBox="1">
          <a:spLocks noChangeArrowheads="1"/>
        </xdr:cNvSpPr>
      </xdr:nvSpPr>
      <xdr:spPr bwMode="auto">
        <a:xfrm>
          <a:off x="4664364"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72</xdr:row>
      <xdr:rowOff>0</xdr:rowOff>
    </xdr:from>
    <xdr:ext cx="95250" cy="171450"/>
    <xdr:sp macro="" textlink="">
      <xdr:nvSpPr>
        <xdr:cNvPr id="2940" name="Text Box 18">
          <a:extLst>
            <a:ext uri="{FF2B5EF4-FFF2-40B4-BE49-F238E27FC236}">
              <a16:creationId xmlns:a16="http://schemas.microsoft.com/office/drawing/2014/main" id="{00000000-0008-0000-0500-00007C0B0000}"/>
            </a:ext>
          </a:extLst>
        </xdr:cNvPr>
        <xdr:cNvSpPr txBox="1">
          <a:spLocks noChangeArrowheads="1"/>
        </xdr:cNvSpPr>
      </xdr:nvSpPr>
      <xdr:spPr bwMode="auto">
        <a:xfrm>
          <a:off x="4664364"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72</xdr:row>
      <xdr:rowOff>0</xdr:rowOff>
    </xdr:from>
    <xdr:ext cx="95250" cy="171450"/>
    <xdr:sp macro="" textlink="">
      <xdr:nvSpPr>
        <xdr:cNvPr id="2941" name="Text Box 19">
          <a:extLst>
            <a:ext uri="{FF2B5EF4-FFF2-40B4-BE49-F238E27FC236}">
              <a16:creationId xmlns:a16="http://schemas.microsoft.com/office/drawing/2014/main" id="{00000000-0008-0000-0500-00007D0B0000}"/>
            </a:ext>
          </a:extLst>
        </xdr:cNvPr>
        <xdr:cNvSpPr txBox="1">
          <a:spLocks noChangeArrowheads="1"/>
        </xdr:cNvSpPr>
      </xdr:nvSpPr>
      <xdr:spPr bwMode="auto">
        <a:xfrm>
          <a:off x="4664364"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72</xdr:row>
      <xdr:rowOff>0</xdr:rowOff>
    </xdr:from>
    <xdr:ext cx="95250" cy="171450"/>
    <xdr:sp macro="" textlink="">
      <xdr:nvSpPr>
        <xdr:cNvPr id="2942" name="Text Box 16">
          <a:extLst>
            <a:ext uri="{FF2B5EF4-FFF2-40B4-BE49-F238E27FC236}">
              <a16:creationId xmlns:a16="http://schemas.microsoft.com/office/drawing/2014/main" id="{00000000-0008-0000-0500-00007E0B0000}"/>
            </a:ext>
          </a:extLst>
        </xdr:cNvPr>
        <xdr:cNvSpPr txBox="1">
          <a:spLocks noChangeArrowheads="1"/>
        </xdr:cNvSpPr>
      </xdr:nvSpPr>
      <xdr:spPr bwMode="auto">
        <a:xfrm>
          <a:off x="12540961"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72</xdr:row>
      <xdr:rowOff>0</xdr:rowOff>
    </xdr:from>
    <xdr:ext cx="95250" cy="171450"/>
    <xdr:sp macro="" textlink="">
      <xdr:nvSpPr>
        <xdr:cNvPr id="2943" name="Text Box 17">
          <a:extLst>
            <a:ext uri="{FF2B5EF4-FFF2-40B4-BE49-F238E27FC236}">
              <a16:creationId xmlns:a16="http://schemas.microsoft.com/office/drawing/2014/main" id="{00000000-0008-0000-0500-00007F0B0000}"/>
            </a:ext>
          </a:extLst>
        </xdr:cNvPr>
        <xdr:cNvSpPr txBox="1">
          <a:spLocks noChangeArrowheads="1"/>
        </xdr:cNvSpPr>
      </xdr:nvSpPr>
      <xdr:spPr bwMode="auto">
        <a:xfrm>
          <a:off x="12540961"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72</xdr:row>
      <xdr:rowOff>0</xdr:rowOff>
    </xdr:from>
    <xdr:ext cx="95250" cy="171450"/>
    <xdr:sp macro="" textlink="">
      <xdr:nvSpPr>
        <xdr:cNvPr id="2944" name="Text Box 18">
          <a:extLst>
            <a:ext uri="{FF2B5EF4-FFF2-40B4-BE49-F238E27FC236}">
              <a16:creationId xmlns:a16="http://schemas.microsoft.com/office/drawing/2014/main" id="{00000000-0008-0000-0500-0000800B0000}"/>
            </a:ext>
          </a:extLst>
        </xdr:cNvPr>
        <xdr:cNvSpPr txBox="1">
          <a:spLocks noChangeArrowheads="1"/>
        </xdr:cNvSpPr>
      </xdr:nvSpPr>
      <xdr:spPr bwMode="auto">
        <a:xfrm>
          <a:off x="12540961"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72</xdr:row>
      <xdr:rowOff>0</xdr:rowOff>
    </xdr:from>
    <xdr:ext cx="95250" cy="171450"/>
    <xdr:sp macro="" textlink="">
      <xdr:nvSpPr>
        <xdr:cNvPr id="2945" name="Text Box 19">
          <a:extLst>
            <a:ext uri="{FF2B5EF4-FFF2-40B4-BE49-F238E27FC236}">
              <a16:creationId xmlns:a16="http://schemas.microsoft.com/office/drawing/2014/main" id="{00000000-0008-0000-0500-0000810B0000}"/>
            </a:ext>
          </a:extLst>
        </xdr:cNvPr>
        <xdr:cNvSpPr txBox="1">
          <a:spLocks noChangeArrowheads="1"/>
        </xdr:cNvSpPr>
      </xdr:nvSpPr>
      <xdr:spPr bwMode="auto">
        <a:xfrm>
          <a:off x="12540961"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21</xdr:col>
      <xdr:colOff>0</xdr:colOff>
      <xdr:row>67</xdr:row>
      <xdr:rowOff>0</xdr:rowOff>
    </xdr:from>
    <xdr:ext cx="95250" cy="171450"/>
    <xdr:sp macro="" textlink="">
      <xdr:nvSpPr>
        <xdr:cNvPr id="2946" name="Text Box 16">
          <a:extLst>
            <a:ext uri="{FF2B5EF4-FFF2-40B4-BE49-F238E27FC236}">
              <a16:creationId xmlns:a16="http://schemas.microsoft.com/office/drawing/2014/main" id="{00000000-0008-0000-0500-0000820B0000}"/>
            </a:ext>
          </a:extLst>
        </xdr:cNvPr>
        <xdr:cNvSpPr txBox="1">
          <a:spLocks noChangeArrowheads="1"/>
        </xdr:cNvSpPr>
      </xdr:nvSpPr>
      <xdr:spPr bwMode="auto">
        <a:xfrm>
          <a:off x="21832455" y="5992091"/>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21</xdr:col>
      <xdr:colOff>0</xdr:colOff>
      <xdr:row>67</xdr:row>
      <xdr:rowOff>0</xdr:rowOff>
    </xdr:from>
    <xdr:ext cx="95250" cy="171450"/>
    <xdr:sp macro="" textlink="">
      <xdr:nvSpPr>
        <xdr:cNvPr id="2947" name="Text Box 17">
          <a:extLst>
            <a:ext uri="{FF2B5EF4-FFF2-40B4-BE49-F238E27FC236}">
              <a16:creationId xmlns:a16="http://schemas.microsoft.com/office/drawing/2014/main" id="{00000000-0008-0000-0500-0000830B0000}"/>
            </a:ext>
          </a:extLst>
        </xdr:cNvPr>
        <xdr:cNvSpPr txBox="1">
          <a:spLocks noChangeArrowheads="1"/>
        </xdr:cNvSpPr>
      </xdr:nvSpPr>
      <xdr:spPr bwMode="auto">
        <a:xfrm>
          <a:off x="21832455" y="5992091"/>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21</xdr:col>
      <xdr:colOff>0</xdr:colOff>
      <xdr:row>67</xdr:row>
      <xdr:rowOff>0</xdr:rowOff>
    </xdr:from>
    <xdr:ext cx="95250" cy="171450"/>
    <xdr:sp macro="" textlink="">
      <xdr:nvSpPr>
        <xdr:cNvPr id="2948" name="Text Box 18">
          <a:extLst>
            <a:ext uri="{FF2B5EF4-FFF2-40B4-BE49-F238E27FC236}">
              <a16:creationId xmlns:a16="http://schemas.microsoft.com/office/drawing/2014/main" id="{00000000-0008-0000-0500-0000840B0000}"/>
            </a:ext>
          </a:extLst>
        </xdr:cNvPr>
        <xdr:cNvSpPr txBox="1">
          <a:spLocks noChangeArrowheads="1"/>
        </xdr:cNvSpPr>
      </xdr:nvSpPr>
      <xdr:spPr bwMode="auto">
        <a:xfrm>
          <a:off x="21832455" y="5992091"/>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21</xdr:col>
      <xdr:colOff>0</xdr:colOff>
      <xdr:row>67</xdr:row>
      <xdr:rowOff>0</xdr:rowOff>
    </xdr:from>
    <xdr:ext cx="95250" cy="171450"/>
    <xdr:sp macro="" textlink="">
      <xdr:nvSpPr>
        <xdr:cNvPr id="2949" name="Text Box 19">
          <a:extLst>
            <a:ext uri="{FF2B5EF4-FFF2-40B4-BE49-F238E27FC236}">
              <a16:creationId xmlns:a16="http://schemas.microsoft.com/office/drawing/2014/main" id="{00000000-0008-0000-0500-0000850B0000}"/>
            </a:ext>
          </a:extLst>
        </xdr:cNvPr>
        <xdr:cNvSpPr txBox="1">
          <a:spLocks noChangeArrowheads="1"/>
        </xdr:cNvSpPr>
      </xdr:nvSpPr>
      <xdr:spPr bwMode="auto">
        <a:xfrm>
          <a:off x="21832455" y="5992091"/>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70</xdr:row>
      <xdr:rowOff>504825</xdr:rowOff>
    </xdr:from>
    <xdr:ext cx="95250" cy="444014"/>
    <xdr:sp macro="" textlink="">
      <xdr:nvSpPr>
        <xdr:cNvPr id="2950" name="Text Box 15">
          <a:extLst>
            <a:ext uri="{FF2B5EF4-FFF2-40B4-BE49-F238E27FC236}">
              <a16:creationId xmlns:a16="http://schemas.microsoft.com/office/drawing/2014/main" id="{00000000-0008-0000-0500-0000860B0000}"/>
            </a:ext>
          </a:extLst>
        </xdr:cNvPr>
        <xdr:cNvSpPr txBox="1">
          <a:spLocks noChangeArrowheads="1"/>
        </xdr:cNvSpPr>
      </xdr:nvSpPr>
      <xdr:spPr bwMode="auto">
        <a:xfrm>
          <a:off x="4664364" y="6733020"/>
          <a:ext cx="95250" cy="444014"/>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72</xdr:row>
      <xdr:rowOff>0</xdr:rowOff>
    </xdr:from>
    <xdr:ext cx="95250" cy="171450"/>
    <xdr:sp macro="" textlink="">
      <xdr:nvSpPr>
        <xdr:cNvPr id="2951" name="Text Box 16">
          <a:extLst>
            <a:ext uri="{FF2B5EF4-FFF2-40B4-BE49-F238E27FC236}">
              <a16:creationId xmlns:a16="http://schemas.microsoft.com/office/drawing/2014/main" id="{00000000-0008-0000-0500-0000870B0000}"/>
            </a:ext>
          </a:extLst>
        </xdr:cNvPr>
        <xdr:cNvSpPr txBox="1">
          <a:spLocks noChangeArrowheads="1"/>
        </xdr:cNvSpPr>
      </xdr:nvSpPr>
      <xdr:spPr bwMode="auto">
        <a:xfrm>
          <a:off x="4664364"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72</xdr:row>
      <xdr:rowOff>0</xdr:rowOff>
    </xdr:from>
    <xdr:ext cx="95250" cy="171450"/>
    <xdr:sp macro="" textlink="">
      <xdr:nvSpPr>
        <xdr:cNvPr id="2952" name="Text Box 17">
          <a:extLst>
            <a:ext uri="{FF2B5EF4-FFF2-40B4-BE49-F238E27FC236}">
              <a16:creationId xmlns:a16="http://schemas.microsoft.com/office/drawing/2014/main" id="{00000000-0008-0000-0500-0000880B0000}"/>
            </a:ext>
          </a:extLst>
        </xdr:cNvPr>
        <xdr:cNvSpPr txBox="1">
          <a:spLocks noChangeArrowheads="1"/>
        </xdr:cNvSpPr>
      </xdr:nvSpPr>
      <xdr:spPr bwMode="auto">
        <a:xfrm>
          <a:off x="4664364"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72</xdr:row>
      <xdr:rowOff>0</xdr:rowOff>
    </xdr:from>
    <xdr:ext cx="95250" cy="171450"/>
    <xdr:sp macro="" textlink="">
      <xdr:nvSpPr>
        <xdr:cNvPr id="2953" name="Text Box 18">
          <a:extLst>
            <a:ext uri="{FF2B5EF4-FFF2-40B4-BE49-F238E27FC236}">
              <a16:creationId xmlns:a16="http://schemas.microsoft.com/office/drawing/2014/main" id="{00000000-0008-0000-0500-0000890B0000}"/>
            </a:ext>
          </a:extLst>
        </xdr:cNvPr>
        <xdr:cNvSpPr txBox="1">
          <a:spLocks noChangeArrowheads="1"/>
        </xdr:cNvSpPr>
      </xdr:nvSpPr>
      <xdr:spPr bwMode="auto">
        <a:xfrm>
          <a:off x="4664364"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72</xdr:row>
      <xdr:rowOff>0</xdr:rowOff>
    </xdr:from>
    <xdr:ext cx="95250" cy="171450"/>
    <xdr:sp macro="" textlink="">
      <xdr:nvSpPr>
        <xdr:cNvPr id="2954" name="Text Box 19">
          <a:extLst>
            <a:ext uri="{FF2B5EF4-FFF2-40B4-BE49-F238E27FC236}">
              <a16:creationId xmlns:a16="http://schemas.microsoft.com/office/drawing/2014/main" id="{00000000-0008-0000-0500-00008A0B0000}"/>
            </a:ext>
          </a:extLst>
        </xdr:cNvPr>
        <xdr:cNvSpPr txBox="1">
          <a:spLocks noChangeArrowheads="1"/>
        </xdr:cNvSpPr>
      </xdr:nvSpPr>
      <xdr:spPr bwMode="auto">
        <a:xfrm>
          <a:off x="4664364"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72</xdr:row>
      <xdr:rowOff>0</xdr:rowOff>
    </xdr:from>
    <xdr:ext cx="95250" cy="171450"/>
    <xdr:sp macro="" textlink="">
      <xdr:nvSpPr>
        <xdr:cNvPr id="2955" name="Text Box 16">
          <a:extLst>
            <a:ext uri="{FF2B5EF4-FFF2-40B4-BE49-F238E27FC236}">
              <a16:creationId xmlns:a16="http://schemas.microsoft.com/office/drawing/2014/main" id="{00000000-0008-0000-0500-00008B0B0000}"/>
            </a:ext>
          </a:extLst>
        </xdr:cNvPr>
        <xdr:cNvSpPr txBox="1">
          <a:spLocks noChangeArrowheads="1"/>
        </xdr:cNvSpPr>
      </xdr:nvSpPr>
      <xdr:spPr bwMode="auto">
        <a:xfrm>
          <a:off x="12540961"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72</xdr:row>
      <xdr:rowOff>0</xdr:rowOff>
    </xdr:from>
    <xdr:ext cx="95250" cy="171450"/>
    <xdr:sp macro="" textlink="">
      <xdr:nvSpPr>
        <xdr:cNvPr id="2956" name="Text Box 17">
          <a:extLst>
            <a:ext uri="{FF2B5EF4-FFF2-40B4-BE49-F238E27FC236}">
              <a16:creationId xmlns:a16="http://schemas.microsoft.com/office/drawing/2014/main" id="{00000000-0008-0000-0500-00008C0B0000}"/>
            </a:ext>
          </a:extLst>
        </xdr:cNvPr>
        <xdr:cNvSpPr txBox="1">
          <a:spLocks noChangeArrowheads="1"/>
        </xdr:cNvSpPr>
      </xdr:nvSpPr>
      <xdr:spPr bwMode="auto">
        <a:xfrm>
          <a:off x="12540961"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1020762</xdr:colOff>
      <xdr:row>72</xdr:row>
      <xdr:rowOff>15875</xdr:rowOff>
    </xdr:from>
    <xdr:ext cx="95250" cy="171450"/>
    <xdr:sp macro="" textlink="">
      <xdr:nvSpPr>
        <xdr:cNvPr id="2957" name="Text Box 18">
          <a:extLst>
            <a:ext uri="{FF2B5EF4-FFF2-40B4-BE49-F238E27FC236}">
              <a16:creationId xmlns:a16="http://schemas.microsoft.com/office/drawing/2014/main" id="{00000000-0008-0000-0500-00008D0B0000}"/>
            </a:ext>
          </a:extLst>
        </xdr:cNvPr>
        <xdr:cNvSpPr txBox="1">
          <a:spLocks noChangeArrowheads="1"/>
        </xdr:cNvSpPr>
      </xdr:nvSpPr>
      <xdr:spPr bwMode="auto">
        <a:xfrm>
          <a:off x="12485398" y="7116330"/>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72</xdr:row>
      <xdr:rowOff>0</xdr:rowOff>
    </xdr:from>
    <xdr:ext cx="95250" cy="171450"/>
    <xdr:sp macro="" textlink="">
      <xdr:nvSpPr>
        <xdr:cNvPr id="2958" name="Text Box 16">
          <a:extLst>
            <a:ext uri="{FF2B5EF4-FFF2-40B4-BE49-F238E27FC236}">
              <a16:creationId xmlns:a16="http://schemas.microsoft.com/office/drawing/2014/main" id="{00000000-0008-0000-0500-00008E0B0000}"/>
            </a:ext>
          </a:extLst>
        </xdr:cNvPr>
        <xdr:cNvSpPr txBox="1">
          <a:spLocks noChangeArrowheads="1"/>
        </xdr:cNvSpPr>
      </xdr:nvSpPr>
      <xdr:spPr bwMode="auto">
        <a:xfrm>
          <a:off x="15388070"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72</xdr:row>
      <xdr:rowOff>0</xdr:rowOff>
    </xdr:from>
    <xdr:ext cx="95250" cy="171450"/>
    <xdr:sp macro="" textlink="">
      <xdr:nvSpPr>
        <xdr:cNvPr id="2959" name="Text Box 17">
          <a:extLst>
            <a:ext uri="{FF2B5EF4-FFF2-40B4-BE49-F238E27FC236}">
              <a16:creationId xmlns:a16="http://schemas.microsoft.com/office/drawing/2014/main" id="{00000000-0008-0000-0500-00008F0B0000}"/>
            </a:ext>
          </a:extLst>
        </xdr:cNvPr>
        <xdr:cNvSpPr txBox="1">
          <a:spLocks noChangeArrowheads="1"/>
        </xdr:cNvSpPr>
      </xdr:nvSpPr>
      <xdr:spPr bwMode="auto">
        <a:xfrm>
          <a:off x="15388070"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72</xdr:row>
      <xdr:rowOff>0</xdr:rowOff>
    </xdr:from>
    <xdr:ext cx="95250" cy="171450"/>
    <xdr:sp macro="" textlink="">
      <xdr:nvSpPr>
        <xdr:cNvPr id="2960" name="Text Box 18">
          <a:extLst>
            <a:ext uri="{FF2B5EF4-FFF2-40B4-BE49-F238E27FC236}">
              <a16:creationId xmlns:a16="http://schemas.microsoft.com/office/drawing/2014/main" id="{00000000-0008-0000-0500-0000900B0000}"/>
            </a:ext>
          </a:extLst>
        </xdr:cNvPr>
        <xdr:cNvSpPr txBox="1">
          <a:spLocks noChangeArrowheads="1"/>
        </xdr:cNvSpPr>
      </xdr:nvSpPr>
      <xdr:spPr bwMode="auto">
        <a:xfrm>
          <a:off x="15388070"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72</xdr:row>
      <xdr:rowOff>0</xdr:rowOff>
    </xdr:from>
    <xdr:ext cx="95250" cy="171450"/>
    <xdr:sp macro="" textlink="">
      <xdr:nvSpPr>
        <xdr:cNvPr id="2961" name="Text Box 19">
          <a:extLst>
            <a:ext uri="{FF2B5EF4-FFF2-40B4-BE49-F238E27FC236}">
              <a16:creationId xmlns:a16="http://schemas.microsoft.com/office/drawing/2014/main" id="{00000000-0008-0000-0500-0000910B0000}"/>
            </a:ext>
          </a:extLst>
        </xdr:cNvPr>
        <xdr:cNvSpPr txBox="1">
          <a:spLocks noChangeArrowheads="1"/>
        </xdr:cNvSpPr>
      </xdr:nvSpPr>
      <xdr:spPr bwMode="auto">
        <a:xfrm>
          <a:off x="15388070"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72</xdr:row>
      <xdr:rowOff>0</xdr:rowOff>
    </xdr:from>
    <xdr:ext cx="95250" cy="171450"/>
    <xdr:sp macro="" textlink="">
      <xdr:nvSpPr>
        <xdr:cNvPr id="2962" name="Text Box 16">
          <a:extLst>
            <a:ext uri="{FF2B5EF4-FFF2-40B4-BE49-F238E27FC236}">
              <a16:creationId xmlns:a16="http://schemas.microsoft.com/office/drawing/2014/main" id="{00000000-0008-0000-0500-0000920B0000}"/>
            </a:ext>
          </a:extLst>
        </xdr:cNvPr>
        <xdr:cNvSpPr txBox="1">
          <a:spLocks noChangeArrowheads="1"/>
        </xdr:cNvSpPr>
      </xdr:nvSpPr>
      <xdr:spPr bwMode="auto">
        <a:xfrm>
          <a:off x="15388070"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10</xdr:col>
      <xdr:colOff>28575</xdr:colOff>
      <xdr:row>72</xdr:row>
      <xdr:rowOff>170392</xdr:rowOff>
    </xdr:from>
    <xdr:ext cx="95250" cy="213632"/>
    <xdr:sp macro="" textlink="">
      <xdr:nvSpPr>
        <xdr:cNvPr id="2963" name="Text Box 15">
          <a:extLst>
            <a:ext uri="{FF2B5EF4-FFF2-40B4-BE49-F238E27FC236}">
              <a16:creationId xmlns:a16="http://schemas.microsoft.com/office/drawing/2014/main" id="{00000000-0008-0000-0500-0000930B0000}"/>
            </a:ext>
          </a:extLst>
        </xdr:cNvPr>
        <xdr:cNvSpPr txBox="1">
          <a:spLocks noChangeArrowheads="1"/>
        </xdr:cNvSpPr>
      </xdr:nvSpPr>
      <xdr:spPr bwMode="auto">
        <a:xfrm>
          <a:off x="12578484" y="7270847"/>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72</xdr:row>
      <xdr:rowOff>504825</xdr:rowOff>
    </xdr:from>
    <xdr:ext cx="95250" cy="448496"/>
    <xdr:sp macro="" textlink="">
      <xdr:nvSpPr>
        <xdr:cNvPr id="2964" name="Text Box 15">
          <a:extLst>
            <a:ext uri="{FF2B5EF4-FFF2-40B4-BE49-F238E27FC236}">
              <a16:creationId xmlns:a16="http://schemas.microsoft.com/office/drawing/2014/main" id="{00000000-0008-0000-0500-0000940B0000}"/>
            </a:ext>
          </a:extLst>
        </xdr:cNvPr>
        <xdr:cNvSpPr txBox="1">
          <a:spLocks noChangeArrowheads="1"/>
        </xdr:cNvSpPr>
      </xdr:nvSpPr>
      <xdr:spPr bwMode="auto">
        <a:xfrm>
          <a:off x="4664364" y="5994111"/>
          <a:ext cx="95250" cy="448496"/>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72</xdr:row>
      <xdr:rowOff>504825</xdr:rowOff>
    </xdr:from>
    <xdr:ext cx="95250" cy="442269"/>
    <xdr:sp macro="" textlink="">
      <xdr:nvSpPr>
        <xdr:cNvPr id="2965" name="Text Box 15">
          <a:extLst>
            <a:ext uri="{FF2B5EF4-FFF2-40B4-BE49-F238E27FC236}">
              <a16:creationId xmlns:a16="http://schemas.microsoft.com/office/drawing/2014/main" id="{00000000-0008-0000-0500-0000950B0000}"/>
            </a:ext>
          </a:extLst>
        </xdr:cNvPr>
        <xdr:cNvSpPr txBox="1">
          <a:spLocks noChangeArrowheads="1"/>
        </xdr:cNvSpPr>
      </xdr:nvSpPr>
      <xdr:spPr bwMode="auto">
        <a:xfrm>
          <a:off x="12540961" y="5994111"/>
          <a:ext cx="95250" cy="442269"/>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72</xdr:row>
      <xdr:rowOff>504825</xdr:rowOff>
    </xdr:from>
    <xdr:ext cx="95250" cy="213632"/>
    <xdr:sp macro="" textlink="">
      <xdr:nvSpPr>
        <xdr:cNvPr id="2967" name="Text Box 15">
          <a:extLst>
            <a:ext uri="{FF2B5EF4-FFF2-40B4-BE49-F238E27FC236}">
              <a16:creationId xmlns:a16="http://schemas.microsoft.com/office/drawing/2014/main" id="{00000000-0008-0000-0500-0000970B0000}"/>
            </a:ext>
          </a:extLst>
        </xdr:cNvPr>
        <xdr:cNvSpPr txBox="1">
          <a:spLocks noChangeArrowheads="1"/>
        </xdr:cNvSpPr>
      </xdr:nvSpPr>
      <xdr:spPr bwMode="auto">
        <a:xfrm>
          <a:off x="4664364" y="5994111"/>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72</xdr:row>
      <xdr:rowOff>504825</xdr:rowOff>
    </xdr:from>
    <xdr:ext cx="95250" cy="444331"/>
    <xdr:sp macro="" textlink="">
      <xdr:nvSpPr>
        <xdr:cNvPr id="2968" name="Text Box 15">
          <a:extLst>
            <a:ext uri="{FF2B5EF4-FFF2-40B4-BE49-F238E27FC236}">
              <a16:creationId xmlns:a16="http://schemas.microsoft.com/office/drawing/2014/main" id="{00000000-0008-0000-0500-0000980B0000}"/>
            </a:ext>
          </a:extLst>
        </xdr:cNvPr>
        <xdr:cNvSpPr txBox="1">
          <a:spLocks noChangeArrowheads="1"/>
        </xdr:cNvSpPr>
      </xdr:nvSpPr>
      <xdr:spPr bwMode="auto">
        <a:xfrm>
          <a:off x="4664364" y="5994111"/>
          <a:ext cx="95250" cy="444331"/>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10</xdr:col>
      <xdr:colOff>28575</xdr:colOff>
      <xdr:row>72</xdr:row>
      <xdr:rowOff>170392</xdr:rowOff>
    </xdr:from>
    <xdr:ext cx="95250" cy="213632"/>
    <xdr:sp macro="" textlink="">
      <xdr:nvSpPr>
        <xdr:cNvPr id="2969" name="Text Box 15">
          <a:extLst>
            <a:ext uri="{FF2B5EF4-FFF2-40B4-BE49-F238E27FC236}">
              <a16:creationId xmlns:a16="http://schemas.microsoft.com/office/drawing/2014/main" id="{00000000-0008-0000-0500-0000990B0000}"/>
            </a:ext>
          </a:extLst>
        </xdr:cNvPr>
        <xdr:cNvSpPr txBox="1">
          <a:spLocks noChangeArrowheads="1"/>
        </xdr:cNvSpPr>
      </xdr:nvSpPr>
      <xdr:spPr bwMode="auto">
        <a:xfrm>
          <a:off x="12578484" y="5793028"/>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78</xdr:row>
      <xdr:rowOff>0</xdr:rowOff>
    </xdr:from>
    <xdr:ext cx="95250" cy="171450"/>
    <xdr:sp macro="" textlink="">
      <xdr:nvSpPr>
        <xdr:cNvPr id="2970" name="Text Box 16">
          <a:extLst>
            <a:ext uri="{FF2B5EF4-FFF2-40B4-BE49-F238E27FC236}">
              <a16:creationId xmlns:a16="http://schemas.microsoft.com/office/drawing/2014/main" id="{00000000-0008-0000-0500-00009A0B0000}"/>
            </a:ext>
          </a:extLst>
        </xdr:cNvPr>
        <xdr:cNvSpPr txBox="1">
          <a:spLocks noChangeArrowheads="1"/>
        </xdr:cNvSpPr>
      </xdr:nvSpPr>
      <xdr:spPr bwMode="auto">
        <a:xfrm>
          <a:off x="4664364"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78</xdr:row>
      <xdr:rowOff>0</xdr:rowOff>
    </xdr:from>
    <xdr:ext cx="95250" cy="171450"/>
    <xdr:sp macro="" textlink="">
      <xdr:nvSpPr>
        <xdr:cNvPr id="2971" name="Text Box 17">
          <a:extLst>
            <a:ext uri="{FF2B5EF4-FFF2-40B4-BE49-F238E27FC236}">
              <a16:creationId xmlns:a16="http://schemas.microsoft.com/office/drawing/2014/main" id="{00000000-0008-0000-0500-00009B0B0000}"/>
            </a:ext>
          </a:extLst>
        </xdr:cNvPr>
        <xdr:cNvSpPr txBox="1">
          <a:spLocks noChangeArrowheads="1"/>
        </xdr:cNvSpPr>
      </xdr:nvSpPr>
      <xdr:spPr bwMode="auto">
        <a:xfrm>
          <a:off x="4664364"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78</xdr:row>
      <xdr:rowOff>0</xdr:rowOff>
    </xdr:from>
    <xdr:ext cx="95250" cy="171450"/>
    <xdr:sp macro="" textlink="">
      <xdr:nvSpPr>
        <xdr:cNvPr id="2972" name="Text Box 18">
          <a:extLst>
            <a:ext uri="{FF2B5EF4-FFF2-40B4-BE49-F238E27FC236}">
              <a16:creationId xmlns:a16="http://schemas.microsoft.com/office/drawing/2014/main" id="{00000000-0008-0000-0500-00009C0B0000}"/>
            </a:ext>
          </a:extLst>
        </xdr:cNvPr>
        <xdr:cNvSpPr txBox="1">
          <a:spLocks noChangeArrowheads="1"/>
        </xdr:cNvSpPr>
      </xdr:nvSpPr>
      <xdr:spPr bwMode="auto">
        <a:xfrm>
          <a:off x="4664364"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78</xdr:row>
      <xdr:rowOff>0</xdr:rowOff>
    </xdr:from>
    <xdr:ext cx="95250" cy="171450"/>
    <xdr:sp macro="" textlink="">
      <xdr:nvSpPr>
        <xdr:cNvPr id="2973" name="Text Box 19">
          <a:extLst>
            <a:ext uri="{FF2B5EF4-FFF2-40B4-BE49-F238E27FC236}">
              <a16:creationId xmlns:a16="http://schemas.microsoft.com/office/drawing/2014/main" id="{00000000-0008-0000-0500-00009D0B0000}"/>
            </a:ext>
          </a:extLst>
        </xdr:cNvPr>
        <xdr:cNvSpPr txBox="1">
          <a:spLocks noChangeArrowheads="1"/>
        </xdr:cNvSpPr>
      </xdr:nvSpPr>
      <xdr:spPr bwMode="auto">
        <a:xfrm>
          <a:off x="4664364"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78</xdr:row>
      <xdr:rowOff>0</xdr:rowOff>
    </xdr:from>
    <xdr:ext cx="95250" cy="171450"/>
    <xdr:sp macro="" textlink="">
      <xdr:nvSpPr>
        <xdr:cNvPr id="2974" name="Text Box 16">
          <a:extLst>
            <a:ext uri="{FF2B5EF4-FFF2-40B4-BE49-F238E27FC236}">
              <a16:creationId xmlns:a16="http://schemas.microsoft.com/office/drawing/2014/main" id="{00000000-0008-0000-0500-00009E0B0000}"/>
            </a:ext>
          </a:extLst>
        </xdr:cNvPr>
        <xdr:cNvSpPr txBox="1">
          <a:spLocks noChangeArrowheads="1"/>
        </xdr:cNvSpPr>
      </xdr:nvSpPr>
      <xdr:spPr bwMode="auto">
        <a:xfrm>
          <a:off x="12540961"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78</xdr:row>
      <xdr:rowOff>0</xdr:rowOff>
    </xdr:from>
    <xdr:ext cx="95250" cy="171450"/>
    <xdr:sp macro="" textlink="">
      <xdr:nvSpPr>
        <xdr:cNvPr id="2975" name="Text Box 17">
          <a:extLst>
            <a:ext uri="{FF2B5EF4-FFF2-40B4-BE49-F238E27FC236}">
              <a16:creationId xmlns:a16="http://schemas.microsoft.com/office/drawing/2014/main" id="{00000000-0008-0000-0500-00009F0B0000}"/>
            </a:ext>
          </a:extLst>
        </xdr:cNvPr>
        <xdr:cNvSpPr txBox="1">
          <a:spLocks noChangeArrowheads="1"/>
        </xdr:cNvSpPr>
      </xdr:nvSpPr>
      <xdr:spPr bwMode="auto">
        <a:xfrm>
          <a:off x="12540961"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78</xdr:row>
      <xdr:rowOff>0</xdr:rowOff>
    </xdr:from>
    <xdr:ext cx="95250" cy="171450"/>
    <xdr:sp macro="" textlink="">
      <xdr:nvSpPr>
        <xdr:cNvPr id="2976" name="Text Box 18">
          <a:extLst>
            <a:ext uri="{FF2B5EF4-FFF2-40B4-BE49-F238E27FC236}">
              <a16:creationId xmlns:a16="http://schemas.microsoft.com/office/drawing/2014/main" id="{00000000-0008-0000-0500-0000A00B0000}"/>
            </a:ext>
          </a:extLst>
        </xdr:cNvPr>
        <xdr:cNvSpPr txBox="1">
          <a:spLocks noChangeArrowheads="1"/>
        </xdr:cNvSpPr>
      </xdr:nvSpPr>
      <xdr:spPr bwMode="auto">
        <a:xfrm>
          <a:off x="12540961"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78</xdr:row>
      <xdr:rowOff>0</xdr:rowOff>
    </xdr:from>
    <xdr:ext cx="95250" cy="171450"/>
    <xdr:sp macro="" textlink="">
      <xdr:nvSpPr>
        <xdr:cNvPr id="2977" name="Text Box 19">
          <a:extLst>
            <a:ext uri="{FF2B5EF4-FFF2-40B4-BE49-F238E27FC236}">
              <a16:creationId xmlns:a16="http://schemas.microsoft.com/office/drawing/2014/main" id="{00000000-0008-0000-0500-0000A10B0000}"/>
            </a:ext>
          </a:extLst>
        </xdr:cNvPr>
        <xdr:cNvSpPr txBox="1">
          <a:spLocks noChangeArrowheads="1"/>
        </xdr:cNvSpPr>
      </xdr:nvSpPr>
      <xdr:spPr bwMode="auto">
        <a:xfrm>
          <a:off x="12540961"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21</xdr:col>
      <xdr:colOff>0</xdr:colOff>
      <xdr:row>78</xdr:row>
      <xdr:rowOff>0</xdr:rowOff>
    </xdr:from>
    <xdr:ext cx="95250" cy="171450"/>
    <xdr:sp macro="" textlink="">
      <xdr:nvSpPr>
        <xdr:cNvPr id="2978" name="Text Box 16">
          <a:extLst>
            <a:ext uri="{FF2B5EF4-FFF2-40B4-BE49-F238E27FC236}">
              <a16:creationId xmlns:a16="http://schemas.microsoft.com/office/drawing/2014/main" id="{00000000-0008-0000-0500-0000A20B0000}"/>
            </a:ext>
          </a:extLst>
        </xdr:cNvPr>
        <xdr:cNvSpPr txBox="1">
          <a:spLocks noChangeArrowheads="1"/>
        </xdr:cNvSpPr>
      </xdr:nvSpPr>
      <xdr:spPr bwMode="auto">
        <a:xfrm>
          <a:off x="21832455"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21</xdr:col>
      <xdr:colOff>0</xdr:colOff>
      <xdr:row>78</xdr:row>
      <xdr:rowOff>0</xdr:rowOff>
    </xdr:from>
    <xdr:ext cx="95250" cy="171450"/>
    <xdr:sp macro="" textlink="">
      <xdr:nvSpPr>
        <xdr:cNvPr id="2979" name="Text Box 17">
          <a:extLst>
            <a:ext uri="{FF2B5EF4-FFF2-40B4-BE49-F238E27FC236}">
              <a16:creationId xmlns:a16="http://schemas.microsoft.com/office/drawing/2014/main" id="{00000000-0008-0000-0500-0000A30B0000}"/>
            </a:ext>
          </a:extLst>
        </xdr:cNvPr>
        <xdr:cNvSpPr txBox="1">
          <a:spLocks noChangeArrowheads="1"/>
        </xdr:cNvSpPr>
      </xdr:nvSpPr>
      <xdr:spPr bwMode="auto">
        <a:xfrm>
          <a:off x="21832455"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21</xdr:col>
      <xdr:colOff>0</xdr:colOff>
      <xdr:row>78</xdr:row>
      <xdr:rowOff>0</xdr:rowOff>
    </xdr:from>
    <xdr:ext cx="95250" cy="171450"/>
    <xdr:sp macro="" textlink="">
      <xdr:nvSpPr>
        <xdr:cNvPr id="2980" name="Text Box 18">
          <a:extLst>
            <a:ext uri="{FF2B5EF4-FFF2-40B4-BE49-F238E27FC236}">
              <a16:creationId xmlns:a16="http://schemas.microsoft.com/office/drawing/2014/main" id="{00000000-0008-0000-0500-0000A40B0000}"/>
            </a:ext>
          </a:extLst>
        </xdr:cNvPr>
        <xdr:cNvSpPr txBox="1">
          <a:spLocks noChangeArrowheads="1"/>
        </xdr:cNvSpPr>
      </xdr:nvSpPr>
      <xdr:spPr bwMode="auto">
        <a:xfrm>
          <a:off x="21832455"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21</xdr:col>
      <xdr:colOff>0</xdr:colOff>
      <xdr:row>78</xdr:row>
      <xdr:rowOff>0</xdr:rowOff>
    </xdr:from>
    <xdr:ext cx="95250" cy="171450"/>
    <xdr:sp macro="" textlink="">
      <xdr:nvSpPr>
        <xdr:cNvPr id="2981" name="Text Box 19">
          <a:extLst>
            <a:ext uri="{FF2B5EF4-FFF2-40B4-BE49-F238E27FC236}">
              <a16:creationId xmlns:a16="http://schemas.microsoft.com/office/drawing/2014/main" id="{00000000-0008-0000-0500-0000A50B0000}"/>
            </a:ext>
          </a:extLst>
        </xdr:cNvPr>
        <xdr:cNvSpPr txBox="1">
          <a:spLocks noChangeArrowheads="1"/>
        </xdr:cNvSpPr>
      </xdr:nvSpPr>
      <xdr:spPr bwMode="auto">
        <a:xfrm>
          <a:off x="21832455"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74</xdr:row>
      <xdr:rowOff>504825</xdr:rowOff>
    </xdr:from>
    <xdr:ext cx="95250" cy="444014"/>
    <xdr:sp macro="" textlink="">
      <xdr:nvSpPr>
        <xdr:cNvPr id="2982" name="Text Box 15">
          <a:extLst>
            <a:ext uri="{FF2B5EF4-FFF2-40B4-BE49-F238E27FC236}">
              <a16:creationId xmlns:a16="http://schemas.microsoft.com/office/drawing/2014/main" id="{00000000-0008-0000-0500-0000A60B0000}"/>
            </a:ext>
          </a:extLst>
        </xdr:cNvPr>
        <xdr:cNvSpPr txBox="1">
          <a:spLocks noChangeArrowheads="1"/>
        </xdr:cNvSpPr>
      </xdr:nvSpPr>
      <xdr:spPr bwMode="auto">
        <a:xfrm>
          <a:off x="4664364" y="6733020"/>
          <a:ext cx="95250" cy="444014"/>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78</xdr:row>
      <xdr:rowOff>0</xdr:rowOff>
    </xdr:from>
    <xdr:ext cx="95250" cy="171450"/>
    <xdr:sp macro="" textlink="">
      <xdr:nvSpPr>
        <xdr:cNvPr id="2983" name="Text Box 16">
          <a:extLst>
            <a:ext uri="{FF2B5EF4-FFF2-40B4-BE49-F238E27FC236}">
              <a16:creationId xmlns:a16="http://schemas.microsoft.com/office/drawing/2014/main" id="{00000000-0008-0000-0500-0000A70B0000}"/>
            </a:ext>
          </a:extLst>
        </xdr:cNvPr>
        <xdr:cNvSpPr txBox="1">
          <a:spLocks noChangeArrowheads="1"/>
        </xdr:cNvSpPr>
      </xdr:nvSpPr>
      <xdr:spPr bwMode="auto">
        <a:xfrm>
          <a:off x="4664364"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78</xdr:row>
      <xdr:rowOff>0</xdr:rowOff>
    </xdr:from>
    <xdr:ext cx="95250" cy="171450"/>
    <xdr:sp macro="" textlink="">
      <xdr:nvSpPr>
        <xdr:cNvPr id="2984" name="Text Box 17">
          <a:extLst>
            <a:ext uri="{FF2B5EF4-FFF2-40B4-BE49-F238E27FC236}">
              <a16:creationId xmlns:a16="http://schemas.microsoft.com/office/drawing/2014/main" id="{00000000-0008-0000-0500-0000A80B0000}"/>
            </a:ext>
          </a:extLst>
        </xdr:cNvPr>
        <xdr:cNvSpPr txBox="1">
          <a:spLocks noChangeArrowheads="1"/>
        </xdr:cNvSpPr>
      </xdr:nvSpPr>
      <xdr:spPr bwMode="auto">
        <a:xfrm>
          <a:off x="4664364"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78</xdr:row>
      <xdr:rowOff>0</xdr:rowOff>
    </xdr:from>
    <xdr:ext cx="95250" cy="171450"/>
    <xdr:sp macro="" textlink="">
      <xdr:nvSpPr>
        <xdr:cNvPr id="2985" name="Text Box 18">
          <a:extLst>
            <a:ext uri="{FF2B5EF4-FFF2-40B4-BE49-F238E27FC236}">
              <a16:creationId xmlns:a16="http://schemas.microsoft.com/office/drawing/2014/main" id="{00000000-0008-0000-0500-0000A90B0000}"/>
            </a:ext>
          </a:extLst>
        </xdr:cNvPr>
        <xdr:cNvSpPr txBox="1">
          <a:spLocks noChangeArrowheads="1"/>
        </xdr:cNvSpPr>
      </xdr:nvSpPr>
      <xdr:spPr bwMode="auto">
        <a:xfrm>
          <a:off x="4664364"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78</xdr:row>
      <xdr:rowOff>0</xdr:rowOff>
    </xdr:from>
    <xdr:ext cx="95250" cy="171450"/>
    <xdr:sp macro="" textlink="">
      <xdr:nvSpPr>
        <xdr:cNvPr id="2986" name="Text Box 19">
          <a:extLst>
            <a:ext uri="{FF2B5EF4-FFF2-40B4-BE49-F238E27FC236}">
              <a16:creationId xmlns:a16="http://schemas.microsoft.com/office/drawing/2014/main" id="{00000000-0008-0000-0500-0000AA0B0000}"/>
            </a:ext>
          </a:extLst>
        </xdr:cNvPr>
        <xdr:cNvSpPr txBox="1">
          <a:spLocks noChangeArrowheads="1"/>
        </xdr:cNvSpPr>
      </xdr:nvSpPr>
      <xdr:spPr bwMode="auto">
        <a:xfrm>
          <a:off x="4664364"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78</xdr:row>
      <xdr:rowOff>0</xdr:rowOff>
    </xdr:from>
    <xdr:ext cx="95250" cy="171450"/>
    <xdr:sp macro="" textlink="">
      <xdr:nvSpPr>
        <xdr:cNvPr id="2987" name="Text Box 16">
          <a:extLst>
            <a:ext uri="{FF2B5EF4-FFF2-40B4-BE49-F238E27FC236}">
              <a16:creationId xmlns:a16="http://schemas.microsoft.com/office/drawing/2014/main" id="{00000000-0008-0000-0500-0000AB0B0000}"/>
            </a:ext>
          </a:extLst>
        </xdr:cNvPr>
        <xdr:cNvSpPr txBox="1">
          <a:spLocks noChangeArrowheads="1"/>
        </xdr:cNvSpPr>
      </xdr:nvSpPr>
      <xdr:spPr bwMode="auto">
        <a:xfrm>
          <a:off x="12540961"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78</xdr:row>
      <xdr:rowOff>0</xdr:rowOff>
    </xdr:from>
    <xdr:ext cx="95250" cy="171450"/>
    <xdr:sp macro="" textlink="">
      <xdr:nvSpPr>
        <xdr:cNvPr id="2988" name="Text Box 17">
          <a:extLst>
            <a:ext uri="{FF2B5EF4-FFF2-40B4-BE49-F238E27FC236}">
              <a16:creationId xmlns:a16="http://schemas.microsoft.com/office/drawing/2014/main" id="{00000000-0008-0000-0500-0000AC0B0000}"/>
            </a:ext>
          </a:extLst>
        </xdr:cNvPr>
        <xdr:cNvSpPr txBox="1">
          <a:spLocks noChangeArrowheads="1"/>
        </xdr:cNvSpPr>
      </xdr:nvSpPr>
      <xdr:spPr bwMode="auto">
        <a:xfrm>
          <a:off x="12540961"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78</xdr:row>
      <xdr:rowOff>0</xdr:rowOff>
    </xdr:from>
    <xdr:ext cx="95250" cy="171450"/>
    <xdr:sp macro="" textlink="">
      <xdr:nvSpPr>
        <xdr:cNvPr id="2989" name="Text Box 18">
          <a:extLst>
            <a:ext uri="{FF2B5EF4-FFF2-40B4-BE49-F238E27FC236}">
              <a16:creationId xmlns:a16="http://schemas.microsoft.com/office/drawing/2014/main" id="{00000000-0008-0000-0500-0000AD0B0000}"/>
            </a:ext>
          </a:extLst>
        </xdr:cNvPr>
        <xdr:cNvSpPr txBox="1">
          <a:spLocks noChangeArrowheads="1"/>
        </xdr:cNvSpPr>
      </xdr:nvSpPr>
      <xdr:spPr bwMode="auto">
        <a:xfrm>
          <a:off x="12540961"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78</xdr:row>
      <xdr:rowOff>0</xdr:rowOff>
    </xdr:from>
    <xdr:ext cx="95250" cy="171450"/>
    <xdr:sp macro="" textlink="">
      <xdr:nvSpPr>
        <xdr:cNvPr id="2990" name="Text Box 16">
          <a:extLst>
            <a:ext uri="{FF2B5EF4-FFF2-40B4-BE49-F238E27FC236}">
              <a16:creationId xmlns:a16="http://schemas.microsoft.com/office/drawing/2014/main" id="{00000000-0008-0000-0500-0000AE0B0000}"/>
            </a:ext>
          </a:extLst>
        </xdr:cNvPr>
        <xdr:cNvSpPr txBox="1">
          <a:spLocks noChangeArrowheads="1"/>
        </xdr:cNvSpPr>
      </xdr:nvSpPr>
      <xdr:spPr bwMode="auto">
        <a:xfrm>
          <a:off x="15388070"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78</xdr:row>
      <xdr:rowOff>0</xdr:rowOff>
    </xdr:from>
    <xdr:ext cx="95250" cy="171450"/>
    <xdr:sp macro="" textlink="">
      <xdr:nvSpPr>
        <xdr:cNvPr id="2991" name="Text Box 17">
          <a:extLst>
            <a:ext uri="{FF2B5EF4-FFF2-40B4-BE49-F238E27FC236}">
              <a16:creationId xmlns:a16="http://schemas.microsoft.com/office/drawing/2014/main" id="{00000000-0008-0000-0500-0000AF0B0000}"/>
            </a:ext>
          </a:extLst>
        </xdr:cNvPr>
        <xdr:cNvSpPr txBox="1">
          <a:spLocks noChangeArrowheads="1"/>
        </xdr:cNvSpPr>
      </xdr:nvSpPr>
      <xdr:spPr bwMode="auto">
        <a:xfrm>
          <a:off x="15388070"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78</xdr:row>
      <xdr:rowOff>0</xdr:rowOff>
    </xdr:from>
    <xdr:ext cx="95250" cy="171450"/>
    <xdr:sp macro="" textlink="">
      <xdr:nvSpPr>
        <xdr:cNvPr id="2992" name="Text Box 18">
          <a:extLst>
            <a:ext uri="{FF2B5EF4-FFF2-40B4-BE49-F238E27FC236}">
              <a16:creationId xmlns:a16="http://schemas.microsoft.com/office/drawing/2014/main" id="{00000000-0008-0000-0500-0000B00B0000}"/>
            </a:ext>
          </a:extLst>
        </xdr:cNvPr>
        <xdr:cNvSpPr txBox="1">
          <a:spLocks noChangeArrowheads="1"/>
        </xdr:cNvSpPr>
      </xdr:nvSpPr>
      <xdr:spPr bwMode="auto">
        <a:xfrm>
          <a:off x="15388070"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78</xdr:row>
      <xdr:rowOff>0</xdr:rowOff>
    </xdr:from>
    <xdr:ext cx="95250" cy="171450"/>
    <xdr:sp macro="" textlink="">
      <xdr:nvSpPr>
        <xdr:cNvPr id="2993" name="Text Box 19">
          <a:extLst>
            <a:ext uri="{FF2B5EF4-FFF2-40B4-BE49-F238E27FC236}">
              <a16:creationId xmlns:a16="http://schemas.microsoft.com/office/drawing/2014/main" id="{00000000-0008-0000-0500-0000B10B0000}"/>
            </a:ext>
          </a:extLst>
        </xdr:cNvPr>
        <xdr:cNvSpPr txBox="1">
          <a:spLocks noChangeArrowheads="1"/>
        </xdr:cNvSpPr>
      </xdr:nvSpPr>
      <xdr:spPr bwMode="auto">
        <a:xfrm>
          <a:off x="15388070"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78</xdr:row>
      <xdr:rowOff>0</xdr:rowOff>
    </xdr:from>
    <xdr:ext cx="95250" cy="171450"/>
    <xdr:sp macro="" textlink="">
      <xdr:nvSpPr>
        <xdr:cNvPr id="2994" name="Text Box 16">
          <a:extLst>
            <a:ext uri="{FF2B5EF4-FFF2-40B4-BE49-F238E27FC236}">
              <a16:creationId xmlns:a16="http://schemas.microsoft.com/office/drawing/2014/main" id="{00000000-0008-0000-0500-0000B20B0000}"/>
            </a:ext>
          </a:extLst>
        </xdr:cNvPr>
        <xdr:cNvSpPr txBox="1">
          <a:spLocks noChangeArrowheads="1"/>
        </xdr:cNvSpPr>
      </xdr:nvSpPr>
      <xdr:spPr bwMode="auto">
        <a:xfrm>
          <a:off x="15388070"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78</xdr:row>
      <xdr:rowOff>0</xdr:rowOff>
    </xdr:from>
    <xdr:ext cx="95250" cy="171450"/>
    <xdr:sp macro="" textlink="">
      <xdr:nvSpPr>
        <xdr:cNvPr id="2995" name="Text Box 17">
          <a:extLst>
            <a:ext uri="{FF2B5EF4-FFF2-40B4-BE49-F238E27FC236}">
              <a16:creationId xmlns:a16="http://schemas.microsoft.com/office/drawing/2014/main" id="{00000000-0008-0000-0500-0000B30B0000}"/>
            </a:ext>
          </a:extLst>
        </xdr:cNvPr>
        <xdr:cNvSpPr txBox="1">
          <a:spLocks noChangeArrowheads="1"/>
        </xdr:cNvSpPr>
      </xdr:nvSpPr>
      <xdr:spPr bwMode="auto">
        <a:xfrm>
          <a:off x="15388070"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78</xdr:row>
      <xdr:rowOff>0</xdr:rowOff>
    </xdr:from>
    <xdr:ext cx="95250" cy="171450"/>
    <xdr:sp macro="" textlink="">
      <xdr:nvSpPr>
        <xdr:cNvPr id="2996" name="Text Box 18">
          <a:extLst>
            <a:ext uri="{FF2B5EF4-FFF2-40B4-BE49-F238E27FC236}">
              <a16:creationId xmlns:a16="http://schemas.microsoft.com/office/drawing/2014/main" id="{00000000-0008-0000-0500-0000B40B0000}"/>
            </a:ext>
          </a:extLst>
        </xdr:cNvPr>
        <xdr:cNvSpPr txBox="1">
          <a:spLocks noChangeArrowheads="1"/>
        </xdr:cNvSpPr>
      </xdr:nvSpPr>
      <xdr:spPr bwMode="auto">
        <a:xfrm>
          <a:off x="15388070"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78</xdr:row>
      <xdr:rowOff>0</xdr:rowOff>
    </xdr:from>
    <xdr:ext cx="95250" cy="171450"/>
    <xdr:sp macro="" textlink="">
      <xdr:nvSpPr>
        <xdr:cNvPr id="2997" name="Text Box 19">
          <a:extLst>
            <a:ext uri="{FF2B5EF4-FFF2-40B4-BE49-F238E27FC236}">
              <a16:creationId xmlns:a16="http://schemas.microsoft.com/office/drawing/2014/main" id="{00000000-0008-0000-0500-0000B50B0000}"/>
            </a:ext>
          </a:extLst>
        </xdr:cNvPr>
        <xdr:cNvSpPr txBox="1">
          <a:spLocks noChangeArrowheads="1"/>
        </xdr:cNvSpPr>
      </xdr:nvSpPr>
      <xdr:spPr bwMode="auto">
        <a:xfrm>
          <a:off x="15388070"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72</xdr:row>
      <xdr:rowOff>504825</xdr:rowOff>
    </xdr:from>
    <xdr:ext cx="95250" cy="456743"/>
    <xdr:sp macro="" textlink="">
      <xdr:nvSpPr>
        <xdr:cNvPr id="2998" name="Text Box 15">
          <a:extLst>
            <a:ext uri="{FF2B5EF4-FFF2-40B4-BE49-F238E27FC236}">
              <a16:creationId xmlns:a16="http://schemas.microsoft.com/office/drawing/2014/main" id="{00000000-0008-0000-0500-0000B60B0000}"/>
            </a:ext>
          </a:extLst>
        </xdr:cNvPr>
        <xdr:cNvSpPr txBox="1">
          <a:spLocks noChangeArrowheads="1"/>
        </xdr:cNvSpPr>
      </xdr:nvSpPr>
      <xdr:spPr bwMode="auto">
        <a:xfrm>
          <a:off x="4664364" y="5994111"/>
          <a:ext cx="95250" cy="456743"/>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72</xdr:row>
      <xdr:rowOff>504825</xdr:rowOff>
    </xdr:from>
    <xdr:ext cx="95250" cy="442269"/>
    <xdr:sp macro="" textlink="">
      <xdr:nvSpPr>
        <xdr:cNvPr id="2999" name="Text Box 15">
          <a:extLst>
            <a:ext uri="{FF2B5EF4-FFF2-40B4-BE49-F238E27FC236}">
              <a16:creationId xmlns:a16="http://schemas.microsoft.com/office/drawing/2014/main" id="{00000000-0008-0000-0500-0000B70B0000}"/>
            </a:ext>
          </a:extLst>
        </xdr:cNvPr>
        <xdr:cNvSpPr txBox="1">
          <a:spLocks noChangeArrowheads="1"/>
        </xdr:cNvSpPr>
      </xdr:nvSpPr>
      <xdr:spPr bwMode="auto">
        <a:xfrm>
          <a:off x="12540961" y="5994111"/>
          <a:ext cx="95250" cy="442269"/>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72</xdr:row>
      <xdr:rowOff>504825</xdr:rowOff>
    </xdr:from>
    <xdr:ext cx="95250" cy="213632"/>
    <xdr:sp macro="" textlink="">
      <xdr:nvSpPr>
        <xdr:cNvPr id="3001" name="Text Box 15">
          <a:extLst>
            <a:ext uri="{FF2B5EF4-FFF2-40B4-BE49-F238E27FC236}">
              <a16:creationId xmlns:a16="http://schemas.microsoft.com/office/drawing/2014/main" id="{00000000-0008-0000-0500-0000B90B0000}"/>
            </a:ext>
          </a:extLst>
        </xdr:cNvPr>
        <xdr:cNvSpPr txBox="1">
          <a:spLocks noChangeArrowheads="1"/>
        </xdr:cNvSpPr>
      </xdr:nvSpPr>
      <xdr:spPr bwMode="auto">
        <a:xfrm>
          <a:off x="4664364" y="5994111"/>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72</xdr:row>
      <xdr:rowOff>504825</xdr:rowOff>
    </xdr:from>
    <xdr:ext cx="95250" cy="444331"/>
    <xdr:sp macro="" textlink="">
      <xdr:nvSpPr>
        <xdr:cNvPr id="3002" name="Text Box 15">
          <a:extLst>
            <a:ext uri="{FF2B5EF4-FFF2-40B4-BE49-F238E27FC236}">
              <a16:creationId xmlns:a16="http://schemas.microsoft.com/office/drawing/2014/main" id="{00000000-0008-0000-0500-0000BA0B0000}"/>
            </a:ext>
          </a:extLst>
        </xdr:cNvPr>
        <xdr:cNvSpPr txBox="1">
          <a:spLocks noChangeArrowheads="1"/>
        </xdr:cNvSpPr>
      </xdr:nvSpPr>
      <xdr:spPr bwMode="auto">
        <a:xfrm>
          <a:off x="4664364" y="5994111"/>
          <a:ext cx="95250" cy="444331"/>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72</xdr:row>
      <xdr:rowOff>504825</xdr:rowOff>
    </xdr:from>
    <xdr:ext cx="95250" cy="213632"/>
    <xdr:sp macro="" textlink="">
      <xdr:nvSpPr>
        <xdr:cNvPr id="3003" name="Text Box 15">
          <a:extLst>
            <a:ext uri="{FF2B5EF4-FFF2-40B4-BE49-F238E27FC236}">
              <a16:creationId xmlns:a16="http://schemas.microsoft.com/office/drawing/2014/main" id="{00000000-0008-0000-0500-0000BB0B0000}"/>
            </a:ext>
          </a:extLst>
        </xdr:cNvPr>
        <xdr:cNvSpPr txBox="1">
          <a:spLocks noChangeArrowheads="1"/>
        </xdr:cNvSpPr>
      </xdr:nvSpPr>
      <xdr:spPr bwMode="auto">
        <a:xfrm>
          <a:off x="12540961" y="5994111"/>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78</xdr:row>
      <xdr:rowOff>0</xdr:rowOff>
    </xdr:from>
    <xdr:ext cx="95250" cy="171450"/>
    <xdr:sp macro="" textlink="">
      <xdr:nvSpPr>
        <xdr:cNvPr id="3004" name="Text Box 16">
          <a:extLst>
            <a:ext uri="{FF2B5EF4-FFF2-40B4-BE49-F238E27FC236}">
              <a16:creationId xmlns:a16="http://schemas.microsoft.com/office/drawing/2014/main" id="{00000000-0008-0000-0500-0000BC0B0000}"/>
            </a:ext>
          </a:extLst>
        </xdr:cNvPr>
        <xdr:cNvSpPr txBox="1">
          <a:spLocks noChangeArrowheads="1"/>
        </xdr:cNvSpPr>
      </xdr:nvSpPr>
      <xdr:spPr bwMode="auto">
        <a:xfrm>
          <a:off x="4664364"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78</xdr:row>
      <xdr:rowOff>0</xdr:rowOff>
    </xdr:from>
    <xdr:ext cx="95250" cy="171450"/>
    <xdr:sp macro="" textlink="">
      <xdr:nvSpPr>
        <xdr:cNvPr id="3005" name="Text Box 17">
          <a:extLst>
            <a:ext uri="{FF2B5EF4-FFF2-40B4-BE49-F238E27FC236}">
              <a16:creationId xmlns:a16="http://schemas.microsoft.com/office/drawing/2014/main" id="{00000000-0008-0000-0500-0000BD0B0000}"/>
            </a:ext>
          </a:extLst>
        </xdr:cNvPr>
        <xdr:cNvSpPr txBox="1">
          <a:spLocks noChangeArrowheads="1"/>
        </xdr:cNvSpPr>
      </xdr:nvSpPr>
      <xdr:spPr bwMode="auto">
        <a:xfrm>
          <a:off x="4664364"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78</xdr:row>
      <xdr:rowOff>0</xdr:rowOff>
    </xdr:from>
    <xdr:ext cx="95250" cy="171450"/>
    <xdr:sp macro="" textlink="">
      <xdr:nvSpPr>
        <xdr:cNvPr id="3006" name="Text Box 18">
          <a:extLst>
            <a:ext uri="{FF2B5EF4-FFF2-40B4-BE49-F238E27FC236}">
              <a16:creationId xmlns:a16="http://schemas.microsoft.com/office/drawing/2014/main" id="{00000000-0008-0000-0500-0000BE0B0000}"/>
            </a:ext>
          </a:extLst>
        </xdr:cNvPr>
        <xdr:cNvSpPr txBox="1">
          <a:spLocks noChangeArrowheads="1"/>
        </xdr:cNvSpPr>
      </xdr:nvSpPr>
      <xdr:spPr bwMode="auto">
        <a:xfrm>
          <a:off x="4664364"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78</xdr:row>
      <xdr:rowOff>0</xdr:rowOff>
    </xdr:from>
    <xdr:ext cx="95250" cy="171450"/>
    <xdr:sp macro="" textlink="">
      <xdr:nvSpPr>
        <xdr:cNvPr id="3007" name="Text Box 19">
          <a:extLst>
            <a:ext uri="{FF2B5EF4-FFF2-40B4-BE49-F238E27FC236}">
              <a16:creationId xmlns:a16="http://schemas.microsoft.com/office/drawing/2014/main" id="{00000000-0008-0000-0500-0000BF0B0000}"/>
            </a:ext>
          </a:extLst>
        </xdr:cNvPr>
        <xdr:cNvSpPr txBox="1">
          <a:spLocks noChangeArrowheads="1"/>
        </xdr:cNvSpPr>
      </xdr:nvSpPr>
      <xdr:spPr bwMode="auto">
        <a:xfrm>
          <a:off x="4664364"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78</xdr:row>
      <xdr:rowOff>0</xdr:rowOff>
    </xdr:from>
    <xdr:ext cx="95250" cy="171450"/>
    <xdr:sp macro="" textlink="">
      <xdr:nvSpPr>
        <xdr:cNvPr id="3008" name="Text Box 16">
          <a:extLst>
            <a:ext uri="{FF2B5EF4-FFF2-40B4-BE49-F238E27FC236}">
              <a16:creationId xmlns:a16="http://schemas.microsoft.com/office/drawing/2014/main" id="{00000000-0008-0000-0500-0000C00B0000}"/>
            </a:ext>
          </a:extLst>
        </xdr:cNvPr>
        <xdr:cNvSpPr txBox="1">
          <a:spLocks noChangeArrowheads="1"/>
        </xdr:cNvSpPr>
      </xdr:nvSpPr>
      <xdr:spPr bwMode="auto">
        <a:xfrm>
          <a:off x="12540961"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78</xdr:row>
      <xdr:rowOff>0</xdr:rowOff>
    </xdr:from>
    <xdr:ext cx="95250" cy="171450"/>
    <xdr:sp macro="" textlink="">
      <xdr:nvSpPr>
        <xdr:cNvPr id="3009" name="Text Box 17">
          <a:extLst>
            <a:ext uri="{FF2B5EF4-FFF2-40B4-BE49-F238E27FC236}">
              <a16:creationId xmlns:a16="http://schemas.microsoft.com/office/drawing/2014/main" id="{00000000-0008-0000-0500-0000C10B0000}"/>
            </a:ext>
          </a:extLst>
        </xdr:cNvPr>
        <xdr:cNvSpPr txBox="1">
          <a:spLocks noChangeArrowheads="1"/>
        </xdr:cNvSpPr>
      </xdr:nvSpPr>
      <xdr:spPr bwMode="auto">
        <a:xfrm>
          <a:off x="12540961"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78</xdr:row>
      <xdr:rowOff>0</xdr:rowOff>
    </xdr:from>
    <xdr:ext cx="95250" cy="171450"/>
    <xdr:sp macro="" textlink="">
      <xdr:nvSpPr>
        <xdr:cNvPr id="3010" name="Text Box 18">
          <a:extLst>
            <a:ext uri="{FF2B5EF4-FFF2-40B4-BE49-F238E27FC236}">
              <a16:creationId xmlns:a16="http://schemas.microsoft.com/office/drawing/2014/main" id="{00000000-0008-0000-0500-0000C20B0000}"/>
            </a:ext>
          </a:extLst>
        </xdr:cNvPr>
        <xdr:cNvSpPr txBox="1">
          <a:spLocks noChangeArrowheads="1"/>
        </xdr:cNvSpPr>
      </xdr:nvSpPr>
      <xdr:spPr bwMode="auto">
        <a:xfrm>
          <a:off x="12540961"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78</xdr:row>
      <xdr:rowOff>0</xdr:rowOff>
    </xdr:from>
    <xdr:ext cx="95250" cy="171450"/>
    <xdr:sp macro="" textlink="">
      <xdr:nvSpPr>
        <xdr:cNvPr id="3011" name="Text Box 19">
          <a:extLst>
            <a:ext uri="{FF2B5EF4-FFF2-40B4-BE49-F238E27FC236}">
              <a16:creationId xmlns:a16="http://schemas.microsoft.com/office/drawing/2014/main" id="{00000000-0008-0000-0500-0000C30B0000}"/>
            </a:ext>
          </a:extLst>
        </xdr:cNvPr>
        <xdr:cNvSpPr txBox="1">
          <a:spLocks noChangeArrowheads="1"/>
        </xdr:cNvSpPr>
      </xdr:nvSpPr>
      <xdr:spPr bwMode="auto">
        <a:xfrm>
          <a:off x="12540961"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21</xdr:col>
      <xdr:colOff>0</xdr:colOff>
      <xdr:row>78</xdr:row>
      <xdr:rowOff>0</xdr:rowOff>
    </xdr:from>
    <xdr:ext cx="95250" cy="171450"/>
    <xdr:sp macro="" textlink="">
      <xdr:nvSpPr>
        <xdr:cNvPr id="3012" name="Text Box 16">
          <a:extLst>
            <a:ext uri="{FF2B5EF4-FFF2-40B4-BE49-F238E27FC236}">
              <a16:creationId xmlns:a16="http://schemas.microsoft.com/office/drawing/2014/main" id="{00000000-0008-0000-0500-0000C40B0000}"/>
            </a:ext>
          </a:extLst>
        </xdr:cNvPr>
        <xdr:cNvSpPr txBox="1">
          <a:spLocks noChangeArrowheads="1"/>
        </xdr:cNvSpPr>
      </xdr:nvSpPr>
      <xdr:spPr bwMode="auto">
        <a:xfrm>
          <a:off x="21832455"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21</xdr:col>
      <xdr:colOff>0</xdr:colOff>
      <xdr:row>78</xdr:row>
      <xdr:rowOff>0</xdr:rowOff>
    </xdr:from>
    <xdr:ext cx="95250" cy="171450"/>
    <xdr:sp macro="" textlink="">
      <xdr:nvSpPr>
        <xdr:cNvPr id="3013" name="Text Box 17">
          <a:extLst>
            <a:ext uri="{FF2B5EF4-FFF2-40B4-BE49-F238E27FC236}">
              <a16:creationId xmlns:a16="http://schemas.microsoft.com/office/drawing/2014/main" id="{00000000-0008-0000-0500-0000C50B0000}"/>
            </a:ext>
          </a:extLst>
        </xdr:cNvPr>
        <xdr:cNvSpPr txBox="1">
          <a:spLocks noChangeArrowheads="1"/>
        </xdr:cNvSpPr>
      </xdr:nvSpPr>
      <xdr:spPr bwMode="auto">
        <a:xfrm>
          <a:off x="21832455"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21</xdr:col>
      <xdr:colOff>0</xdr:colOff>
      <xdr:row>78</xdr:row>
      <xdr:rowOff>0</xdr:rowOff>
    </xdr:from>
    <xdr:ext cx="95250" cy="171450"/>
    <xdr:sp macro="" textlink="">
      <xdr:nvSpPr>
        <xdr:cNvPr id="3014" name="Text Box 18">
          <a:extLst>
            <a:ext uri="{FF2B5EF4-FFF2-40B4-BE49-F238E27FC236}">
              <a16:creationId xmlns:a16="http://schemas.microsoft.com/office/drawing/2014/main" id="{00000000-0008-0000-0500-0000C60B0000}"/>
            </a:ext>
          </a:extLst>
        </xdr:cNvPr>
        <xdr:cNvSpPr txBox="1">
          <a:spLocks noChangeArrowheads="1"/>
        </xdr:cNvSpPr>
      </xdr:nvSpPr>
      <xdr:spPr bwMode="auto">
        <a:xfrm>
          <a:off x="21832455"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21</xdr:col>
      <xdr:colOff>0</xdr:colOff>
      <xdr:row>78</xdr:row>
      <xdr:rowOff>0</xdr:rowOff>
    </xdr:from>
    <xdr:ext cx="95250" cy="171450"/>
    <xdr:sp macro="" textlink="">
      <xdr:nvSpPr>
        <xdr:cNvPr id="3015" name="Text Box 19">
          <a:extLst>
            <a:ext uri="{FF2B5EF4-FFF2-40B4-BE49-F238E27FC236}">
              <a16:creationId xmlns:a16="http://schemas.microsoft.com/office/drawing/2014/main" id="{00000000-0008-0000-0500-0000C70B0000}"/>
            </a:ext>
          </a:extLst>
        </xdr:cNvPr>
        <xdr:cNvSpPr txBox="1">
          <a:spLocks noChangeArrowheads="1"/>
        </xdr:cNvSpPr>
      </xdr:nvSpPr>
      <xdr:spPr bwMode="auto">
        <a:xfrm>
          <a:off x="21832455"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74</xdr:row>
      <xdr:rowOff>504825</xdr:rowOff>
    </xdr:from>
    <xdr:ext cx="95250" cy="444014"/>
    <xdr:sp macro="" textlink="">
      <xdr:nvSpPr>
        <xdr:cNvPr id="3016" name="Text Box 15">
          <a:extLst>
            <a:ext uri="{FF2B5EF4-FFF2-40B4-BE49-F238E27FC236}">
              <a16:creationId xmlns:a16="http://schemas.microsoft.com/office/drawing/2014/main" id="{00000000-0008-0000-0500-0000C80B0000}"/>
            </a:ext>
          </a:extLst>
        </xdr:cNvPr>
        <xdr:cNvSpPr txBox="1">
          <a:spLocks noChangeArrowheads="1"/>
        </xdr:cNvSpPr>
      </xdr:nvSpPr>
      <xdr:spPr bwMode="auto">
        <a:xfrm>
          <a:off x="4664364" y="6733020"/>
          <a:ext cx="95250" cy="444014"/>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78</xdr:row>
      <xdr:rowOff>0</xdr:rowOff>
    </xdr:from>
    <xdr:ext cx="95250" cy="171450"/>
    <xdr:sp macro="" textlink="">
      <xdr:nvSpPr>
        <xdr:cNvPr id="3017" name="Text Box 16">
          <a:extLst>
            <a:ext uri="{FF2B5EF4-FFF2-40B4-BE49-F238E27FC236}">
              <a16:creationId xmlns:a16="http://schemas.microsoft.com/office/drawing/2014/main" id="{00000000-0008-0000-0500-0000C90B0000}"/>
            </a:ext>
          </a:extLst>
        </xdr:cNvPr>
        <xdr:cNvSpPr txBox="1">
          <a:spLocks noChangeArrowheads="1"/>
        </xdr:cNvSpPr>
      </xdr:nvSpPr>
      <xdr:spPr bwMode="auto">
        <a:xfrm>
          <a:off x="4664364"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78</xdr:row>
      <xdr:rowOff>0</xdr:rowOff>
    </xdr:from>
    <xdr:ext cx="95250" cy="171450"/>
    <xdr:sp macro="" textlink="">
      <xdr:nvSpPr>
        <xdr:cNvPr id="3018" name="Text Box 17">
          <a:extLst>
            <a:ext uri="{FF2B5EF4-FFF2-40B4-BE49-F238E27FC236}">
              <a16:creationId xmlns:a16="http://schemas.microsoft.com/office/drawing/2014/main" id="{00000000-0008-0000-0500-0000CA0B0000}"/>
            </a:ext>
          </a:extLst>
        </xdr:cNvPr>
        <xdr:cNvSpPr txBox="1">
          <a:spLocks noChangeArrowheads="1"/>
        </xdr:cNvSpPr>
      </xdr:nvSpPr>
      <xdr:spPr bwMode="auto">
        <a:xfrm>
          <a:off x="4664364"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78</xdr:row>
      <xdr:rowOff>0</xdr:rowOff>
    </xdr:from>
    <xdr:ext cx="95250" cy="171450"/>
    <xdr:sp macro="" textlink="">
      <xdr:nvSpPr>
        <xdr:cNvPr id="3019" name="Text Box 18">
          <a:extLst>
            <a:ext uri="{FF2B5EF4-FFF2-40B4-BE49-F238E27FC236}">
              <a16:creationId xmlns:a16="http://schemas.microsoft.com/office/drawing/2014/main" id="{00000000-0008-0000-0500-0000CB0B0000}"/>
            </a:ext>
          </a:extLst>
        </xdr:cNvPr>
        <xdr:cNvSpPr txBox="1">
          <a:spLocks noChangeArrowheads="1"/>
        </xdr:cNvSpPr>
      </xdr:nvSpPr>
      <xdr:spPr bwMode="auto">
        <a:xfrm>
          <a:off x="4664364"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78</xdr:row>
      <xdr:rowOff>0</xdr:rowOff>
    </xdr:from>
    <xdr:ext cx="95250" cy="171450"/>
    <xdr:sp macro="" textlink="">
      <xdr:nvSpPr>
        <xdr:cNvPr id="3020" name="Text Box 19">
          <a:extLst>
            <a:ext uri="{FF2B5EF4-FFF2-40B4-BE49-F238E27FC236}">
              <a16:creationId xmlns:a16="http://schemas.microsoft.com/office/drawing/2014/main" id="{00000000-0008-0000-0500-0000CC0B0000}"/>
            </a:ext>
          </a:extLst>
        </xdr:cNvPr>
        <xdr:cNvSpPr txBox="1">
          <a:spLocks noChangeArrowheads="1"/>
        </xdr:cNvSpPr>
      </xdr:nvSpPr>
      <xdr:spPr bwMode="auto">
        <a:xfrm>
          <a:off x="4664364"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74</xdr:row>
      <xdr:rowOff>504825</xdr:rowOff>
    </xdr:from>
    <xdr:ext cx="95250" cy="442269"/>
    <xdr:sp macro="" textlink="">
      <xdr:nvSpPr>
        <xdr:cNvPr id="3021" name="Text Box 15">
          <a:extLst>
            <a:ext uri="{FF2B5EF4-FFF2-40B4-BE49-F238E27FC236}">
              <a16:creationId xmlns:a16="http://schemas.microsoft.com/office/drawing/2014/main" id="{00000000-0008-0000-0500-0000CD0B0000}"/>
            </a:ext>
          </a:extLst>
        </xdr:cNvPr>
        <xdr:cNvSpPr txBox="1">
          <a:spLocks noChangeArrowheads="1"/>
        </xdr:cNvSpPr>
      </xdr:nvSpPr>
      <xdr:spPr bwMode="auto">
        <a:xfrm>
          <a:off x="12540961" y="6733020"/>
          <a:ext cx="95250" cy="442269"/>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78</xdr:row>
      <xdr:rowOff>0</xdr:rowOff>
    </xdr:from>
    <xdr:ext cx="95250" cy="171450"/>
    <xdr:sp macro="" textlink="">
      <xdr:nvSpPr>
        <xdr:cNvPr id="3022" name="Text Box 16">
          <a:extLst>
            <a:ext uri="{FF2B5EF4-FFF2-40B4-BE49-F238E27FC236}">
              <a16:creationId xmlns:a16="http://schemas.microsoft.com/office/drawing/2014/main" id="{00000000-0008-0000-0500-0000CE0B0000}"/>
            </a:ext>
          </a:extLst>
        </xdr:cNvPr>
        <xdr:cNvSpPr txBox="1">
          <a:spLocks noChangeArrowheads="1"/>
        </xdr:cNvSpPr>
      </xdr:nvSpPr>
      <xdr:spPr bwMode="auto">
        <a:xfrm>
          <a:off x="12540961"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78</xdr:row>
      <xdr:rowOff>0</xdr:rowOff>
    </xdr:from>
    <xdr:ext cx="95250" cy="171450"/>
    <xdr:sp macro="" textlink="">
      <xdr:nvSpPr>
        <xdr:cNvPr id="3023" name="Text Box 17">
          <a:extLst>
            <a:ext uri="{FF2B5EF4-FFF2-40B4-BE49-F238E27FC236}">
              <a16:creationId xmlns:a16="http://schemas.microsoft.com/office/drawing/2014/main" id="{00000000-0008-0000-0500-0000CF0B0000}"/>
            </a:ext>
          </a:extLst>
        </xdr:cNvPr>
        <xdr:cNvSpPr txBox="1">
          <a:spLocks noChangeArrowheads="1"/>
        </xdr:cNvSpPr>
      </xdr:nvSpPr>
      <xdr:spPr bwMode="auto">
        <a:xfrm>
          <a:off x="12540961"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78</xdr:row>
      <xdr:rowOff>0</xdr:rowOff>
    </xdr:from>
    <xdr:ext cx="95250" cy="171450"/>
    <xdr:sp macro="" textlink="">
      <xdr:nvSpPr>
        <xdr:cNvPr id="3024" name="Text Box 18">
          <a:extLst>
            <a:ext uri="{FF2B5EF4-FFF2-40B4-BE49-F238E27FC236}">
              <a16:creationId xmlns:a16="http://schemas.microsoft.com/office/drawing/2014/main" id="{00000000-0008-0000-0500-0000D00B0000}"/>
            </a:ext>
          </a:extLst>
        </xdr:cNvPr>
        <xdr:cNvSpPr txBox="1">
          <a:spLocks noChangeArrowheads="1"/>
        </xdr:cNvSpPr>
      </xdr:nvSpPr>
      <xdr:spPr bwMode="auto">
        <a:xfrm>
          <a:off x="12540961"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78</xdr:row>
      <xdr:rowOff>0</xdr:rowOff>
    </xdr:from>
    <xdr:ext cx="95250" cy="171450"/>
    <xdr:sp macro="" textlink="">
      <xdr:nvSpPr>
        <xdr:cNvPr id="3025" name="Text Box 16">
          <a:extLst>
            <a:ext uri="{FF2B5EF4-FFF2-40B4-BE49-F238E27FC236}">
              <a16:creationId xmlns:a16="http://schemas.microsoft.com/office/drawing/2014/main" id="{00000000-0008-0000-0500-0000D10B0000}"/>
            </a:ext>
          </a:extLst>
        </xdr:cNvPr>
        <xdr:cNvSpPr txBox="1">
          <a:spLocks noChangeArrowheads="1"/>
        </xdr:cNvSpPr>
      </xdr:nvSpPr>
      <xdr:spPr bwMode="auto">
        <a:xfrm>
          <a:off x="15388070"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78</xdr:row>
      <xdr:rowOff>0</xdr:rowOff>
    </xdr:from>
    <xdr:ext cx="95250" cy="171450"/>
    <xdr:sp macro="" textlink="">
      <xdr:nvSpPr>
        <xdr:cNvPr id="3026" name="Text Box 17">
          <a:extLst>
            <a:ext uri="{FF2B5EF4-FFF2-40B4-BE49-F238E27FC236}">
              <a16:creationId xmlns:a16="http://schemas.microsoft.com/office/drawing/2014/main" id="{00000000-0008-0000-0500-0000D20B0000}"/>
            </a:ext>
          </a:extLst>
        </xdr:cNvPr>
        <xdr:cNvSpPr txBox="1">
          <a:spLocks noChangeArrowheads="1"/>
        </xdr:cNvSpPr>
      </xdr:nvSpPr>
      <xdr:spPr bwMode="auto">
        <a:xfrm>
          <a:off x="15388070"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78</xdr:row>
      <xdr:rowOff>0</xdr:rowOff>
    </xdr:from>
    <xdr:ext cx="95250" cy="171450"/>
    <xdr:sp macro="" textlink="">
      <xdr:nvSpPr>
        <xdr:cNvPr id="3027" name="Text Box 18">
          <a:extLst>
            <a:ext uri="{FF2B5EF4-FFF2-40B4-BE49-F238E27FC236}">
              <a16:creationId xmlns:a16="http://schemas.microsoft.com/office/drawing/2014/main" id="{00000000-0008-0000-0500-0000D30B0000}"/>
            </a:ext>
          </a:extLst>
        </xdr:cNvPr>
        <xdr:cNvSpPr txBox="1">
          <a:spLocks noChangeArrowheads="1"/>
        </xdr:cNvSpPr>
      </xdr:nvSpPr>
      <xdr:spPr bwMode="auto">
        <a:xfrm>
          <a:off x="15388070"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78</xdr:row>
      <xdr:rowOff>0</xdr:rowOff>
    </xdr:from>
    <xdr:ext cx="95250" cy="171450"/>
    <xdr:sp macro="" textlink="">
      <xdr:nvSpPr>
        <xdr:cNvPr id="3028" name="Text Box 19">
          <a:extLst>
            <a:ext uri="{FF2B5EF4-FFF2-40B4-BE49-F238E27FC236}">
              <a16:creationId xmlns:a16="http://schemas.microsoft.com/office/drawing/2014/main" id="{00000000-0008-0000-0500-0000D40B0000}"/>
            </a:ext>
          </a:extLst>
        </xdr:cNvPr>
        <xdr:cNvSpPr txBox="1">
          <a:spLocks noChangeArrowheads="1"/>
        </xdr:cNvSpPr>
      </xdr:nvSpPr>
      <xdr:spPr bwMode="auto">
        <a:xfrm>
          <a:off x="15388070"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78</xdr:row>
      <xdr:rowOff>0</xdr:rowOff>
    </xdr:from>
    <xdr:ext cx="95250" cy="171450"/>
    <xdr:sp macro="" textlink="">
      <xdr:nvSpPr>
        <xdr:cNvPr id="3029" name="Text Box 16">
          <a:extLst>
            <a:ext uri="{FF2B5EF4-FFF2-40B4-BE49-F238E27FC236}">
              <a16:creationId xmlns:a16="http://schemas.microsoft.com/office/drawing/2014/main" id="{00000000-0008-0000-0500-0000D50B0000}"/>
            </a:ext>
          </a:extLst>
        </xdr:cNvPr>
        <xdr:cNvSpPr txBox="1">
          <a:spLocks noChangeArrowheads="1"/>
        </xdr:cNvSpPr>
      </xdr:nvSpPr>
      <xdr:spPr bwMode="auto">
        <a:xfrm>
          <a:off x="15388070"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78</xdr:row>
      <xdr:rowOff>0</xdr:rowOff>
    </xdr:from>
    <xdr:ext cx="95250" cy="171450"/>
    <xdr:sp macro="" textlink="">
      <xdr:nvSpPr>
        <xdr:cNvPr id="3030" name="Text Box 17">
          <a:extLst>
            <a:ext uri="{FF2B5EF4-FFF2-40B4-BE49-F238E27FC236}">
              <a16:creationId xmlns:a16="http://schemas.microsoft.com/office/drawing/2014/main" id="{00000000-0008-0000-0500-0000D60B0000}"/>
            </a:ext>
          </a:extLst>
        </xdr:cNvPr>
        <xdr:cNvSpPr txBox="1">
          <a:spLocks noChangeArrowheads="1"/>
        </xdr:cNvSpPr>
      </xdr:nvSpPr>
      <xdr:spPr bwMode="auto">
        <a:xfrm>
          <a:off x="15388070"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78</xdr:row>
      <xdr:rowOff>0</xdr:rowOff>
    </xdr:from>
    <xdr:ext cx="95250" cy="171450"/>
    <xdr:sp macro="" textlink="">
      <xdr:nvSpPr>
        <xdr:cNvPr id="3031" name="Text Box 18">
          <a:extLst>
            <a:ext uri="{FF2B5EF4-FFF2-40B4-BE49-F238E27FC236}">
              <a16:creationId xmlns:a16="http://schemas.microsoft.com/office/drawing/2014/main" id="{00000000-0008-0000-0500-0000D70B0000}"/>
            </a:ext>
          </a:extLst>
        </xdr:cNvPr>
        <xdr:cNvSpPr txBox="1">
          <a:spLocks noChangeArrowheads="1"/>
        </xdr:cNvSpPr>
      </xdr:nvSpPr>
      <xdr:spPr bwMode="auto">
        <a:xfrm>
          <a:off x="15388070"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10</xdr:col>
      <xdr:colOff>28575</xdr:colOff>
      <xdr:row>78</xdr:row>
      <xdr:rowOff>170392</xdr:rowOff>
    </xdr:from>
    <xdr:ext cx="95250" cy="213632"/>
    <xdr:sp macro="" textlink="">
      <xdr:nvSpPr>
        <xdr:cNvPr id="3032" name="Text Box 15">
          <a:extLst>
            <a:ext uri="{FF2B5EF4-FFF2-40B4-BE49-F238E27FC236}">
              <a16:creationId xmlns:a16="http://schemas.microsoft.com/office/drawing/2014/main" id="{00000000-0008-0000-0500-0000D80B0000}"/>
            </a:ext>
          </a:extLst>
        </xdr:cNvPr>
        <xdr:cNvSpPr txBox="1">
          <a:spLocks noChangeArrowheads="1"/>
        </xdr:cNvSpPr>
      </xdr:nvSpPr>
      <xdr:spPr bwMode="auto">
        <a:xfrm>
          <a:off x="12578484" y="7270847"/>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78</xdr:row>
      <xdr:rowOff>0</xdr:rowOff>
    </xdr:from>
    <xdr:ext cx="95250" cy="171450"/>
    <xdr:sp macro="" textlink="">
      <xdr:nvSpPr>
        <xdr:cNvPr id="3033" name="Text Box 16">
          <a:extLst>
            <a:ext uri="{FF2B5EF4-FFF2-40B4-BE49-F238E27FC236}">
              <a16:creationId xmlns:a16="http://schemas.microsoft.com/office/drawing/2014/main" id="{00000000-0008-0000-0500-0000D90B0000}"/>
            </a:ext>
          </a:extLst>
        </xdr:cNvPr>
        <xdr:cNvSpPr txBox="1">
          <a:spLocks noChangeArrowheads="1"/>
        </xdr:cNvSpPr>
      </xdr:nvSpPr>
      <xdr:spPr bwMode="auto">
        <a:xfrm>
          <a:off x="4664364"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78</xdr:row>
      <xdr:rowOff>0</xdr:rowOff>
    </xdr:from>
    <xdr:ext cx="95250" cy="171450"/>
    <xdr:sp macro="" textlink="">
      <xdr:nvSpPr>
        <xdr:cNvPr id="3034" name="Text Box 17">
          <a:extLst>
            <a:ext uri="{FF2B5EF4-FFF2-40B4-BE49-F238E27FC236}">
              <a16:creationId xmlns:a16="http://schemas.microsoft.com/office/drawing/2014/main" id="{00000000-0008-0000-0500-0000DA0B0000}"/>
            </a:ext>
          </a:extLst>
        </xdr:cNvPr>
        <xdr:cNvSpPr txBox="1">
          <a:spLocks noChangeArrowheads="1"/>
        </xdr:cNvSpPr>
      </xdr:nvSpPr>
      <xdr:spPr bwMode="auto">
        <a:xfrm>
          <a:off x="4664364"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78</xdr:row>
      <xdr:rowOff>0</xdr:rowOff>
    </xdr:from>
    <xdr:ext cx="95250" cy="171450"/>
    <xdr:sp macro="" textlink="">
      <xdr:nvSpPr>
        <xdr:cNvPr id="3035" name="Text Box 18">
          <a:extLst>
            <a:ext uri="{FF2B5EF4-FFF2-40B4-BE49-F238E27FC236}">
              <a16:creationId xmlns:a16="http://schemas.microsoft.com/office/drawing/2014/main" id="{00000000-0008-0000-0500-0000DB0B0000}"/>
            </a:ext>
          </a:extLst>
        </xdr:cNvPr>
        <xdr:cNvSpPr txBox="1">
          <a:spLocks noChangeArrowheads="1"/>
        </xdr:cNvSpPr>
      </xdr:nvSpPr>
      <xdr:spPr bwMode="auto">
        <a:xfrm>
          <a:off x="4664364"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78</xdr:row>
      <xdr:rowOff>0</xdr:rowOff>
    </xdr:from>
    <xdr:ext cx="95250" cy="171450"/>
    <xdr:sp macro="" textlink="">
      <xdr:nvSpPr>
        <xdr:cNvPr id="3036" name="Text Box 19">
          <a:extLst>
            <a:ext uri="{FF2B5EF4-FFF2-40B4-BE49-F238E27FC236}">
              <a16:creationId xmlns:a16="http://schemas.microsoft.com/office/drawing/2014/main" id="{00000000-0008-0000-0500-0000DC0B0000}"/>
            </a:ext>
          </a:extLst>
        </xdr:cNvPr>
        <xdr:cNvSpPr txBox="1">
          <a:spLocks noChangeArrowheads="1"/>
        </xdr:cNvSpPr>
      </xdr:nvSpPr>
      <xdr:spPr bwMode="auto">
        <a:xfrm>
          <a:off x="4664364"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78</xdr:row>
      <xdr:rowOff>0</xdr:rowOff>
    </xdr:from>
    <xdr:ext cx="95250" cy="171450"/>
    <xdr:sp macro="" textlink="">
      <xdr:nvSpPr>
        <xdr:cNvPr id="3037" name="Text Box 16">
          <a:extLst>
            <a:ext uri="{FF2B5EF4-FFF2-40B4-BE49-F238E27FC236}">
              <a16:creationId xmlns:a16="http://schemas.microsoft.com/office/drawing/2014/main" id="{00000000-0008-0000-0500-0000DD0B0000}"/>
            </a:ext>
          </a:extLst>
        </xdr:cNvPr>
        <xdr:cNvSpPr txBox="1">
          <a:spLocks noChangeArrowheads="1"/>
        </xdr:cNvSpPr>
      </xdr:nvSpPr>
      <xdr:spPr bwMode="auto">
        <a:xfrm>
          <a:off x="12540961"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78</xdr:row>
      <xdr:rowOff>0</xdr:rowOff>
    </xdr:from>
    <xdr:ext cx="95250" cy="171450"/>
    <xdr:sp macro="" textlink="">
      <xdr:nvSpPr>
        <xdr:cNvPr id="3038" name="Text Box 17">
          <a:extLst>
            <a:ext uri="{FF2B5EF4-FFF2-40B4-BE49-F238E27FC236}">
              <a16:creationId xmlns:a16="http://schemas.microsoft.com/office/drawing/2014/main" id="{00000000-0008-0000-0500-0000DE0B0000}"/>
            </a:ext>
          </a:extLst>
        </xdr:cNvPr>
        <xdr:cNvSpPr txBox="1">
          <a:spLocks noChangeArrowheads="1"/>
        </xdr:cNvSpPr>
      </xdr:nvSpPr>
      <xdr:spPr bwMode="auto">
        <a:xfrm>
          <a:off x="12540961"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78</xdr:row>
      <xdr:rowOff>0</xdr:rowOff>
    </xdr:from>
    <xdr:ext cx="95250" cy="171450"/>
    <xdr:sp macro="" textlink="">
      <xdr:nvSpPr>
        <xdr:cNvPr id="3039" name="Text Box 18">
          <a:extLst>
            <a:ext uri="{FF2B5EF4-FFF2-40B4-BE49-F238E27FC236}">
              <a16:creationId xmlns:a16="http://schemas.microsoft.com/office/drawing/2014/main" id="{00000000-0008-0000-0500-0000DF0B0000}"/>
            </a:ext>
          </a:extLst>
        </xdr:cNvPr>
        <xdr:cNvSpPr txBox="1">
          <a:spLocks noChangeArrowheads="1"/>
        </xdr:cNvSpPr>
      </xdr:nvSpPr>
      <xdr:spPr bwMode="auto">
        <a:xfrm>
          <a:off x="12540961"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78</xdr:row>
      <xdr:rowOff>0</xdr:rowOff>
    </xdr:from>
    <xdr:ext cx="95250" cy="171450"/>
    <xdr:sp macro="" textlink="">
      <xdr:nvSpPr>
        <xdr:cNvPr id="3040" name="Text Box 19">
          <a:extLst>
            <a:ext uri="{FF2B5EF4-FFF2-40B4-BE49-F238E27FC236}">
              <a16:creationId xmlns:a16="http://schemas.microsoft.com/office/drawing/2014/main" id="{00000000-0008-0000-0500-0000E00B0000}"/>
            </a:ext>
          </a:extLst>
        </xdr:cNvPr>
        <xdr:cNvSpPr txBox="1">
          <a:spLocks noChangeArrowheads="1"/>
        </xdr:cNvSpPr>
      </xdr:nvSpPr>
      <xdr:spPr bwMode="auto">
        <a:xfrm>
          <a:off x="12540961"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21</xdr:col>
      <xdr:colOff>0</xdr:colOff>
      <xdr:row>73</xdr:row>
      <xdr:rowOff>0</xdr:rowOff>
    </xdr:from>
    <xdr:ext cx="95250" cy="171450"/>
    <xdr:sp macro="" textlink="">
      <xdr:nvSpPr>
        <xdr:cNvPr id="3041" name="Text Box 16">
          <a:extLst>
            <a:ext uri="{FF2B5EF4-FFF2-40B4-BE49-F238E27FC236}">
              <a16:creationId xmlns:a16="http://schemas.microsoft.com/office/drawing/2014/main" id="{00000000-0008-0000-0500-0000E10B0000}"/>
            </a:ext>
          </a:extLst>
        </xdr:cNvPr>
        <xdr:cNvSpPr txBox="1">
          <a:spLocks noChangeArrowheads="1"/>
        </xdr:cNvSpPr>
      </xdr:nvSpPr>
      <xdr:spPr bwMode="auto">
        <a:xfrm>
          <a:off x="21832455" y="5992091"/>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21</xdr:col>
      <xdr:colOff>0</xdr:colOff>
      <xdr:row>73</xdr:row>
      <xdr:rowOff>0</xdr:rowOff>
    </xdr:from>
    <xdr:ext cx="95250" cy="171450"/>
    <xdr:sp macro="" textlink="">
      <xdr:nvSpPr>
        <xdr:cNvPr id="3042" name="Text Box 17">
          <a:extLst>
            <a:ext uri="{FF2B5EF4-FFF2-40B4-BE49-F238E27FC236}">
              <a16:creationId xmlns:a16="http://schemas.microsoft.com/office/drawing/2014/main" id="{00000000-0008-0000-0500-0000E20B0000}"/>
            </a:ext>
          </a:extLst>
        </xdr:cNvPr>
        <xdr:cNvSpPr txBox="1">
          <a:spLocks noChangeArrowheads="1"/>
        </xdr:cNvSpPr>
      </xdr:nvSpPr>
      <xdr:spPr bwMode="auto">
        <a:xfrm>
          <a:off x="21832455" y="5992091"/>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21</xdr:col>
      <xdr:colOff>0</xdr:colOff>
      <xdr:row>73</xdr:row>
      <xdr:rowOff>0</xdr:rowOff>
    </xdr:from>
    <xdr:ext cx="95250" cy="171450"/>
    <xdr:sp macro="" textlink="">
      <xdr:nvSpPr>
        <xdr:cNvPr id="3043" name="Text Box 18">
          <a:extLst>
            <a:ext uri="{FF2B5EF4-FFF2-40B4-BE49-F238E27FC236}">
              <a16:creationId xmlns:a16="http://schemas.microsoft.com/office/drawing/2014/main" id="{00000000-0008-0000-0500-0000E30B0000}"/>
            </a:ext>
          </a:extLst>
        </xdr:cNvPr>
        <xdr:cNvSpPr txBox="1">
          <a:spLocks noChangeArrowheads="1"/>
        </xdr:cNvSpPr>
      </xdr:nvSpPr>
      <xdr:spPr bwMode="auto">
        <a:xfrm>
          <a:off x="21832455" y="5992091"/>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21</xdr:col>
      <xdr:colOff>0</xdr:colOff>
      <xdr:row>73</xdr:row>
      <xdr:rowOff>0</xdr:rowOff>
    </xdr:from>
    <xdr:ext cx="95250" cy="171450"/>
    <xdr:sp macro="" textlink="">
      <xdr:nvSpPr>
        <xdr:cNvPr id="3044" name="Text Box 19">
          <a:extLst>
            <a:ext uri="{FF2B5EF4-FFF2-40B4-BE49-F238E27FC236}">
              <a16:creationId xmlns:a16="http://schemas.microsoft.com/office/drawing/2014/main" id="{00000000-0008-0000-0500-0000E40B0000}"/>
            </a:ext>
          </a:extLst>
        </xdr:cNvPr>
        <xdr:cNvSpPr txBox="1">
          <a:spLocks noChangeArrowheads="1"/>
        </xdr:cNvSpPr>
      </xdr:nvSpPr>
      <xdr:spPr bwMode="auto">
        <a:xfrm>
          <a:off x="21832455" y="5992091"/>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74</xdr:row>
      <xdr:rowOff>504825</xdr:rowOff>
    </xdr:from>
    <xdr:ext cx="95250" cy="444014"/>
    <xdr:sp macro="" textlink="">
      <xdr:nvSpPr>
        <xdr:cNvPr id="3045" name="Text Box 15">
          <a:extLst>
            <a:ext uri="{FF2B5EF4-FFF2-40B4-BE49-F238E27FC236}">
              <a16:creationId xmlns:a16="http://schemas.microsoft.com/office/drawing/2014/main" id="{00000000-0008-0000-0500-0000E50B0000}"/>
            </a:ext>
          </a:extLst>
        </xdr:cNvPr>
        <xdr:cNvSpPr txBox="1">
          <a:spLocks noChangeArrowheads="1"/>
        </xdr:cNvSpPr>
      </xdr:nvSpPr>
      <xdr:spPr bwMode="auto">
        <a:xfrm>
          <a:off x="4664364" y="6733020"/>
          <a:ext cx="95250" cy="444014"/>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78</xdr:row>
      <xdr:rowOff>0</xdr:rowOff>
    </xdr:from>
    <xdr:ext cx="95250" cy="171450"/>
    <xdr:sp macro="" textlink="">
      <xdr:nvSpPr>
        <xdr:cNvPr id="3046" name="Text Box 16">
          <a:extLst>
            <a:ext uri="{FF2B5EF4-FFF2-40B4-BE49-F238E27FC236}">
              <a16:creationId xmlns:a16="http://schemas.microsoft.com/office/drawing/2014/main" id="{00000000-0008-0000-0500-0000E60B0000}"/>
            </a:ext>
          </a:extLst>
        </xdr:cNvPr>
        <xdr:cNvSpPr txBox="1">
          <a:spLocks noChangeArrowheads="1"/>
        </xdr:cNvSpPr>
      </xdr:nvSpPr>
      <xdr:spPr bwMode="auto">
        <a:xfrm>
          <a:off x="4664364"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78</xdr:row>
      <xdr:rowOff>0</xdr:rowOff>
    </xdr:from>
    <xdr:ext cx="95250" cy="171450"/>
    <xdr:sp macro="" textlink="">
      <xdr:nvSpPr>
        <xdr:cNvPr id="3047" name="Text Box 17">
          <a:extLst>
            <a:ext uri="{FF2B5EF4-FFF2-40B4-BE49-F238E27FC236}">
              <a16:creationId xmlns:a16="http://schemas.microsoft.com/office/drawing/2014/main" id="{00000000-0008-0000-0500-0000E70B0000}"/>
            </a:ext>
          </a:extLst>
        </xdr:cNvPr>
        <xdr:cNvSpPr txBox="1">
          <a:spLocks noChangeArrowheads="1"/>
        </xdr:cNvSpPr>
      </xdr:nvSpPr>
      <xdr:spPr bwMode="auto">
        <a:xfrm>
          <a:off x="4664364"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78</xdr:row>
      <xdr:rowOff>0</xdr:rowOff>
    </xdr:from>
    <xdr:ext cx="95250" cy="171450"/>
    <xdr:sp macro="" textlink="">
      <xdr:nvSpPr>
        <xdr:cNvPr id="3048" name="Text Box 18">
          <a:extLst>
            <a:ext uri="{FF2B5EF4-FFF2-40B4-BE49-F238E27FC236}">
              <a16:creationId xmlns:a16="http://schemas.microsoft.com/office/drawing/2014/main" id="{00000000-0008-0000-0500-0000E80B0000}"/>
            </a:ext>
          </a:extLst>
        </xdr:cNvPr>
        <xdr:cNvSpPr txBox="1">
          <a:spLocks noChangeArrowheads="1"/>
        </xdr:cNvSpPr>
      </xdr:nvSpPr>
      <xdr:spPr bwMode="auto">
        <a:xfrm>
          <a:off x="4664364"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78</xdr:row>
      <xdr:rowOff>0</xdr:rowOff>
    </xdr:from>
    <xdr:ext cx="95250" cy="171450"/>
    <xdr:sp macro="" textlink="">
      <xdr:nvSpPr>
        <xdr:cNvPr id="3049" name="Text Box 19">
          <a:extLst>
            <a:ext uri="{FF2B5EF4-FFF2-40B4-BE49-F238E27FC236}">
              <a16:creationId xmlns:a16="http://schemas.microsoft.com/office/drawing/2014/main" id="{00000000-0008-0000-0500-0000E90B0000}"/>
            </a:ext>
          </a:extLst>
        </xdr:cNvPr>
        <xdr:cNvSpPr txBox="1">
          <a:spLocks noChangeArrowheads="1"/>
        </xdr:cNvSpPr>
      </xdr:nvSpPr>
      <xdr:spPr bwMode="auto">
        <a:xfrm>
          <a:off x="4664364"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78</xdr:row>
      <xdr:rowOff>0</xdr:rowOff>
    </xdr:from>
    <xdr:ext cx="95250" cy="171450"/>
    <xdr:sp macro="" textlink="">
      <xdr:nvSpPr>
        <xdr:cNvPr id="3050" name="Text Box 16">
          <a:extLst>
            <a:ext uri="{FF2B5EF4-FFF2-40B4-BE49-F238E27FC236}">
              <a16:creationId xmlns:a16="http://schemas.microsoft.com/office/drawing/2014/main" id="{00000000-0008-0000-0500-0000EA0B0000}"/>
            </a:ext>
          </a:extLst>
        </xdr:cNvPr>
        <xdr:cNvSpPr txBox="1">
          <a:spLocks noChangeArrowheads="1"/>
        </xdr:cNvSpPr>
      </xdr:nvSpPr>
      <xdr:spPr bwMode="auto">
        <a:xfrm>
          <a:off x="12540961"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78</xdr:row>
      <xdr:rowOff>0</xdr:rowOff>
    </xdr:from>
    <xdr:ext cx="95250" cy="171450"/>
    <xdr:sp macro="" textlink="">
      <xdr:nvSpPr>
        <xdr:cNvPr id="3051" name="Text Box 17">
          <a:extLst>
            <a:ext uri="{FF2B5EF4-FFF2-40B4-BE49-F238E27FC236}">
              <a16:creationId xmlns:a16="http://schemas.microsoft.com/office/drawing/2014/main" id="{00000000-0008-0000-0500-0000EB0B0000}"/>
            </a:ext>
          </a:extLst>
        </xdr:cNvPr>
        <xdr:cNvSpPr txBox="1">
          <a:spLocks noChangeArrowheads="1"/>
        </xdr:cNvSpPr>
      </xdr:nvSpPr>
      <xdr:spPr bwMode="auto">
        <a:xfrm>
          <a:off x="12540961"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1020762</xdr:colOff>
      <xdr:row>78</xdr:row>
      <xdr:rowOff>15875</xdr:rowOff>
    </xdr:from>
    <xdr:ext cx="95250" cy="171450"/>
    <xdr:sp macro="" textlink="">
      <xdr:nvSpPr>
        <xdr:cNvPr id="3052" name="Text Box 18">
          <a:extLst>
            <a:ext uri="{FF2B5EF4-FFF2-40B4-BE49-F238E27FC236}">
              <a16:creationId xmlns:a16="http://schemas.microsoft.com/office/drawing/2014/main" id="{00000000-0008-0000-0500-0000EC0B0000}"/>
            </a:ext>
          </a:extLst>
        </xdr:cNvPr>
        <xdr:cNvSpPr txBox="1">
          <a:spLocks noChangeArrowheads="1"/>
        </xdr:cNvSpPr>
      </xdr:nvSpPr>
      <xdr:spPr bwMode="auto">
        <a:xfrm>
          <a:off x="12485398" y="7116330"/>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78</xdr:row>
      <xdr:rowOff>0</xdr:rowOff>
    </xdr:from>
    <xdr:ext cx="95250" cy="171450"/>
    <xdr:sp macro="" textlink="">
      <xdr:nvSpPr>
        <xdr:cNvPr id="3053" name="Text Box 16">
          <a:extLst>
            <a:ext uri="{FF2B5EF4-FFF2-40B4-BE49-F238E27FC236}">
              <a16:creationId xmlns:a16="http://schemas.microsoft.com/office/drawing/2014/main" id="{00000000-0008-0000-0500-0000ED0B0000}"/>
            </a:ext>
          </a:extLst>
        </xdr:cNvPr>
        <xdr:cNvSpPr txBox="1">
          <a:spLocks noChangeArrowheads="1"/>
        </xdr:cNvSpPr>
      </xdr:nvSpPr>
      <xdr:spPr bwMode="auto">
        <a:xfrm>
          <a:off x="15388070"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78</xdr:row>
      <xdr:rowOff>0</xdr:rowOff>
    </xdr:from>
    <xdr:ext cx="95250" cy="171450"/>
    <xdr:sp macro="" textlink="">
      <xdr:nvSpPr>
        <xdr:cNvPr id="3054" name="Text Box 17">
          <a:extLst>
            <a:ext uri="{FF2B5EF4-FFF2-40B4-BE49-F238E27FC236}">
              <a16:creationId xmlns:a16="http://schemas.microsoft.com/office/drawing/2014/main" id="{00000000-0008-0000-0500-0000EE0B0000}"/>
            </a:ext>
          </a:extLst>
        </xdr:cNvPr>
        <xdr:cNvSpPr txBox="1">
          <a:spLocks noChangeArrowheads="1"/>
        </xdr:cNvSpPr>
      </xdr:nvSpPr>
      <xdr:spPr bwMode="auto">
        <a:xfrm>
          <a:off x="15388070"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78</xdr:row>
      <xdr:rowOff>0</xdr:rowOff>
    </xdr:from>
    <xdr:ext cx="95250" cy="171450"/>
    <xdr:sp macro="" textlink="">
      <xdr:nvSpPr>
        <xdr:cNvPr id="3055" name="Text Box 18">
          <a:extLst>
            <a:ext uri="{FF2B5EF4-FFF2-40B4-BE49-F238E27FC236}">
              <a16:creationId xmlns:a16="http://schemas.microsoft.com/office/drawing/2014/main" id="{00000000-0008-0000-0500-0000EF0B0000}"/>
            </a:ext>
          </a:extLst>
        </xdr:cNvPr>
        <xdr:cNvSpPr txBox="1">
          <a:spLocks noChangeArrowheads="1"/>
        </xdr:cNvSpPr>
      </xdr:nvSpPr>
      <xdr:spPr bwMode="auto">
        <a:xfrm>
          <a:off x="15388070"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78</xdr:row>
      <xdr:rowOff>0</xdr:rowOff>
    </xdr:from>
    <xdr:ext cx="95250" cy="171450"/>
    <xdr:sp macro="" textlink="">
      <xdr:nvSpPr>
        <xdr:cNvPr id="3056" name="Text Box 19">
          <a:extLst>
            <a:ext uri="{FF2B5EF4-FFF2-40B4-BE49-F238E27FC236}">
              <a16:creationId xmlns:a16="http://schemas.microsoft.com/office/drawing/2014/main" id="{00000000-0008-0000-0500-0000F00B0000}"/>
            </a:ext>
          </a:extLst>
        </xdr:cNvPr>
        <xdr:cNvSpPr txBox="1">
          <a:spLocks noChangeArrowheads="1"/>
        </xdr:cNvSpPr>
      </xdr:nvSpPr>
      <xdr:spPr bwMode="auto">
        <a:xfrm>
          <a:off x="15388070"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78</xdr:row>
      <xdr:rowOff>0</xdr:rowOff>
    </xdr:from>
    <xdr:ext cx="95250" cy="171450"/>
    <xdr:sp macro="" textlink="">
      <xdr:nvSpPr>
        <xdr:cNvPr id="3057" name="Text Box 16">
          <a:extLst>
            <a:ext uri="{FF2B5EF4-FFF2-40B4-BE49-F238E27FC236}">
              <a16:creationId xmlns:a16="http://schemas.microsoft.com/office/drawing/2014/main" id="{00000000-0008-0000-0500-0000F10B0000}"/>
            </a:ext>
          </a:extLst>
        </xdr:cNvPr>
        <xdr:cNvSpPr txBox="1">
          <a:spLocks noChangeArrowheads="1"/>
        </xdr:cNvSpPr>
      </xdr:nvSpPr>
      <xdr:spPr bwMode="auto">
        <a:xfrm>
          <a:off x="15388070"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10</xdr:col>
      <xdr:colOff>28575</xdr:colOff>
      <xdr:row>78</xdr:row>
      <xdr:rowOff>170392</xdr:rowOff>
    </xdr:from>
    <xdr:ext cx="95250" cy="213632"/>
    <xdr:sp macro="" textlink="">
      <xdr:nvSpPr>
        <xdr:cNvPr id="3058" name="Text Box 15">
          <a:extLst>
            <a:ext uri="{FF2B5EF4-FFF2-40B4-BE49-F238E27FC236}">
              <a16:creationId xmlns:a16="http://schemas.microsoft.com/office/drawing/2014/main" id="{00000000-0008-0000-0500-0000F20B0000}"/>
            </a:ext>
          </a:extLst>
        </xdr:cNvPr>
        <xdr:cNvSpPr txBox="1">
          <a:spLocks noChangeArrowheads="1"/>
        </xdr:cNvSpPr>
      </xdr:nvSpPr>
      <xdr:spPr bwMode="auto">
        <a:xfrm>
          <a:off x="12578484" y="7270847"/>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78</xdr:row>
      <xdr:rowOff>504825</xdr:rowOff>
    </xdr:from>
    <xdr:ext cx="95250" cy="448496"/>
    <xdr:sp macro="" textlink="">
      <xdr:nvSpPr>
        <xdr:cNvPr id="3059" name="Text Box 15">
          <a:extLst>
            <a:ext uri="{FF2B5EF4-FFF2-40B4-BE49-F238E27FC236}">
              <a16:creationId xmlns:a16="http://schemas.microsoft.com/office/drawing/2014/main" id="{00000000-0008-0000-0500-0000F30B0000}"/>
            </a:ext>
          </a:extLst>
        </xdr:cNvPr>
        <xdr:cNvSpPr txBox="1">
          <a:spLocks noChangeArrowheads="1"/>
        </xdr:cNvSpPr>
      </xdr:nvSpPr>
      <xdr:spPr bwMode="auto">
        <a:xfrm>
          <a:off x="4664364" y="5994111"/>
          <a:ext cx="95250" cy="448496"/>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78</xdr:row>
      <xdr:rowOff>504825</xdr:rowOff>
    </xdr:from>
    <xdr:ext cx="95250" cy="442269"/>
    <xdr:sp macro="" textlink="">
      <xdr:nvSpPr>
        <xdr:cNvPr id="3060" name="Text Box 15">
          <a:extLst>
            <a:ext uri="{FF2B5EF4-FFF2-40B4-BE49-F238E27FC236}">
              <a16:creationId xmlns:a16="http://schemas.microsoft.com/office/drawing/2014/main" id="{00000000-0008-0000-0500-0000F40B0000}"/>
            </a:ext>
          </a:extLst>
        </xdr:cNvPr>
        <xdr:cNvSpPr txBox="1">
          <a:spLocks noChangeArrowheads="1"/>
        </xdr:cNvSpPr>
      </xdr:nvSpPr>
      <xdr:spPr bwMode="auto">
        <a:xfrm>
          <a:off x="12540961" y="5994111"/>
          <a:ext cx="95250" cy="442269"/>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78</xdr:row>
      <xdr:rowOff>504825</xdr:rowOff>
    </xdr:from>
    <xdr:ext cx="95250" cy="213632"/>
    <xdr:sp macro="" textlink="">
      <xdr:nvSpPr>
        <xdr:cNvPr id="3062" name="Text Box 15">
          <a:extLst>
            <a:ext uri="{FF2B5EF4-FFF2-40B4-BE49-F238E27FC236}">
              <a16:creationId xmlns:a16="http://schemas.microsoft.com/office/drawing/2014/main" id="{00000000-0008-0000-0500-0000F60B0000}"/>
            </a:ext>
          </a:extLst>
        </xdr:cNvPr>
        <xdr:cNvSpPr txBox="1">
          <a:spLocks noChangeArrowheads="1"/>
        </xdr:cNvSpPr>
      </xdr:nvSpPr>
      <xdr:spPr bwMode="auto">
        <a:xfrm>
          <a:off x="4664364" y="5994111"/>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78</xdr:row>
      <xdr:rowOff>504825</xdr:rowOff>
    </xdr:from>
    <xdr:ext cx="95250" cy="444331"/>
    <xdr:sp macro="" textlink="">
      <xdr:nvSpPr>
        <xdr:cNvPr id="3063" name="Text Box 15">
          <a:extLst>
            <a:ext uri="{FF2B5EF4-FFF2-40B4-BE49-F238E27FC236}">
              <a16:creationId xmlns:a16="http://schemas.microsoft.com/office/drawing/2014/main" id="{00000000-0008-0000-0500-0000F70B0000}"/>
            </a:ext>
          </a:extLst>
        </xdr:cNvPr>
        <xdr:cNvSpPr txBox="1">
          <a:spLocks noChangeArrowheads="1"/>
        </xdr:cNvSpPr>
      </xdr:nvSpPr>
      <xdr:spPr bwMode="auto">
        <a:xfrm>
          <a:off x="4664364" y="5994111"/>
          <a:ext cx="95250" cy="444331"/>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10</xdr:col>
      <xdr:colOff>28575</xdr:colOff>
      <xdr:row>78</xdr:row>
      <xdr:rowOff>170392</xdr:rowOff>
    </xdr:from>
    <xdr:ext cx="95250" cy="213632"/>
    <xdr:sp macro="" textlink="">
      <xdr:nvSpPr>
        <xdr:cNvPr id="3064" name="Text Box 15">
          <a:extLst>
            <a:ext uri="{FF2B5EF4-FFF2-40B4-BE49-F238E27FC236}">
              <a16:creationId xmlns:a16="http://schemas.microsoft.com/office/drawing/2014/main" id="{00000000-0008-0000-0500-0000F80B0000}"/>
            </a:ext>
          </a:extLst>
        </xdr:cNvPr>
        <xdr:cNvSpPr txBox="1">
          <a:spLocks noChangeArrowheads="1"/>
        </xdr:cNvSpPr>
      </xdr:nvSpPr>
      <xdr:spPr bwMode="auto">
        <a:xfrm>
          <a:off x="12578484" y="5793028"/>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84</xdr:row>
      <xdr:rowOff>0</xdr:rowOff>
    </xdr:from>
    <xdr:ext cx="95250" cy="171450"/>
    <xdr:sp macro="" textlink="">
      <xdr:nvSpPr>
        <xdr:cNvPr id="3065" name="Text Box 16">
          <a:extLst>
            <a:ext uri="{FF2B5EF4-FFF2-40B4-BE49-F238E27FC236}">
              <a16:creationId xmlns:a16="http://schemas.microsoft.com/office/drawing/2014/main" id="{00000000-0008-0000-0500-0000F90B0000}"/>
            </a:ext>
          </a:extLst>
        </xdr:cNvPr>
        <xdr:cNvSpPr txBox="1">
          <a:spLocks noChangeArrowheads="1"/>
        </xdr:cNvSpPr>
      </xdr:nvSpPr>
      <xdr:spPr bwMode="auto">
        <a:xfrm>
          <a:off x="4664364"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84</xdr:row>
      <xdr:rowOff>0</xdr:rowOff>
    </xdr:from>
    <xdr:ext cx="95250" cy="171450"/>
    <xdr:sp macro="" textlink="">
      <xdr:nvSpPr>
        <xdr:cNvPr id="3066" name="Text Box 17">
          <a:extLst>
            <a:ext uri="{FF2B5EF4-FFF2-40B4-BE49-F238E27FC236}">
              <a16:creationId xmlns:a16="http://schemas.microsoft.com/office/drawing/2014/main" id="{00000000-0008-0000-0500-0000FA0B0000}"/>
            </a:ext>
          </a:extLst>
        </xdr:cNvPr>
        <xdr:cNvSpPr txBox="1">
          <a:spLocks noChangeArrowheads="1"/>
        </xdr:cNvSpPr>
      </xdr:nvSpPr>
      <xdr:spPr bwMode="auto">
        <a:xfrm>
          <a:off x="4664364"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84</xdr:row>
      <xdr:rowOff>0</xdr:rowOff>
    </xdr:from>
    <xdr:ext cx="95250" cy="171450"/>
    <xdr:sp macro="" textlink="">
      <xdr:nvSpPr>
        <xdr:cNvPr id="3067" name="Text Box 18">
          <a:extLst>
            <a:ext uri="{FF2B5EF4-FFF2-40B4-BE49-F238E27FC236}">
              <a16:creationId xmlns:a16="http://schemas.microsoft.com/office/drawing/2014/main" id="{00000000-0008-0000-0500-0000FB0B0000}"/>
            </a:ext>
          </a:extLst>
        </xdr:cNvPr>
        <xdr:cNvSpPr txBox="1">
          <a:spLocks noChangeArrowheads="1"/>
        </xdr:cNvSpPr>
      </xdr:nvSpPr>
      <xdr:spPr bwMode="auto">
        <a:xfrm>
          <a:off x="4664364"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84</xdr:row>
      <xdr:rowOff>0</xdr:rowOff>
    </xdr:from>
    <xdr:ext cx="95250" cy="171450"/>
    <xdr:sp macro="" textlink="">
      <xdr:nvSpPr>
        <xdr:cNvPr id="3068" name="Text Box 19">
          <a:extLst>
            <a:ext uri="{FF2B5EF4-FFF2-40B4-BE49-F238E27FC236}">
              <a16:creationId xmlns:a16="http://schemas.microsoft.com/office/drawing/2014/main" id="{00000000-0008-0000-0500-0000FC0B0000}"/>
            </a:ext>
          </a:extLst>
        </xdr:cNvPr>
        <xdr:cNvSpPr txBox="1">
          <a:spLocks noChangeArrowheads="1"/>
        </xdr:cNvSpPr>
      </xdr:nvSpPr>
      <xdr:spPr bwMode="auto">
        <a:xfrm>
          <a:off x="4664364"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84</xdr:row>
      <xdr:rowOff>0</xdr:rowOff>
    </xdr:from>
    <xdr:ext cx="95250" cy="171450"/>
    <xdr:sp macro="" textlink="">
      <xdr:nvSpPr>
        <xdr:cNvPr id="3069" name="Text Box 16">
          <a:extLst>
            <a:ext uri="{FF2B5EF4-FFF2-40B4-BE49-F238E27FC236}">
              <a16:creationId xmlns:a16="http://schemas.microsoft.com/office/drawing/2014/main" id="{00000000-0008-0000-0500-0000FD0B0000}"/>
            </a:ext>
          </a:extLst>
        </xdr:cNvPr>
        <xdr:cNvSpPr txBox="1">
          <a:spLocks noChangeArrowheads="1"/>
        </xdr:cNvSpPr>
      </xdr:nvSpPr>
      <xdr:spPr bwMode="auto">
        <a:xfrm>
          <a:off x="12540961"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84</xdr:row>
      <xdr:rowOff>0</xdr:rowOff>
    </xdr:from>
    <xdr:ext cx="95250" cy="171450"/>
    <xdr:sp macro="" textlink="">
      <xdr:nvSpPr>
        <xdr:cNvPr id="3070" name="Text Box 17">
          <a:extLst>
            <a:ext uri="{FF2B5EF4-FFF2-40B4-BE49-F238E27FC236}">
              <a16:creationId xmlns:a16="http://schemas.microsoft.com/office/drawing/2014/main" id="{00000000-0008-0000-0500-0000FE0B0000}"/>
            </a:ext>
          </a:extLst>
        </xdr:cNvPr>
        <xdr:cNvSpPr txBox="1">
          <a:spLocks noChangeArrowheads="1"/>
        </xdr:cNvSpPr>
      </xdr:nvSpPr>
      <xdr:spPr bwMode="auto">
        <a:xfrm>
          <a:off x="12540961"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84</xdr:row>
      <xdr:rowOff>0</xdr:rowOff>
    </xdr:from>
    <xdr:ext cx="95250" cy="171450"/>
    <xdr:sp macro="" textlink="">
      <xdr:nvSpPr>
        <xdr:cNvPr id="3071" name="Text Box 18">
          <a:extLst>
            <a:ext uri="{FF2B5EF4-FFF2-40B4-BE49-F238E27FC236}">
              <a16:creationId xmlns:a16="http://schemas.microsoft.com/office/drawing/2014/main" id="{00000000-0008-0000-0500-0000FF0B0000}"/>
            </a:ext>
          </a:extLst>
        </xdr:cNvPr>
        <xdr:cNvSpPr txBox="1">
          <a:spLocks noChangeArrowheads="1"/>
        </xdr:cNvSpPr>
      </xdr:nvSpPr>
      <xdr:spPr bwMode="auto">
        <a:xfrm>
          <a:off x="12540961"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84</xdr:row>
      <xdr:rowOff>0</xdr:rowOff>
    </xdr:from>
    <xdr:ext cx="95250" cy="171450"/>
    <xdr:sp macro="" textlink="">
      <xdr:nvSpPr>
        <xdr:cNvPr id="3072" name="Text Box 19">
          <a:extLst>
            <a:ext uri="{FF2B5EF4-FFF2-40B4-BE49-F238E27FC236}">
              <a16:creationId xmlns:a16="http://schemas.microsoft.com/office/drawing/2014/main" id="{00000000-0008-0000-0500-0000000C0000}"/>
            </a:ext>
          </a:extLst>
        </xdr:cNvPr>
        <xdr:cNvSpPr txBox="1">
          <a:spLocks noChangeArrowheads="1"/>
        </xdr:cNvSpPr>
      </xdr:nvSpPr>
      <xdr:spPr bwMode="auto">
        <a:xfrm>
          <a:off x="12540961"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21</xdr:col>
      <xdr:colOff>0</xdr:colOff>
      <xdr:row>84</xdr:row>
      <xdr:rowOff>0</xdr:rowOff>
    </xdr:from>
    <xdr:ext cx="95250" cy="171450"/>
    <xdr:sp macro="" textlink="">
      <xdr:nvSpPr>
        <xdr:cNvPr id="3073" name="Text Box 16">
          <a:extLst>
            <a:ext uri="{FF2B5EF4-FFF2-40B4-BE49-F238E27FC236}">
              <a16:creationId xmlns:a16="http://schemas.microsoft.com/office/drawing/2014/main" id="{00000000-0008-0000-0500-0000010C0000}"/>
            </a:ext>
          </a:extLst>
        </xdr:cNvPr>
        <xdr:cNvSpPr txBox="1">
          <a:spLocks noChangeArrowheads="1"/>
        </xdr:cNvSpPr>
      </xdr:nvSpPr>
      <xdr:spPr bwMode="auto">
        <a:xfrm>
          <a:off x="21832455"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21</xdr:col>
      <xdr:colOff>0</xdr:colOff>
      <xdr:row>84</xdr:row>
      <xdr:rowOff>0</xdr:rowOff>
    </xdr:from>
    <xdr:ext cx="95250" cy="171450"/>
    <xdr:sp macro="" textlink="">
      <xdr:nvSpPr>
        <xdr:cNvPr id="3074" name="Text Box 17">
          <a:extLst>
            <a:ext uri="{FF2B5EF4-FFF2-40B4-BE49-F238E27FC236}">
              <a16:creationId xmlns:a16="http://schemas.microsoft.com/office/drawing/2014/main" id="{00000000-0008-0000-0500-0000020C0000}"/>
            </a:ext>
          </a:extLst>
        </xdr:cNvPr>
        <xdr:cNvSpPr txBox="1">
          <a:spLocks noChangeArrowheads="1"/>
        </xdr:cNvSpPr>
      </xdr:nvSpPr>
      <xdr:spPr bwMode="auto">
        <a:xfrm>
          <a:off x="21832455"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21</xdr:col>
      <xdr:colOff>0</xdr:colOff>
      <xdr:row>84</xdr:row>
      <xdr:rowOff>0</xdr:rowOff>
    </xdr:from>
    <xdr:ext cx="95250" cy="171450"/>
    <xdr:sp macro="" textlink="">
      <xdr:nvSpPr>
        <xdr:cNvPr id="3075" name="Text Box 18">
          <a:extLst>
            <a:ext uri="{FF2B5EF4-FFF2-40B4-BE49-F238E27FC236}">
              <a16:creationId xmlns:a16="http://schemas.microsoft.com/office/drawing/2014/main" id="{00000000-0008-0000-0500-0000030C0000}"/>
            </a:ext>
          </a:extLst>
        </xdr:cNvPr>
        <xdr:cNvSpPr txBox="1">
          <a:spLocks noChangeArrowheads="1"/>
        </xdr:cNvSpPr>
      </xdr:nvSpPr>
      <xdr:spPr bwMode="auto">
        <a:xfrm>
          <a:off x="21832455"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21</xdr:col>
      <xdr:colOff>0</xdr:colOff>
      <xdr:row>84</xdr:row>
      <xdr:rowOff>0</xdr:rowOff>
    </xdr:from>
    <xdr:ext cx="95250" cy="171450"/>
    <xdr:sp macro="" textlink="">
      <xdr:nvSpPr>
        <xdr:cNvPr id="3076" name="Text Box 19">
          <a:extLst>
            <a:ext uri="{FF2B5EF4-FFF2-40B4-BE49-F238E27FC236}">
              <a16:creationId xmlns:a16="http://schemas.microsoft.com/office/drawing/2014/main" id="{00000000-0008-0000-0500-0000040C0000}"/>
            </a:ext>
          </a:extLst>
        </xdr:cNvPr>
        <xdr:cNvSpPr txBox="1">
          <a:spLocks noChangeArrowheads="1"/>
        </xdr:cNvSpPr>
      </xdr:nvSpPr>
      <xdr:spPr bwMode="auto">
        <a:xfrm>
          <a:off x="21832455"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80</xdr:row>
      <xdr:rowOff>504825</xdr:rowOff>
    </xdr:from>
    <xdr:ext cx="95250" cy="444014"/>
    <xdr:sp macro="" textlink="">
      <xdr:nvSpPr>
        <xdr:cNvPr id="3077" name="Text Box 15">
          <a:extLst>
            <a:ext uri="{FF2B5EF4-FFF2-40B4-BE49-F238E27FC236}">
              <a16:creationId xmlns:a16="http://schemas.microsoft.com/office/drawing/2014/main" id="{00000000-0008-0000-0500-0000050C0000}"/>
            </a:ext>
          </a:extLst>
        </xdr:cNvPr>
        <xdr:cNvSpPr txBox="1">
          <a:spLocks noChangeArrowheads="1"/>
        </xdr:cNvSpPr>
      </xdr:nvSpPr>
      <xdr:spPr bwMode="auto">
        <a:xfrm>
          <a:off x="4664364" y="6733020"/>
          <a:ext cx="95250" cy="444014"/>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84</xdr:row>
      <xdr:rowOff>0</xdr:rowOff>
    </xdr:from>
    <xdr:ext cx="95250" cy="171450"/>
    <xdr:sp macro="" textlink="">
      <xdr:nvSpPr>
        <xdr:cNvPr id="3078" name="Text Box 16">
          <a:extLst>
            <a:ext uri="{FF2B5EF4-FFF2-40B4-BE49-F238E27FC236}">
              <a16:creationId xmlns:a16="http://schemas.microsoft.com/office/drawing/2014/main" id="{00000000-0008-0000-0500-0000060C0000}"/>
            </a:ext>
          </a:extLst>
        </xdr:cNvPr>
        <xdr:cNvSpPr txBox="1">
          <a:spLocks noChangeArrowheads="1"/>
        </xdr:cNvSpPr>
      </xdr:nvSpPr>
      <xdr:spPr bwMode="auto">
        <a:xfrm>
          <a:off x="4664364"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84</xdr:row>
      <xdr:rowOff>0</xdr:rowOff>
    </xdr:from>
    <xdr:ext cx="95250" cy="171450"/>
    <xdr:sp macro="" textlink="">
      <xdr:nvSpPr>
        <xdr:cNvPr id="3079" name="Text Box 17">
          <a:extLst>
            <a:ext uri="{FF2B5EF4-FFF2-40B4-BE49-F238E27FC236}">
              <a16:creationId xmlns:a16="http://schemas.microsoft.com/office/drawing/2014/main" id="{00000000-0008-0000-0500-0000070C0000}"/>
            </a:ext>
          </a:extLst>
        </xdr:cNvPr>
        <xdr:cNvSpPr txBox="1">
          <a:spLocks noChangeArrowheads="1"/>
        </xdr:cNvSpPr>
      </xdr:nvSpPr>
      <xdr:spPr bwMode="auto">
        <a:xfrm>
          <a:off x="4664364"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84</xdr:row>
      <xdr:rowOff>0</xdr:rowOff>
    </xdr:from>
    <xdr:ext cx="95250" cy="171450"/>
    <xdr:sp macro="" textlink="">
      <xdr:nvSpPr>
        <xdr:cNvPr id="3080" name="Text Box 18">
          <a:extLst>
            <a:ext uri="{FF2B5EF4-FFF2-40B4-BE49-F238E27FC236}">
              <a16:creationId xmlns:a16="http://schemas.microsoft.com/office/drawing/2014/main" id="{00000000-0008-0000-0500-0000080C0000}"/>
            </a:ext>
          </a:extLst>
        </xdr:cNvPr>
        <xdr:cNvSpPr txBox="1">
          <a:spLocks noChangeArrowheads="1"/>
        </xdr:cNvSpPr>
      </xdr:nvSpPr>
      <xdr:spPr bwMode="auto">
        <a:xfrm>
          <a:off x="4664364"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84</xdr:row>
      <xdr:rowOff>0</xdr:rowOff>
    </xdr:from>
    <xdr:ext cx="95250" cy="171450"/>
    <xdr:sp macro="" textlink="">
      <xdr:nvSpPr>
        <xdr:cNvPr id="3081" name="Text Box 19">
          <a:extLst>
            <a:ext uri="{FF2B5EF4-FFF2-40B4-BE49-F238E27FC236}">
              <a16:creationId xmlns:a16="http://schemas.microsoft.com/office/drawing/2014/main" id="{00000000-0008-0000-0500-0000090C0000}"/>
            </a:ext>
          </a:extLst>
        </xdr:cNvPr>
        <xdr:cNvSpPr txBox="1">
          <a:spLocks noChangeArrowheads="1"/>
        </xdr:cNvSpPr>
      </xdr:nvSpPr>
      <xdr:spPr bwMode="auto">
        <a:xfrm>
          <a:off x="4664364"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84</xdr:row>
      <xdr:rowOff>0</xdr:rowOff>
    </xdr:from>
    <xdr:ext cx="95250" cy="171450"/>
    <xdr:sp macro="" textlink="">
      <xdr:nvSpPr>
        <xdr:cNvPr id="3082" name="Text Box 16">
          <a:extLst>
            <a:ext uri="{FF2B5EF4-FFF2-40B4-BE49-F238E27FC236}">
              <a16:creationId xmlns:a16="http://schemas.microsoft.com/office/drawing/2014/main" id="{00000000-0008-0000-0500-00000A0C0000}"/>
            </a:ext>
          </a:extLst>
        </xdr:cNvPr>
        <xdr:cNvSpPr txBox="1">
          <a:spLocks noChangeArrowheads="1"/>
        </xdr:cNvSpPr>
      </xdr:nvSpPr>
      <xdr:spPr bwMode="auto">
        <a:xfrm>
          <a:off x="12540961"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84</xdr:row>
      <xdr:rowOff>0</xdr:rowOff>
    </xdr:from>
    <xdr:ext cx="95250" cy="171450"/>
    <xdr:sp macro="" textlink="">
      <xdr:nvSpPr>
        <xdr:cNvPr id="3083" name="Text Box 17">
          <a:extLst>
            <a:ext uri="{FF2B5EF4-FFF2-40B4-BE49-F238E27FC236}">
              <a16:creationId xmlns:a16="http://schemas.microsoft.com/office/drawing/2014/main" id="{00000000-0008-0000-0500-00000B0C0000}"/>
            </a:ext>
          </a:extLst>
        </xdr:cNvPr>
        <xdr:cNvSpPr txBox="1">
          <a:spLocks noChangeArrowheads="1"/>
        </xdr:cNvSpPr>
      </xdr:nvSpPr>
      <xdr:spPr bwMode="auto">
        <a:xfrm>
          <a:off x="12540961"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84</xdr:row>
      <xdr:rowOff>0</xdr:rowOff>
    </xdr:from>
    <xdr:ext cx="95250" cy="171450"/>
    <xdr:sp macro="" textlink="">
      <xdr:nvSpPr>
        <xdr:cNvPr id="3084" name="Text Box 18">
          <a:extLst>
            <a:ext uri="{FF2B5EF4-FFF2-40B4-BE49-F238E27FC236}">
              <a16:creationId xmlns:a16="http://schemas.microsoft.com/office/drawing/2014/main" id="{00000000-0008-0000-0500-00000C0C0000}"/>
            </a:ext>
          </a:extLst>
        </xdr:cNvPr>
        <xdr:cNvSpPr txBox="1">
          <a:spLocks noChangeArrowheads="1"/>
        </xdr:cNvSpPr>
      </xdr:nvSpPr>
      <xdr:spPr bwMode="auto">
        <a:xfrm>
          <a:off x="12540961"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84</xdr:row>
      <xdr:rowOff>0</xdr:rowOff>
    </xdr:from>
    <xdr:ext cx="95250" cy="171450"/>
    <xdr:sp macro="" textlink="">
      <xdr:nvSpPr>
        <xdr:cNvPr id="3085" name="Text Box 16">
          <a:extLst>
            <a:ext uri="{FF2B5EF4-FFF2-40B4-BE49-F238E27FC236}">
              <a16:creationId xmlns:a16="http://schemas.microsoft.com/office/drawing/2014/main" id="{00000000-0008-0000-0500-00000D0C0000}"/>
            </a:ext>
          </a:extLst>
        </xdr:cNvPr>
        <xdr:cNvSpPr txBox="1">
          <a:spLocks noChangeArrowheads="1"/>
        </xdr:cNvSpPr>
      </xdr:nvSpPr>
      <xdr:spPr bwMode="auto">
        <a:xfrm>
          <a:off x="15388070"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84</xdr:row>
      <xdr:rowOff>0</xdr:rowOff>
    </xdr:from>
    <xdr:ext cx="95250" cy="171450"/>
    <xdr:sp macro="" textlink="">
      <xdr:nvSpPr>
        <xdr:cNvPr id="3086" name="Text Box 17">
          <a:extLst>
            <a:ext uri="{FF2B5EF4-FFF2-40B4-BE49-F238E27FC236}">
              <a16:creationId xmlns:a16="http://schemas.microsoft.com/office/drawing/2014/main" id="{00000000-0008-0000-0500-00000E0C0000}"/>
            </a:ext>
          </a:extLst>
        </xdr:cNvPr>
        <xdr:cNvSpPr txBox="1">
          <a:spLocks noChangeArrowheads="1"/>
        </xdr:cNvSpPr>
      </xdr:nvSpPr>
      <xdr:spPr bwMode="auto">
        <a:xfrm>
          <a:off x="15388070"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84</xdr:row>
      <xdr:rowOff>0</xdr:rowOff>
    </xdr:from>
    <xdr:ext cx="95250" cy="171450"/>
    <xdr:sp macro="" textlink="">
      <xdr:nvSpPr>
        <xdr:cNvPr id="3087" name="Text Box 18">
          <a:extLst>
            <a:ext uri="{FF2B5EF4-FFF2-40B4-BE49-F238E27FC236}">
              <a16:creationId xmlns:a16="http://schemas.microsoft.com/office/drawing/2014/main" id="{00000000-0008-0000-0500-00000F0C0000}"/>
            </a:ext>
          </a:extLst>
        </xdr:cNvPr>
        <xdr:cNvSpPr txBox="1">
          <a:spLocks noChangeArrowheads="1"/>
        </xdr:cNvSpPr>
      </xdr:nvSpPr>
      <xdr:spPr bwMode="auto">
        <a:xfrm>
          <a:off x="15388070"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84</xdr:row>
      <xdr:rowOff>0</xdr:rowOff>
    </xdr:from>
    <xdr:ext cx="95250" cy="171450"/>
    <xdr:sp macro="" textlink="">
      <xdr:nvSpPr>
        <xdr:cNvPr id="3088" name="Text Box 19">
          <a:extLst>
            <a:ext uri="{FF2B5EF4-FFF2-40B4-BE49-F238E27FC236}">
              <a16:creationId xmlns:a16="http://schemas.microsoft.com/office/drawing/2014/main" id="{00000000-0008-0000-0500-0000100C0000}"/>
            </a:ext>
          </a:extLst>
        </xdr:cNvPr>
        <xdr:cNvSpPr txBox="1">
          <a:spLocks noChangeArrowheads="1"/>
        </xdr:cNvSpPr>
      </xdr:nvSpPr>
      <xdr:spPr bwMode="auto">
        <a:xfrm>
          <a:off x="15388070"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84</xdr:row>
      <xdr:rowOff>0</xdr:rowOff>
    </xdr:from>
    <xdr:ext cx="95250" cy="171450"/>
    <xdr:sp macro="" textlink="">
      <xdr:nvSpPr>
        <xdr:cNvPr id="3089" name="Text Box 16">
          <a:extLst>
            <a:ext uri="{FF2B5EF4-FFF2-40B4-BE49-F238E27FC236}">
              <a16:creationId xmlns:a16="http://schemas.microsoft.com/office/drawing/2014/main" id="{00000000-0008-0000-0500-0000110C0000}"/>
            </a:ext>
          </a:extLst>
        </xdr:cNvPr>
        <xdr:cNvSpPr txBox="1">
          <a:spLocks noChangeArrowheads="1"/>
        </xdr:cNvSpPr>
      </xdr:nvSpPr>
      <xdr:spPr bwMode="auto">
        <a:xfrm>
          <a:off x="15388070"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84</xdr:row>
      <xdr:rowOff>0</xdr:rowOff>
    </xdr:from>
    <xdr:ext cx="95250" cy="171450"/>
    <xdr:sp macro="" textlink="">
      <xdr:nvSpPr>
        <xdr:cNvPr id="3090" name="Text Box 17">
          <a:extLst>
            <a:ext uri="{FF2B5EF4-FFF2-40B4-BE49-F238E27FC236}">
              <a16:creationId xmlns:a16="http://schemas.microsoft.com/office/drawing/2014/main" id="{00000000-0008-0000-0500-0000120C0000}"/>
            </a:ext>
          </a:extLst>
        </xdr:cNvPr>
        <xdr:cNvSpPr txBox="1">
          <a:spLocks noChangeArrowheads="1"/>
        </xdr:cNvSpPr>
      </xdr:nvSpPr>
      <xdr:spPr bwMode="auto">
        <a:xfrm>
          <a:off x="15388070"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84</xdr:row>
      <xdr:rowOff>0</xdr:rowOff>
    </xdr:from>
    <xdr:ext cx="95250" cy="171450"/>
    <xdr:sp macro="" textlink="">
      <xdr:nvSpPr>
        <xdr:cNvPr id="3091" name="Text Box 18">
          <a:extLst>
            <a:ext uri="{FF2B5EF4-FFF2-40B4-BE49-F238E27FC236}">
              <a16:creationId xmlns:a16="http://schemas.microsoft.com/office/drawing/2014/main" id="{00000000-0008-0000-0500-0000130C0000}"/>
            </a:ext>
          </a:extLst>
        </xdr:cNvPr>
        <xdr:cNvSpPr txBox="1">
          <a:spLocks noChangeArrowheads="1"/>
        </xdr:cNvSpPr>
      </xdr:nvSpPr>
      <xdr:spPr bwMode="auto">
        <a:xfrm>
          <a:off x="15388070"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84</xdr:row>
      <xdr:rowOff>0</xdr:rowOff>
    </xdr:from>
    <xdr:ext cx="95250" cy="171450"/>
    <xdr:sp macro="" textlink="">
      <xdr:nvSpPr>
        <xdr:cNvPr id="3092" name="Text Box 19">
          <a:extLst>
            <a:ext uri="{FF2B5EF4-FFF2-40B4-BE49-F238E27FC236}">
              <a16:creationId xmlns:a16="http://schemas.microsoft.com/office/drawing/2014/main" id="{00000000-0008-0000-0500-0000140C0000}"/>
            </a:ext>
          </a:extLst>
        </xdr:cNvPr>
        <xdr:cNvSpPr txBox="1">
          <a:spLocks noChangeArrowheads="1"/>
        </xdr:cNvSpPr>
      </xdr:nvSpPr>
      <xdr:spPr bwMode="auto">
        <a:xfrm>
          <a:off x="15388070"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78</xdr:row>
      <xdr:rowOff>504825</xdr:rowOff>
    </xdr:from>
    <xdr:ext cx="95250" cy="456743"/>
    <xdr:sp macro="" textlink="">
      <xdr:nvSpPr>
        <xdr:cNvPr id="3093" name="Text Box 15">
          <a:extLst>
            <a:ext uri="{FF2B5EF4-FFF2-40B4-BE49-F238E27FC236}">
              <a16:creationId xmlns:a16="http://schemas.microsoft.com/office/drawing/2014/main" id="{00000000-0008-0000-0500-0000150C0000}"/>
            </a:ext>
          </a:extLst>
        </xdr:cNvPr>
        <xdr:cNvSpPr txBox="1">
          <a:spLocks noChangeArrowheads="1"/>
        </xdr:cNvSpPr>
      </xdr:nvSpPr>
      <xdr:spPr bwMode="auto">
        <a:xfrm>
          <a:off x="4664364" y="5994111"/>
          <a:ext cx="95250" cy="456743"/>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78</xdr:row>
      <xdr:rowOff>504825</xdr:rowOff>
    </xdr:from>
    <xdr:ext cx="95250" cy="442269"/>
    <xdr:sp macro="" textlink="">
      <xdr:nvSpPr>
        <xdr:cNvPr id="3094" name="Text Box 15">
          <a:extLst>
            <a:ext uri="{FF2B5EF4-FFF2-40B4-BE49-F238E27FC236}">
              <a16:creationId xmlns:a16="http://schemas.microsoft.com/office/drawing/2014/main" id="{00000000-0008-0000-0500-0000160C0000}"/>
            </a:ext>
          </a:extLst>
        </xdr:cNvPr>
        <xdr:cNvSpPr txBox="1">
          <a:spLocks noChangeArrowheads="1"/>
        </xdr:cNvSpPr>
      </xdr:nvSpPr>
      <xdr:spPr bwMode="auto">
        <a:xfrm>
          <a:off x="12540961" y="5994111"/>
          <a:ext cx="95250" cy="442269"/>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78</xdr:row>
      <xdr:rowOff>504825</xdr:rowOff>
    </xdr:from>
    <xdr:ext cx="95250" cy="213632"/>
    <xdr:sp macro="" textlink="">
      <xdr:nvSpPr>
        <xdr:cNvPr id="3096" name="Text Box 15">
          <a:extLst>
            <a:ext uri="{FF2B5EF4-FFF2-40B4-BE49-F238E27FC236}">
              <a16:creationId xmlns:a16="http://schemas.microsoft.com/office/drawing/2014/main" id="{00000000-0008-0000-0500-0000180C0000}"/>
            </a:ext>
          </a:extLst>
        </xdr:cNvPr>
        <xdr:cNvSpPr txBox="1">
          <a:spLocks noChangeArrowheads="1"/>
        </xdr:cNvSpPr>
      </xdr:nvSpPr>
      <xdr:spPr bwMode="auto">
        <a:xfrm>
          <a:off x="4664364" y="5994111"/>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78</xdr:row>
      <xdr:rowOff>504825</xdr:rowOff>
    </xdr:from>
    <xdr:ext cx="95250" cy="444331"/>
    <xdr:sp macro="" textlink="">
      <xdr:nvSpPr>
        <xdr:cNvPr id="3097" name="Text Box 15">
          <a:extLst>
            <a:ext uri="{FF2B5EF4-FFF2-40B4-BE49-F238E27FC236}">
              <a16:creationId xmlns:a16="http://schemas.microsoft.com/office/drawing/2014/main" id="{00000000-0008-0000-0500-0000190C0000}"/>
            </a:ext>
          </a:extLst>
        </xdr:cNvPr>
        <xdr:cNvSpPr txBox="1">
          <a:spLocks noChangeArrowheads="1"/>
        </xdr:cNvSpPr>
      </xdr:nvSpPr>
      <xdr:spPr bwMode="auto">
        <a:xfrm>
          <a:off x="4664364" y="5994111"/>
          <a:ext cx="95250" cy="444331"/>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78</xdr:row>
      <xdr:rowOff>504825</xdr:rowOff>
    </xdr:from>
    <xdr:ext cx="95250" cy="213632"/>
    <xdr:sp macro="" textlink="">
      <xdr:nvSpPr>
        <xdr:cNvPr id="3098" name="Text Box 15">
          <a:extLst>
            <a:ext uri="{FF2B5EF4-FFF2-40B4-BE49-F238E27FC236}">
              <a16:creationId xmlns:a16="http://schemas.microsoft.com/office/drawing/2014/main" id="{00000000-0008-0000-0500-00001A0C0000}"/>
            </a:ext>
          </a:extLst>
        </xdr:cNvPr>
        <xdr:cNvSpPr txBox="1">
          <a:spLocks noChangeArrowheads="1"/>
        </xdr:cNvSpPr>
      </xdr:nvSpPr>
      <xdr:spPr bwMode="auto">
        <a:xfrm>
          <a:off x="12540961" y="5994111"/>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84</xdr:row>
      <xdr:rowOff>0</xdr:rowOff>
    </xdr:from>
    <xdr:ext cx="95250" cy="171450"/>
    <xdr:sp macro="" textlink="">
      <xdr:nvSpPr>
        <xdr:cNvPr id="3099" name="Text Box 16">
          <a:extLst>
            <a:ext uri="{FF2B5EF4-FFF2-40B4-BE49-F238E27FC236}">
              <a16:creationId xmlns:a16="http://schemas.microsoft.com/office/drawing/2014/main" id="{00000000-0008-0000-0500-00001B0C0000}"/>
            </a:ext>
          </a:extLst>
        </xdr:cNvPr>
        <xdr:cNvSpPr txBox="1">
          <a:spLocks noChangeArrowheads="1"/>
        </xdr:cNvSpPr>
      </xdr:nvSpPr>
      <xdr:spPr bwMode="auto">
        <a:xfrm>
          <a:off x="4664364"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84</xdr:row>
      <xdr:rowOff>0</xdr:rowOff>
    </xdr:from>
    <xdr:ext cx="95250" cy="171450"/>
    <xdr:sp macro="" textlink="">
      <xdr:nvSpPr>
        <xdr:cNvPr id="3100" name="Text Box 17">
          <a:extLst>
            <a:ext uri="{FF2B5EF4-FFF2-40B4-BE49-F238E27FC236}">
              <a16:creationId xmlns:a16="http://schemas.microsoft.com/office/drawing/2014/main" id="{00000000-0008-0000-0500-00001C0C0000}"/>
            </a:ext>
          </a:extLst>
        </xdr:cNvPr>
        <xdr:cNvSpPr txBox="1">
          <a:spLocks noChangeArrowheads="1"/>
        </xdr:cNvSpPr>
      </xdr:nvSpPr>
      <xdr:spPr bwMode="auto">
        <a:xfrm>
          <a:off x="4664364"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84</xdr:row>
      <xdr:rowOff>0</xdr:rowOff>
    </xdr:from>
    <xdr:ext cx="95250" cy="171450"/>
    <xdr:sp macro="" textlink="">
      <xdr:nvSpPr>
        <xdr:cNvPr id="3101" name="Text Box 18">
          <a:extLst>
            <a:ext uri="{FF2B5EF4-FFF2-40B4-BE49-F238E27FC236}">
              <a16:creationId xmlns:a16="http://schemas.microsoft.com/office/drawing/2014/main" id="{00000000-0008-0000-0500-00001D0C0000}"/>
            </a:ext>
          </a:extLst>
        </xdr:cNvPr>
        <xdr:cNvSpPr txBox="1">
          <a:spLocks noChangeArrowheads="1"/>
        </xdr:cNvSpPr>
      </xdr:nvSpPr>
      <xdr:spPr bwMode="auto">
        <a:xfrm>
          <a:off x="4664364"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84</xdr:row>
      <xdr:rowOff>0</xdr:rowOff>
    </xdr:from>
    <xdr:ext cx="95250" cy="171450"/>
    <xdr:sp macro="" textlink="">
      <xdr:nvSpPr>
        <xdr:cNvPr id="3102" name="Text Box 19">
          <a:extLst>
            <a:ext uri="{FF2B5EF4-FFF2-40B4-BE49-F238E27FC236}">
              <a16:creationId xmlns:a16="http://schemas.microsoft.com/office/drawing/2014/main" id="{00000000-0008-0000-0500-00001E0C0000}"/>
            </a:ext>
          </a:extLst>
        </xdr:cNvPr>
        <xdr:cNvSpPr txBox="1">
          <a:spLocks noChangeArrowheads="1"/>
        </xdr:cNvSpPr>
      </xdr:nvSpPr>
      <xdr:spPr bwMode="auto">
        <a:xfrm>
          <a:off x="4664364"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84</xdr:row>
      <xdr:rowOff>0</xdr:rowOff>
    </xdr:from>
    <xdr:ext cx="95250" cy="171450"/>
    <xdr:sp macro="" textlink="">
      <xdr:nvSpPr>
        <xdr:cNvPr id="3103" name="Text Box 16">
          <a:extLst>
            <a:ext uri="{FF2B5EF4-FFF2-40B4-BE49-F238E27FC236}">
              <a16:creationId xmlns:a16="http://schemas.microsoft.com/office/drawing/2014/main" id="{00000000-0008-0000-0500-00001F0C0000}"/>
            </a:ext>
          </a:extLst>
        </xdr:cNvPr>
        <xdr:cNvSpPr txBox="1">
          <a:spLocks noChangeArrowheads="1"/>
        </xdr:cNvSpPr>
      </xdr:nvSpPr>
      <xdr:spPr bwMode="auto">
        <a:xfrm>
          <a:off x="12540961"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84</xdr:row>
      <xdr:rowOff>0</xdr:rowOff>
    </xdr:from>
    <xdr:ext cx="95250" cy="171450"/>
    <xdr:sp macro="" textlink="">
      <xdr:nvSpPr>
        <xdr:cNvPr id="3104" name="Text Box 17">
          <a:extLst>
            <a:ext uri="{FF2B5EF4-FFF2-40B4-BE49-F238E27FC236}">
              <a16:creationId xmlns:a16="http://schemas.microsoft.com/office/drawing/2014/main" id="{00000000-0008-0000-0500-0000200C0000}"/>
            </a:ext>
          </a:extLst>
        </xdr:cNvPr>
        <xdr:cNvSpPr txBox="1">
          <a:spLocks noChangeArrowheads="1"/>
        </xdr:cNvSpPr>
      </xdr:nvSpPr>
      <xdr:spPr bwMode="auto">
        <a:xfrm>
          <a:off x="12540961"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84</xdr:row>
      <xdr:rowOff>0</xdr:rowOff>
    </xdr:from>
    <xdr:ext cx="95250" cy="171450"/>
    <xdr:sp macro="" textlink="">
      <xdr:nvSpPr>
        <xdr:cNvPr id="3105" name="Text Box 18">
          <a:extLst>
            <a:ext uri="{FF2B5EF4-FFF2-40B4-BE49-F238E27FC236}">
              <a16:creationId xmlns:a16="http://schemas.microsoft.com/office/drawing/2014/main" id="{00000000-0008-0000-0500-0000210C0000}"/>
            </a:ext>
          </a:extLst>
        </xdr:cNvPr>
        <xdr:cNvSpPr txBox="1">
          <a:spLocks noChangeArrowheads="1"/>
        </xdr:cNvSpPr>
      </xdr:nvSpPr>
      <xdr:spPr bwMode="auto">
        <a:xfrm>
          <a:off x="12540961"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84</xdr:row>
      <xdr:rowOff>0</xdr:rowOff>
    </xdr:from>
    <xdr:ext cx="95250" cy="171450"/>
    <xdr:sp macro="" textlink="">
      <xdr:nvSpPr>
        <xdr:cNvPr id="3106" name="Text Box 19">
          <a:extLst>
            <a:ext uri="{FF2B5EF4-FFF2-40B4-BE49-F238E27FC236}">
              <a16:creationId xmlns:a16="http://schemas.microsoft.com/office/drawing/2014/main" id="{00000000-0008-0000-0500-0000220C0000}"/>
            </a:ext>
          </a:extLst>
        </xdr:cNvPr>
        <xdr:cNvSpPr txBox="1">
          <a:spLocks noChangeArrowheads="1"/>
        </xdr:cNvSpPr>
      </xdr:nvSpPr>
      <xdr:spPr bwMode="auto">
        <a:xfrm>
          <a:off x="12540961"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21</xdr:col>
      <xdr:colOff>0</xdr:colOff>
      <xdr:row>84</xdr:row>
      <xdr:rowOff>0</xdr:rowOff>
    </xdr:from>
    <xdr:ext cx="95250" cy="171450"/>
    <xdr:sp macro="" textlink="">
      <xdr:nvSpPr>
        <xdr:cNvPr id="3107" name="Text Box 16">
          <a:extLst>
            <a:ext uri="{FF2B5EF4-FFF2-40B4-BE49-F238E27FC236}">
              <a16:creationId xmlns:a16="http://schemas.microsoft.com/office/drawing/2014/main" id="{00000000-0008-0000-0500-0000230C0000}"/>
            </a:ext>
          </a:extLst>
        </xdr:cNvPr>
        <xdr:cNvSpPr txBox="1">
          <a:spLocks noChangeArrowheads="1"/>
        </xdr:cNvSpPr>
      </xdr:nvSpPr>
      <xdr:spPr bwMode="auto">
        <a:xfrm>
          <a:off x="21832455"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21</xdr:col>
      <xdr:colOff>0</xdr:colOff>
      <xdr:row>84</xdr:row>
      <xdr:rowOff>0</xdr:rowOff>
    </xdr:from>
    <xdr:ext cx="95250" cy="171450"/>
    <xdr:sp macro="" textlink="">
      <xdr:nvSpPr>
        <xdr:cNvPr id="3108" name="Text Box 17">
          <a:extLst>
            <a:ext uri="{FF2B5EF4-FFF2-40B4-BE49-F238E27FC236}">
              <a16:creationId xmlns:a16="http://schemas.microsoft.com/office/drawing/2014/main" id="{00000000-0008-0000-0500-0000240C0000}"/>
            </a:ext>
          </a:extLst>
        </xdr:cNvPr>
        <xdr:cNvSpPr txBox="1">
          <a:spLocks noChangeArrowheads="1"/>
        </xdr:cNvSpPr>
      </xdr:nvSpPr>
      <xdr:spPr bwMode="auto">
        <a:xfrm>
          <a:off x="21832455"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21</xdr:col>
      <xdr:colOff>0</xdr:colOff>
      <xdr:row>84</xdr:row>
      <xdr:rowOff>0</xdr:rowOff>
    </xdr:from>
    <xdr:ext cx="95250" cy="171450"/>
    <xdr:sp macro="" textlink="">
      <xdr:nvSpPr>
        <xdr:cNvPr id="3109" name="Text Box 18">
          <a:extLst>
            <a:ext uri="{FF2B5EF4-FFF2-40B4-BE49-F238E27FC236}">
              <a16:creationId xmlns:a16="http://schemas.microsoft.com/office/drawing/2014/main" id="{00000000-0008-0000-0500-0000250C0000}"/>
            </a:ext>
          </a:extLst>
        </xdr:cNvPr>
        <xdr:cNvSpPr txBox="1">
          <a:spLocks noChangeArrowheads="1"/>
        </xdr:cNvSpPr>
      </xdr:nvSpPr>
      <xdr:spPr bwMode="auto">
        <a:xfrm>
          <a:off x="21832455"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21</xdr:col>
      <xdr:colOff>0</xdr:colOff>
      <xdr:row>84</xdr:row>
      <xdr:rowOff>0</xdr:rowOff>
    </xdr:from>
    <xdr:ext cx="95250" cy="171450"/>
    <xdr:sp macro="" textlink="">
      <xdr:nvSpPr>
        <xdr:cNvPr id="3110" name="Text Box 19">
          <a:extLst>
            <a:ext uri="{FF2B5EF4-FFF2-40B4-BE49-F238E27FC236}">
              <a16:creationId xmlns:a16="http://schemas.microsoft.com/office/drawing/2014/main" id="{00000000-0008-0000-0500-0000260C0000}"/>
            </a:ext>
          </a:extLst>
        </xdr:cNvPr>
        <xdr:cNvSpPr txBox="1">
          <a:spLocks noChangeArrowheads="1"/>
        </xdr:cNvSpPr>
      </xdr:nvSpPr>
      <xdr:spPr bwMode="auto">
        <a:xfrm>
          <a:off x="21832455"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80</xdr:row>
      <xdr:rowOff>504825</xdr:rowOff>
    </xdr:from>
    <xdr:ext cx="95250" cy="444014"/>
    <xdr:sp macro="" textlink="">
      <xdr:nvSpPr>
        <xdr:cNvPr id="3111" name="Text Box 15">
          <a:extLst>
            <a:ext uri="{FF2B5EF4-FFF2-40B4-BE49-F238E27FC236}">
              <a16:creationId xmlns:a16="http://schemas.microsoft.com/office/drawing/2014/main" id="{00000000-0008-0000-0500-0000270C0000}"/>
            </a:ext>
          </a:extLst>
        </xdr:cNvPr>
        <xdr:cNvSpPr txBox="1">
          <a:spLocks noChangeArrowheads="1"/>
        </xdr:cNvSpPr>
      </xdr:nvSpPr>
      <xdr:spPr bwMode="auto">
        <a:xfrm>
          <a:off x="4664364" y="6733020"/>
          <a:ext cx="95250" cy="444014"/>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84</xdr:row>
      <xdr:rowOff>0</xdr:rowOff>
    </xdr:from>
    <xdr:ext cx="95250" cy="171450"/>
    <xdr:sp macro="" textlink="">
      <xdr:nvSpPr>
        <xdr:cNvPr id="3112" name="Text Box 16">
          <a:extLst>
            <a:ext uri="{FF2B5EF4-FFF2-40B4-BE49-F238E27FC236}">
              <a16:creationId xmlns:a16="http://schemas.microsoft.com/office/drawing/2014/main" id="{00000000-0008-0000-0500-0000280C0000}"/>
            </a:ext>
          </a:extLst>
        </xdr:cNvPr>
        <xdr:cNvSpPr txBox="1">
          <a:spLocks noChangeArrowheads="1"/>
        </xdr:cNvSpPr>
      </xdr:nvSpPr>
      <xdr:spPr bwMode="auto">
        <a:xfrm>
          <a:off x="4664364"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84</xdr:row>
      <xdr:rowOff>0</xdr:rowOff>
    </xdr:from>
    <xdr:ext cx="95250" cy="171450"/>
    <xdr:sp macro="" textlink="">
      <xdr:nvSpPr>
        <xdr:cNvPr id="3113" name="Text Box 17">
          <a:extLst>
            <a:ext uri="{FF2B5EF4-FFF2-40B4-BE49-F238E27FC236}">
              <a16:creationId xmlns:a16="http://schemas.microsoft.com/office/drawing/2014/main" id="{00000000-0008-0000-0500-0000290C0000}"/>
            </a:ext>
          </a:extLst>
        </xdr:cNvPr>
        <xdr:cNvSpPr txBox="1">
          <a:spLocks noChangeArrowheads="1"/>
        </xdr:cNvSpPr>
      </xdr:nvSpPr>
      <xdr:spPr bwMode="auto">
        <a:xfrm>
          <a:off x="4664364"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84</xdr:row>
      <xdr:rowOff>0</xdr:rowOff>
    </xdr:from>
    <xdr:ext cx="95250" cy="171450"/>
    <xdr:sp macro="" textlink="">
      <xdr:nvSpPr>
        <xdr:cNvPr id="3114" name="Text Box 18">
          <a:extLst>
            <a:ext uri="{FF2B5EF4-FFF2-40B4-BE49-F238E27FC236}">
              <a16:creationId xmlns:a16="http://schemas.microsoft.com/office/drawing/2014/main" id="{00000000-0008-0000-0500-00002A0C0000}"/>
            </a:ext>
          </a:extLst>
        </xdr:cNvPr>
        <xdr:cNvSpPr txBox="1">
          <a:spLocks noChangeArrowheads="1"/>
        </xdr:cNvSpPr>
      </xdr:nvSpPr>
      <xdr:spPr bwMode="auto">
        <a:xfrm>
          <a:off x="4664364"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84</xdr:row>
      <xdr:rowOff>0</xdr:rowOff>
    </xdr:from>
    <xdr:ext cx="95250" cy="171450"/>
    <xdr:sp macro="" textlink="">
      <xdr:nvSpPr>
        <xdr:cNvPr id="3115" name="Text Box 19">
          <a:extLst>
            <a:ext uri="{FF2B5EF4-FFF2-40B4-BE49-F238E27FC236}">
              <a16:creationId xmlns:a16="http://schemas.microsoft.com/office/drawing/2014/main" id="{00000000-0008-0000-0500-00002B0C0000}"/>
            </a:ext>
          </a:extLst>
        </xdr:cNvPr>
        <xdr:cNvSpPr txBox="1">
          <a:spLocks noChangeArrowheads="1"/>
        </xdr:cNvSpPr>
      </xdr:nvSpPr>
      <xdr:spPr bwMode="auto">
        <a:xfrm>
          <a:off x="4664364"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80</xdr:row>
      <xdr:rowOff>504825</xdr:rowOff>
    </xdr:from>
    <xdr:ext cx="95250" cy="442269"/>
    <xdr:sp macro="" textlink="">
      <xdr:nvSpPr>
        <xdr:cNvPr id="3116" name="Text Box 15">
          <a:extLst>
            <a:ext uri="{FF2B5EF4-FFF2-40B4-BE49-F238E27FC236}">
              <a16:creationId xmlns:a16="http://schemas.microsoft.com/office/drawing/2014/main" id="{00000000-0008-0000-0500-00002C0C0000}"/>
            </a:ext>
          </a:extLst>
        </xdr:cNvPr>
        <xdr:cNvSpPr txBox="1">
          <a:spLocks noChangeArrowheads="1"/>
        </xdr:cNvSpPr>
      </xdr:nvSpPr>
      <xdr:spPr bwMode="auto">
        <a:xfrm>
          <a:off x="12540961" y="6733020"/>
          <a:ext cx="95250" cy="442269"/>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84</xdr:row>
      <xdr:rowOff>0</xdr:rowOff>
    </xdr:from>
    <xdr:ext cx="95250" cy="171450"/>
    <xdr:sp macro="" textlink="">
      <xdr:nvSpPr>
        <xdr:cNvPr id="3117" name="Text Box 16">
          <a:extLst>
            <a:ext uri="{FF2B5EF4-FFF2-40B4-BE49-F238E27FC236}">
              <a16:creationId xmlns:a16="http://schemas.microsoft.com/office/drawing/2014/main" id="{00000000-0008-0000-0500-00002D0C0000}"/>
            </a:ext>
          </a:extLst>
        </xdr:cNvPr>
        <xdr:cNvSpPr txBox="1">
          <a:spLocks noChangeArrowheads="1"/>
        </xdr:cNvSpPr>
      </xdr:nvSpPr>
      <xdr:spPr bwMode="auto">
        <a:xfrm>
          <a:off x="12540961"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84</xdr:row>
      <xdr:rowOff>0</xdr:rowOff>
    </xdr:from>
    <xdr:ext cx="95250" cy="171450"/>
    <xdr:sp macro="" textlink="">
      <xdr:nvSpPr>
        <xdr:cNvPr id="3118" name="Text Box 17">
          <a:extLst>
            <a:ext uri="{FF2B5EF4-FFF2-40B4-BE49-F238E27FC236}">
              <a16:creationId xmlns:a16="http://schemas.microsoft.com/office/drawing/2014/main" id="{00000000-0008-0000-0500-00002E0C0000}"/>
            </a:ext>
          </a:extLst>
        </xdr:cNvPr>
        <xdr:cNvSpPr txBox="1">
          <a:spLocks noChangeArrowheads="1"/>
        </xdr:cNvSpPr>
      </xdr:nvSpPr>
      <xdr:spPr bwMode="auto">
        <a:xfrm>
          <a:off x="12540961"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84</xdr:row>
      <xdr:rowOff>0</xdr:rowOff>
    </xdr:from>
    <xdr:ext cx="95250" cy="171450"/>
    <xdr:sp macro="" textlink="">
      <xdr:nvSpPr>
        <xdr:cNvPr id="3119" name="Text Box 18">
          <a:extLst>
            <a:ext uri="{FF2B5EF4-FFF2-40B4-BE49-F238E27FC236}">
              <a16:creationId xmlns:a16="http://schemas.microsoft.com/office/drawing/2014/main" id="{00000000-0008-0000-0500-00002F0C0000}"/>
            </a:ext>
          </a:extLst>
        </xdr:cNvPr>
        <xdr:cNvSpPr txBox="1">
          <a:spLocks noChangeArrowheads="1"/>
        </xdr:cNvSpPr>
      </xdr:nvSpPr>
      <xdr:spPr bwMode="auto">
        <a:xfrm>
          <a:off x="12540961"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84</xdr:row>
      <xdr:rowOff>0</xdr:rowOff>
    </xdr:from>
    <xdr:ext cx="95250" cy="171450"/>
    <xdr:sp macro="" textlink="">
      <xdr:nvSpPr>
        <xdr:cNvPr id="3120" name="Text Box 16">
          <a:extLst>
            <a:ext uri="{FF2B5EF4-FFF2-40B4-BE49-F238E27FC236}">
              <a16:creationId xmlns:a16="http://schemas.microsoft.com/office/drawing/2014/main" id="{00000000-0008-0000-0500-0000300C0000}"/>
            </a:ext>
          </a:extLst>
        </xdr:cNvPr>
        <xdr:cNvSpPr txBox="1">
          <a:spLocks noChangeArrowheads="1"/>
        </xdr:cNvSpPr>
      </xdr:nvSpPr>
      <xdr:spPr bwMode="auto">
        <a:xfrm>
          <a:off x="15388070"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84</xdr:row>
      <xdr:rowOff>0</xdr:rowOff>
    </xdr:from>
    <xdr:ext cx="95250" cy="171450"/>
    <xdr:sp macro="" textlink="">
      <xdr:nvSpPr>
        <xdr:cNvPr id="3121" name="Text Box 17">
          <a:extLst>
            <a:ext uri="{FF2B5EF4-FFF2-40B4-BE49-F238E27FC236}">
              <a16:creationId xmlns:a16="http://schemas.microsoft.com/office/drawing/2014/main" id="{00000000-0008-0000-0500-0000310C0000}"/>
            </a:ext>
          </a:extLst>
        </xdr:cNvPr>
        <xdr:cNvSpPr txBox="1">
          <a:spLocks noChangeArrowheads="1"/>
        </xdr:cNvSpPr>
      </xdr:nvSpPr>
      <xdr:spPr bwMode="auto">
        <a:xfrm>
          <a:off x="15388070"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84</xdr:row>
      <xdr:rowOff>0</xdr:rowOff>
    </xdr:from>
    <xdr:ext cx="95250" cy="171450"/>
    <xdr:sp macro="" textlink="">
      <xdr:nvSpPr>
        <xdr:cNvPr id="3122" name="Text Box 18">
          <a:extLst>
            <a:ext uri="{FF2B5EF4-FFF2-40B4-BE49-F238E27FC236}">
              <a16:creationId xmlns:a16="http://schemas.microsoft.com/office/drawing/2014/main" id="{00000000-0008-0000-0500-0000320C0000}"/>
            </a:ext>
          </a:extLst>
        </xdr:cNvPr>
        <xdr:cNvSpPr txBox="1">
          <a:spLocks noChangeArrowheads="1"/>
        </xdr:cNvSpPr>
      </xdr:nvSpPr>
      <xdr:spPr bwMode="auto">
        <a:xfrm>
          <a:off x="15388070"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84</xdr:row>
      <xdr:rowOff>0</xdr:rowOff>
    </xdr:from>
    <xdr:ext cx="95250" cy="171450"/>
    <xdr:sp macro="" textlink="">
      <xdr:nvSpPr>
        <xdr:cNvPr id="3123" name="Text Box 19">
          <a:extLst>
            <a:ext uri="{FF2B5EF4-FFF2-40B4-BE49-F238E27FC236}">
              <a16:creationId xmlns:a16="http://schemas.microsoft.com/office/drawing/2014/main" id="{00000000-0008-0000-0500-0000330C0000}"/>
            </a:ext>
          </a:extLst>
        </xdr:cNvPr>
        <xdr:cNvSpPr txBox="1">
          <a:spLocks noChangeArrowheads="1"/>
        </xdr:cNvSpPr>
      </xdr:nvSpPr>
      <xdr:spPr bwMode="auto">
        <a:xfrm>
          <a:off x="15388070"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84</xdr:row>
      <xdr:rowOff>0</xdr:rowOff>
    </xdr:from>
    <xdr:ext cx="95250" cy="171450"/>
    <xdr:sp macro="" textlink="">
      <xdr:nvSpPr>
        <xdr:cNvPr id="3124" name="Text Box 16">
          <a:extLst>
            <a:ext uri="{FF2B5EF4-FFF2-40B4-BE49-F238E27FC236}">
              <a16:creationId xmlns:a16="http://schemas.microsoft.com/office/drawing/2014/main" id="{00000000-0008-0000-0500-0000340C0000}"/>
            </a:ext>
          </a:extLst>
        </xdr:cNvPr>
        <xdr:cNvSpPr txBox="1">
          <a:spLocks noChangeArrowheads="1"/>
        </xdr:cNvSpPr>
      </xdr:nvSpPr>
      <xdr:spPr bwMode="auto">
        <a:xfrm>
          <a:off x="15388070"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84</xdr:row>
      <xdr:rowOff>0</xdr:rowOff>
    </xdr:from>
    <xdr:ext cx="95250" cy="171450"/>
    <xdr:sp macro="" textlink="">
      <xdr:nvSpPr>
        <xdr:cNvPr id="3125" name="Text Box 17">
          <a:extLst>
            <a:ext uri="{FF2B5EF4-FFF2-40B4-BE49-F238E27FC236}">
              <a16:creationId xmlns:a16="http://schemas.microsoft.com/office/drawing/2014/main" id="{00000000-0008-0000-0500-0000350C0000}"/>
            </a:ext>
          </a:extLst>
        </xdr:cNvPr>
        <xdr:cNvSpPr txBox="1">
          <a:spLocks noChangeArrowheads="1"/>
        </xdr:cNvSpPr>
      </xdr:nvSpPr>
      <xdr:spPr bwMode="auto">
        <a:xfrm>
          <a:off x="15388070"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84</xdr:row>
      <xdr:rowOff>0</xdr:rowOff>
    </xdr:from>
    <xdr:ext cx="95250" cy="171450"/>
    <xdr:sp macro="" textlink="">
      <xdr:nvSpPr>
        <xdr:cNvPr id="3126" name="Text Box 18">
          <a:extLst>
            <a:ext uri="{FF2B5EF4-FFF2-40B4-BE49-F238E27FC236}">
              <a16:creationId xmlns:a16="http://schemas.microsoft.com/office/drawing/2014/main" id="{00000000-0008-0000-0500-0000360C0000}"/>
            </a:ext>
          </a:extLst>
        </xdr:cNvPr>
        <xdr:cNvSpPr txBox="1">
          <a:spLocks noChangeArrowheads="1"/>
        </xdr:cNvSpPr>
      </xdr:nvSpPr>
      <xdr:spPr bwMode="auto">
        <a:xfrm>
          <a:off x="15388070"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10</xdr:col>
      <xdr:colOff>28575</xdr:colOff>
      <xdr:row>84</xdr:row>
      <xdr:rowOff>170392</xdr:rowOff>
    </xdr:from>
    <xdr:ext cx="95250" cy="213632"/>
    <xdr:sp macro="" textlink="">
      <xdr:nvSpPr>
        <xdr:cNvPr id="3127" name="Text Box 15">
          <a:extLst>
            <a:ext uri="{FF2B5EF4-FFF2-40B4-BE49-F238E27FC236}">
              <a16:creationId xmlns:a16="http://schemas.microsoft.com/office/drawing/2014/main" id="{00000000-0008-0000-0500-0000370C0000}"/>
            </a:ext>
          </a:extLst>
        </xdr:cNvPr>
        <xdr:cNvSpPr txBox="1">
          <a:spLocks noChangeArrowheads="1"/>
        </xdr:cNvSpPr>
      </xdr:nvSpPr>
      <xdr:spPr bwMode="auto">
        <a:xfrm>
          <a:off x="12578484" y="7270847"/>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84</xdr:row>
      <xdr:rowOff>0</xdr:rowOff>
    </xdr:from>
    <xdr:ext cx="95250" cy="171450"/>
    <xdr:sp macro="" textlink="">
      <xdr:nvSpPr>
        <xdr:cNvPr id="3128" name="Text Box 16">
          <a:extLst>
            <a:ext uri="{FF2B5EF4-FFF2-40B4-BE49-F238E27FC236}">
              <a16:creationId xmlns:a16="http://schemas.microsoft.com/office/drawing/2014/main" id="{00000000-0008-0000-0500-0000380C0000}"/>
            </a:ext>
          </a:extLst>
        </xdr:cNvPr>
        <xdr:cNvSpPr txBox="1">
          <a:spLocks noChangeArrowheads="1"/>
        </xdr:cNvSpPr>
      </xdr:nvSpPr>
      <xdr:spPr bwMode="auto">
        <a:xfrm>
          <a:off x="4664364"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84</xdr:row>
      <xdr:rowOff>0</xdr:rowOff>
    </xdr:from>
    <xdr:ext cx="95250" cy="171450"/>
    <xdr:sp macro="" textlink="">
      <xdr:nvSpPr>
        <xdr:cNvPr id="3129" name="Text Box 17">
          <a:extLst>
            <a:ext uri="{FF2B5EF4-FFF2-40B4-BE49-F238E27FC236}">
              <a16:creationId xmlns:a16="http://schemas.microsoft.com/office/drawing/2014/main" id="{00000000-0008-0000-0500-0000390C0000}"/>
            </a:ext>
          </a:extLst>
        </xdr:cNvPr>
        <xdr:cNvSpPr txBox="1">
          <a:spLocks noChangeArrowheads="1"/>
        </xdr:cNvSpPr>
      </xdr:nvSpPr>
      <xdr:spPr bwMode="auto">
        <a:xfrm>
          <a:off x="4664364"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84</xdr:row>
      <xdr:rowOff>0</xdr:rowOff>
    </xdr:from>
    <xdr:ext cx="95250" cy="171450"/>
    <xdr:sp macro="" textlink="">
      <xdr:nvSpPr>
        <xdr:cNvPr id="3130" name="Text Box 18">
          <a:extLst>
            <a:ext uri="{FF2B5EF4-FFF2-40B4-BE49-F238E27FC236}">
              <a16:creationId xmlns:a16="http://schemas.microsoft.com/office/drawing/2014/main" id="{00000000-0008-0000-0500-00003A0C0000}"/>
            </a:ext>
          </a:extLst>
        </xdr:cNvPr>
        <xdr:cNvSpPr txBox="1">
          <a:spLocks noChangeArrowheads="1"/>
        </xdr:cNvSpPr>
      </xdr:nvSpPr>
      <xdr:spPr bwMode="auto">
        <a:xfrm>
          <a:off x="4664364"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84</xdr:row>
      <xdr:rowOff>0</xdr:rowOff>
    </xdr:from>
    <xdr:ext cx="95250" cy="171450"/>
    <xdr:sp macro="" textlink="">
      <xdr:nvSpPr>
        <xdr:cNvPr id="3131" name="Text Box 19">
          <a:extLst>
            <a:ext uri="{FF2B5EF4-FFF2-40B4-BE49-F238E27FC236}">
              <a16:creationId xmlns:a16="http://schemas.microsoft.com/office/drawing/2014/main" id="{00000000-0008-0000-0500-00003B0C0000}"/>
            </a:ext>
          </a:extLst>
        </xdr:cNvPr>
        <xdr:cNvSpPr txBox="1">
          <a:spLocks noChangeArrowheads="1"/>
        </xdr:cNvSpPr>
      </xdr:nvSpPr>
      <xdr:spPr bwMode="auto">
        <a:xfrm>
          <a:off x="4664364"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84</xdr:row>
      <xdr:rowOff>0</xdr:rowOff>
    </xdr:from>
    <xdr:ext cx="95250" cy="171450"/>
    <xdr:sp macro="" textlink="">
      <xdr:nvSpPr>
        <xdr:cNvPr id="3132" name="Text Box 16">
          <a:extLst>
            <a:ext uri="{FF2B5EF4-FFF2-40B4-BE49-F238E27FC236}">
              <a16:creationId xmlns:a16="http://schemas.microsoft.com/office/drawing/2014/main" id="{00000000-0008-0000-0500-00003C0C0000}"/>
            </a:ext>
          </a:extLst>
        </xdr:cNvPr>
        <xdr:cNvSpPr txBox="1">
          <a:spLocks noChangeArrowheads="1"/>
        </xdr:cNvSpPr>
      </xdr:nvSpPr>
      <xdr:spPr bwMode="auto">
        <a:xfrm>
          <a:off x="12540961"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84</xdr:row>
      <xdr:rowOff>0</xdr:rowOff>
    </xdr:from>
    <xdr:ext cx="95250" cy="171450"/>
    <xdr:sp macro="" textlink="">
      <xdr:nvSpPr>
        <xdr:cNvPr id="3133" name="Text Box 17">
          <a:extLst>
            <a:ext uri="{FF2B5EF4-FFF2-40B4-BE49-F238E27FC236}">
              <a16:creationId xmlns:a16="http://schemas.microsoft.com/office/drawing/2014/main" id="{00000000-0008-0000-0500-00003D0C0000}"/>
            </a:ext>
          </a:extLst>
        </xdr:cNvPr>
        <xdr:cNvSpPr txBox="1">
          <a:spLocks noChangeArrowheads="1"/>
        </xdr:cNvSpPr>
      </xdr:nvSpPr>
      <xdr:spPr bwMode="auto">
        <a:xfrm>
          <a:off x="12540961"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84</xdr:row>
      <xdr:rowOff>0</xdr:rowOff>
    </xdr:from>
    <xdr:ext cx="95250" cy="171450"/>
    <xdr:sp macro="" textlink="">
      <xdr:nvSpPr>
        <xdr:cNvPr id="3134" name="Text Box 18">
          <a:extLst>
            <a:ext uri="{FF2B5EF4-FFF2-40B4-BE49-F238E27FC236}">
              <a16:creationId xmlns:a16="http://schemas.microsoft.com/office/drawing/2014/main" id="{00000000-0008-0000-0500-00003E0C0000}"/>
            </a:ext>
          </a:extLst>
        </xdr:cNvPr>
        <xdr:cNvSpPr txBox="1">
          <a:spLocks noChangeArrowheads="1"/>
        </xdr:cNvSpPr>
      </xdr:nvSpPr>
      <xdr:spPr bwMode="auto">
        <a:xfrm>
          <a:off x="12540961"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84</xdr:row>
      <xdr:rowOff>0</xdr:rowOff>
    </xdr:from>
    <xdr:ext cx="95250" cy="171450"/>
    <xdr:sp macro="" textlink="">
      <xdr:nvSpPr>
        <xdr:cNvPr id="3135" name="Text Box 19">
          <a:extLst>
            <a:ext uri="{FF2B5EF4-FFF2-40B4-BE49-F238E27FC236}">
              <a16:creationId xmlns:a16="http://schemas.microsoft.com/office/drawing/2014/main" id="{00000000-0008-0000-0500-00003F0C0000}"/>
            </a:ext>
          </a:extLst>
        </xdr:cNvPr>
        <xdr:cNvSpPr txBox="1">
          <a:spLocks noChangeArrowheads="1"/>
        </xdr:cNvSpPr>
      </xdr:nvSpPr>
      <xdr:spPr bwMode="auto">
        <a:xfrm>
          <a:off x="12540961"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21</xdr:col>
      <xdr:colOff>0</xdr:colOff>
      <xdr:row>79</xdr:row>
      <xdr:rowOff>0</xdr:rowOff>
    </xdr:from>
    <xdr:ext cx="95250" cy="171450"/>
    <xdr:sp macro="" textlink="">
      <xdr:nvSpPr>
        <xdr:cNvPr id="3136" name="Text Box 16">
          <a:extLst>
            <a:ext uri="{FF2B5EF4-FFF2-40B4-BE49-F238E27FC236}">
              <a16:creationId xmlns:a16="http://schemas.microsoft.com/office/drawing/2014/main" id="{00000000-0008-0000-0500-0000400C0000}"/>
            </a:ext>
          </a:extLst>
        </xdr:cNvPr>
        <xdr:cNvSpPr txBox="1">
          <a:spLocks noChangeArrowheads="1"/>
        </xdr:cNvSpPr>
      </xdr:nvSpPr>
      <xdr:spPr bwMode="auto">
        <a:xfrm>
          <a:off x="21832455" y="5992091"/>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21</xdr:col>
      <xdr:colOff>0</xdr:colOff>
      <xdr:row>79</xdr:row>
      <xdr:rowOff>0</xdr:rowOff>
    </xdr:from>
    <xdr:ext cx="95250" cy="171450"/>
    <xdr:sp macro="" textlink="">
      <xdr:nvSpPr>
        <xdr:cNvPr id="3137" name="Text Box 17">
          <a:extLst>
            <a:ext uri="{FF2B5EF4-FFF2-40B4-BE49-F238E27FC236}">
              <a16:creationId xmlns:a16="http://schemas.microsoft.com/office/drawing/2014/main" id="{00000000-0008-0000-0500-0000410C0000}"/>
            </a:ext>
          </a:extLst>
        </xdr:cNvPr>
        <xdr:cNvSpPr txBox="1">
          <a:spLocks noChangeArrowheads="1"/>
        </xdr:cNvSpPr>
      </xdr:nvSpPr>
      <xdr:spPr bwMode="auto">
        <a:xfrm>
          <a:off x="21832455" y="5992091"/>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21</xdr:col>
      <xdr:colOff>0</xdr:colOff>
      <xdr:row>79</xdr:row>
      <xdr:rowOff>0</xdr:rowOff>
    </xdr:from>
    <xdr:ext cx="95250" cy="171450"/>
    <xdr:sp macro="" textlink="">
      <xdr:nvSpPr>
        <xdr:cNvPr id="3138" name="Text Box 18">
          <a:extLst>
            <a:ext uri="{FF2B5EF4-FFF2-40B4-BE49-F238E27FC236}">
              <a16:creationId xmlns:a16="http://schemas.microsoft.com/office/drawing/2014/main" id="{00000000-0008-0000-0500-0000420C0000}"/>
            </a:ext>
          </a:extLst>
        </xdr:cNvPr>
        <xdr:cNvSpPr txBox="1">
          <a:spLocks noChangeArrowheads="1"/>
        </xdr:cNvSpPr>
      </xdr:nvSpPr>
      <xdr:spPr bwMode="auto">
        <a:xfrm>
          <a:off x="21832455" y="5992091"/>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21</xdr:col>
      <xdr:colOff>0</xdr:colOff>
      <xdr:row>79</xdr:row>
      <xdr:rowOff>0</xdr:rowOff>
    </xdr:from>
    <xdr:ext cx="95250" cy="171450"/>
    <xdr:sp macro="" textlink="">
      <xdr:nvSpPr>
        <xdr:cNvPr id="3139" name="Text Box 19">
          <a:extLst>
            <a:ext uri="{FF2B5EF4-FFF2-40B4-BE49-F238E27FC236}">
              <a16:creationId xmlns:a16="http://schemas.microsoft.com/office/drawing/2014/main" id="{00000000-0008-0000-0500-0000430C0000}"/>
            </a:ext>
          </a:extLst>
        </xdr:cNvPr>
        <xdr:cNvSpPr txBox="1">
          <a:spLocks noChangeArrowheads="1"/>
        </xdr:cNvSpPr>
      </xdr:nvSpPr>
      <xdr:spPr bwMode="auto">
        <a:xfrm>
          <a:off x="21832455" y="5992091"/>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80</xdr:row>
      <xdr:rowOff>504825</xdr:rowOff>
    </xdr:from>
    <xdr:ext cx="95250" cy="444014"/>
    <xdr:sp macro="" textlink="">
      <xdr:nvSpPr>
        <xdr:cNvPr id="3140" name="Text Box 15">
          <a:extLst>
            <a:ext uri="{FF2B5EF4-FFF2-40B4-BE49-F238E27FC236}">
              <a16:creationId xmlns:a16="http://schemas.microsoft.com/office/drawing/2014/main" id="{00000000-0008-0000-0500-0000440C0000}"/>
            </a:ext>
          </a:extLst>
        </xdr:cNvPr>
        <xdr:cNvSpPr txBox="1">
          <a:spLocks noChangeArrowheads="1"/>
        </xdr:cNvSpPr>
      </xdr:nvSpPr>
      <xdr:spPr bwMode="auto">
        <a:xfrm>
          <a:off x="4664364" y="6733020"/>
          <a:ext cx="95250" cy="444014"/>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84</xdr:row>
      <xdr:rowOff>0</xdr:rowOff>
    </xdr:from>
    <xdr:ext cx="95250" cy="171450"/>
    <xdr:sp macro="" textlink="">
      <xdr:nvSpPr>
        <xdr:cNvPr id="3141" name="Text Box 16">
          <a:extLst>
            <a:ext uri="{FF2B5EF4-FFF2-40B4-BE49-F238E27FC236}">
              <a16:creationId xmlns:a16="http://schemas.microsoft.com/office/drawing/2014/main" id="{00000000-0008-0000-0500-0000450C0000}"/>
            </a:ext>
          </a:extLst>
        </xdr:cNvPr>
        <xdr:cNvSpPr txBox="1">
          <a:spLocks noChangeArrowheads="1"/>
        </xdr:cNvSpPr>
      </xdr:nvSpPr>
      <xdr:spPr bwMode="auto">
        <a:xfrm>
          <a:off x="4664364"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84</xdr:row>
      <xdr:rowOff>0</xdr:rowOff>
    </xdr:from>
    <xdr:ext cx="95250" cy="171450"/>
    <xdr:sp macro="" textlink="">
      <xdr:nvSpPr>
        <xdr:cNvPr id="3142" name="Text Box 17">
          <a:extLst>
            <a:ext uri="{FF2B5EF4-FFF2-40B4-BE49-F238E27FC236}">
              <a16:creationId xmlns:a16="http://schemas.microsoft.com/office/drawing/2014/main" id="{00000000-0008-0000-0500-0000460C0000}"/>
            </a:ext>
          </a:extLst>
        </xdr:cNvPr>
        <xdr:cNvSpPr txBox="1">
          <a:spLocks noChangeArrowheads="1"/>
        </xdr:cNvSpPr>
      </xdr:nvSpPr>
      <xdr:spPr bwMode="auto">
        <a:xfrm>
          <a:off x="4664364"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84</xdr:row>
      <xdr:rowOff>0</xdr:rowOff>
    </xdr:from>
    <xdr:ext cx="95250" cy="171450"/>
    <xdr:sp macro="" textlink="">
      <xdr:nvSpPr>
        <xdr:cNvPr id="3143" name="Text Box 18">
          <a:extLst>
            <a:ext uri="{FF2B5EF4-FFF2-40B4-BE49-F238E27FC236}">
              <a16:creationId xmlns:a16="http://schemas.microsoft.com/office/drawing/2014/main" id="{00000000-0008-0000-0500-0000470C0000}"/>
            </a:ext>
          </a:extLst>
        </xdr:cNvPr>
        <xdr:cNvSpPr txBox="1">
          <a:spLocks noChangeArrowheads="1"/>
        </xdr:cNvSpPr>
      </xdr:nvSpPr>
      <xdr:spPr bwMode="auto">
        <a:xfrm>
          <a:off x="4664364"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84</xdr:row>
      <xdr:rowOff>0</xdr:rowOff>
    </xdr:from>
    <xdr:ext cx="95250" cy="171450"/>
    <xdr:sp macro="" textlink="">
      <xdr:nvSpPr>
        <xdr:cNvPr id="3144" name="Text Box 19">
          <a:extLst>
            <a:ext uri="{FF2B5EF4-FFF2-40B4-BE49-F238E27FC236}">
              <a16:creationId xmlns:a16="http://schemas.microsoft.com/office/drawing/2014/main" id="{00000000-0008-0000-0500-0000480C0000}"/>
            </a:ext>
          </a:extLst>
        </xdr:cNvPr>
        <xdr:cNvSpPr txBox="1">
          <a:spLocks noChangeArrowheads="1"/>
        </xdr:cNvSpPr>
      </xdr:nvSpPr>
      <xdr:spPr bwMode="auto">
        <a:xfrm>
          <a:off x="4664364"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84</xdr:row>
      <xdr:rowOff>0</xdr:rowOff>
    </xdr:from>
    <xdr:ext cx="95250" cy="171450"/>
    <xdr:sp macro="" textlink="">
      <xdr:nvSpPr>
        <xdr:cNvPr id="3145" name="Text Box 16">
          <a:extLst>
            <a:ext uri="{FF2B5EF4-FFF2-40B4-BE49-F238E27FC236}">
              <a16:creationId xmlns:a16="http://schemas.microsoft.com/office/drawing/2014/main" id="{00000000-0008-0000-0500-0000490C0000}"/>
            </a:ext>
          </a:extLst>
        </xdr:cNvPr>
        <xdr:cNvSpPr txBox="1">
          <a:spLocks noChangeArrowheads="1"/>
        </xdr:cNvSpPr>
      </xdr:nvSpPr>
      <xdr:spPr bwMode="auto">
        <a:xfrm>
          <a:off x="12540961"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84</xdr:row>
      <xdr:rowOff>0</xdr:rowOff>
    </xdr:from>
    <xdr:ext cx="95250" cy="171450"/>
    <xdr:sp macro="" textlink="">
      <xdr:nvSpPr>
        <xdr:cNvPr id="3146" name="Text Box 17">
          <a:extLst>
            <a:ext uri="{FF2B5EF4-FFF2-40B4-BE49-F238E27FC236}">
              <a16:creationId xmlns:a16="http://schemas.microsoft.com/office/drawing/2014/main" id="{00000000-0008-0000-0500-00004A0C0000}"/>
            </a:ext>
          </a:extLst>
        </xdr:cNvPr>
        <xdr:cNvSpPr txBox="1">
          <a:spLocks noChangeArrowheads="1"/>
        </xdr:cNvSpPr>
      </xdr:nvSpPr>
      <xdr:spPr bwMode="auto">
        <a:xfrm>
          <a:off x="12540961"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1020762</xdr:colOff>
      <xdr:row>84</xdr:row>
      <xdr:rowOff>15875</xdr:rowOff>
    </xdr:from>
    <xdr:ext cx="95250" cy="171450"/>
    <xdr:sp macro="" textlink="">
      <xdr:nvSpPr>
        <xdr:cNvPr id="3147" name="Text Box 18">
          <a:extLst>
            <a:ext uri="{FF2B5EF4-FFF2-40B4-BE49-F238E27FC236}">
              <a16:creationId xmlns:a16="http://schemas.microsoft.com/office/drawing/2014/main" id="{00000000-0008-0000-0500-00004B0C0000}"/>
            </a:ext>
          </a:extLst>
        </xdr:cNvPr>
        <xdr:cNvSpPr txBox="1">
          <a:spLocks noChangeArrowheads="1"/>
        </xdr:cNvSpPr>
      </xdr:nvSpPr>
      <xdr:spPr bwMode="auto">
        <a:xfrm>
          <a:off x="12485398" y="7116330"/>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84</xdr:row>
      <xdr:rowOff>0</xdr:rowOff>
    </xdr:from>
    <xdr:ext cx="95250" cy="171450"/>
    <xdr:sp macro="" textlink="">
      <xdr:nvSpPr>
        <xdr:cNvPr id="3148" name="Text Box 16">
          <a:extLst>
            <a:ext uri="{FF2B5EF4-FFF2-40B4-BE49-F238E27FC236}">
              <a16:creationId xmlns:a16="http://schemas.microsoft.com/office/drawing/2014/main" id="{00000000-0008-0000-0500-00004C0C0000}"/>
            </a:ext>
          </a:extLst>
        </xdr:cNvPr>
        <xdr:cNvSpPr txBox="1">
          <a:spLocks noChangeArrowheads="1"/>
        </xdr:cNvSpPr>
      </xdr:nvSpPr>
      <xdr:spPr bwMode="auto">
        <a:xfrm>
          <a:off x="15388070"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84</xdr:row>
      <xdr:rowOff>0</xdr:rowOff>
    </xdr:from>
    <xdr:ext cx="95250" cy="171450"/>
    <xdr:sp macro="" textlink="">
      <xdr:nvSpPr>
        <xdr:cNvPr id="3149" name="Text Box 17">
          <a:extLst>
            <a:ext uri="{FF2B5EF4-FFF2-40B4-BE49-F238E27FC236}">
              <a16:creationId xmlns:a16="http://schemas.microsoft.com/office/drawing/2014/main" id="{00000000-0008-0000-0500-00004D0C0000}"/>
            </a:ext>
          </a:extLst>
        </xdr:cNvPr>
        <xdr:cNvSpPr txBox="1">
          <a:spLocks noChangeArrowheads="1"/>
        </xdr:cNvSpPr>
      </xdr:nvSpPr>
      <xdr:spPr bwMode="auto">
        <a:xfrm>
          <a:off x="15388070"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84</xdr:row>
      <xdr:rowOff>0</xdr:rowOff>
    </xdr:from>
    <xdr:ext cx="95250" cy="171450"/>
    <xdr:sp macro="" textlink="">
      <xdr:nvSpPr>
        <xdr:cNvPr id="3150" name="Text Box 18">
          <a:extLst>
            <a:ext uri="{FF2B5EF4-FFF2-40B4-BE49-F238E27FC236}">
              <a16:creationId xmlns:a16="http://schemas.microsoft.com/office/drawing/2014/main" id="{00000000-0008-0000-0500-00004E0C0000}"/>
            </a:ext>
          </a:extLst>
        </xdr:cNvPr>
        <xdr:cNvSpPr txBox="1">
          <a:spLocks noChangeArrowheads="1"/>
        </xdr:cNvSpPr>
      </xdr:nvSpPr>
      <xdr:spPr bwMode="auto">
        <a:xfrm>
          <a:off x="15388070"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84</xdr:row>
      <xdr:rowOff>0</xdr:rowOff>
    </xdr:from>
    <xdr:ext cx="95250" cy="171450"/>
    <xdr:sp macro="" textlink="">
      <xdr:nvSpPr>
        <xdr:cNvPr id="3151" name="Text Box 19">
          <a:extLst>
            <a:ext uri="{FF2B5EF4-FFF2-40B4-BE49-F238E27FC236}">
              <a16:creationId xmlns:a16="http://schemas.microsoft.com/office/drawing/2014/main" id="{00000000-0008-0000-0500-00004F0C0000}"/>
            </a:ext>
          </a:extLst>
        </xdr:cNvPr>
        <xdr:cNvSpPr txBox="1">
          <a:spLocks noChangeArrowheads="1"/>
        </xdr:cNvSpPr>
      </xdr:nvSpPr>
      <xdr:spPr bwMode="auto">
        <a:xfrm>
          <a:off x="15388070"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84</xdr:row>
      <xdr:rowOff>0</xdr:rowOff>
    </xdr:from>
    <xdr:ext cx="95250" cy="171450"/>
    <xdr:sp macro="" textlink="">
      <xdr:nvSpPr>
        <xdr:cNvPr id="3152" name="Text Box 16">
          <a:extLst>
            <a:ext uri="{FF2B5EF4-FFF2-40B4-BE49-F238E27FC236}">
              <a16:creationId xmlns:a16="http://schemas.microsoft.com/office/drawing/2014/main" id="{00000000-0008-0000-0500-0000500C0000}"/>
            </a:ext>
          </a:extLst>
        </xdr:cNvPr>
        <xdr:cNvSpPr txBox="1">
          <a:spLocks noChangeArrowheads="1"/>
        </xdr:cNvSpPr>
      </xdr:nvSpPr>
      <xdr:spPr bwMode="auto">
        <a:xfrm>
          <a:off x="15388070"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10</xdr:col>
      <xdr:colOff>28575</xdr:colOff>
      <xdr:row>84</xdr:row>
      <xdr:rowOff>170392</xdr:rowOff>
    </xdr:from>
    <xdr:ext cx="95250" cy="213632"/>
    <xdr:sp macro="" textlink="">
      <xdr:nvSpPr>
        <xdr:cNvPr id="3153" name="Text Box 15">
          <a:extLst>
            <a:ext uri="{FF2B5EF4-FFF2-40B4-BE49-F238E27FC236}">
              <a16:creationId xmlns:a16="http://schemas.microsoft.com/office/drawing/2014/main" id="{00000000-0008-0000-0500-0000510C0000}"/>
            </a:ext>
          </a:extLst>
        </xdr:cNvPr>
        <xdr:cNvSpPr txBox="1">
          <a:spLocks noChangeArrowheads="1"/>
        </xdr:cNvSpPr>
      </xdr:nvSpPr>
      <xdr:spPr bwMode="auto">
        <a:xfrm>
          <a:off x="12578484" y="7270847"/>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84</xdr:row>
      <xdr:rowOff>504825</xdr:rowOff>
    </xdr:from>
    <xdr:ext cx="95250" cy="448496"/>
    <xdr:sp macro="" textlink="">
      <xdr:nvSpPr>
        <xdr:cNvPr id="3154" name="Text Box 15">
          <a:extLst>
            <a:ext uri="{FF2B5EF4-FFF2-40B4-BE49-F238E27FC236}">
              <a16:creationId xmlns:a16="http://schemas.microsoft.com/office/drawing/2014/main" id="{00000000-0008-0000-0500-0000520C0000}"/>
            </a:ext>
          </a:extLst>
        </xdr:cNvPr>
        <xdr:cNvSpPr txBox="1">
          <a:spLocks noChangeArrowheads="1"/>
        </xdr:cNvSpPr>
      </xdr:nvSpPr>
      <xdr:spPr bwMode="auto">
        <a:xfrm>
          <a:off x="4664364" y="5994111"/>
          <a:ext cx="95250" cy="448496"/>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84</xdr:row>
      <xdr:rowOff>504825</xdr:rowOff>
    </xdr:from>
    <xdr:ext cx="95250" cy="442269"/>
    <xdr:sp macro="" textlink="">
      <xdr:nvSpPr>
        <xdr:cNvPr id="3155" name="Text Box 15">
          <a:extLst>
            <a:ext uri="{FF2B5EF4-FFF2-40B4-BE49-F238E27FC236}">
              <a16:creationId xmlns:a16="http://schemas.microsoft.com/office/drawing/2014/main" id="{00000000-0008-0000-0500-0000530C0000}"/>
            </a:ext>
          </a:extLst>
        </xdr:cNvPr>
        <xdr:cNvSpPr txBox="1">
          <a:spLocks noChangeArrowheads="1"/>
        </xdr:cNvSpPr>
      </xdr:nvSpPr>
      <xdr:spPr bwMode="auto">
        <a:xfrm>
          <a:off x="12540961" y="5994111"/>
          <a:ext cx="95250" cy="442269"/>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84</xdr:row>
      <xdr:rowOff>504825</xdr:rowOff>
    </xdr:from>
    <xdr:ext cx="95250" cy="213632"/>
    <xdr:sp macro="" textlink="">
      <xdr:nvSpPr>
        <xdr:cNvPr id="3157" name="Text Box 15">
          <a:extLst>
            <a:ext uri="{FF2B5EF4-FFF2-40B4-BE49-F238E27FC236}">
              <a16:creationId xmlns:a16="http://schemas.microsoft.com/office/drawing/2014/main" id="{00000000-0008-0000-0500-0000550C0000}"/>
            </a:ext>
          </a:extLst>
        </xdr:cNvPr>
        <xdr:cNvSpPr txBox="1">
          <a:spLocks noChangeArrowheads="1"/>
        </xdr:cNvSpPr>
      </xdr:nvSpPr>
      <xdr:spPr bwMode="auto">
        <a:xfrm>
          <a:off x="4664364" y="5994111"/>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84</xdr:row>
      <xdr:rowOff>504825</xdr:rowOff>
    </xdr:from>
    <xdr:ext cx="95250" cy="444331"/>
    <xdr:sp macro="" textlink="">
      <xdr:nvSpPr>
        <xdr:cNvPr id="3158" name="Text Box 15">
          <a:extLst>
            <a:ext uri="{FF2B5EF4-FFF2-40B4-BE49-F238E27FC236}">
              <a16:creationId xmlns:a16="http://schemas.microsoft.com/office/drawing/2014/main" id="{00000000-0008-0000-0500-0000560C0000}"/>
            </a:ext>
          </a:extLst>
        </xdr:cNvPr>
        <xdr:cNvSpPr txBox="1">
          <a:spLocks noChangeArrowheads="1"/>
        </xdr:cNvSpPr>
      </xdr:nvSpPr>
      <xdr:spPr bwMode="auto">
        <a:xfrm>
          <a:off x="4664364" y="5994111"/>
          <a:ext cx="95250" cy="444331"/>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10</xdr:col>
      <xdr:colOff>28575</xdr:colOff>
      <xdr:row>84</xdr:row>
      <xdr:rowOff>170392</xdr:rowOff>
    </xdr:from>
    <xdr:ext cx="95250" cy="213632"/>
    <xdr:sp macro="" textlink="">
      <xdr:nvSpPr>
        <xdr:cNvPr id="3159" name="Text Box 15">
          <a:extLst>
            <a:ext uri="{FF2B5EF4-FFF2-40B4-BE49-F238E27FC236}">
              <a16:creationId xmlns:a16="http://schemas.microsoft.com/office/drawing/2014/main" id="{00000000-0008-0000-0500-0000570C0000}"/>
            </a:ext>
          </a:extLst>
        </xdr:cNvPr>
        <xdr:cNvSpPr txBox="1">
          <a:spLocks noChangeArrowheads="1"/>
        </xdr:cNvSpPr>
      </xdr:nvSpPr>
      <xdr:spPr bwMode="auto">
        <a:xfrm>
          <a:off x="12578484" y="5793028"/>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90</xdr:row>
      <xdr:rowOff>0</xdr:rowOff>
    </xdr:from>
    <xdr:ext cx="95250" cy="171450"/>
    <xdr:sp macro="" textlink="">
      <xdr:nvSpPr>
        <xdr:cNvPr id="3160" name="Text Box 16">
          <a:extLst>
            <a:ext uri="{FF2B5EF4-FFF2-40B4-BE49-F238E27FC236}">
              <a16:creationId xmlns:a16="http://schemas.microsoft.com/office/drawing/2014/main" id="{00000000-0008-0000-0500-0000580C0000}"/>
            </a:ext>
          </a:extLst>
        </xdr:cNvPr>
        <xdr:cNvSpPr txBox="1">
          <a:spLocks noChangeArrowheads="1"/>
        </xdr:cNvSpPr>
      </xdr:nvSpPr>
      <xdr:spPr bwMode="auto">
        <a:xfrm>
          <a:off x="4664364"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90</xdr:row>
      <xdr:rowOff>0</xdr:rowOff>
    </xdr:from>
    <xdr:ext cx="95250" cy="171450"/>
    <xdr:sp macro="" textlink="">
      <xdr:nvSpPr>
        <xdr:cNvPr id="3161" name="Text Box 17">
          <a:extLst>
            <a:ext uri="{FF2B5EF4-FFF2-40B4-BE49-F238E27FC236}">
              <a16:creationId xmlns:a16="http://schemas.microsoft.com/office/drawing/2014/main" id="{00000000-0008-0000-0500-0000590C0000}"/>
            </a:ext>
          </a:extLst>
        </xdr:cNvPr>
        <xdr:cNvSpPr txBox="1">
          <a:spLocks noChangeArrowheads="1"/>
        </xdr:cNvSpPr>
      </xdr:nvSpPr>
      <xdr:spPr bwMode="auto">
        <a:xfrm>
          <a:off x="4664364"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90</xdr:row>
      <xdr:rowOff>0</xdr:rowOff>
    </xdr:from>
    <xdr:ext cx="95250" cy="171450"/>
    <xdr:sp macro="" textlink="">
      <xdr:nvSpPr>
        <xdr:cNvPr id="3162" name="Text Box 18">
          <a:extLst>
            <a:ext uri="{FF2B5EF4-FFF2-40B4-BE49-F238E27FC236}">
              <a16:creationId xmlns:a16="http://schemas.microsoft.com/office/drawing/2014/main" id="{00000000-0008-0000-0500-00005A0C0000}"/>
            </a:ext>
          </a:extLst>
        </xdr:cNvPr>
        <xdr:cNvSpPr txBox="1">
          <a:spLocks noChangeArrowheads="1"/>
        </xdr:cNvSpPr>
      </xdr:nvSpPr>
      <xdr:spPr bwMode="auto">
        <a:xfrm>
          <a:off x="4664364"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90</xdr:row>
      <xdr:rowOff>0</xdr:rowOff>
    </xdr:from>
    <xdr:ext cx="95250" cy="171450"/>
    <xdr:sp macro="" textlink="">
      <xdr:nvSpPr>
        <xdr:cNvPr id="3163" name="Text Box 19">
          <a:extLst>
            <a:ext uri="{FF2B5EF4-FFF2-40B4-BE49-F238E27FC236}">
              <a16:creationId xmlns:a16="http://schemas.microsoft.com/office/drawing/2014/main" id="{00000000-0008-0000-0500-00005B0C0000}"/>
            </a:ext>
          </a:extLst>
        </xdr:cNvPr>
        <xdr:cNvSpPr txBox="1">
          <a:spLocks noChangeArrowheads="1"/>
        </xdr:cNvSpPr>
      </xdr:nvSpPr>
      <xdr:spPr bwMode="auto">
        <a:xfrm>
          <a:off x="4664364"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90</xdr:row>
      <xdr:rowOff>0</xdr:rowOff>
    </xdr:from>
    <xdr:ext cx="95250" cy="171450"/>
    <xdr:sp macro="" textlink="">
      <xdr:nvSpPr>
        <xdr:cNvPr id="3164" name="Text Box 16">
          <a:extLst>
            <a:ext uri="{FF2B5EF4-FFF2-40B4-BE49-F238E27FC236}">
              <a16:creationId xmlns:a16="http://schemas.microsoft.com/office/drawing/2014/main" id="{00000000-0008-0000-0500-00005C0C0000}"/>
            </a:ext>
          </a:extLst>
        </xdr:cNvPr>
        <xdr:cNvSpPr txBox="1">
          <a:spLocks noChangeArrowheads="1"/>
        </xdr:cNvSpPr>
      </xdr:nvSpPr>
      <xdr:spPr bwMode="auto">
        <a:xfrm>
          <a:off x="12540961"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90</xdr:row>
      <xdr:rowOff>0</xdr:rowOff>
    </xdr:from>
    <xdr:ext cx="95250" cy="171450"/>
    <xdr:sp macro="" textlink="">
      <xdr:nvSpPr>
        <xdr:cNvPr id="3165" name="Text Box 17">
          <a:extLst>
            <a:ext uri="{FF2B5EF4-FFF2-40B4-BE49-F238E27FC236}">
              <a16:creationId xmlns:a16="http://schemas.microsoft.com/office/drawing/2014/main" id="{00000000-0008-0000-0500-00005D0C0000}"/>
            </a:ext>
          </a:extLst>
        </xdr:cNvPr>
        <xdr:cNvSpPr txBox="1">
          <a:spLocks noChangeArrowheads="1"/>
        </xdr:cNvSpPr>
      </xdr:nvSpPr>
      <xdr:spPr bwMode="auto">
        <a:xfrm>
          <a:off x="12540961"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90</xdr:row>
      <xdr:rowOff>0</xdr:rowOff>
    </xdr:from>
    <xdr:ext cx="95250" cy="171450"/>
    <xdr:sp macro="" textlink="">
      <xdr:nvSpPr>
        <xdr:cNvPr id="3166" name="Text Box 18">
          <a:extLst>
            <a:ext uri="{FF2B5EF4-FFF2-40B4-BE49-F238E27FC236}">
              <a16:creationId xmlns:a16="http://schemas.microsoft.com/office/drawing/2014/main" id="{00000000-0008-0000-0500-00005E0C0000}"/>
            </a:ext>
          </a:extLst>
        </xdr:cNvPr>
        <xdr:cNvSpPr txBox="1">
          <a:spLocks noChangeArrowheads="1"/>
        </xdr:cNvSpPr>
      </xdr:nvSpPr>
      <xdr:spPr bwMode="auto">
        <a:xfrm>
          <a:off x="12540961"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90</xdr:row>
      <xdr:rowOff>0</xdr:rowOff>
    </xdr:from>
    <xdr:ext cx="95250" cy="171450"/>
    <xdr:sp macro="" textlink="">
      <xdr:nvSpPr>
        <xdr:cNvPr id="3167" name="Text Box 19">
          <a:extLst>
            <a:ext uri="{FF2B5EF4-FFF2-40B4-BE49-F238E27FC236}">
              <a16:creationId xmlns:a16="http://schemas.microsoft.com/office/drawing/2014/main" id="{00000000-0008-0000-0500-00005F0C0000}"/>
            </a:ext>
          </a:extLst>
        </xdr:cNvPr>
        <xdr:cNvSpPr txBox="1">
          <a:spLocks noChangeArrowheads="1"/>
        </xdr:cNvSpPr>
      </xdr:nvSpPr>
      <xdr:spPr bwMode="auto">
        <a:xfrm>
          <a:off x="12540961"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21</xdr:col>
      <xdr:colOff>0</xdr:colOff>
      <xdr:row>90</xdr:row>
      <xdr:rowOff>0</xdr:rowOff>
    </xdr:from>
    <xdr:ext cx="95250" cy="171450"/>
    <xdr:sp macro="" textlink="">
      <xdr:nvSpPr>
        <xdr:cNvPr id="3168" name="Text Box 16">
          <a:extLst>
            <a:ext uri="{FF2B5EF4-FFF2-40B4-BE49-F238E27FC236}">
              <a16:creationId xmlns:a16="http://schemas.microsoft.com/office/drawing/2014/main" id="{00000000-0008-0000-0500-0000600C0000}"/>
            </a:ext>
          </a:extLst>
        </xdr:cNvPr>
        <xdr:cNvSpPr txBox="1">
          <a:spLocks noChangeArrowheads="1"/>
        </xdr:cNvSpPr>
      </xdr:nvSpPr>
      <xdr:spPr bwMode="auto">
        <a:xfrm>
          <a:off x="21832455"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21</xdr:col>
      <xdr:colOff>0</xdr:colOff>
      <xdr:row>90</xdr:row>
      <xdr:rowOff>0</xdr:rowOff>
    </xdr:from>
    <xdr:ext cx="95250" cy="171450"/>
    <xdr:sp macro="" textlink="">
      <xdr:nvSpPr>
        <xdr:cNvPr id="3169" name="Text Box 17">
          <a:extLst>
            <a:ext uri="{FF2B5EF4-FFF2-40B4-BE49-F238E27FC236}">
              <a16:creationId xmlns:a16="http://schemas.microsoft.com/office/drawing/2014/main" id="{00000000-0008-0000-0500-0000610C0000}"/>
            </a:ext>
          </a:extLst>
        </xdr:cNvPr>
        <xdr:cNvSpPr txBox="1">
          <a:spLocks noChangeArrowheads="1"/>
        </xdr:cNvSpPr>
      </xdr:nvSpPr>
      <xdr:spPr bwMode="auto">
        <a:xfrm>
          <a:off x="21832455"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21</xdr:col>
      <xdr:colOff>0</xdr:colOff>
      <xdr:row>90</xdr:row>
      <xdr:rowOff>0</xdr:rowOff>
    </xdr:from>
    <xdr:ext cx="95250" cy="171450"/>
    <xdr:sp macro="" textlink="">
      <xdr:nvSpPr>
        <xdr:cNvPr id="3170" name="Text Box 18">
          <a:extLst>
            <a:ext uri="{FF2B5EF4-FFF2-40B4-BE49-F238E27FC236}">
              <a16:creationId xmlns:a16="http://schemas.microsoft.com/office/drawing/2014/main" id="{00000000-0008-0000-0500-0000620C0000}"/>
            </a:ext>
          </a:extLst>
        </xdr:cNvPr>
        <xdr:cNvSpPr txBox="1">
          <a:spLocks noChangeArrowheads="1"/>
        </xdr:cNvSpPr>
      </xdr:nvSpPr>
      <xdr:spPr bwMode="auto">
        <a:xfrm>
          <a:off x="21832455"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21</xdr:col>
      <xdr:colOff>0</xdr:colOff>
      <xdr:row>90</xdr:row>
      <xdr:rowOff>0</xdr:rowOff>
    </xdr:from>
    <xdr:ext cx="95250" cy="171450"/>
    <xdr:sp macro="" textlink="">
      <xdr:nvSpPr>
        <xdr:cNvPr id="3171" name="Text Box 19">
          <a:extLst>
            <a:ext uri="{FF2B5EF4-FFF2-40B4-BE49-F238E27FC236}">
              <a16:creationId xmlns:a16="http://schemas.microsoft.com/office/drawing/2014/main" id="{00000000-0008-0000-0500-0000630C0000}"/>
            </a:ext>
          </a:extLst>
        </xdr:cNvPr>
        <xdr:cNvSpPr txBox="1">
          <a:spLocks noChangeArrowheads="1"/>
        </xdr:cNvSpPr>
      </xdr:nvSpPr>
      <xdr:spPr bwMode="auto">
        <a:xfrm>
          <a:off x="21832455"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86</xdr:row>
      <xdr:rowOff>504825</xdr:rowOff>
    </xdr:from>
    <xdr:ext cx="95250" cy="444014"/>
    <xdr:sp macro="" textlink="">
      <xdr:nvSpPr>
        <xdr:cNvPr id="3172" name="Text Box 15">
          <a:extLst>
            <a:ext uri="{FF2B5EF4-FFF2-40B4-BE49-F238E27FC236}">
              <a16:creationId xmlns:a16="http://schemas.microsoft.com/office/drawing/2014/main" id="{00000000-0008-0000-0500-0000640C0000}"/>
            </a:ext>
          </a:extLst>
        </xdr:cNvPr>
        <xdr:cNvSpPr txBox="1">
          <a:spLocks noChangeArrowheads="1"/>
        </xdr:cNvSpPr>
      </xdr:nvSpPr>
      <xdr:spPr bwMode="auto">
        <a:xfrm>
          <a:off x="4664364" y="6733020"/>
          <a:ext cx="95250" cy="444014"/>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90</xdr:row>
      <xdr:rowOff>0</xdr:rowOff>
    </xdr:from>
    <xdr:ext cx="95250" cy="171450"/>
    <xdr:sp macro="" textlink="">
      <xdr:nvSpPr>
        <xdr:cNvPr id="3173" name="Text Box 16">
          <a:extLst>
            <a:ext uri="{FF2B5EF4-FFF2-40B4-BE49-F238E27FC236}">
              <a16:creationId xmlns:a16="http://schemas.microsoft.com/office/drawing/2014/main" id="{00000000-0008-0000-0500-0000650C0000}"/>
            </a:ext>
          </a:extLst>
        </xdr:cNvPr>
        <xdr:cNvSpPr txBox="1">
          <a:spLocks noChangeArrowheads="1"/>
        </xdr:cNvSpPr>
      </xdr:nvSpPr>
      <xdr:spPr bwMode="auto">
        <a:xfrm>
          <a:off x="4664364"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90</xdr:row>
      <xdr:rowOff>0</xdr:rowOff>
    </xdr:from>
    <xdr:ext cx="95250" cy="171450"/>
    <xdr:sp macro="" textlink="">
      <xdr:nvSpPr>
        <xdr:cNvPr id="3174" name="Text Box 17">
          <a:extLst>
            <a:ext uri="{FF2B5EF4-FFF2-40B4-BE49-F238E27FC236}">
              <a16:creationId xmlns:a16="http://schemas.microsoft.com/office/drawing/2014/main" id="{00000000-0008-0000-0500-0000660C0000}"/>
            </a:ext>
          </a:extLst>
        </xdr:cNvPr>
        <xdr:cNvSpPr txBox="1">
          <a:spLocks noChangeArrowheads="1"/>
        </xdr:cNvSpPr>
      </xdr:nvSpPr>
      <xdr:spPr bwMode="auto">
        <a:xfrm>
          <a:off x="4664364"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90</xdr:row>
      <xdr:rowOff>0</xdr:rowOff>
    </xdr:from>
    <xdr:ext cx="95250" cy="171450"/>
    <xdr:sp macro="" textlink="">
      <xdr:nvSpPr>
        <xdr:cNvPr id="3175" name="Text Box 18">
          <a:extLst>
            <a:ext uri="{FF2B5EF4-FFF2-40B4-BE49-F238E27FC236}">
              <a16:creationId xmlns:a16="http://schemas.microsoft.com/office/drawing/2014/main" id="{00000000-0008-0000-0500-0000670C0000}"/>
            </a:ext>
          </a:extLst>
        </xdr:cNvPr>
        <xdr:cNvSpPr txBox="1">
          <a:spLocks noChangeArrowheads="1"/>
        </xdr:cNvSpPr>
      </xdr:nvSpPr>
      <xdr:spPr bwMode="auto">
        <a:xfrm>
          <a:off x="4664364"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90</xdr:row>
      <xdr:rowOff>0</xdr:rowOff>
    </xdr:from>
    <xdr:ext cx="95250" cy="171450"/>
    <xdr:sp macro="" textlink="">
      <xdr:nvSpPr>
        <xdr:cNvPr id="3176" name="Text Box 19">
          <a:extLst>
            <a:ext uri="{FF2B5EF4-FFF2-40B4-BE49-F238E27FC236}">
              <a16:creationId xmlns:a16="http://schemas.microsoft.com/office/drawing/2014/main" id="{00000000-0008-0000-0500-0000680C0000}"/>
            </a:ext>
          </a:extLst>
        </xdr:cNvPr>
        <xdr:cNvSpPr txBox="1">
          <a:spLocks noChangeArrowheads="1"/>
        </xdr:cNvSpPr>
      </xdr:nvSpPr>
      <xdr:spPr bwMode="auto">
        <a:xfrm>
          <a:off x="4664364"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90</xdr:row>
      <xdr:rowOff>0</xdr:rowOff>
    </xdr:from>
    <xdr:ext cx="95250" cy="171450"/>
    <xdr:sp macro="" textlink="">
      <xdr:nvSpPr>
        <xdr:cNvPr id="3177" name="Text Box 16">
          <a:extLst>
            <a:ext uri="{FF2B5EF4-FFF2-40B4-BE49-F238E27FC236}">
              <a16:creationId xmlns:a16="http://schemas.microsoft.com/office/drawing/2014/main" id="{00000000-0008-0000-0500-0000690C0000}"/>
            </a:ext>
          </a:extLst>
        </xdr:cNvPr>
        <xdr:cNvSpPr txBox="1">
          <a:spLocks noChangeArrowheads="1"/>
        </xdr:cNvSpPr>
      </xdr:nvSpPr>
      <xdr:spPr bwMode="auto">
        <a:xfrm>
          <a:off x="12540961"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90</xdr:row>
      <xdr:rowOff>0</xdr:rowOff>
    </xdr:from>
    <xdr:ext cx="95250" cy="171450"/>
    <xdr:sp macro="" textlink="">
      <xdr:nvSpPr>
        <xdr:cNvPr id="3178" name="Text Box 17">
          <a:extLst>
            <a:ext uri="{FF2B5EF4-FFF2-40B4-BE49-F238E27FC236}">
              <a16:creationId xmlns:a16="http://schemas.microsoft.com/office/drawing/2014/main" id="{00000000-0008-0000-0500-00006A0C0000}"/>
            </a:ext>
          </a:extLst>
        </xdr:cNvPr>
        <xdr:cNvSpPr txBox="1">
          <a:spLocks noChangeArrowheads="1"/>
        </xdr:cNvSpPr>
      </xdr:nvSpPr>
      <xdr:spPr bwMode="auto">
        <a:xfrm>
          <a:off x="12540961"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90</xdr:row>
      <xdr:rowOff>0</xdr:rowOff>
    </xdr:from>
    <xdr:ext cx="95250" cy="171450"/>
    <xdr:sp macro="" textlink="">
      <xdr:nvSpPr>
        <xdr:cNvPr id="3179" name="Text Box 18">
          <a:extLst>
            <a:ext uri="{FF2B5EF4-FFF2-40B4-BE49-F238E27FC236}">
              <a16:creationId xmlns:a16="http://schemas.microsoft.com/office/drawing/2014/main" id="{00000000-0008-0000-0500-00006B0C0000}"/>
            </a:ext>
          </a:extLst>
        </xdr:cNvPr>
        <xdr:cNvSpPr txBox="1">
          <a:spLocks noChangeArrowheads="1"/>
        </xdr:cNvSpPr>
      </xdr:nvSpPr>
      <xdr:spPr bwMode="auto">
        <a:xfrm>
          <a:off x="12540961"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90</xdr:row>
      <xdr:rowOff>0</xdr:rowOff>
    </xdr:from>
    <xdr:ext cx="95250" cy="171450"/>
    <xdr:sp macro="" textlink="">
      <xdr:nvSpPr>
        <xdr:cNvPr id="3180" name="Text Box 16">
          <a:extLst>
            <a:ext uri="{FF2B5EF4-FFF2-40B4-BE49-F238E27FC236}">
              <a16:creationId xmlns:a16="http://schemas.microsoft.com/office/drawing/2014/main" id="{00000000-0008-0000-0500-00006C0C0000}"/>
            </a:ext>
          </a:extLst>
        </xdr:cNvPr>
        <xdr:cNvSpPr txBox="1">
          <a:spLocks noChangeArrowheads="1"/>
        </xdr:cNvSpPr>
      </xdr:nvSpPr>
      <xdr:spPr bwMode="auto">
        <a:xfrm>
          <a:off x="15388070"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90</xdr:row>
      <xdr:rowOff>0</xdr:rowOff>
    </xdr:from>
    <xdr:ext cx="95250" cy="171450"/>
    <xdr:sp macro="" textlink="">
      <xdr:nvSpPr>
        <xdr:cNvPr id="3181" name="Text Box 17">
          <a:extLst>
            <a:ext uri="{FF2B5EF4-FFF2-40B4-BE49-F238E27FC236}">
              <a16:creationId xmlns:a16="http://schemas.microsoft.com/office/drawing/2014/main" id="{00000000-0008-0000-0500-00006D0C0000}"/>
            </a:ext>
          </a:extLst>
        </xdr:cNvPr>
        <xdr:cNvSpPr txBox="1">
          <a:spLocks noChangeArrowheads="1"/>
        </xdr:cNvSpPr>
      </xdr:nvSpPr>
      <xdr:spPr bwMode="auto">
        <a:xfrm>
          <a:off x="15388070"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90</xdr:row>
      <xdr:rowOff>0</xdr:rowOff>
    </xdr:from>
    <xdr:ext cx="95250" cy="171450"/>
    <xdr:sp macro="" textlink="">
      <xdr:nvSpPr>
        <xdr:cNvPr id="3182" name="Text Box 18">
          <a:extLst>
            <a:ext uri="{FF2B5EF4-FFF2-40B4-BE49-F238E27FC236}">
              <a16:creationId xmlns:a16="http://schemas.microsoft.com/office/drawing/2014/main" id="{00000000-0008-0000-0500-00006E0C0000}"/>
            </a:ext>
          </a:extLst>
        </xdr:cNvPr>
        <xdr:cNvSpPr txBox="1">
          <a:spLocks noChangeArrowheads="1"/>
        </xdr:cNvSpPr>
      </xdr:nvSpPr>
      <xdr:spPr bwMode="auto">
        <a:xfrm>
          <a:off x="15388070"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90</xdr:row>
      <xdr:rowOff>0</xdr:rowOff>
    </xdr:from>
    <xdr:ext cx="95250" cy="171450"/>
    <xdr:sp macro="" textlink="">
      <xdr:nvSpPr>
        <xdr:cNvPr id="3183" name="Text Box 19">
          <a:extLst>
            <a:ext uri="{FF2B5EF4-FFF2-40B4-BE49-F238E27FC236}">
              <a16:creationId xmlns:a16="http://schemas.microsoft.com/office/drawing/2014/main" id="{00000000-0008-0000-0500-00006F0C0000}"/>
            </a:ext>
          </a:extLst>
        </xdr:cNvPr>
        <xdr:cNvSpPr txBox="1">
          <a:spLocks noChangeArrowheads="1"/>
        </xdr:cNvSpPr>
      </xdr:nvSpPr>
      <xdr:spPr bwMode="auto">
        <a:xfrm>
          <a:off x="15388070"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90</xdr:row>
      <xdr:rowOff>0</xdr:rowOff>
    </xdr:from>
    <xdr:ext cx="95250" cy="171450"/>
    <xdr:sp macro="" textlink="">
      <xdr:nvSpPr>
        <xdr:cNvPr id="3184" name="Text Box 16">
          <a:extLst>
            <a:ext uri="{FF2B5EF4-FFF2-40B4-BE49-F238E27FC236}">
              <a16:creationId xmlns:a16="http://schemas.microsoft.com/office/drawing/2014/main" id="{00000000-0008-0000-0500-0000700C0000}"/>
            </a:ext>
          </a:extLst>
        </xdr:cNvPr>
        <xdr:cNvSpPr txBox="1">
          <a:spLocks noChangeArrowheads="1"/>
        </xdr:cNvSpPr>
      </xdr:nvSpPr>
      <xdr:spPr bwMode="auto">
        <a:xfrm>
          <a:off x="15388070"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90</xdr:row>
      <xdr:rowOff>0</xdr:rowOff>
    </xdr:from>
    <xdr:ext cx="95250" cy="171450"/>
    <xdr:sp macro="" textlink="">
      <xdr:nvSpPr>
        <xdr:cNvPr id="3185" name="Text Box 17">
          <a:extLst>
            <a:ext uri="{FF2B5EF4-FFF2-40B4-BE49-F238E27FC236}">
              <a16:creationId xmlns:a16="http://schemas.microsoft.com/office/drawing/2014/main" id="{00000000-0008-0000-0500-0000710C0000}"/>
            </a:ext>
          </a:extLst>
        </xdr:cNvPr>
        <xdr:cNvSpPr txBox="1">
          <a:spLocks noChangeArrowheads="1"/>
        </xdr:cNvSpPr>
      </xdr:nvSpPr>
      <xdr:spPr bwMode="auto">
        <a:xfrm>
          <a:off x="15388070"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90</xdr:row>
      <xdr:rowOff>0</xdr:rowOff>
    </xdr:from>
    <xdr:ext cx="95250" cy="171450"/>
    <xdr:sp macro="" textlink="">
      <xdr:nvSpPr>
        <xdr:cNvPr id="3186" name="Text Box 18">
          <a:extLst>
            <a:ext uri="{FF2B5EF4-FFF2-40B4-BE49-F238E27FC236}">
              <a16:creationId xmlns:a16="http://schemas.microsoft.com/office/drawing/2014/main" id="{00000000-0008-0000-0500-0000720C0000}"/>
            </a:ext>
          </a:extLst>
        </xdr:cNvPr>
        <xdr:cNvSpPr txBox="1">
          <a:spLocks noChangeArrowheads="1"/>
        </xdr:cNvSpPr>
      </xdr:nvSpPr>
      <xdr:spPr bwMode="auto">
        <a:xfrm>
          <a:off x="15388070"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90</xdr:row>
      <xdr:rowOff>0</xdr:rowOff>
    </xdr:from>
    <xdr:ext cx="95250" cy="171450"/>
    <xdr:sp macro="" textlink="">
      <xdr:nvSpPr>
        <xdr:cNvPr id="3187" name="Text Box 19">
          <a:extLst>
            <a:ext uri="{FF2B5EF4-FFF2-40B4-BE49-F238E27FC236}">
              <a16:creationId xmlns:a16="http://schemas.microsoft.com/office/drawing/2014/main" id="{00000000-0008-0000-0500-0000730C0000}"/>
            </a:ext>
          </a:extLst>
        </xdr:cNvPr>
        <xdr:cNvSpPr txBox="1">
          <a:spLocks noChangeArrowheads="1"/>
        </xdr:cNvSpPr>
      </xdr:nvSpPr>
      <xdr:spPr bwMode="auto">
        <a:xfrm>
          <a:off x="15388070"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84</xdr:row>
      <xdr:rowOff>504825</xdr:rowOff>
    </xdr:from>
    <xdr:ext cx="95250" cy="456743"/>
    <xdr:sp macro="" textlink="">
      <xdr:nvSpPr>
        <xdr:cNvPr id="3188" name="Text Box 15">
          <a:extLst>
            <a:ext uri="{FF2B5EF4-FFF2-40B4-BE49-F238E27FC236}">
              <a16:creationId xmlns:a16="http://schemas.microsoft.com/office/drawing/2014/main" id="{00000000-0008-0000-0500-0000740C0000}"/>
            </a:ext>
          </a:extLst>
        </xdr:cNvPr>
        <xdr:cNvSpPr txBox="1">
          <a:spLocks noChangeArrowheads="1"/>
        </xdr:cNvSpPr>
      </xdr:nvSpPr>
      <xdr:spPr bwMode="auto">
        <a:xfrm>
          <a:off x="4664364" y="5994111"/>
          <a:ext cx="95250" cy="456743"/>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84</xdr:row>
      <xdr:rowOff>504825</xdr:rowOff>
    </xdr:from>
    <xdr:ext cx="95250" cy="442269"/>
    <xdr:sp macro="" textlink="">
      <xdr:nvSpPr>
        <xdr:cNvPr id="3189" name="Text Box 15">
          <a:extLst>
            <a:ext uri="{FF2B5EF4-FFF2-40B4-BE49-F238E27FC236}">
              <a16:creationId xmlns:a16="http://schemas.microsoft.com/office/drawing/2014/main" id="{00000000-0008-0000-0500-0000750C0000}"/>
            </a:ext>
          </a:extLst>
        </xdr:cNvPr>
        <xdr:cNvSpPr txBox="1">
          <a:spLocks noChangeArrowheads="1"/>
        </xdr:cNvSpPr>
      </xdr:nvSpPr>
      <xdr:spPr bwMode="auto">
        <a:xfrm>
          <a:off x="12540961" y="5994111"/>
          <a:ext cx="95250" cy="442269"/>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84</xdr:row>
      <xdr:rowOff>504825</xdr:rowOff>
    </xdr:from>
    <xdr:ext cx="95250" cy="213632"/>
    <xdr:sp macro="" textlink="">
      <xdr:nvSpPr>
        <xdr:cNvPr id="3191" name="Text Box 15">
          <a:extLst>
            <a:ext uri="{FF2B5EF4-FFF2-40B4-BE49-F238E27FC236}">
              <a16:creationId xmlns:a16="http://schemas.microsoft.com/office/drawing/2014/main" id="{00000000-0008-0000-0500-0000770C0000}"/>
            </a:ext>
          </a:extLst>
        </xdr:cNvPr>
        <xdr:cNvSpPr txBox="1">
          <a:spLocks noChangeArrowheads="1"/>
        </xdr:cNvSpPr>
      </xdr:nvSpPr>
      <xdr:spPr bwMode="auto">
        <a:xfrm>
          <a:off x="4664364" y="5994111"/>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84</xdr:row>
      <xdr:rowOff>504825</xdr:rowOff>
    </xdr:from>
    <xdr:ext cx="95250" cy="444331"/>
    <xdr:sp macro="" textlink="">
      <xdr:nvSpPr>
        <xdr:cNvPr id="3192" name="Text Box 15">
          <a:extLst>
            <a:ext uri="{FF2B5EF4-FFF2-40B4-BE49-F238E27FC236}">
              <a16:creationId xmlns:a16="http://schemas.microsoft.com/office/drawing/2014/main" id="{00000000-0008-0000-0500-0000780C0000}"/>
            </a:ext>
          </a:extLst>
        </xdr:cNvPr>
        <xdr:cNvSpPr txBox="1">
          <a:spLocks noChangeArrowheads="1"/>
        </xdr:cNvSpPr>
      </xdr:nvSpPr>
      <xdr:spPr bwMode="auto">
        <a:xfrm>
          <a:off x="4664364" y="5994111"/>
          <a:ext cx="95250" cy="444331"/>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84</xdr:row>
      <xdr:rowOff>504825</xdr:rowOff>
    </xdr:from>
    <xdr:ext cx="95250" cy="213632"/>
    <xdr:sp macro="" textlink="">
      <xdr:nvSpPr>
        <xdr:cNvPr id="3193" name="Text Box 15">
          <a:extLst>
            <a:ext uri="{FF2B5EF4-FFF2-40B4-BE49-F238E27FC236}">
              <a16:creationId xmlns:a16="http://schemas.microsoft.com/office/drawing/2014/main" id="{00000000-0008-0000-0500-0000790C0000}"/>
            </a:ext>
          </a:extLst>
        </xdr:cNvPr>
        <xdr:cNvSpPr txBox="1">
          <a:spLocks noChangeArrowheads="1"/>
        </xdr:cNvSpPr>
      </xdr:nvSpPr>
      <xdr:spPr bwMode="auto">
        <a:xfrm>
          <a:off x="12540961" y="5994111"/>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90</xdr:row>
      <xdr:rowOff>0</xdr:rowOff>
    </xdr:from>
    <xdr:ext cx="95250" cy="171450"/>
    <xdr:sp macro="" textlink="">
      <xdr:nvSpPr>
        <xdr:cNvPr id="3194" name="Text Box 16">
          <a:extLst>
            <a:ext uri="{FF2B5EF4-FFF2-40B4-BE49-F238E27FC236}">
              <a16:creationId xmlns:a16="http://schemas.microsoft.com/office/drawing/2014/main" id="{00000000-0008-0000-0500-00007A0C0000}"/>
            </a:ext>
          </a:extLst>
        </xdr:cNvPr>
        <xdr:cNvSpPr txBox="1">
          <a:spLocks noChangeArrowheads="1"/>
        </xdr:cNvSpPr>
      </xdr:nvSpPr>
      <xdr:spPr bwMode="auto">
        <a:xfrm>
          <a:off x="4664364"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90</xdr:row>
      <xdr:rowOff>0</xdr:rowOff>
    </xdr:from>
    <xdr:ext cx="95250" cy="171450"/>
    <xdr:sp macro="" textlink="">
      <xdr:nvSpPr>
        <xdr:cNvPr id="3195" name="Text Box 17">
          <a:extLst>
            <a:ext uri="{FF2B5EF4-FFF2-40B4-BE49-F238E27FC236}">
              <a16:creationId xmlns:a16="http://schemas.microsoft.com/office/drawing/2014/main" id="{00000000-0008-0000-0500-00007B0C0000}"/>
            </a:ext>
          </a:extLst>
        </xdr:cNvPr>
        <xdr:cNvSpPr txBox="1">
          <a:spLocks noChangeArrowheads="1"/>
        </xdr:cNvSpPr>
      </xdr:nvSpPr>
      <xdr:spPr bwMode="auto">
        <a:xfrm>
          <a:off x="4664364"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90</xdr:row>
      <xdr:rowOff>0</xdr:rowOff>
    </xdr:from>
    <xdr:ext cx="95250" cy="171450"/>
    <xdr:sp macro="" textlink="">
      <xdr:nvSpPr>
        <xdr:cNvPr id="3196" name="Text Box 18">
          <a:extLst>
            <a:ext uri="{FF2B5EF4-FFF2-40B4-BE49-F238E27FC236}">
              <a16:creationId xmlns:a16="http://schemas.microsoft.com/office/drawing/2014/main" id="{00000000-0008-0000-0500-00007C0C0000}"/>
            </a:ext>
          </a:extLst>
        </xdr:cNvPr>
        <xdr:cNvSpPr txBox="1">
          <a:spLocks noChangeArrowheads="1"/>
        </xdr:cNvSpPr>
      </xdr:nvSpPr>
      <xdr:spPr bwMode="auto">
        <a:xfrm>
          <a:off x="4664364"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90</xdr:row>
      <xdr:rowOff>0</xdr:rowOff>
    </xdr:from>
    <xdr:ext cx="95250" cy="171450"/>
    <xdr:sp macro="" textlink="">
      <xdr:nvSpPr>
        <xdr:cNvPr id="3197" name="Text Box 19">
          <a:extLst>
            <a:ext uri="{FF2B5EF4-FFF2-40B4-BE49-F238E27FC236}">
              <a16:creationId xmlns:a16="http://schemas.microsoft.com/office/drawing/2014/main" id="{00000000-0008-0000-0500-00007D0C0000}"/>
            </a:ext>
          </a:extLst>
        </xdr:cNvPr>
        <xdr:cNvSpPr txBox="1">
          <a:spLocks noChangeArrowheads="1"/>
        </xdr:cNvSpPr>
      </xdr:nvSpPr>
      <xdr:spPr bwMode="auto">
        <a:xfrm>
          <a:off x="4664364"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90</xdr:row>
      <xdr:rowOff>0</xdr:rowOff>
    </xdr:from>
    <xdr:ext cx="95250" cy="171450"/>
    <xdr:sp macro="" textlink="">
      <xdr:nvSpPr>
        <xdr:cNvPr id="3198" name="Text Box 16">
          <a:extLst>
            <a:ext uri="{FF2B5EF4-FFF2-40B4-BE49-F238E27FC236}">
              <a16:creationId xmlns:a16="http://schemas.microsoft.com/office/drawing/2014/main" id="{00000000-0008-0000-0500-00007E0C0000}"/>
            </a:ext>
          </a:extLst>
        </xdr:cNvPr>
        <xdr:cNvSpPr txBox="1">
          <a:spLocks noChangeArrowheads="1"/>
        </xdr:cNvSpPr>
      </xdr:nvSpPr>
      <xdr:spPr bwMode="auto">
        <a:xfrm>
          <a:off x="12540961"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90</xdr:row>
      <xdr:rowOff>0</xdr:rowOff>
    </xdr:from>
    <xdr:ext cx="95250" cy="171450"/>
    <xdr:sp macro="" textlink="">
      <xdr:nvSpPr>
        <xdr:cNvPr id="3199" name="Text Box 17">
          <a:extLst>
            <a:ext uri="{FF2B5EF4-FFF2-40B4-BE49-F238E27FC236}">
              <a16:creationId xmlns:a16="http://schemas.microsoft.com/office/drawing/2014/main" id="{00000000-0008-0000-0500-00007F0C0000}"/>
            </a:ext>
          </a:extLst>
        </xdr:cNvPr>
        <xdr:cNvSpPr txBox="1">
          <a:spLocks noChangeArrowheads="1"/>
        </xdr:cNvSpPr>
      </xdr:nvSpPr>
      <xdr:spPr bwMode="auto">
        <a:xfrm>
          <a:off x="12540961"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90</xdr:row>
      <xdr:rowOff>0</xdr:rowOff>
    </xdr:from>
    <xdr:ext cx="95250" cy="171450"/>
    <xdr:sp macro="" textlink="">
      <xdr:nvSpPr>
        <xdr:cNvPr id="3200" name="Text Box 18">
          <a:extLst>
            <a:ext uri="{FF2B5EF4-FFF2-40B4-BE49-F238E27FC236}">
              <a16:creationId xmlns:a16="http://schemas.microsoft.com/office/drawing/2014/main" id="{00000000-0008-0000-0500-0000800C0000}"/>
            </a:ext>
          </a:extLst>
        </xdr:cNvPr>
        <xdr:cNvSpPr txBox="1">
          <a:spLocks noChangeArrowheads="1"/>
        </xdr:cNvSpPr>
      </xdr:nvSpPr>
      <xdr:spPr bwMode="auto">
        <a:xfrm>
          <a:off x="12540961"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90</xdr:row>
      <xdr:rowOff>0</xdr:rowOff>
    </xdr:from>
    <xdr:ext cx="95250" cy="171450"/>
    <xdr:sp macro="" textlink="">
      <xdr:nvSpPr>
        <xdr:cNvPr id="3201" name="Text Box 19">
          <a:extLst>
            <a:ext uri="{FF2B5EF4-FFF2-40B4-BE49-F238E27FC236}">
              <a16:creationId xmlns:a16="http://schemas.microsoft.com/office/drawing/2014/main" id="{00000000-0008-0000-0500-0000810C0000}"/>
            </a:ext>
          </a:extLst>
        </xdr:cNvPr>
        <xdr:cNvSpPr txBox="1">
          <a:spLocks noChangeArrowheads="1"/>
        </xdr:cNvSpPr>
      </xdr:nvSpPr>
      <xdr:spPr bwMode="auto">
        <a:xfrm>
          <a:off x="12540961"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21</xdr:col>
      <xdr:colOff>0</xdr:colOff>
      <xdr:row>90</xdr:row>
      <xdr:rowOff>0</xdr:rowOff>
    </xdr:from>
    <xdr:ext cx="95250" cy="171450"/>
    <xdr:sp macro="" textlink="">
      <xdr:nvSpPr>
        <xdr:cNvPr id="3202" name="Text Box 16">
          <a:extLst>
            <a:ext uri="{FF2B5EF4-FFF2-40B4-BE49-F238E27FC236}">
              <a16:creationId xmlns:a16="http://schemas.microsoft.com/office/drawing/2014/main" id="{00000000-0008-0000-0500-0000820C0000}"/>
            </a:ext>
          </a:extLst>
        </xdr:cNvPr>
        <xdr:cNvSpPr txBox="1">
          <a:spLocks noChangeArrowheads="1"/>
        </xdr:cNvSpPr>
      </xdr:nvSpPr>
      <xdr:spPr bwMode="auto">
        <a:xfrm>
          <a:off x="21832455"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21</xdr:col>
      <xdr:colOff>0</xdr:colOff>
      <xdr:row>90</xdr:row>
      <xdr:rowOff>0</xdr:rowOff>
    </xdr:from>
    <xdr:ext cx="95250" cy="171450"/>
    <xdr:sp macro="" textlink="">
      <xdr:nvSpPr>
        <xdr:cNvPr id="3203" name="Text Box 17">
          <a:extLst>
            <a:ext uri="{FF2B5EF4-FFF2-40B4-BE49-F238E27FC236}">
              <a16:creationId xmlns:a16="http://schemas.microsoft.com/office/drawing/2014/main" id="{00000000-0008-0000-0500-0000830C0000}"/>
            </a:ext>
          </a:extLst>
        </xdr:cNvPr>
        <xdr:cNvSpPr txBox="1">
          <a:spLocks noChangeArrowheads="1"/>
        </xdr:cNvSpPr>
      </xdr:nvSpPr>
      <xdr:spPr bwMode="auto">
        <a:xfrm>
          <a:off x="21832455"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21</xdr:col>
      <xdr:colOff>0</xdr:colOff>
      <xdr:row>90</xdr:row>
      <xdr:rowOff>0</xdr:rowOff>
    </xdr:from>
    <xdr:ext cx="95250" cy="171450"/>
    <xdr:sp macro="" textlink="">
      <xdr:nvSpPr>
        <xdr:cNvPr id="3204" name="Text Box 18">
          <a:extLst>
            <a:ext uri="{FF2B5EF4-FFF2-40B4-BE49-F238E27FC236}">
              <a16:creationId xmlns:a16="http://schemas.microsoft.com/office/drawing/2014/main" id="{00000000-0008-0000-0500-0000840C0000}"/>
            </a:ext>
          </a:extLst>
        </xdr:cNvPr>
        <xdr:cNvSpPr txBox="1">
          <a:spLocks noChangeArrowheads="1"/>
        </xdr:cNvSpPr>
      </xdr:nvSpPr>
      <xdr:spPr bwMode="auto">
        <a:xfrm>
          <a:off x="21832455"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21</xdr:col>
      <xdr:colOff>0</xdr:colOff>
      <xdr:row>90</xdr:row>
      <xdr:rowOff>0</xdr:rowOff>
    </xdr:from>
    <xdr:ext cx="95250" cy="171450"/>
    <xdr:sp macro="" textlink="">
      <xdr:nvSpPr>
        <xdr:cNvPr id="3205" name="Text Box 19">
          <a:extLst>
            <a:ext uri="{FF2B5EF4-FFF2-40B4-BE49-F238E27FC236}">
              <a16:creationId xmlns:a16="http://schemas.microsoft.com/office/drawing/2014/main" id="{00000000-0008-0000-0500-0000850C0000}"/>
            </a:ext>
          </a:extLst>
        </xdr:cNvPr>
        <xdr:cNvSpPr txBox="1">
          <a:spLocks noChangeArrowheads="1"/>
        </xdr:cNvSpPr>
      </xdr:nvSpPr>
      <xdr:spPr bwMode="auto">
        <a:xfrm>
          <a:off x="21832455"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86</xdr:row>
      <xdr:rowOff>504825</xdr:rowOff>
    </xdr:from>
    <xdr:ext cx="95250" cy="444014"/>
    <xdr:sp macro="" textlink="">
      <xdr:nvSpPr>
        <xdr:cNvPr id="3206" name="Text Box 15">
          <a:extLst>
            <a:ext uri="{FF2B5EF4-FFF2-40B4-BE49-F238E27FC236}">
              <a16:creationId xmlns:a16="http://schemas.microsoft.com/office/drawing/2014/main" id="{00000000-0008-0000-0500-0000860C0000}"/>
            </a:ext>
          </a:extLst>
        </xdr:cNvPr>
        <xdr:cNvSpPr txBox="1">
          <a:spLocks noChangeArrowheads="1"/>
        </xdr:cNvSpPr>
      </xdr:nvSpPr>
      <xdr:spPr bwMode="auto">
        <a:xfrm>
          <a:off x="4664364" y="6733020"/>
          <a:ext cx="95250" cy="444014"/>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90</xdr:row>
      <xdr:rowOff>0</xdr:rowOff>
    </xdr:from>
    <xdr:ext cx="95250" cy="171450"/>
    <xdr:sp macro="" textlink="">
      <xdr:nvSpPr>
        <xdr:cNvPr id="3207" name="Text Box 16">
          <a:extLst>
            <a:ext uri="{FF2B5EF4-FFF2-40B4-BE49-F238E27FC236}">
              <a16:creationId xmlns:a16="http://schemas.microsoft.com/office/drawing/2014/main" id="{00000000-0008-0000-0500-0000870C0000}"/>
            </a:ext>
          </a:extLst>
        </xdr:cNvPr>
        <xdr:cNvSpPr txBox="1">
          <a:spLocks noChangeArrowheads="1"/>
        </xdr:cNvSpPr>
      </xdr:nvSpPr>
      <xdr:spPr bwMode="auto">
        <a:xfrm>
          <a:off x="4664364"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90</xdr:row>
      <xdr:rowOff>0</xdr:rowOff>
    </xdr:from>
    <xdr:ext cx="95250" cy="171450"/>
    <xdr:sp macro="" textlink="">
      <xdr:nvSpPr>
        <xdr:cNvPr id="3208" name="Text Box 17">
          <a:extLst>
            <a:ext uri="{FF2B5EF4-FFF2-40B4-BE49-F238E27FC236}">
              <a16:creationId xmlns:a16="http://schemas.microsoft.com/office/drawing/2014/main" id="{00000000-0008-0000-0500-0000880C0000}"/>
            </a:ext>
          </a:extLst>
        </xdr:cNvPr>
        <xdr:cNvSpPr txBox="1">
          <a:spLocks noChangeArrowheads="1"/>
        </xdr:cNvSpPr>
      </xdr:nvSpPr>
      <xdr:spPr bwMode="auto">
        <a:xfrm>
          <a:off x="4664364"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90</xdr:row>
      <xdr:rowOff>0</xdr:rowOff>
    </xdr:from>
    <xdr:ext cx="95250" cy="171450"/>
    <xdr:sp macro="" textlink="">
      <xdr:nvSpPr>
        <xdr:cNvPr id="3209" name="Text Box 18">
          <a:extLst>
            <a:ext uri="{FF2B5EF4-FFF2-40B4-BE49-F238E27FC236}">
              <a16:creationId xmlns:a16="http://schemas.microsoft.com/office/drawing/2014/main" id="{00000000-0008-0000-0500-0000890C0000}"/>
            </a:ext>
          </a:extLst>
        </xdr:cNvPr>
        <xdr:cNvSpPr txBox="1">
          <a:spLocks noChangeArrowheads="1"/>
        </xdr:cNvSpPr>
      </xdr:nvSpPr>
      <xdr:spPr bwMode="auto">
        <a:xfrm>
          <a:off x="4664364"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90</xdr:row>
      <xdr:rowOff>0</xdr:rowOff>
    </xdr:from>
    <xdr:ext cx="95250" cy="171450"/>
    <xdr:sp macro="" textlink="">
      <xdr:nvSpPr>
        <xdr:cNvPr id="3210" name="Text Box 19">
          <a:extLst>
            <a:ext uri="{FF2B5EF4-FFF2-40B4-BE49-F238E27FC236}">
              <a16:creationId xmlns:a16="http://schemas.microsoft.com/office/drawing/2014/main" id="{00000000-0008-0000-0500-00008A0C0000}"/>
            </a:ext>
          </a:extLst>
        </xdr:cNvPr>
        <xdr:cNvSpPr txBox="1">
          <a:spLocks noChangeArrowheads="1"/>
        </xdr:cNvSpPr>
      </xdr:nvSpPr>
      <xdr:spPr bwMode="auto">
        <a:xfrm>
          <a:off x="4664364"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86</xdr:row>
      <xdr:rowOff>504825</xdr:rowOff>
    </xdr:from>
    <xdr:ext cx="95250" cy="442269"/>
    <xdr:sp macro="" textlink="">
      <xdr:nvSpPr>
        <xdr:cNvPr id="3211" name="Text Box 15">
          <a:extLst>
            <a:ext uri="{FF2B5EF4-FFF2-40B4-BE49-F238E27FC236}">
              <a16:creationId xmlns:a16="http://schemas.microsoft.com/office/drawing/2014/main" id="{00000000-0008-0000-0500-00008B0C0000}"/>
            </a:ext>
          </a:extLst>
        </xdr:cNvPr>
        <xdr:cNvSpPr txBox="1">
          <a:spLocks noChangeArrowheads="1"/>
        </xdr:cNvSpPr>
      </xdr:nvSpPr>
      <xdr:spPr bwMode="auto">
        <a:xfrm>
          <a:off x="12540961" y="6733020"/>
          <a:ext cx="95250" cy="442269"/>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90</xdr:row>
      <xdr:rowOff>0</xdr:rowOff>
    </xdr:from>
    <xdr:ext cx="95250" cy="171450"/>
    <xdr:sp macro="" textlink="">
      <xdr:nvSpPr>
        <xdr:cNvPr id="3212" name="Text Box 16">
          <a:extLst>
            <a:ext uri="{FF2B5EF4-FFF2-40B4-BE49-F238E27FC236}">
              <a16:creationId xmlns:a16="http://schemas.microsoft.com/office/drawing/2014/main" id="{00000000-0008-0000-0500-00008C0C0000}"/>
            </a:ext>
          </a:extLst>
        </xdr:cNvPr>
        <xdr:cNvSpPr txBox="1">
          <a:spLocks noChangeArrowheads="1"/>
        </xdr:cNvSpPr>
      </xdr:nvSpPr>
      <xdr:spPr bwMode="auto">
        <a:xfrm>
          <a:off x="12540961"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90</xdr:row>
      <xdr:rowOff>0</xdr:rowOff>
    </xdr:from>
    <xdr:ext cx="95250" cy="171450"/>
    <xdr:sp macro="" textlink="">
      <xdr:nvSpPr>
        <xdr:cNvPr id="3213" name="Text Box 17">
          <a:extLst>
            <a:ext uri="{FF2B5EF4-FFF2-40B4-BE49-F238E27FC236}">
              <a16:creationId xmlns:a16="http://schemas.microsoft.com/office/drawing/2014/main" id="{00000000-0008-0000-0500-00008D0C0000}"/>
            </a:ext>
          </a:extLst>
        </xdr:cNvPr>
        <xdr:cNvSpPr txBox="1">
          <a:spLocks noChangeArrowheads="1"/>
        </xdr:cNvSpPr>
      </xdr:nvSpPr>
      <xdr:spPr bwMode="auto">
        <a:xfrm>
          <a:off x="12540961"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90</xdr:row>
      <xdr:rowOff>0</xdr:rowOff>
    </xdr:from>
    <xdr:ext cx="95250" cy="171450"/>
    <xdr:sp macro="" textlink="">
      <xdr:nvSpPr>
        <xdr:cNvPr id="3214" name="Text Box 18">
          <a:extLst>
            <a:ext uri="{FF2B5EF4-FFF2-40B4-BE49-F238E27FC236}">
              <a16:creationId xmlns:a16="http://schemas.microsoft.com/office/drawing/2014/main" id="{00000000-0008-0000-0500-00008E0C0000}"/>
            </a:ext>
          </a:extLst>
        </xdr:cNvPr>
        <xdr:cNvSpPr txBox="1">
          <a:spLocks noChangeArrowheads="1"/>
        </xdr:cNvSpPr>
      </xdr:nvSpPr>
      <xdr:spPr bwMode="auto">
        <a:xfrm>
          <a:off x="12540961"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90</xdr:row>
      <xdr:rowOff>0</xdr:rowOff>
    </xdr:from>
    <xdr:ext cx="95250" cy="171450"/>
    <xdr:sp macro="" textlink="">
      <xdr:nvSpPr>
        <xdr:cNvPr id="3215" name="Text Box 16">
          <a:extLst>
            <a:ext uri="{FF2B5EF4-FFF2-40B4-BE49-F238E27FC236}">
              <a16:creationId xmlns:a16="http://schemas.microsoft.com/office/drawing/2014/main" id="{00000000-0008-0000-0500-00008F0C0000}"/>
            </a:ext>
          </a:extLst>
        </xdr:cNvPr>
        <xdr:cNvSpPr txBox="1">
          <a:spLocks noChangeArrowheads="1"/>
        </xdr:cNvSpPr>
      </xdr:nvSpPr>
      <xdr:spPr bwMode="auto">
        <a:xfrm>
          <a:off x="15388070"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90</xdr:row>
      <xdr:rowOff>0</xdr:rowOff>
    </xdr:from>
    <xdr:ext cx="95250" cy="171450"/>
    <xdr:sp macro="" textlink="">
      <xdr:nvSpPr>
        <xdr:cNvPr id="3216" name="Text Box 17">
          <a:extLst>
            <a:ext uri="{FF2B5EF4-FFF2-40B4-BE49-F238E27FC236}">
              <a16:creationId xmlns:a16="http://schemas.microsoft.com/office/drawing/2014/main" id="{00000000-0008-0000-0500-0000900C0000}"/>
            </a:ext>
          </a:extLst>
        </xdr:cNvPr>
        <xdr:cNvSpPr txBox="1">
          <a:spLocks noChangeArrowheads="1"/>
        </xdr:cNvSpPr>
      </xdr:nvSpPr>
      <xdr:spPr bwMode="auto">
        <a:xfrm>
          <a:off x="15388070"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90</xdr:row>
      <xdr:rowOff>0</xdr:rowOff>
    </xdr:from>
    <xdr:ext cx="95250" cy="171450"/>
    <xdr:sp macro="" textlink="">
      <xdr:nvSpPr>
        <xdr:cNvPr id="3217" name="Text Box 18">
          <a:extLst>
            <a:ext uri="{FF2B5EF4-FFF2-40B4-BE49-F238E27FC236}">
              <a16:creationId xmlns:a16="http://schemas.microsoft.com/office/drawing/2014/main" id="{00000000-0008-0000-0500-0000910C0000}"/>
            </a:ext>
          </a:extLst>
        </xdr:cNvPr>
        <xdr:cNvSpPr txBox="1">
          <a:spLocks noChangeArrowheads="1"/>
        </xdr:cNvSpPr>
      </xdr:nvSpPr>
      <xdr:spPr bwMode="auto">
        <a:xfrm>
          <a:off x="15388070"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90</xdr:row>
      <xdr:rowOff>0</xdr:rowOff>
    </xdr:from>
    <xdr:ext cx="95250" cy="171450"/>
    <xdr:sp macro="" textlink="">
      <xdr:nvSpPr>
        <xdr:cNvPr id="3218" name="Text Box 19">
          <a:extLst>
            <a:ext uri="{FF2B5EF4-FFF2-40B4-BE49-F238E27FC236}">
              <a16:creationId xmlns:a16="http://schemas.microsoft.com/office/drawing/2014/main" id="{00000000-0008-0000-0500-0000920C0000}"/>
            </a:ext>
          </a:extLst>
        </xdr:cNvPr>
        <xdr:cNvSpPr txBox="1">
          <a:spLocks noChangeArrowheads="1"/>
        </xdr:cNvSpPr>
      </xdr:nvSpPr>
      <xdr:spPr bwMode="auto">
        <a:xfrm>
          <a:off x="15388070"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90</xdr:row>
      <xdr:rowOff>0</xdr:rowOff>
    </xdr:from>
    <xdr:ext cx="95250" cy="171450"/>
    <xdr:sp macro="" textlink="">
      <xdr:nvSpPr>
        <xdr:cNvPr id="3219" name="Text Box 16">
          <a:extLst>
            <a:ext uri="{FF2B5EF4-FFF2-40B4-BE49-F238E27FC236}">
              <a16:creationId xmlns:a16="http://schemas.microsoft.com/office/drawing/2014/main" id="{00000000-0008-0000-0500-0000930C0000}"/>
            </a:ext>
          </a:extLst>
        </xdr:cNvPr>
        <xdr:cNvSpPr txBox="1">
          <a:spLocks noChangeArrowheads="1"/>
        </xdr:cNvSpPr>
      </xdr:nvSpPr>
      <xdr:spPr bwMode="auto">
        <a:xfrm>
          <a:off x="15388070"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90</xdr:row>
      <xdr:rowOff>0</xdr:rowOff>
    </xdr:from>
    <xdr:ext cx="95250" cy="171450"/>
    <xdr:sp macro="" textlink="">
      <xdr:nvSpPr>
        <xdr:cNvPr id="3220" name="Text Box 17">
          <a:extLst>
            <a:ext uri="{FF2B5EF4-FFF2-40B4-BE49-F238E27FC236}">
              <a16:creationId xmlns:a16="http://schemas.microsoft.com/office/drawing/2014/main" id="{00000000-0008-0000-0500-0000940C0000}"/>
            </a:ext>
          </a:extLst>
        </xdr:cNvPr>
        <xdr:cNvSpPr txBox="1">
          <a:spLocks noChangeArrowheads="1"/>
        </xdr:cNvSpPr>
      </xdr:nvSpPr>
      <xdr:spPr bwMode="auto">
        <a:xfrm>
          <a:off x="15388070"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90</xdr:row>
      <xdr:rowOff>0</xdr:rowOff>
    </xdr:from>
    <xdr:ext cx="95250" cy="171450"/>
    <xdr:sp macro="" textlink="">
      <xdr:nvSpPr>
        <xdr:cNvPr id="3221" name="Text Box 18">
          <a:extLst>
            <a:ext uri="{FF2B5EF4-FFF2-40B4-BE49-F238E27FC236}">
              <a16:creationId xmlns:a16="http://schemas.microsoft.com/office/drawing/2014/main" id="{00000000-0008-0000-0500-0000950C0000}"/>
            </a:ext>
          </a:extLst>
        </xdr:cNvPr>
        <xdr:cNvSpPr txBox="1">
          <a:spLocks noChangeArrowheads="1"/>
        </xdr:cNvSpPr>
      </xdr:nvSpPr>
      <xdr:spPr bwMode="auto">
        <a:xfrm>
          <a:off x="15388070"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10</xdr:col>
      <xdr:colOff>28575</xdr:colOff>
      <xdr:row>90</xdr:row>
      <xdr:rowOff>170392</xdr:rowOff>
    </xdr:from>
    <xdr:ext cx="95250" cy="213632"/>
    <xdr:sp macro="" textlink="">
      <xdr:nvSpPr>
        <xdr:cNvPr id="3222" name="Text Box 15">
          <a:extLst>
            <a:ext uri="{FF2B5EF4-FFF2-40B4-BE49-F238E27FC236}">
              <a16:creationId xmlns:a16="http://schemas.microsoft.com/office/drawing/2014/main" id="{00000000-0008-0000-0500-0000960C0000}"/>
            </a:ext>
          </a:extLst>
        </xdr:cNvPr>
        <xdr:cNvSpPr txBox="1">
          <a:spLocks noChangeArrowheads="1"/>
        </xdr:cNvSpPr>
      </xdr:nvSpPr>
      <xdr:spPr bwMode="auto">
        <a:xfrm>
          <a:off x="12578484" y="7270847"/>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90</xdr:row>
      <xdr:rowOff>0</xdr:rowOff>
    </xdr:from>
    <xdr:ext cx="95250" cy="171450"/>
    <xdr:sp macro="" textlink="">
      <xdr:nvSpPr>
        <xdr:cNvPr id="3223" name="Text Box 16">
          <a:extLst>
            <a:ext uri="{FF2B5EF4-FFF2-40B4-BE49-F238E27FC236}">
              <a16:creationId xmlns:a16="http://schemas.microsoft.com/office/drawing/2014/main" id="{00000000-0008-0000-0500-0000970C0000}"/>
            </a:ext>
          </a:extLst>
        </xdr:cNvPr>
        <xdr:cNvSpPr txBox="1">
          <a:spLocks noChangeArrowheads="1"/>
        </xdr:cNvSpPr>
      </xdr:nvSpPr>
      <xdr:spPr bwMode="auto">
        <a:xfrm>
          <a:off x="4664364"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90</xdr:row>
      <xdr:rowOff>0</xdr:rowOff>
    </xdr:from>
    <xdr:ext cx="95250" cy="171450"/>
    <xdr:sp macro="" textlink="">
      <xdr:nvSpPr>
        <xdr:cNvPr id="3224" name="Text Box 17">
          <a:extLst>
            <a:ext uri="{FF2B5EF4-FFF2-40B4-BE49-F238E27FC236}">
              <a16:creationId xmlns:a16="http://schemas.microsoft.com/office/drawing/2014/main" id="{00000000-0008-0000-0500-0000980C0000}"/>
            </a:ext>
          </a:extLst>
        </xdr:cNvPr>
        <xdr:cNvSpPr txBox="1">
          <a:spLocks noChangeArrowheads="1"/>
        </xdr:cNvSpPr>
      </xdr:nvSpPr>
      <xdr:spPr bwMode="auto">
        <a:xfrm>
          <a:off x="4664364"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90</xdr:row>
      <xdr:rowOff>0</xdr:rowOff>
    </xdr:from>
    <xdr:ext cx="95250" cy="171450"/>
    <xdr:sp macro="" textlink="">
      <xdr:nvSpPr>
        <xdr:cNvPr id="3225" name="Text Box 18">
          <a:extLst>
            <a:ext uri="{FF2B5EF4-FFF2-40B4-BE49-F238E27FC236}">
              <a16:creationId xmlns:a16="http://schemas.microsoft.com/office/drawing/2014/main" id="{00000000-0008-0000-0500-0000990C0000}"/>
            </a:ext>
          </a:extLst>
        </xdr:cNvPr>
        <xdr:cNvSpPr txBox="1">
          <a:spLocks noChangeArrowheads="1"/>
        </xdr:cNvSpPr>
      </xdr:nvSpPr>
      <xdr:spPr bwMode="auto">
        <a:xfrm>
          <a:off x="4664364"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90</xdr:row>
      <xdr:rowOff>0</xdr:rowOff>
    </xdr:from>
    <xdr:ext cx="95250" cy="171450"/>
    <xdr:sp macro="" textlink="">
      <xdr:nvSpPr>
        <xdr:cNvPr id="3226" name="Text Box 19">
          <a:extLst>
            <a:ext uri="{FF2B5EF4-FFF2-40B4-BE49-F238E27FC236}">
              <a16:creationId xmlns:a16="http://schemas.microsoft.com/office/drawing/2014/main" id="{00000000-0008-0000-0500-00009A0C0000}"/>
            </a:ext>
          </a:extLst>
        </xdr:cNvPr>
        <xdr:cNvSpPr txBox="1">
          <a:spLocks noChangeArrowheads="1"/>
        </xdr:cNvSpPr>
      </xdr:nvSpPr>
      <xdr:spPr bwMode="auto">
        <a:xfrm>
          <a:off x="4664364"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90</xdr:row>
      <xdr:rowOff>0</xdr:rowOff>
    </xdr:from>
    <xdr:ext cx="95250" cy="171450"/>
    <xdr:sp macro="" textlink="">
      <xdr:nvSpPr>
        <xdr:cNvPr id="3227" name="Text Box 16">
          <a:extLst>
            <a:ext uri="{FF2B5EF4-FFF2-40B4-BE49-F238E27FC236}">
              <a16:creationId xmlns:a16="http://schemas.microsoft.com/office/drawing/2014/main" id="{00000000-0008-0000-0500-00009B0C0000}"/>
            </a:ext>
          </a:extLst>
        </xdr:cNvPr>
        <xdr:cNvSpPr txBox="1">
          <a:spLocks noChangeArrowheads="1"/>
        </xdr:cNvSpPr>
      </xdr:nvSpPr>
      <xdr:spPr bwMode="auto">
        <a:xfrm>
          <a:off x="12540961"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90</xdr:row>
      <xdr:rowOff>0</xdr:rowOff>
    </xdr:from>
    <xdr:ext cx="95250" cy="171450"/>
    <xdr:sp macro="" textlink="">
      <xdr:nvSpPr>
        <xdr:cNvPr id="3228" name="Text Box 17">
          <a:extLst>
            <a:ext uri="{FF2B5EF4-FFF2-40B4-BE49-F238E27FC236}">
              <a16:creationId xmlns:a16="http://schemas.microsoft.com/office/drawing/2014/main" id="{00000000-0008-0000-0500-00009C0C0000}"/>
            </a:ext>
          </a:extLst>
        </xdr:cNvPr>
        <xdr:cNvSpPr txBox="1">
          <a:spLocks noChangeArrowheads="1"/>
        </xdr:cNvSpPr>
      </xdr:nvSpPr>
      <xdr:spPr bwMode="auto">
        <a:xfrm>
          <a:off x="12540961"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90</xdr:row>
      <xdr:rowOff>0</xdr:rowOff>
    </xdr:from>
    <xdr:ext cx="95250" cy="171450"/>
    <xdr:sp macro="" textlink="">
      <xdr:nvSpPr>
        <xdr:cNvPr id="3229" name="Text Box 18">
          <a:extLst>
            <a:ext uri="{FF2B5EF4-FFF2-40B4-BE49-F238E27FC236}">
              <a16:creationId xmlns:a16="http://schemas.microsoft.com/office/drawing/2014/main" id="{00000000-0008-0000-0500-00009D0C0000}"/>
            </a:ext>
          </a:extLst>
        </xdr:cNvPr>
        <xdr:cNvSpPr txBox="1">
          <a:spLocks noChangeArrowheads="1"/>
        </xdr:cNvSpPr>
      </xdr:nvSpPr>
      <xdr:spPr bwMode="auto">
        <a:xfrm>
          <a:off x="12540961"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90</xdr:row>
      <xdr:rowOff>0</xdr:rowOff>
    </xdr:from>
    <xdr:ext cx="95250" cy="171450"/>
    <xdr:sp macro="" textlink="">
      <xdr:nvSpPr>
        <xdr:cNvPr id="3230" name="Text Box 19">
          <a:extLst>
            <a:ext uri="{FF2B5EF4-FFF2-40B4-BE49-F238E27FC236}">
              <a16:creationId xmlns:a16="http://schemas.microsoft.com/office/drawing/2014/main" id="{00000000-0008-0000-0500-00009E0C0000}"/>
            </a:ext>
          </a:extLst>
        </xdr:cNvPr>
        <xdr:cNvSpPr txBox="1">
          <a:spLocks noChangeArrowheads="1"/>
        </xdr:cNvSpPr>
      </xdr:nvSpPr>
      <xdr:spPr bwMode="auto">
        <a:xfrm>
          <a:off x="12540961"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21</xdr:col>
      <xdr:colOff>0</xdr:colOff>
      <xdr:row>85</xdr:row>
      <xdr:rowOff>0</xdr:rowOff>
    </xdr:from>
    <xdr:ext cx="95250" cy="171450"/>
    <xdr:sp macro="" textlink="">
      <xdr:nvSpPr>
        <xdr:cNvPr id="3231" name="Text Box 16">
          <a:extLst>
            <a:ext uri="{FF2B5EF4-FFF2-40B4-BE49-F238E27FC236}">
              <a16:creationId xmlns:a16="http://schemas.microsoft.com/office/drawing/2014/main" id="{00000000-0008-0000-0500-00009F0C0000}"/>
            </a:ext>
          </a:extLst>
        </xdr:cNvPr>
        <xdr:cNvSpPr txBox="1">
          <a:spLocks noChangeArrowheads="1"/>
        </xdr:cNvSpPr>
      </xdr:nvSpPr>
      <xdr:spPr bwMode="auto">
        <a:xfrm>
          <a:off x="21832455" y="5992091"/>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21</xdr:col>
      <xdr:colOff>0</xdr:colOff>
      <xdr:row>85</xdr:row>
      <xdr:rowOff>0</xdr:rowOff>
    </xdr:from>
    <xdr:ext cx="95250" cy="171450"/>
    <xdr:sp macro="" textlink="">
      <xdr:nvSpPr>
        <xdr:cNvPr id="3232" name="Text Box 17">
          <a:extLst>
            <a:ext uri="{FF2B5EF4-FFF2-40B4-BE49-F238E27FC236}">
              <a16:creationId xmlns:a16="http://schemas.microsoft.com/office/drawing/2014/main" id="{00000000-0008-0000-0500-0000A00C0000}"/>
            </a:ext>
          </a:extLst>
        </xdr:cNvPr>
        <xdr:cNvSpPr txBox="1">
          <a:spLocks noChangeArrowheads="1"/>
        </xdr:cNvSpPr>
      </xdr:nvSpPr>
      <xdr:spPr bwMode="auto">
        <a:xfrm>
          <a:off x="21832455" y="5992091"/>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21</xdr:col>
      <xdr:colOff>0</xdr:colOff>
      <xdr:row>85</xdr:row>
      <xdr:rowOff>0</xdr:rowOff>
    </xdr:from>
    <xdr:ext cx="95250" cy="171450"/>
    <xdr:sp macro="" textlink="">
      <xdr:nvSpPr>
        <xdr:cNvPr id="3233" name="Text Box 18">
          <a:extLst>
            <a:ext uri="{FF2B5EF4-FFF2-40B4-BE49-F238E27FC236}">
              <a16:creationId xmlns:a16="http://schemas.microsoft.com/office/drawing/2014/main" id="{00000000-0008-0000-0500-0000A10C0000}"/>
            </a:ext>
          </a:extLst>
        </xdr:cNvPr>
        <xdr:cNvSpPr txBox="1">
          <a:spLocks noChangeArrowheads="1"/>
        </xdr:cNvSpPr>
      </xdr:nvSpPr>
      <xdr:spPr bwMode="auto">
        <a:xfrm>
          <a:off x="21832455" y="5992091"/>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21</xdr:col>
      <xdr:colOff>0</xdr:colOff>
      <xdr:row>85</xdr:row>
      <xdr:rowOff>0</xdr:rowOff>
    </xdr:from>
    <xdr:ext cx="95250" cy="171450"/>
    <xdr:sp macro="" textlink="">
      <xdr:nvSpPr>
        <xdr:cNvPr id="3234" name="Text Box 19">
          <a:extLst>
            <a:ext uri="{FF2B5EF4-FFF2-40B4-BE49-F238E27FC236}">
              <a16:creationId xmlns:a16="http://schemas.microsoft.com/office/drawing/2014/main" id="{00000000-0008-0000-0500-0000A20C0000}"/>
            </a:ext>
          </a:extLst>
        </xdr:cNvPr>
        <xdr:cNvSpPr txBox="1">
          <a:spLocks noChangeArrowheads="1"/>
        </xdr:cNvSpPr>
      </xdr:nvSpPr>
      <xdr:spPr bwMode="auto">
        <a:xfrm>
          <a:off x="21832455" y="5992091"/>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86</xdr:row>
      <xdr:rowOff>504825</xdr:rowOff>
    </xdr:from>
    <xdr:ext cx="95250" cy="444014"/>
    <xdr:sp macro="" textlink="">
      <xdr:nvSpPr>
        <xdr:cNvPr id="3235" name="Text Box 15">
          <a:extLst>
            <a:ext uri="{FF2B5EF4-FFF2-40B4-BE49-F238E27FC236}">
              <a16:creationId xmlns:a16="http://schemas.microsoft.com/office/drawing/2014/main" id="{00000000-0008-0000-0500-0000A30C0000}"/>
            </a:ext>
          </a:extLst>
        </xdr:cNvPr>
        <xdr:cNvSpPr txBox="1">
          <a:spLocks noChangeArrowheads="1"/>
        </xdr:cNvSpPr>
      </xdr:nvSpPr>
      <xdr:spPr bwMode="auto">
        <a:xfrm>
          <a:off x="4664364" y="6733020"/>
          <a:ext cx="95250" cy="444014"/>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90</xdr:row>
      <xdr:rowOff>0</xdr:rowOff>
    </xdr:from>
    <xdr:ext cx="95250" cy="171450"/>
    <xdr:sp macro="" textlink="">
      <xdr:nvSpPr>
        <xdr:cNvPr id="3236" name="Text Box 16">
          <a:extLst>
            <a:ext uri="{FF2B5EF4-FFF2-40B4-BE49-F238E27FC236}">
              <a16:creationId xmlns:a16="http://schemas.microsoft.com/office/drawing/2014/main" id="{00000000-0008-0000-0500-0000A40C0000}"/>
            </a:ext>
          </a:extLst>
        </xdr:cNvPr>
        <xdr:cNvSpPr txBox="1">
          <a:spLocks noChangeArrowheads="1"/>
        </xdr:cNvSpPr>
      </xdr:nvSpPr>
      <xdr:spPr bwMode="auto">
        <a:xfrm>
          <a:off x="4664364"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90</xdr:row>
      <xdr:rowOff>0</xdr:rowOff>
    </xdr:from>
    <xdr:ext cx="95250" cy="171450"/>
    <xdr:sp macro="" textlink="">
      <xdr:nvSpPr>
        <xdr:cNvPr id="3237" name="Text Box 17">
          <a:extLst>
            <a:ext uri="{FF2B5EF4-FFF2-40B4-BE49-F238E27FC236}">
              <a16:creationId xmlns:a16="http://schemas.microsoft.com/office/drawing/2014/main" id="{00000000-0008-0000-0500-0000A50C0000}"/>
            </a:ext>
          </a:extLst>
        </xdr:cNvPr>
        <xdr:cNvSpPr txBox="1">
          <a:spLocks noChangeArrowheads="1"/>
        </xdr:cNvSpPr>
      </xdr:nvSpPr>
      <xdr:spPr bwMode="auto">
        <a:xfrm>
          <a:off x="4664364"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90</xdr:row>
      <xdr:rowOff>0</xdr:rowOff>
    </xdr:from>
    <xdr:ext cx="95250" cy="171450"/>
    <xdr:sp macro="" textlink="">
      <xdr:nvSpPr>
        <xdr:cNvPr id="3238" name="Text Box 18">
          <a:extLst>
            <a:ext uri="{FF2B5EF4-FFF2-40B4-BE49-F238E27FC236}">
              <a16:creationId xmlns:a16="http://schemas.microsoft.com/office/drawing/2014/main" id="{00000000-0008-0000-0500-0000A60C0000}"/>
            </a:ext>
          </a:extLst>
        </xdr:cNvPr>
        <xdr:cNvSpPr txBox="1">
          <a:spLocks noChangeArrowheads="1"/>
        </xdr:cNvSpPr>
      </xdr:nvSpPr>
      <xdr:spPr bwMode="auto">
        <a:xfrm>
          <a:off x="4664364"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90</xdr:row>
      <xdr:rowOff>0</xdr:rowOff>
    </xdr:from>
    <xdr:ext cx="95250" cy="171450"/>
    <xdr:sp macro="" textlink="">
      <xdr:nvSpPr>
        <xdr:cNvPr id="3239" name="Text Box 19">
          <a:extLst>
            <a:ext uri="{FF2B5EF4-FFF2-40B4-BE49-F238E27FC236}">
              <a16:creationId xmlns:a16="http://schemas.microsoft.com/office/drawing/2014/main" id="{00000000-0008-0000-0500-0000A70C0000}"/>
            </a:ext>
          </a:extLst>
        </xdr:cNvPr>
        <xdr:cNvSpPr txBox="1">
          <a:spLocks noChangeArrowheads="1"/>
        </xdr:cNvSpPr>
      </xdr:nvSpPr>
      <xdr:spPr bwMode="auto">
        <a:xfrm>
          <a:off x="4664364"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90</xdr:row>
      <xdr:rowOff>0</xdr:rowOff>
    </xdr:from>
    <xdr:ext cx="95250" cy="171450"/>
    <xdr:sp macro="" textlink="">
      <xdr:nvSpPr>
        <xdr:cNvPr id="3240" name="Text Box 16">
          <a:extLst>
            <a:ext uri="{FF2B5EF4-FFF2-40B4-BE49-F238E27FC236}">
              <a16:creationId xmlns:a16="http://schemas.microsoft.com/office/drawing/2014/main" id="{00000000-0008-0000-0500-0000A80C0000}"/>
            </a:ext>
          </a:extLst>
        </xdr:cNvPr>
        <xdr:cNvSpPr txBox="1">
          <a:spLocks noChangeArrowheads="1"/>
        </xdr:cNvSpPr>
      </xdr:nvSpPr>
      <xdr:spPr bwMode="auto">
        <a:xfrm>
          <a:off x="12540961"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90</xdr:row>
      <xdr:rowOff>0</xdr:rowOff>
    </xdr:from>
    <xdr:ext cx="95250" cy="171450"/>
    <xdr:sp macro="" textlink="">
      <xdr:nvSpPr>
        <xdr:cNvPr id="3241" name="Text Box 17">
          <a:extLst>
            <a:ext uri="{FF2B5EF4-FFF2-40B4-BE49-F238E27FC236}">
              <a16:creationId xmlns:a16="http://schemas.microsoft.com/office/drawing/2014/main" id="{00000000-0008-0000-0500-0000A90C0000}"/>
            </a:ext>
          </a:extLst>
        </xdr:cNvPr>
        <xdr:cNvSpPr txBox="1">
          <a:spLocks noChangeArrowheads="1"/>
        </xdr:cNvSpPr>
      </xdr:nvSpPr>
      <xdr:spPr bwMode="auto">
        <a:xfrm>
          <a:off x="12540961"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1020762</xdr:colOff>
      <xdr:row>90</xdr:row>
      <xdr:rowOff>15875</xdr:rowOff>
    </xdr:from>
    <xdr:ext cx="95250" cy="171450"/>
    <xdr:sp macro="" textlink="">
      <xdr:nvSpPr>
        <xdr:cNvPr id="3242" name="Text Box 18">
          <a:extLst>
            <a:ext uri="{FF2B5EF4-FFF2-40B4-BE49-F238E27FC236}">
              <a16:creationId xmlns:a16="http://schemas.microsoft.com/office/drawing/2014/main" id="{00000000-0008-0000-0500-0000AA0C0000}"/>
            </a:ext>
          </a:extLst>
        </xdr:cNvPr>
        <xdr:cNvSpPr txBox="1">
          <a:spLocks noChangeArrowheads="1"/>
        </xdr:cNvSpPr>
      </xdr:nvSpPr>
      <xdr:spPr bwMode="auto">
        <a:xfrm>
          <a:off x="12485398" y="7116330"/>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90</xdr:row>
      <xdr:rowOff>0</xdr:rowOff>
    </xdr:from>
    <xdr:ext cx="95250" cy="171450"/>
    <xdr:sp macro="" textlink="">
      <xdr:nvSpPr>
        <xdr:cNvPr id="3243" name="Text Box 16">
          <a:extLst>
            <a:ext uri="{FF2B5EF4-FFF2-40B4-BE49-F238E27FC236}">
              <a16:creationId xmlns:a16="http://schemas.microsoft.com/office/drawing/2014/main" id="{00000000-0008-0000-0500-0000AB0C0000}"/>
            </a:ext>
          </a:extLst>
        </xdr:cNvPr>
        <xdr:cNvSpPr txBox="1">
          <a:spLocks noChangeArrowheads="1"/>
        </xdr:cNvSpPr>
      </xdr:nvSpPr>
      <xdr:spPr bwMode="auto">
        <a:xfrm>
          <a:off x="15388070"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90</xdr:row>
      <xdr:rowOff>0</xdr:rowOff>
    </xdr:from>
    <xdr:ext cx="95250" cy="171450"/>
    <xdr:sp macro="" textlink="">
      <xdr:nvSpPr>
        <xdr:cNvPr id="3244" name="Text Box 17">
          <a:extLst>
            <a:ext uri="{FF2B5EF4-FFF2-40B4-BE49-F238E27FC236}">
              <a16:creationId xmlns:a16="http://schemas.microsoft.com/office/drawing/2014/main" id="{00000000-0008-0000-0500-0000AC0C0000}"/>
            </a:ext>
          </a:extLst>
        </xdr:cNvPr>
        <xdr:cNvSpPr txBox="1">
          <a:spLocks noChangeArrowheads="1"/>
        </xdr:cNvSpPr>
      </xdr:nvSpPr>
      <xdr:spPr bwMode="auto">
        <a:xfrm>
          <a:off x="15388070"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90</xdr:row>
      <xdr:rowOff>0</xdr:rowOff>
    </xdr:from>
    <xdr:ext cx="95250" cy="171450"/>
    <xdr:sp macro="" textlink="">
      <xdr:nvSpPr>
        <xdr:cNvPr id="3245" name="Text Box 18">
          <a:extLst>
            <a:ext uri="{FF2B5EF4-FFF2-40B4-BE49-F238E27FC236}">
              <a16:creationId xmlns:a16="http://schemas.microsoft.com/office/drawing/2014/main" id="{00000000-0008-0000-0500-0000AD0C0000}"/>
            </a:ext>
          </a:extLst>
        </xdr:cNvPr>
        <xdr:cNvSpPr txBox="1">
          <a:spLocks noChangeArrowheads="1"/>
        </xdr:cNvSpPr>
      </xdr:nvSpPr>
      <xdr:spPr bwMode="auto">
        <a:xfrm>
          <a:off x="15388070"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90</xdr:row>
      <xdr:rowOff>0</xdr:rowOff>
    </xdr:from>
    <xdr:ext cx="95250" cy="171450"/>
    <xdr:sp macro="" textlink="">
      <xdr:nvSpPr>
        <xdr:cNvPr id="3246" name="Text Box 19">
          <a:extLst>
            <a:ext uri="{FF2B5EF4-FFF2-40B4-BE49-F238E27FC236}">
              <a16:creationId xmlns:a16="http://schemas.microsoft.com/office/drawing/2014/main" id="{00000000-0008-0000-0500-0000AE0C0000}"/>
            </a:ext>
          </a:extLst>
        </xdr:cNvPr>
        <xdr:cNvSpPr txBox="1">
          <a:spLocks noChangeArrowheads="1"/>
        </xdr:cNvSpPr>
      </xdr:nvSpPr>
      <xdr:spPr bwMode="auto">
        <a:xfrm>
          <a:off x="15388070"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90</xdr:row>
      <xdr:rowOff>0</xdr:rowOff>
    </xdr:from>
    <xdr:ext cx="95250" cy="171450"/>
    <xdr:sp macro="" textlink="">
      <xdr:nvSpPr>
        <xdr:cNvPr id="3247" name="Text Box 16">
          <a:extLst>
            <a:ext uri="{FF2B5EF4-FFF2-40B4-BE49-F238E27FC236}">
              <a16:creationId xmlns:a16="http://schemas.microsoft.com/office/drawing/2014/main" id="{00000000-0008-0000-0500-0000AF0C0000}"/>
            </a:ext>
          </a:extLst>
        </xdr:cNvPr>
        <xdr:cNvSpPr txBox="1">
          <a:spLocks noChangeArrowheads="1"/>
        </xdr:cNvSpPr>
      </xdr:nvSpPr>
      <xdr:spPr bwMode="auto">
        <a:xfrm>
          <a:off x="15388070"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10</xdr:col>
      <xdr:colOff>28575</xdr:colOff>
      <xdr:row>90</xdr:row>
      <xdr:rowOff>170392</xdr:rowOff>
    </xdr:from>
    <xdr:ext cx="95250" cy="213632"/>
    <xdr:sp macro="" textlink="">
      <xdr:nvSpPr>
        <xdr:cNvPr id="3248" name="Text Box 15">
          <a:extLst>
            <a:ext uri="{FF2B5EF4-FFF2-40B4-BE49-F238E27FC236}">
              <a16:creationId xmlns:a16="http://schemas.microsoft.com/office/drawing/2014/main" id="{00000000-0008-0000-0500-0000B00C0000}"/>
            </a:ext>
          </a:extLst>
        </xdr:cNvPr>
        <xdr:cNvSpPr txBox="1">
          <a:spLocks noChangeArrowheads="1"/>
        </xdr:cNvSpPr>
      </xdr:nvSpPr>
      <xdr:spPr bwMode="auto">
        <a:xfrm>
          <a:off x="12578484" y="7270847"/>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90</xdr:row>
      <xdr:rowOff>504825</xdr:rowOff>
    </xdr:from>
    <xdr:ext cx="95250" cy="448496"/>
    <xdr:sp macro="" textlink="">
      <xdr:nvSpPr>
        <xdr:cNvPr id="3249" name="Text Box 15">
          <a:extLst>
            <a:ext uri="{FF2B5EF4-FFF2-40B4-BE49-F238E27FC236}">
              <a16:creationId xmlns:a16="http://schemas.microsoft.com/office/drawing/2014/main" id="{00000000-0008-0000-0500-0000B10C0000}"/>
            </a:ext>
          </a:extLst>
        </xdr:cNvPr>
        <xdr:cNvSpPr txBox="1">
          <a:spLocks noChangeArrowheads="1"/>
        </xdr:cNvSpPr>
      </xdr:nvSpPr>
      <xdr:spPr bwMode="auto">
        <a:xfrm>
          <a:off x="4664364" y="5994111"/>
          <a:ext cx="95250" cy="448496"/>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90</xdr:row>
      <xdr:rowOff>504825</xdr:rowOff>
    </xdr:from>
    <xdr:ext cx="95250" cy="442269"/>
    <xdr:sp macro="" textlink="">
      <xdr:nvSpPr>
        <xdr:cNvPr id="3250" name="Text Box 15">
          <a:extLst>
            <a:ext uri="{FF2B5EF4-FFF2-40B4-BE49-F238E27FC236}">
              <a16:creationId xmlns:a16="http://schemas.microsoft.com/office/drawing/2014/main" id="{00000000-0008-0000-0500-0000B20C0000}"/>
            </a:ext>
          </a:extLst>
        </xdr:cNvPr>
        <xdr:cNvSpPr txBox="1">
          <a:spLocks noChangeArrowheads="1"/>
        </xdr:cNvSpPr>
      </xdr:nvSpPr>
      <xdr:spPr bwMode="auto">
        <a:xfrm>
          <a:off x="12540961" y="5994111"/>
          <a:ext cx="95250" cy="442269"/>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21</xdr:col>
      <xdr:colOff>0</xdr:colOff>
      <xdr:row>90</xdr:row>
      <xdr:rowOff>504825</xdr:rowOff>
    </xdr:from>
    <xdr:ext cx="95250" cy="442269"/>
    <xdr:sp macro="" textlink="">
      <xdr:nvSpPr>
        <xdr:cNvPr id="3251" name="Text Box 15">
          <a:extLst>
            <a:ext uri="{FF2B5EF4-FFF2-40B4-BE49-F238E27FC236}">
              <a16:creationId xmlns:a16="http://schemas.microsoft.com/office/drawing/2014/main" id="{00000000-0008-0000-0500-0000B30C0000}"/>
            </a:ext>
          </a:extLst>
        </xdr:cNvPr>
        <xdr:cNvSpPr txBox="1">
          <a:spLocks noChangeArrowheads="1"/>
        </xdr:cNvSpPr>
      </xdr:nvSpPr>
      <xdr:spPr bwMode="auto">
        <a:xfrm>
          <a:off x="21832455" y="5994111"/>
          <a:ext cx="95250" cy="442269"/>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90</xdr:row>
      <xdr:rowOff>504825</xdr:rowOff>
    </xdr:from>
    <xdr:ext cx="95250" cy="213632"/>
    <xdr:sp macro="" textlink="">
      <xdr:nvSpPr>
        <xdr:cNvPr id="3252" name="Text Box 15">
          <a:extLst>
            <a:ext uri="{FF2B5EF4-FFF2-40B4-BE49-F238E27FC236}">
              <a16:creationId xmlns:a16="http://schemas.microsoft.com/office/drawing/2014/main" id="{00000000-0008-0000-0500-0000B40C0000}"/>
            </a:ext>
          </a:extLst>
        </xdr:cNvPr>
        <xdr:cNvSpPr txBox="1">
          <a:spLocks noChangeArrowheads="1"/>
        </xdr:cNvSpPr>
      </xdr:nvSpPr>
      <xdr:spPr bwMode="auto">
        <a:xfrm>
          <a:off x="4664364" y="5994111"/>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90</xdr:row>
      <xdr:rowOff>504825</xdr:rowOff>
    </xdr:from>
    <xdr:ext cx="95250" cy="444331"/>
    <xdr:sp macro="" textlink="">
      <xdr:nvSpPr>
        <xdr:cNvPr id="3253" name="Text Box 15">
          <a:extLst>
            <a:ext uri="{FF2B5EF4-FFF2-40B4-BE49-F238E27FC236}">
              <a16:creationId xmlns:a16="http://schemas.microsoft.com/office/drawing/2014/main" id="{00000000-0008-0000-0500-0000B50C0000}"/>
            </a:ext>
          </a:extLst>
        </xdr:cNvPr>
        <xdr:cNvSpPr txBox="1">
          <a:spLocks noChangeArrowheads="1"/>
        </xdr:cNvSpPr>
      </xdr:nvSpPr>
      <xdr:spPr bwMode="auto">
        <a:xfrm>
          <a:off x="4664364" y="5994111"/>
          <a:ext cx="95250" cy="444331"/>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10</xdr:col>
      <xdr:colOff>28575</xdr:colOff>
      <xdr:row>90</xdr:row>
      <xdr:rowOff>170392</xdr:rowOff>
    </xdr:from>
    <xdr:ext cx="95250" cy="213632"/>
    <xdr:sp macro="" textlink="">
      <xdr:nvSpPr>
        <xdr:cNvPr id="3254" name="Text Box 15">
          <a:extLst>
            <a:ext uri="{FF2B5EF4-FFF2-40B4-BE49-F238E27FC236}">
              <a16:creationId xmlns:a16="http://schemas.microsoft.com/office/drawing/2014/main" id="{00000000-0008-0000-0500-0000B60C0000}"/>
            </a:ext>
          </a:extLst>
        </xdr:cNvPr>
        <xdr:cNvSpPr txBox="1">
          <a:spLocks noChangeArrowheads="1"/>
        </xdr:cNvSpPr>
      </xdr:nvSpPr>
      <xdr:spPr bwMode="auto">
        <a:xfrm>
          <a:off x="12578484" y="5793028"/>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96</xdr:row>
      <xdr:rowOff>0</xdr:rowOff>
    </xdr:from>
    <xdr:ext cx="95250" cy="171450"/>
    <xdr:sp macro="" textlink="">
      <xdr:nvSpPr>
        <xdr:cNvPr id="3255" name="Text Box 16">
          <a:extLst>
            <a:ext uri="{FF2B5EF4-FFF2-40B4-BE49-F238E27FC236}">
              <a16:creationId xmlns:a16="http://schemas.microsoft.com/office/drawing/2014/main" id="{00000000-0008-0000-0500-0000B70C0000}"/>
            </a:ext>
          </a:extLst>
        </xdr:cNvPr>
        <xdr:cNvSpPr txBox="1">
          <a:spLocks noChangeArrowheads="1"/>
        </xdr:cNvSpPr>
      </xdr:nvSpPr>
      <xdr:spPr bwMode="auto">
        <a:xfrm>
          <a:off x="4664364"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96</xdr:row>
      <xdr:rowOff>0</xdr:rowOff>
    </xdr:from>
    <xdr:ext cx="95250" cy="171450"/>
    <xdr:sp macro="" textlink="">
      <xdr:nvSpPr>
        <xdr:cNvPr id="3256" name="Text Box 17">
          <a:extLst>
            <a:ext uri="{FF2B5EF4-FFF2-40B4-BE49-F238E27FC236}">
              <a16:creationId xmlns:a16="http://schemas.microsoft.com/office/drawing/2014/main" id="{00000000-0008-0000-0500-0000B80C0000}"/>
            </a:ext>
          </a:extLst>
        </xdr:cNvPr>
        <xdr:cNvSpPr txBox="1">
          <a:spLocks noChangeArrowheads="1"/>
        </xdr:cNvSpPr>
      </xdr:nvSpPr>
      <xdr:spPr bwMode="auto">
        <a:xfrm>
          <a:off x="4664364"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96</xdr:row>
      <xdr:rowOff>0</xdr:rowOff>
    </xdr:from>
    <xdr:ext cx="95250" cy="171450"/>
    <xdr:sp macro="" textlink="">
      <xdr:nvSpPr>
        <xdr:cNvPr id="3257" name="Text Box 18">
          <a:extLst>
            <a:ext uri="{FF2B5EF4-FFF2-40B4-BE49-F238E27FC236}">
              <a16:creationId xmlns:a16="http://schemas.microsoft.com/office/drawing/2014/main" id="{00000000-0008-0000-0500-0000B90C0000}"/>
            </a:ext>
          </a:extLst>
        </xdr:cNvPr>
        <xdr:cNvSpPr txBox="1">
          <a:spLocks noChangeArrowheads="1"/>
        </xdr:cNvSpPr>
      </xdr:nvSpPr>
      <xdr:spPr bwMode="auto">
        <a:xfrm>
          <a:off x="4664364"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96</xdr:row>
      <xdr:rowOff>0</xdr:rowOff>
    </xdr:from>
    <xdr:ext cx="95250" cy="171450"/>
    <xdr:sp macro="" textlink="">
      <xdr:nvSpPr>
        <xdr:cNvPr id="3258" name="Text Box 19">
          <a:extLst>
            <a:ext uri="{FF2B5EF4-FFF2-40B4-BE49-F238E27FC236}">
              <a16:creationId xmlns:a16="http://schemas.microsoft.com/office/drawing/2014/main" id="{00000000-0008-0000-0500-0000BA0C0000}"/>
            </a:ext>
          </a:extLst>
        </xdr:cNvPr>
        <xdr:cNvSpPr txBox="1">
          <a:spLocks noChangeArrowheads="1"/>
        </xdr:cNvSpPr>
      </xdr:nvSpPr>
      <xdr:spPr bwMode="auto">
        <a:xfrm>
          <a:off x="4664364"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96</xdr:row>
      <xdr:rowOff>0</xdr:rowOff>
    </xdr:from>
    <xdr:ext cx="95250" cy="171450"/>
    <xdr:sp macro="" textlink="">
      <xdr:nvSpPr>
        <xdr:cNvPr id="3259" name="Text Box 16">
          <a:extLst>
            <a:ext uri="{FF2B5EF4-FFF2-40B4-BE49-F238E27FC236}">
              <a16:creationId xmlns:a16="http://schemas.microsoft.com/office/drawing/2014/main" id="{00000000-0008-0000-0500-0000BB0C0000}"/>
            </a:ext>
          </a:extLst>
        </xdr:cNvPr>
        <xdr:cNvSpPr txBox="1">
          <a:spLocks noChangeArrowheads="1"/>
        </xdr:cNvSpPr>
      </xdr:nvSpPr>
      <xdr:spPr bwMode="auto">
        <a:xfrm>
          <a:off x="12540961"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96</xdr:row>
      <xdr:rowOff>0</xdr:rowOff>
    </xdr:from>
    <xdr:ext cx="95250" cy="171450"/>
    <xdr:sp macro="" textlink="">
      <xdr:nvSpPr>
        <xdr:cNvPr id="3260" name="Text Box 17">
          <a:extLst>
            <a:ext uri="{FF2B5EF4-FFF2-40B4-BE49-F238E27FC236}">
              <a16:creationId xmlns:a16="http://schemas.microsoft.com/office/drawing/2014/main" id="{00000000-0008-0000-0500-0000BC0C0000}"/>
            </a:ext>
          </a:extLst>
        </xdr:cNvPr>
        <xdr:cNvSpPr txBox="1">
          <a:spLocks noChangeArrowheads="1"/>
        </xdr:cNvSpPr>
      </xdr:nvSpPr>
      <xdr:spPr bwMode="auto">
        <a:xfrm>
          <a:off x="12540961"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96</xdr:row>
      <xdr:rowOff>0</xdr:rowOff>
    </xdr:from>
    <xdr:ext cx="95250" cy="171450"/>
    <xdr:sp macro="" textlink="">
      <xdr:nvSpPr>
        <xdr:cNvPr id="3261" name="Text Box 18">
          <a:extLst>
            <a:ext uri="{FF2B5EF4-FFF2-40B4-BE49-F238E27FC236}">
              <a16:creationId xmlns:a16="http://schemas.microsoft.com/office/drawing/2014/main" id="{00000000-0008-0000-0500-0000BD0C0000}"/>
            </a:ext>
          </a:extLst>
        </xdr:cNvPr>
        <xdr:cNvSpPr txBox="1">
          <a:spLocks noChangeArrowheads="1"/>
        </xdr:cNvSpPr>
      </xdr:nvSpPr>
      <xdr:spPr bwMode="auto">
        <a:xfrm>
          <a:off x="12540961"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96</xdr:row>
      <xdr:rowOff>0</xdr:rowOff>
    </xdr:from>
    <xdr:ext cx="95250" cy="171450"/>
    <xdr:sp macro="" textlink="">
      <xdr:nvSpPr>
        <xdr:cNvPr id="3262" name="Text Box 19">
          <a:extLst>
            <a:ext uri="{FF2B5EF4-FFF2-40B4-BE49-F238E27FC236}">
              <a16:creationId xmlns:a16="http://schemas.microsoft.com/office/drawing/2014/main" id="{00000000-0008-0000-0500-0000BE0C0000}"/>
            </a:ext>
          </a:extLst>
        </xdr:cNvPr>
        <xdr:cNvSpPr txBox="1">
          <a:spLocks noChangeArrowheads="1"/>
        </xdr:cNvSpPr>
      </xdr:nvSpPr>
      <xdr:spPr bwMode="auto">
        <a:xfrm>
          <a:off x="12540961"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21</xdr:col>
      <xdr:colOff>0</xdr:colOff>
      <xdr:row>96</xdr:row>
      <xdr:rowOff>0</xdr:rowOff>
    </xdr:from>
    <xdr:ext cx="95250" cy="171450"/>
    <xdr:sp macro="" textlink="">
      <xdr:nvSpPr>
        <xdr:cNvPr id="3263" name="Text Box 16">
          <a:extLst>
            <a:ext uri="{FF2B5EF4-FFF2-40B4-BE49-F238E27FC236}">
              <a16:creationId xmlns:a16="http://schemas.microsoft.com/office/drawing/2014/main" id="{00000000-0008-0000-0500-0000BF0C0000}"/>
            </a:ext>
          </a:extLst>
        </xdr:cNvPr>
        <xdr:cNvSpPr txBox="1">
          <a:spLocks noChangeArrowheads="1"/>
        </xdr:cNvSpPr>
      </xdr:nvSpPr>
      <xdr:spPr bwMode="auto">
        <a:xfrm>
          <a:off x="21832455"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21</xdr:col>
      <xdr:colOff>0</xdr:colOff>
      <xdr:row>96</xdr:row>
      <xdr:rowOff>0</xdr:rowOff>
    </xdr:from>
    <xdr:ext cx="95250" cy="171450"/>
    <xdr:sp macro="" textlink="">
      <xdr:nvSpPr>
        <xdr:cNvPr id="3264" name="Text Box 17">
          <a:extLst>
            <a:ext uri="{FF2B5EF4-FFF2-40B4-BE49-F238E27FC236}">
              <a16:creationId xmlns:a16="http://schemas.microsoft.com/office/drawing/2014/main" id="{00000000-0008-0000-0500-0000C00C0000}"/>
            </a:ext>
          </a:extLst>
        </xdr:cNvPr>
        <xdr:cNvSpPr txBox="1">
          <a:spLocks noChangeArrowheads="1"/>
        </xdr:cNvSpPr>
      </xdr:nvSpPr>
      <xdr:spPr bwMode="auto">
        <a:xfrm>
          <a:off x="21832455"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21</xdr:col>
      <xdr:colOff>0</xdr:colOff>
      <xdr:row>96</xdr:row>
      <xdr:rowOff>0</xdr:rowOff>
    </xdr:from>
    <xdr:ext cx="95250" cy="171450"/>
    <xdr:sp macro="" textlink="">
      <xdr:nvSpPr>
        <xdr:cNvPr id="3265" name="Text Box 18">
          <a:extLst>
            <a:ext uri="{FF2B5EF4-FFF2-40B4-BE49-F238E27FC236}">
              <a16:creationId xmlns:a16="http://schemas.microsoft.com/office/drawing/2014/main" id="{00000000-0008-0000-0500-0000C10C0000}"/>
            </a:ext>
          </a:extLst>
        </xdr:cNvPr>
        <xdr:cNvSpPr txBox="1">
          <a:spLocks noChangeArrowheads="1"/>
        </xdr:cNvSpPr>
      </xdr:nvSpPr>
      <xdr:spPr bwMode="auto">
        <a:xfrm>
          <a:off x="21832455"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21</xdr:col>
      <xdr:colOff>0</xdr:colOff>
      <xdr:row>96</xdr:row>
      <xdr:rowOff>0</xdr:rowOff>
    </xdr:from>
    <xdr:ext cx="95250" cy="171450"/>
    <xdr:sp macro="" textlink="">
      <xdr:nvSpPr>
        <xdr:cNvPr id="3266" name="Text Box 19">
          <a:extLst>
            <a:ext uri="{FF2B5EF4-FFF2-40B4-BE49-F238E27FC236}">
              <a16:creationId xmlns:a16="http://schemas.microsoft.com/office/drawing/2014/main" id="{00000000-0008-0000-0500-0000C20C0000}"/>
            </a:ext>
          </a:extLst>
        </xdr:cNvPr>
        <xdr:cNvSpPr txBox="1">
          <a:spLocks noChangeArrowheads="1"/>
        </xdr:cNvSpPr>
      </xdr:nvSpPr>
      <xdr:spPr bwMode="auto">
        <a:xfrm>
          <a:off x="21832455"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92</xdr:row>
      <xdr:rowOff>504825</xdr:rowOff>
    </xdr:from>
    <xdr:ext cx="95250" cy="444014"/>
    <xdr:sp macro="" textlink="">
      <xdr:nvSpPr>
        <xdr:cNvPr id="3267" name="Text Box 15">
          <a:extLst>
            <a:ext uri="{FF2B5EF4-FFF2-40B4-BE49-F238E27FC236}">
              <a16:creationId xmlns:a16="http://schemas.microsoft.com/office/drawing/2014/main" id="{00000000-0008-0000-0500-0000C30C0000}"/>
            </a:ext>
          </a:extLst>
        </xdr:cNvPr>
        <xdr:cNvSpPr txBox="1">
          <a:spLocks noChangeArrowheads="1"/>
        </xdr:cNvSpPr>
      </xdr:nvSpPr>
      <xdr:spPr bwMode="auto">
        <a:xfrm>
          <a:off x="4664364" y="6733020"/>
          <a:ext cx="95250" cy="444014"/>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96</xdr:row>
      <xdr:rowOff>0</xdr:rowOff>
    </xdr:from>
    <xdr:ext cx="95250" cy="171450"/>
    <xdr:sp macro="" textlink="">
      <xdr:nvSpPr>
        <xdr:cNvPr id="3268" name="Text Box 16">
          <a:extLst>
            <a:ext uri="{FF2B5EF4-FFF2-40B4-BE49-F238E27FC236}">
              <a16:creationId xmlns:a16="http://schemas.microsoft.com/office/drawing/2014/main" id="{00000000-0008-0000-0500-0000C40C0000}"/>
            </a:ext>
          </a:extLst>
        </xdr:cNvPr>
        <xdr:cNvSpPr txBox="1">
          <a:spLocks noChangeArrowheads="1"/>
        </xdr:cNvSpPr>
      </xdr:nvSpPr>
      <xdr:spPr bwMode="auto">
        <a:xfrm>
          <a:off x="4664364"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96</xdr:row>
      <xdr:rowOff>0</xdr:rowOff>
    </xdr:from>
    <xdr:ext cx="95250" cy="171450"/>
    <xdr:sp macro="" textlink="">
      <xdr:nvSpPr>
        <xdr:cNvPr id="3269" name="Text Box 17">
          <a:extLst>
            <a:ext uri="{FF2B5EF4-FFF2-40B4-BE49-F238E27FC236}">
              <a16:creationId xmlns:a16="http://schemas.microsoft.com/office/drawing/2014/main" id="{00000000-0008-0000-0500-0000C50C0000}"/>
            </a:ext>
          </a:extLst>
        </xdr:cNvPr>
        <xdr:cNvSpPr txBox="1">
          <a:spLocks noChangeArrowheads="1"/>
        </xdr:cNvSpPr>
      </xdr:nvSpPr>
      <xdr:spPr bwMode="auto">
        <a:xfrm>
          <a:off x="4664364"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96</xdr:row>
      <xdr:rowOff>0</xdr:rowOff>
    </xdr:from>
    <xdr:ext cx="95250" cy="171450"/>
    <xdr:sp macro="" textlink="">
      <xdr:nvSpPr>
        <xdr:cNvPr id="3270" name="Text Box 18">
          <a:extLst>
            <a:ext uri="{FF2B5EF4-FFF2-40B4-BE49-F238E27FC236}">
              <a16:creationId xmlns:a16="http://schemas.microsoft.com/office/drawing/2014/main" id="{00000000-0008-0000-0500-0000C60C0000}"/>
            </a:ext>
          </a:extLst>
        </xdr:cNvPr>
        <xdr:cNvSpPr txBox="1">
          <a:spLocks noChangeArrowheads="1"/>
        </xdr:cNvSpPr>
      </xdr:nvSpPr>
      <xdr:spPr bwMode="auto">
        <a:xfrm>
          <a:off x="4664364"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96</xdr:row>
      <xdr:rowOff>0</xdr:rowOff>
    </xdr:from>
    <xdr:ext cx="95250" cy="171450"/>
    <xdr:sp macro="" textlink="">
      <xdr:nvSpPr>
        <xdr:cNvPr id="3271" name="Text Box 19">
          <a:extLst>
            <a:ext uri="{FF2B5EF4-FFF2-40B4-BE49-F238E27FC236}">
              <a16:creationId xmlns:a16="http://schemas.microsoft.com/office/drawing/2014/main" id="{00000000-0008-0000-0500-0000C70C0000}"/>
            </a:ext>
          </a:extLst>
        </xdr:cNvPr>
        <xdr:cNvSpPr txBox="1">
          <a:spLocks noChangeArrowheads="1"/>
        </xdr:cNvSpPr>
      </xdr:nvSpPr>
      <xdr:spPr bwMode="auto">
        <a:xfrm>
          <a:off x="4664364"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96</xdr:row>
      <xdr:rowOff>0</xdr:rowOff>
    </xdr:from>
    <xdr:ext cx="95250" cy="171450"/>
    <xdr:sp macro="" textlink="">
      <xdr:nvSpPr>
        <xdr:cNvPr id="3272" name="Text Box 16">
          <a:extLst>
            <a:ext uri="{FF2B5EF4-FFF2-40B4-BE49-F238E27FC236}">
              <a16:creationId xmlns:a16="http://schemas.microsoft.com/office/drawing/2014/main" id="{00000000-0008-0000-0500-0000C80C0000}"/>
            </a:ext>
          </a:extLst>
        </xdr:cNvPr>
        <xdr:cNvSpPr txBox="1">
          <a:spLocks noChangeArrowheads="1"/>
        </xdr:cNvSpPr>
      </xdr:nvSpPr>
      <xdr:spPr bwMode="auto">
        <a:xfrm>
          <a:off x="12540961"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96</xdr:row>
      <xdr:rowOff>0</xdr:rowOff>
    </xdr:from>
    <xdr:ext cx="95250" cy="171450"/>
    <xdr:sp macro="" textlink="">
      <xdr:nvSpPr>
        <xdr:cNvPr id="3273" name="Text Box 17">
          <a:extLst>
            <a:ext uri="{FF2B5EF4-FFF2-40B4-BE49-F238E27FC236}">
              <a16:creationId xmlns:a16="http://schemas.microsoft.com/office/drawing/2014/main" id="{00000000-0008-0000-0500-0000C90C0000}"/>
            </a:ext>
          </a:extLst>
        </xdr:cNvPr>
        <xdr:cNvSpPr txBox="1">
          <a:spLocks noChangeArrowheads="1"/>
        </xdr:cNvSpPr>
      </xdr:nvSpPr>
      <xdr:spPr bwMode="auto">
        <a:xfrm>
          <a:off x="12540961"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96</xdr:row>
      <xdr:rowOff>0</xdr:rowOff>
    </xdr:from>
    <xdr:ext cx="95250" cy="171450"/>
    <xdr:sp macro="" textlink="">
      <xdr:nvSpPr>
        <xdr:cNvPr id="3274" name="Text Box 18">
          <a:extLst>
            <a:ext uri="{FF2B5EF4-FFF2-40B4-BE49-F238E27FC236}">
              <a16:creationId xmlns:a16="http://schemas.microsoft.com/office/drawing/2014/main" id="{00000000-0008-0000-0500-0000CA0C0000}"/>
            </a:ext>
          </a:extLst>
        </xdr:cNvPr>
        <xdr:cNvSpPr txBox="1">
          <a:spLocks noChangeArrowheads="1"/>
        </xdr:cNvSpPr>
      </xdr:nvSpPr>
      <xdr:spPr bwMode="auto">
        <a:xfrm>
          <a:off x="12540961"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96</xdr:row>
      <xdr:rowOff>0</xdr:rowOff>
    </xdr:from>
    <xdr:ext cx="95250" cy="171450"/>
    <xdr:sp macro="" textlink="">
      <xdr:nvSpPr>
        <xdr:cNvPr id="3275" name="Text Box 16">
          <a:extLst>
            <a:ext uri="{FF2B5EF4-FFF2-40B4-BE49-F238E27FC236}">
              <a16:creationId xmlns:a16="http://schemas.microsoft.com/office/drawing/2014/main" id="{00000000-0008-0000-0500-0000CB0C0000}"/>
            </a:ext>
          </a:extLst>
        </xdr:cNvPr>
        <xdr:cNvSpPr txBox="1">
          <a:spLocks noChangeArrowheads="1"/>
        </xdr:cNvSpPr>
      </xdr:nvSpPr>
      <xdr:spPr bwMode="auto">
        <a:xfrm>
          <a:off x="15388070"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96</xdr:row>
      <xdr:rowOff>0</xdr:rowOff>
    </xdr:from>
    <xdr:ext cx="95250" cy="171450"/>
    <xdr:sp macro="" textlink="">
      <xdr:nvSpPr>
        <xdr:cNvPr id="3276" name="Text Box 17">
          <a:extLst>
            <a:ext uri="{FF2B5EF4-FFF2-40B4-BE49-F238E27FC236}">
              <a16:creationId xmlns:a16="http://schemas.microsoft.com/office/drawing/2014/main" id="{00000000-0008-0000-0500-0000CC0C0000}"/>
            </a:ext>
          </a:extLst>
        </xdr:cNvPr>
        <xdr:cNvSpPr txBox="1">
          <a:spLocks noChangeArrowheads="1"/>
        </xdr:cNvSpPr>
      </xdr:nvSpPr>
      <xdr:spPr bwMode="auto">
        <a:xfrm>
          <a:off x="15388070"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96</xdr:row>
      <xdr:rowOff>0</xdr:rowOff>
    </xdr:from>
    <xdr:ext cx="95250" cy="171450"/>
    <xdr:sp macro="" textlink="">
      <xdr:nvSpPr>
        <xdr:cNvPr id="3277" name="Text Box 18">
          <a:extLst>
            <a:ext uri="{FF2B5EF4-FFF2-40B4-BE49-F238E27FC236}">
              <a16:creationId xmlns:a16="http://schemas.microsoft.com/office/drawing/2014/main" id="{00000000-0008-0000-0500-0000CD0C0000}"/>
            </a:ext>
          </a:extLst>
        </xdr:cNvPr>
        <xdr:cNvSpPr txBox="1">
          <a:spLocks noChangeArrowheads="1"/>
        </xdr:cNvSpPr>
      </xdr:nvSpPr>
      <xdr:spPr bwMode="auto">
        <a:xfrm>
          <a:off x="15388070"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96</xdr:row>
      <xdr:rowOff>0</xdr:rowOff>
    </xdr:from>
    <xdr:ext cx="95250" cy="171450"/>
    <xdr:sp macro="" textlink="">
      <xdr:nvSpPr>
        <xdr:cNvPr id="3278" name="Text Box 19">
          <a:extLst>
            <a:ext uri="{FF2B5EF4-FFF2-40B4-BE49-F238E27FC236}">
              <a16:creationId xmlns:a16="http://schemas.microsoft.com/office/drawing/2014/main" id="{00000000-0008-0000-0500-0000CE0C0000}"/>
            </a:ext>
          </a:extLst>
        </xdr:cNvPr>
        <xdr:cNvSpPr txBox="1">
          <a:spLocks noChangeArrowheads="1"/>
        </xdr:cNvSpPr>
      </xdr:nvSpPr>
      <xdr:spPr bwMode="auto">
        <a:xfrm>
          <a:off x="15388070"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96</xdr:row>
      <xdr:rowOff>0</xdr:rowOff>
    </xdr:from>
    <xdr:ext cx="95250" cy="171450"/>
    <xdr:sp macro="" textlink="">
      <xdr:nvSpPr>
        <xdr:cNvPr id="3279" name="Text Box 16">
          <a:extLst>
            <a:ext uri="{FF2B5EF4-FFF2-40B4-BE49-F238E27FC236}">
              <a16:creationId xmlns:a16="http://schemas.microsoft.com/office/drawing/2014/main" id="{00000000-0008-0000-0500-0000CF0C0000}"/>
            </a:ext>
          </a:extLst>
        </xdr:cNvPr>
        <xdr:cNvSpPr txBox="1">
          <a:spLocks noChangeArrowheads="1"/>
        </xdr:cNvSpPr>
      </xdr:nvSpPr>
      <xdr:spPr bwMode="auto">
        <a:xfrm>
          <a:off x="15388070"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96</xdr:row>
      <xdr:rowOff>0</xdr:rowOff>
    </xdr:from>
    <xdr:ext cx="95250" cy="171450"/>
    <xdr:sp macro="" textlink="">
      <xdr:nvSpPr>
        <xdr:cNvPr id="3280" name="Text Box 17">
          <a:extLst>
            <a:ext uri="{FF2B5EF4-FFF2-40B4-BE49-F238E27FC236}">
              <a16:creationId xmlns:a16="http://schemas.microsoft.com/office/drawing/2014/main" id="{00000000-0008-0000-0500-0000D00C0000}"/>
            </a:ext>
          </a:extLst>
        </xdr:cNvPr>
        <xdr:cNvSpPr txBox="1">
          <a:spLocks noChangeArrowheads="1"/>
        </xdr:cNvSpPr>
      </xdr:nvSpPr>
      <xdr:spPr bwMode="auto">
        <a:xfrm>
          <a:off x="15388070"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96</xdr:row>
      <xdr:rowOff>0</xdr:rowOff>
    </xdr:from>
    <xdr:ext cx="95250" cy="171450"/>
    <xdr:sp macro="" textlink="">
      <xdr:nvSpPr>
        <xdr:cNvPr id="3281" name="Text Box 18">
          <a:extLst>
            <a:ext uri="{FF2B5EF4-FFF2-40B4-BE49-F238E27FC236}">
              <a16:creationId xmlns:a16="http://schemas.microsoft.com/office/drawing/2014/main" id="{00000000-0008-0000-0500-0000D10C0000}"/>
            </a:ext>
          </a:extLst>
        </xdr:cNvPr>
        <xdr:cNvSpPr txBox="1">
          <a:spLocks noChangeArrowheads="1"/>
        </xdr:cNvSpPr>
      </xdr:nvSpPr>
      <xdr:spPr bwMode="auto">
        <a:xfrm>
          <a:off x="15388070"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96</xdr:row>
      <xdr:rowOff>0</xdr:rowOff>
    </xdr:from>
    <xdr:ext cx="95250" cy="171450"/>
    <xdr:sp macro="" textlink="">
      <xdr:nvSpPr>
        <xdr:cNvPr id="3282" name="Text Box 19">
          <a:extLst>
            <a:ext uri="{FF2B5EF4-FFF2-40B4-BE49-F238E27FC236}">
              <a16:creationId xmlns:a16="http://schemas.microsoft.com/office/drawing/2014/main" id="{00000000-0008-0000-0500-0000D20C0000}"/>
            </a:ext>
          </a:extLst>
        </xdr:cNvPr>
        <xdr:cNvSpPr txBox="1">
          <a:spLocks noChangeArrowheads="1"/>
        </xdr:cNvSpPr>
      </xdr:nvSpPr>
      <xdr:spPr bwMode="auto">
        <a:xfrm>
          <a:off x="15388070"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90</xdr:row>
      <xdr:rowOff>504825</xdr:rowOff>
    </xdr:from>
    <xdr:ext cx="95250" cy="456743"/>
    <xdr:sp macro="" textlink="">
      <xdr:nvSpPr>
        <xdr:cNvPr id="3283" name="Text Box 15">
          <a:extLst>
            <a:ext uri="{FF2B5EF4-FFF2-40B4-BE49-F238E27FC236}">
              <a16:creationId xmlns:a16="http://schemas.microsoft.com/office/drawing/2014/main" id="{00000000-0008-0000-0500-0000D30C0000}"/>
            </a:ext>
          </a:extLst>
        </xdr:cNvPr>
        <xdr:cNvSpPr txBox="1">
          <a:spLocks noChangeArrowheads="1"/>
        </xdr:cNvSpPr>
      </xdr:nvSpPr>
      <xdr:spPr bwMode="auto">
        <a:xfrm>
          <a:off x="4664364" y="5994111"/>
          <a:ext cx="95250" cy="456743"/>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90</xdr:row>
      <xdr:rowOff>504825</xdr:rowOff>
    </xdr:from>
    <xdr:ext cx="95250" cy="442269"/>
    <xdr:sp macro="" textlink="">
      <xdr:nvSpPr>
        <xdr:cNvPr id="3284" name="Text Box 15">
          <a:extLst>
            <a:ext uri="{FF2B5EF4-FFF2-40B4-BE49-F238E27FC236}">
              <a16:creationId xmlns:a16="http://schemas.microsoft.com/office/drawing/2014/main" id="{00000000-0008-0000-0500-0000D40C0000}"/>
            </a:ext>
          </a:extLst>
        </xdr:cNvPr>
        <xdr:cNvSpPr txBox="1">
          <a:spLocks noChangeArrowheads="1"/>
        </xdr:cNvSpPr>
      </xdr:nvSpPr>
      <xdr:spPr bwMode="auto">
        <a:xfrm>
          <a:off x="12540961" y="5994111"/>
          <a:ext cx="95250" cy="442269"/>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21</xdr:col>
      <xdr:colOff>0</xdr:colOff>
      <xdr:row>90</xdr:row>
      <xdr:rowOff>504825</xdr:rowOff>
    </xdr:from>
    <xdr:ext cx="95250" cy="442269"/>
    <xdr:sp macro="" textlink="">
      <xdr:nvSpPr>
        <xdr:cNvPr id="3285" name="Text Box 15">
          <a:extLst>
            <a:ext uri="{FF2B5EF4-FFF2-40B4-BE49-F238E27FC236}">
              <a16:creationId xmlns:a16="http://schemas.microsoft.com/office/drawing/2014/main" id="{00000000-0008-0000-0500-0000D50C0000}"/>
            </a:ext>
          </a:extLst>
        </xdr:cNvPr>
        <xdr:cNvSpPr txBox="1">
          <a:spLocks noChangeArrowheads="1"/>
        </xdr:cNvSpPr>
      </xdr:nvSpPr>
      <xdr:spPr bwMode="auto">
        <a:xfrm>
          <a:off x="21832455" y="5994111"/>
          <a:ext cx="95250" cy="442269"/>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90</xdr:row>
      <xdr:rowOff>504825</xdr:rowOff>
    </xdr:from>
    <xdr:ext cx="95250" cy="213632"/>
    <xdr:sp macro="" textlink="">
      <xdr:nvSpPr>
        <xdr:cNvPr id="3286" name="Text Box 15">
          <a:extLst>
            <a:ext uri="{FF2B5EF4-FFF2-40B4-BE49-F238E27FC236}">
              <a16:creationId xmlns:a16="http://schemas.microsoft.com/office/drawing/2014/main" id="{00000000-0008-0000-0500-0000D60C0000}"/>
            </a:ext>
          </a:extLst>
        </xdr:cNvPr>
        <xdr:cNvSpPr txBox="1">
          <a:spLocks noChangeArrowheads="1"/>
        </xdr:cNvSpPr>
      </xdr:nvSpPr>
      <xdr:spPr bwMode="auto">
        <a:xfrm>
          <a:off x="4664364" y="5994111"/>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90</xdr:row>
      <xdr:rowOff>504825</xdr:rowOff>
    </xdr:from>
    <xdr:ext cx="95250" cy="444331"/>
    <xdr:sp macro="" textlink="">
      <xdr:nvSpPr>
        <xdr:cNvPr id="3287" name="Text Box 15">
          <a:extLst>
            <a:ext uri="{FF2B5EF4-FFF2-40B4-BE49-F238E27FC236}">
              <a16:creationId xmlns:a16="http://schemas.microsoft.com/office/drawing/2014/main" id="{00000000-0008-0000-0500-0000D70C0000}"/>
            </a:ext>
          </a:extLst>
        </xdr:cNvPr>
        <xdr:cNvSpPr txBox="1">
          <a:spLocks noChangeArrowheads="1"/>
        </xdr:cNvSpPr>
      </xdr:nvSpPr>
      <xdr:spPr bwMode="auto">
        <a:xfrm>
          <a:off x="4664364" y="5994111"/>
          <a:ext cx="95250" cy="444331"/>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90</xdr:row>
      <xdr:rowOff>504825</xdr:rowOff>
    </xdr:from>
    <xdr:ext cx="95250" cy="213632"/>
    <xdr:sp macro="" textlink="">
      <xdr:nvSpPr>
        <xdr:cNvPr id="3288" name="Text Box 15">
          <a:extLst>
            <a:ext uri="{FF2B5EF4-FFF2-40B4-BE49-F238E27FC236}">
              <a16:creationId xmlns:a16="http://schemas.microsoft.com/office/drawing/2014/main" id="{00000000-0008-0000-0500-0000D80C0000}"/>
            </a:ext>
          </a:extLst>
        </xdr:cNvPr>
        <xdr:cNvSpPr txBox="1">
          <a:spLocks noChangeArrowheads="1"/>
        </xdr:cNvSpPr>
      </xdr:nvSpPr>
      <xdr:spPr bwMode="auto">
        <a:xfrm>
          <a:off x="12540961" y="5994111"/>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96</xdr:row>
      <xdr:rowOff>0</xdr:rowOff>
    </xdr:from>
    <xdr:ext cx="95250" cy="171450"/>
    <xdr:sp macro="" textlink="">
      <xdr:nvSpPr>
        <xdr:cNvPr id="3289" name="Text Box 16">
          <a:extLst>
            <a:ext uri="{FF2B5EF4-FFF2-40B4-BE49-F238E27FC236}">
              <a16:creationId xmlns:a16="http://schemas.microsoft.com/office/drawing/2014/main" id="{00000000-0008-0000-0500-0000D90C0000}"/>
            </a:ext>
          </a:extLst>
        </xdr:cNvPr>
        <xdr:cNvSpPr txBox="1">
          <a:spLocks noChangeArrowheads="1"/>
        </xdr:cNvSpPr>
      </xdr:nvSpPr>
      <xdr:spPr bwMode="auto">
        <a:xfrm>
          <a:off x="4664364"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96</xdr:row>
      <xdr:rowOff>0</xdr:rowOff>
    </xdr:from>
    <xdr:ext cx="95250" cy="171450"/>
    <xdr:sp macro="" textlink="">
      <xdr:nvSpPr>
        <xdr:cNvPr id="3290" name="Text Box 17">
          <a:extLst>
            <a:ext uri="{FF2B5EF4-FFF2-40B4-BE49-F238E27FC236}">
              <a16:creationId xmlns:a16="http://schemas.microsoft.com/office/drawing/2014/main" id="{00000000-0008-0000-0500-0000DA0C0000}"/>
            </a:ext>
          </a:extLst>
        </xdr:cNvPr>
        <xdr:cNvSpPr txBox="1">
          <a:spLocks noChangeArrowheads="1"/>
        </xdr:cNvSpPr>
      </xdr:nvSpPr>
      <xdr:spPr bwMode="auto">
        <a:xfrm>
          <a:off x="4664364"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96</xdr:row>
      <xdr:rowOff>0</xdr:rowOff>
    </xdr:from>
    <xdr:ext cx="95250" cy="171450"/>
    <xdr:sp macro="" textlink="">
      <xdr:nvSpPr>
        <xdr:cNvPr id="3291" name="Text Box 18">
          <a:extLst>
            <a:ext uri="{FF2B5EF4-FFF2-40B4-BE49-F238E27FC236}">
              <a16:creationId xmlns:a16="http://schemas.microsoft.com/office/drawing/2014/main" id="{00000000-0008-0000-0500-0000DB0C0000}"/>
            </a:ext>
          </a:extLst>
        </xdr:cNvPr>
        <xdr:cNvSpPr txBox="1">
          <a:spLocks noChangeArrowheads="1"/>
        </xdr:cNvSpPr>
      </xdr:nvSpPr>
      <xdr:spPr bwMode="auto">
        <a:xfrm>
          <a:off x="4664364"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96</xdr:row>
      <xdr:rowOff>0</xdr:rowOff>
    </xdr:from>
    <xdr:ext cx="95250" cy="171450"/>
    <xdr:sp macro="" textlink="">
      <xdr:nvSpPr>
        <xdr:cNvPr id="3292" name="Text Box 19">
          <a:extLst>
            <a:ext uri="{FF2B5EF4-FFF2-40B4-BE49-F238E27FC236}">
              <a16:creationId xmlns:a16="http://schemas.microsoft.com/office/drawing/2014/main" id="{00000000-0008-0000-0500-0000DC0C0000}"/>
            </a:ext>
          </a:extLst>
        </xdr:cNvPr>
        <xdr:cNvSpPr txBox="1">
          <a:spLocks noChangeArrowheads="1"/>
        </xdr:cNvSpPr>
      </xdr:nvSpPr>
      <xdr:spPr bwMode="auto">
        <a:xfrm>
          <a:off x="4664364"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96</xdr:row>
      <xdr:rowOff>0</xdr:rowOff>
    </xdr:from>
    <xdr:ext cx="95250" cy="171450"/>
    <xdr:sp macro="" textlink="">
      <xdr:nvSpPr>
        <xdr:cNvPr id="3293" name="Text Box 16">
          <a:extLst>
            <a:ext uri="{FF2B5EF4-FFF2-40B4-BE49-F238E27FC236}">
              <a16:creationId xmlns:a16="http://schemas.microsoft.com/office/drawing/2014/main" id="{00000000-0008-0000-0500-0000DD0C0000}"/>
            </a:ext>
          </a:extLst>
        </xdr:cNvPr>
        <xdr:cNvSpPr txBox="1">
          <a:spLocks noChangeArrowheads="1"/>
        </xdr:cNvSpPr>
      </xdr:nvSpPr>
      <xdr:spPr bwMode="auto">
        <a:xfrm>
          <a:off x="12540961"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96</xdr:row>
      <xdr:rowOff>0</xdr:rowOff>
    </xdr:from>
    <xdr:ext cx="95250" cy="171450"/>
    <xdr:sp macro="" textlink="">
      <xdr:nvSpPr>
        <xdr:cNvPr id="3294" name="Text Box 17">
          <a:extLst>
            <a:ext uri="{FF2B5EF4-FFF2-40B4-BE49-F238E27FC236}">
              <a16:creationId xmlns:a16="http://schemas.microsoft.com/office/drawing/2014/main" id="{00000000-0008-0000-0500-0000DE0C0000}"/>
            </a:ext>
          </a:extLst>
        </xdr:cNvPr>
        <xdr:cNvSpPr txBox="1">
          <a:spLocks noChangeArrowheads="1"/>
        </xdr:cNvSpPr>
      </xdr:nvSpPr>
      <xdr:spPr bwMode="auto">
        <a:xfrm>
          <a:off x="12540961"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96</xdr:row>
      <xdr:rowOff>0</xdr:rowOff>
    </xdr:from>
    <xdr:ext cx="95250" cy="171450"/>
    <xdr:sp macro="" textlink="">
      <xdr:nvSpPr>
        <xdr:cNvPr id="3295" name="Text Box 18">
          <a:extLst>
            <a:ext uri="{FF2B5EF4-FFF2-40B4-BE49-F238E27FC236}">
              <a16:creationId xmlns:a16="http://schemas.microsoft.com/office/drawing/2014/main" id="{00000000-0008-0000-0500-0000DF0C0000}"/>
            </a:ext>
          </a:extLst>
        </xdr:cNvPr>
        <xdr:cNvSpPr txBox="1">
          <a:spLocks noChangeArrowheads="1"/>
        </xdr:cNvSpPr>
      </xdr:nvSpPr>
      <xdr:spPr bwMode="auto">
        <a:xfrm>
          <a:off x="12540961"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96</xdr:row>
      <xdr:rowOff>0</xdr:rowOff>
    </xdr:from>
    <xdr:ext cx="95250" cy="171450"/>
    <xdr:sp macro="" textlink="">
      <xdr:nvSpPr>
        <xdr:cNvPr id="3296" name="Text Box 19">
          <a:extLst>
            <a:ext uri="{FF2B5EF4-FFF2-40B4-BE49-F238E27FC236}">
              <a16:creationId xmlns:a16="http://schemas.microsoft.com/office/drawing/2014/main" id="{00000000-0008-0000-0500-0000E00C0000}"/>
            </a:ext>
          </a:extLst>
        </xdr:cNvPr>
        <xdr:cNvSpPr txBox="1">
          <a:spLocks noChangeArrowheads="1"/>
        </xdr:cNvSpPr>
      </xdr:nvSpPr>
      <xdr:spPr bwMode="auto">
        <a:xfrm>
          <a:off x="12540961"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21</xdr:col>
      <xdr:colOff>0</xdr:colOff>
      <xdr:row>96</xdr:row>
      <xdr:rowOff>0</xdr:rowOff>
    </xdr:from>
    <xdr:ext cx="95250" cy="171450"/>
    <xdr:sp macro="" textlink="">
      <xdr:nvSpPr>
        <xdr:cNvPr id="3297" name="Text Box 16">
          <a:extLst>
            <a:ext uri="{FF2B5EF4-FFF2-40B4-BE49-F238E27FC236}">
              <a16:creationId xmlns:a16="http://schemas.microsoft.com/office/drawing/2014/main" id="{00000000-0008-0000-0500-0000E10C0000}"/>
            </a:ext>
          </a:extLst>
        </xdr:cNvPr>
        <xdr:cNvSpPr txBox="1">
          <a:spLocks noChangeArrowheads="1"/>
        </xdr:cNvSpPr>
      </xdr:nvSpPr>
      <xdr:spPr bwMode="auto">
        <a:xfrm>
          <a:off x="21832455"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21</xdr:col>
      <xdr:colOff>0</xdr:colOff>
      <xdr:row>96</xdr:row>
      <xdr:rowOff>0</xdr:rowOff>
    </xdr:from>
    <xdr:ext cx="95250" cy="171450"/>
    <xdr:sp macro="" textlink="">
      <xdr:nvSpPr>
        <xdr:cNvPr id="3298" name="Text Box 17">
          <a:extLst>
            <a:ext uri="{FF2B5EF4-FFF2-40B4-BE49-F238E27FC236}">
              <a16:creationId xmlns:a16="http://schemas.microsoft.com/office/drawing/2014/main" id="{00000000-0008-0000-0500-0000E20C0000}"/>
            </a:ext>
          </a:extLst>
        </xdr:cNvPr>
        <xdr:cNvSpPr txBox="1">
          <a:spLocks noChangeArrowheads="1"/>
        </xdr:cNvSpPr>
      </xdr:nvSpPr>
      <xdr:spPr bwMode="auto">
        <a:xfrm>
          <a:off x="21832455"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21</xdr:col>
      <xdr:colOff>0</xdr:colOff>
      <xdr:row>96</xdr:row>
      <xdr:rowOff>0</xdr:rowOff>
    </xdr:from>
    <xdr:ext cx="95250" cy="171450"/>
    <xdr:sp macro="" textlink="">
      <xdr:nvSpPr>
        <xdr:cNvPr id="3299" name="Text Box 18">
          <a:extLst>
            <a:ext uri="{FF2B5EF4-FFF2-40B4-BE49-F238E27FC236}">
              <a16:creationId xmlns:a16="http://schemas.microsoft.com/office/drawing/2014/main" id="{00000000-0008-0000-0500-0000E30C0000}"/>
            </a:ext>
          </a:extLst>
        </xdr:cNvPr>
        <xdr:cNvSpPr txBox="1">
          <a:spLocks noChangeArrowheads="1"/>
        </xdr:cNvSpPr>
      </xdr:nvSpPr>
      <xdr:spPr bwMode="auto">
        <a:xfrm>
          <a:off x="21832455"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21</xdr:col>
      <xdr:colOff>0</xdr:colOff>
      <xdr:row>96</xdr:row>
      <xdr:rowOff>0</xdr:rowOff>
    </xdr:from>
    <xdr:ext cx="95250" cy="171450"/>
    <xdr:sp macro="" textlink="">
      <xdr:nvSpPr>
        <xdr:cNvPr id="3300" name="Text Box 19">
          <a:extLst>
            <a:ext uri="{FF2B5EF4-FFF2-40B4-BE49-F238E27FC236}">
              <a16:creationId xmlns:a16="http://schemas.microsoft.com/office/drawing/2014/main" id="{00000000-0008-0000-0500-0000E40C0000}"/>
            </a:ext>
          </a:extLst>
        </xdr:cNvPr>
        <xdr:cNvSpPr txBox="1">
          <a:spLocks noChangeArrowheads="1"/>
        </xdr:cNvSpPr>
      </xdr:nvSpPr>
      <xdr:spPr bwMode="auto">
        <a:xfrm>
          <a:off x="21832455"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92</xdr:row>
      <xdr:rowOff>504825</xdr:rowOff>
    </xdr:from>
    <xdr:ext cx="95250" cy="444014"/>
    <xdr:sp macro="" textlink="">
      <xdr:nvSpPr>
        <xdr:cNvPr id="3301" name="Text Box 15">
          <a:extLst>
            <a:ext uri="{FF2B5EF4-FFF2-40B4-BE49-F238E27FC236}">
              <a16:creationId xmlns:a16="http://schemas.microsoft.com/office/drawing/2014/main" id="{00000000-0008-0000-0500-0000E50C0000}"/>
            </a:ext>
          </a:extLst>
        </xdr:cNvPr>
        <xdr:cNvSpPr txBox="1">
          <a:spLocks noChangeArrowheads="1"/>
        </xdr:cNvSpPr>
      </xdr:nvSpPr>
      <xdr:spPr bwMode="auto">
        <a:xfrm>
          <a:off x="4664364" y="6733020"/>
          <a:ext cx="95250" cy="444014"/>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96</xdr:row>
      <xdr:rowOff>0</xdr:rowOff>
    </xdr:from>
    <xdr:ext cx="95250" cy="171450"/>
    <xdr:sp macro="" textlink="">
      <xdr:nvSpPr>
        <xdr:cNvPr id="3302" name="Text Box 16">
          <a:extLst>
            <a:ext uri="{FF2B5EF4-FFF2-40B4-BE49-F238E27FC236}">
              <a16:creationId xmlns:a16="http://schemas.microsoft.com/office/drawing/2014/main" id="{00000000-0008-0000-0500-0000E60C0000}"/>
            </a:ext>
          </a:extLst>
        </xdr:cNvPr>
        <xdr:cNvSpPr txBox="1">
          <a:spLocks noChangeArrowheads="1"/>
        </xdr:cNvSpPr>
      </xdr:nvSpPr>
      <xdr:spPr bwMode="auto">
        <a:xfrm>
          <a:off x="4664364"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96</xdr:row>
      <xdr:rowOff>0</xdr:rowOff>
    </xdr:from>
    <xdr:ext cx="95250" cy="171450"/>
    <xdr:sp macro="" textlink="">
      <xdr:nvSpPr>
        <xdr:cNvPr id="3303" name="Text Box 17">
          <a:extLst>
            <a:ext uri="{FF2B5EF4-FFF2-40B4-BE49-F238E27FC236}">
              <a16:creationId xmlns:a16="http://schemas.microsoft.com/office/drawing/2014/main" id="{00000000-0008-0000-0500-0000E70C0000}"/>
            </a:ext>
          </a:extLst>
        </xdr:cNvPr>
        <xdr:cNvSpPr txBox="1">
          <a:spLocks noChangeArrowheads="1"/>
        </xdr:cNvSpPr>
      </xdr:nvSpPr>
      <xdr:spPr bwMode="auto">
        <a:xfrm>
          <a:off x="4664364"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96</xdr:row>
      <xdr:rowOff>0</xdr:rowOff>
    </xdr:from>
    <xdr:ext cx="95250" cy="171450"/>
    <xdr:sp macro="" textlink="">
      <xdr:nvSpPr>
        <xdr:cNvPr id="3304" name="Text Box 18">
          <a:extLst>
            <a:ext uri="{FF2B5EF4-FFF2-40B4-BE49-F238E27FC236}">
              <a16:creationId xmlns:a16="http://schemas.microsoft.com/office/drawing/2014/main" id="{00000000-0008-0000-0500-0000E80C0000}"/>
            </a:ext>
          </a:extLst>
        </xdr:cNvPr>
        <xdr:cNvSpPr txBox="1">
          <a:spLocks noChangeArrowheads="1"/>
        </xdr:cNvSpPr>
      </xdr:nvSpPr>
      <xdr:spPr bwMode="auto">
        <a:xfrm>
          <a:off x="4664364"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96</xdr:row>
      <xdr:rowOff>0</xdr:rowOff>
    </xdr:from>
    <xdr:ext cx="95250" cy="171450"/>
    <xdr:sp macro="" textlink="">
      <xdr:nvSpPr>
        <xdr:cNvPr id="3305" name="Text Box 19">
          <a:extLst>
            <a:ext uri="{FF2B5EF4-FFF2-40B4-BE49-F238E27FC236}">
              <a16:creationId xmlns:a16="http://schemas.microsoft.com/office/drawing/2014/main" id="{00000000-0008-0000-0500-0000E90C0000}"/>
            </a:ext>
          </a:extLst>
        </xdr:cNvPr>
        <xdr:cNvSpPr txBox="1">
          <a:spLocks noChangeArrowheads="1"/>
        </xdr:cNvSpPr>
      </xdr:nvSpPr>
      <xdr:spPr bwMode="auto">
        <a:xfrm>
          <a:off x="4664364"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92</xdr:row>
      <xdr:rowOff>504825</xdr:rowOff>
    </xdr:from>
    <xdr:ext cx="95250" cy="442269"/>
    <xdr:sp macro="" textlink="">
      <xdr:nvSpPr>
        <xdr:cNvPr id="3306" name="Text Box 15">
          <a:extLst>
            <a:ext uri="{FF2B5EF4-FFF2-40B4-BE49-F238E27FC236}">
              <a16:creationId xmlns:a16="http://schemas.microsoft.com/office/drawing/2014/main" id="{00000000-0008-0000-0500-0000EA0C0000}"/>
            </a:ext>
          </a:extLst>
        </xdr:cNvPr>
        <xdr:cNvSpPr txBox="1">
          <a:spLocks noChangeArrowheads="1"/>
        </xdr:cNvSpPr>
      </xdr:nvSpPr>
      <xdr:spPr bwMode="auto">
        <a:xfrm>
          <a:off x="12540961" y="6733020"/>
          <a:ext cx="95250" cy="442269"/>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96</xdr:row>
      <xdr:rowOff>0</xdr:rowOff>
    </xdr:from>
    <xdr:ext cx="95250" cy="171450"/>
    <xdr:sp macro="" textlink="">
      <xdr:nvSpPr>
        <xdr:cNvPr id="3307" name="Text Box 16">
          <a:extLst>
            <a:ext uri="{FF2B5EF4-FFF2-40B4-BE49-F238E27FC236}">
              <a16:creationId xmlns:a16="http://schemas.microsoft.com/office/drawing/2014/main" id="{00000000-0008-0000-0500-0000EB0C0000}"/>
            </a:ext>
          </a:extLst>
        </xdr:cNvPr>
        <xdr:cNvSpPr txBox="1">
          <a:spLocks noChangeArrowheads="1"/>
        </xdr:cNvSpPr>
      </xdr:nvSpPr>
      <xdr:spPr bwMode="auto">
        <a:xfrm>
          <a:off x="12540961"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96</xdr:row>
      <xdr:rowOff>0</xdr:rowOff>
    </xdr:from>
    <xdr:ext cx="95250" cy="171450"/>
    <xdr:sp macro="" textlink="">
      <xdr:nvSpPr>
        <xdr:cNvPr id="3308" name="Text Box 17">
          <a:extLst>
            <a:ext uri="{FF2B5EF4-FFF2-40B4-BE49-F238E27FC236}">
              <a16:creationId xmlns:a16="http://schemas.microsoft.com/office/drawing/2014/main" id="{00000000-0008-0000-0500-0000EC0C0000}"/>
            </a:ext>
          </a:extLst>
        </xdr:cNvPr>
        <xdr:cNvSpPr txBox="1">
          <a:spLocks noChangeArrowheads="1"/>
        </xdr:cNvSpPr>
      </xdr:nvSpPr>
      <xdr:spPr bwMode="auto">
        <a:xfrm>
          <a:off x="12540961"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96</xdr:row>
      <xdr:rowOff>0</xdr:rowOff>
    </xdr:from>
    <xdr:ext cx="95250" cy="171450"/>
    <xdr:sp macro="" textlink="">
      <xdr:nvSpPr>
        <xdr:cNvPr id="3309" name="Text Box 18">
          <a:extLst>
            <a:ext uri="{FF2B5EF4-FFF2-40B4-BE49-F238E27FC236}">
              <a16:creationId xmlns:a16="http://schemas.microsoft.com/office/drawing/2014/main" id="{00000000-0008-0000-0500-0000ED0C0000}"/>
            </a:ext>
          </a:extLst>
        </xdr:cNvPr>
        <xdr:cNvSpPr txBox="1">
          <a:spLocks noChangeArrowheads="1"/>
        </xdr:cNvSpPr>
      </xdr:nvSpPr>
      <xdr:spPr bwMode="auto">
        <a:xfrm>
          <a:off x="12540961"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96</xdr:row>
      <xdr:rowOff>0</xdr:rowOff>
    </xdr:from>
    <xdr:ext cx="95250" cy="171450"/>
    <xdr:sp macro="" textlink="">
      <xdr:nvSpPr>
        <xdr:cNvPr id="3310" name="Text Box 16">
          <a:extLst>
            <a:ext uri="{FF2B5EF4-FFF2-40B4-BE49-F238E27FC236}">
              <a16:creationId xmlns:a16="http://schemas.microsoft.com/office/drawing/2014/main" id="{00000000-0008-0000-0500-0000EE0C0000}"/>
            </a:ext>
          </a:extLst>
        </xdr:cNvPr>
        <xdr:cNvSpPr txBox="1">
          <a:spLocks noChangeArrowheads="1"/>
        </xdr:cNvSpPr>
      </xdr:nvSpPr>
      <xdr:spPr bwMode="auto">
        <a:xfrm>
          <a:off x="15388070"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96</xdr:row>
      <xdr:rowOff>0</xdr:rowOff>
    </xdr:from>
    <xdr:ext cx="95250" cy="171450"/>
    <xdr:sp macro="" textlink="">
      <xdr:nvSpPr>
        <xdr:cNvPr id="3311" name="Text Box 17">
          <a:extLst>
            <a:ext uri="{FF2B5EF4-FFF2-40B4-BE49-F238E27FC236}">
              <a16:creationId xmlns:a16="http://schemas.microsoft.com/office/drawing/2014/main" id="{00000000-0008-0000-0500-0000EF0C0000}"/>
            </a:ext>
          </a:extLst>
        </xdr:cNvPr>
        <xdr:cNvSpPr txBox="1">
          <a:spLocks noChangeArrowheads="1"/>
        </xdr:cNvSpPr>
      </xdr:nvSpPr>
      <xdr:spPr bwMode="auto">
        <a:xfrm>
          <a:off x="15388070"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96</xdr:row>
      <xdr:rowOff>0</xdr:rowOff>
    </xdr:from>
    <xdr:ext cx="95250" cy="171450"/>
    <xdr:sp macro="" textlink="">
      <xdr:nvSpPr>
        <xdr:cNvPr id="3312" name="Text Box 18">
          <a:extLst>
            <a:ext uri="{FF2B5EF4-FFF2-40B4-BE49-F238E27FC236}">
              <a16:creationId xmlns:a16="http://schemas.microsoft.com/office/drawing/2014/main" id="{00000000-0008-0000-0500-0000F00C0000}"/>
            </a:ext>
          </a:extLst>
        </xdr:cNvPr>
        <xdr:cNvSpPr txBox="1">
          <a:spLocks noChangeArrowheads="1"/>
        </xdr:cNvSpPr>
      </xdr:nvSpPr>
      <xdr:spPr bwMode="auto">
        <a:xfrm>
          <a:off x="15388070"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96</xdr:row>
      <xdr:rowOff>0</xdr:rowOff>
    </xdr:from>
    <xdr:ext cx="95250" cy="171450"/>
    <xdr:sp macro="" textlink="">
      <xdr:nvSpPr>
        <xdr:cNvPr id="3313" name="Text Box 19">
          <a:extLst>
            <a:ext uri="{FF2B5EF4-FFF2-40B4-BE49-F238E27FC236}">
              <a16:creationId xmlns:a16="http://schemas.microsoft.com/office/drawing/2014/main" id="{00000000-0008-0000-0500-0000F10C0000}"/>
            </a:ext>
          </a:extLst>
        </xdr:cNvPr>
        <xdr:cNvSpPr txBox="1">
          <a:spLocks noChangeArrowheads="1"/>
        </xdr:cNvSpPr>
      </xdr:nvSpPr>
      <xdr:spPr bwMode="auto">
        <a:xfrm>
          <a:off x="15388070"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96</xdr:row>
      <xdr:rowOff>0</xdr:rowOff>
    </xdr:from>
    <xdr:ext cx="95250" cy="171450"/>
    <xdr:sp macro="" textlink="">
      <xdr:nvSpPr>
        <xdr:cNvPr id="3314" name="Text Box 16">
          <a:extLst>
            <a:ext uri="{FF2B5EF4-FFF2-40B4-BE49-F238E27FC236}">
              <a16:creationId xmlns:a16="http://schemas.microsoft.com/office/drawing/2014/main" id="{00000000-0008-0000-0500-0000F20C0000}"/>
            </a:ext>
          </a:extLst>
        </xdr:cNvPr>
        <xdr:cNvSpPr txBox="1">
          <a:spLocks noChangeArrowheads="1"/>
        </xdr:cNvSpPr>
      </xdr:nvSpPr>
      <xdr:spPr bwMode="auto">
        <a:xfrm>
          <a:off x="15388070"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96</xdr:row>
      <xdr:rowOff>0</xdr:rowOff>
    </xdr:from>
    <xdr:ext cx="95250" cy="171450"/>
    <xdr:sp macro="" textlink="">
      <xdr:nvSpPr>
        <xdr:cNvPr id="3315" name="Text Box 17">
          <a:extLst>
            <a:ext uri="{FF2B5EF4-FFF2-40B4-BE49-F238E27FC236}">
              <a16:creationId xmlns:a16="http://schemas.microsoft.com/office/drawing/2014/main" id="{00000000-0008-0000-0500-0000F30C0000}"/>
            </a:ext>
          </a:extLst>
        </xdr:cNvPr>
        <xdr:cNvSpPr txBox="1">
          <a:spLocks noChangeArrowheads="1"/>
        </xdr:cNvSpPr>
      </xdr:nvSpPr>
      <xdr:spPr bwMode="auto">
        <a:xfrm>
          <a:off x="15388070"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96</xdr:row>
      <xdr:rowOff>0</xdr:rowOff>
    </xdr:from>
    <xdr:ext cx="95250" cy="171450"/>
    <xdr:sp macro="" textlink="">
      <xdr:nvSpPr>
        <xdr:cNvPr id="3316" name="Text Box 18">
          <a:extLst>
            <a:ext uri="{FF2B5EF4-FFF2-40B4-BE49-F238E27FC236}">
              <a16:creationId xmlns:a16="http://schemas.microsoft.com/office/drawing/2014/main" id="{00000000-0008-0000-0500-0000F40C0000}"/>
            </a:ext>
          </a:extLst>
        </xdr:cNvPr>
        <xdr:cNvSpPr txBox="1">
          <a:spLocks noChangeArrowheads="1"/>
        </xdr:cNvSpPr>
      </xdr:nvSpPr>
      <xdr:spPr bwMode="auto">
        <a:xfrm>
          <a:off x="15388070"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10</xdr:col>
      <xdr:colOff>28575</xdr:colOff>
      <xdr:row>96</xdr:row>
      <xdr:rowOff>170392</xdr:rowOff>
    </xdr:from>
    <xdr:ext cx="95250" cy="213632"/>
    <xdr:sp macro="" textlink="">
      <xdr:nvSpPr>
        <xdr:cNvPr id="3317" name="Text Box 15">
          <a:extLst>
            <a:ext uri="{FF2B5EF4-FFF2-40B4-BE49-F238E27FC236}">
              <a16:creationId xmlns:a16="http://schemas.microsoft.com/office/drawing/2014/main" id="{00000000-0008-0000-0500-0000F50C0000}"/>
            </a:ext>
          </a:extLst>
        </xdr:cNvPr>
        <xdr:cNvSpPr txBox="1">
          <a:spLocks noChangeArrowheads="1"/>
        </xdr:cNvSpPr>
      </xdr:nvSpPr>
      <xdr:spPr bwMode="auto">
        <a:xfrm>
          <a:off x="12578484" y="7270847"/>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96</xdr:row>
      <xdr:rowOff>0</xdr:rowOff>
    </xdr:from>
    <xdr:ext cx="95250" cy="171450"/>
    <xdr:sp macro="" textlink="">
      <xdr:nvSpPr>
        <xdr:cNvPr id="3318" name="Text Box 16">
          <a:extLst>
            <a:ext uri="{FF2B5EF4-FFF2-40B4-BE49-F238E27FC236}">
              <a16:creationId xmlns:a16="http://schemas.microsoft.com/office/drawing/2014/main" id="{00000000-0008-0000-0500-0000F60C0000}"/>
            </a:ext>
          </a:extLst>
        </xdr:cNvPr>
        <xdr:cNvSpPr txBox="1">
          <a:spLocks noChangeArrowheads="1"/>
        </xdr:cNvSpPr>
      </xdr:nvSpPr>
      <xdr:spPr bwMode="auto">
        <a:xfrm>
          <a:off x="4664364"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96</xdr:row>
      <xdr:rowOff>0</xdr:rowOff>
    </xdr:from>
    <xdr:ext cx="95250" cy="171450"/>
    <xdr:sp macro="" textlink="">
      <xdr:nvSpPr>
        <xdr:cNvPr id="3319" name="Text Box 17">
          <a:extLst>
            <a:ext uri="{FF2B5EF4-FFF2-40B4-BE49-F238E27FC236}">
              <a16:creationId xmlns:a16="http://schemas.microsoft.com/office/drawing/2014/main" id="{00000000-0008-0000-0500-0000F70C0000}"/>
            </a:ext>
          </a:extLst>
        </xdr:cNvPr>
        <xdr:cNvSpPr txBox="1">
          <a:spLocks noChangeArrowheads="1"/>
        </xdr:cNvSpPr>
      </xdr:nvSpPr>
      <xdr:spPr bwMode="auto">
        <a:xfrm>
          <a:off x="4664364"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96</xdr:row>
      <xdr:rowOff>0</xdr:rowOff>
    </xdr:from>
    <xdr:ext cx="95250" cy="171450"/>
    <xdr:sp macro="" textlink="">
      <xdr:nvSpPr>
        <xdr:cNvPr id="3320" name="Text Box 18">
          <a:extLst>
            <a:ext uri="{FF2B5EF4-FFF2-40B4-BE49-F238E27FC236}">
              <a16:creationId xmlns:a16="http://schemas.microsoft.com/office/drawing/2014/main" id="{00000000-0008-0000-0500-0000F80C0000}"/>
            </a:ext>
          </a:extLst>
        </xdr:cNvPr>
        <xdr:cNvSpPr txBox="1">
          <a:spLocks noChangeArrowheads="1"/>
        </xdr:cNvSpPr>
      </xdr:nvSpPr>
      <xdr:spPr bwMode="auto">
        <a:xfrm>
          <a:off x="4664364"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96</xdr:row>
      <xdr:rowOff>0</xdr:rowOff>
    </xdr:from>
    <xdr:ext cx="95250" cy="171450"/>
    <xdr:sp macro="" textlink="">
      <xdr:nvSpPr>
        <xdr:cNvPr id="3321" name="Text Box 19">
          <a:extLst>
            <a:ext uri="{FF2B5EF4-FFF2-40B4-BE49-F238E27FC236}">
              <a16:creationId xmlns:a16="http://schemas.microsoft.com/office/drawing/2014/main" id="{00000000-0008-0000-0500-0000F90C0000}"/>
            </a:ext>
          </a:extLst>
        </xdr:cNvPr>
        <xdr:cNvSpPr txBox="1">
          <a:spLocks noChangeArrowheads="1"/>
        </xdr:cNvSpPr>
      </xdr:nvSpPr>
      <xdr:spPr bwMode="auto">
        <a:xfrm>
          <a:off x="4664364"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96</xdr:row>
      <xdr:rowOff>0</xdr:rowOff>
    </xdr:from>
    <xdr:ext cx="95250" cy="171450"/>
    <xdr:sp macro="" textlink="">
      <xdr:nvSpPr>
        <xdr:cNvPr id="3322" name="Text Box 16">
          <a:extLst>
            <a:ext uri="{FF2B5EF4-FFF2-40B4-BE49-F238E27FC236}">
              <a16:creationId xmlns:a16="http://schemas.microsoft.com/office/drawing/2014/main" id="{00000000-0008-0000-0500-0000FA0C0000}"/>
            </a:ext>
          </a:extLst>
        </xdr:cNvPr>
        <xdr:cNvSpPr txBox="1">
          <a:spLocks noChangeArrowheads="1"/>
        </xdr:cNvSpPr>
      </xdr:nvSpPr>
      <xdr:spPr bwMode="auto">
        <a:xfrm>
          <a:off x="12540961"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96</xdr:row>
      <xdr:rowOff>0</xdr:rowOff>
    </xdr:from>
    <xdr:ext cx="95250" cy="171450"/>
    <xdr:sp macro="" textlink="">
      <xdr:nvSpPr>
        <xdr:cNvPr id="3323" name="Text Box 17">
          <a:extLst>
            <a:ext uri="{FF2B5EF4-FFF2-40B4-BE49-F238E27FC236}">
              <a16:creationId xmlns:a16="http://schemas.microsoft.com/office/drawing/2014/main" id="{00000000-0008-0000-0500-0000FB0C0000}"/>
            </a:ext>
          </a:extLst>
        </xdr:cNvPr>
        <xdr:cNvSpPr txBox="1">
          <a:spLocks noChangeArrowheads="1"/>
        </xdr:cNvSpPr>
      </xdr:nvSpPr>
      <xdr:spPr bwMode="auto">
        <a:xfrm>
          <a:off x="12540961"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96</xdr:row>
      <xdr:rowOff>0</xdr:rowOff>
    </xdr:from>
    <xdr:ext cx="95250" cy="171450"/>
    <xdr:sp macro="" textlink="">
      <xdr:nvSpPr>
        <xdr:cNvPr id="3324" name="Text Box 18">
          <a:extLst>
            <a:ext uri="{FF2B5EF4-FFF2-40B4-BE49-F238E27FC236}">
              <a16:creationId xmlns:a16="http://schemas.microsoft.com/office/drawing/2014/main" id="{00000000-0008-0000-0500-0000FC0C0000}"/>
            </a:ext>
          </a:extLst>
        </xdr:cNvPr>
        <xdr:cNvSpPr txBox="1">
          <a:spLocks noChangeArrowheads="1"/>
        </xdr:cNvSpPr>
      </xdr:nvSpPr>
      <xdr:spPr bwMode="auto">
        <a:xfrm>
          <a:off x="12540961"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96</xdr:row>
      <xdr:rowOff>0</xdr:rowOff>
    </xdr:from>
    <xdr:ext cx="95250" cy="171450"/>
    <xdr:sp macro="" textlink="">
      <xdr:nvSpPr>
        <xdr:cNvPr id="3325" name="Text Box 19">
          <a:extLst>
            <a:ext uri="{FF2B5EF4-FFF2-40B4-BE49-F238E27FC236}">
              <a16:creationId xmlns:a16="http://schemas.microsoft.com/office/drawing/2014/main" id="{00000000-0008-0000-0500-0000FD0C0000}"/>
            </a:ext>
          </a:extLst>
        </xdr:cNvPr>
        <xdr:cNvSpPr txBox="1">
          <a:spLocks noChangeArrowheads="1"/>
        </xdr:cNvSpPr>
      </xdr:nvSpPr>
      <xdr:spPr bwMode="auto">
        <a:xfrm>
          <a:off x="12540961"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21</xdr:col>
      <xdr:colOff>0</xdr:colOff>
      <xdr:row>91</xdr:row>
      <xdr:rowOff>0</xdr:rowOff>
    </xdr:from>
    <xdr:ext cx="95250" cy="171450"/>
    <xdr:sp macro="" textlink="">
      <xdr:nvSpPr>
        <xdr:cNvPr id="3326" name="Text Box 16">
          <a:extLst>
            <a:ext uri="{FF2B5EF4-FFF2-40B4-BE49-F238E27FC236}">
              <a16:creationId xmlns:a16="http://schemas.microsoft.com/office/drawing/2014/main" id="{00000000-0008-0000-0500-0000FE0C0000}"/>
            </a:ext>
          </a:extLst>
        </xdr:cNvPr>
        <xdr:cNvSpPr txBox="1">
          <a:spLocks noChangeArrowheads="1"/>
        </xdr:cNvSpPr>
      </xdr:nvSpPr>
      <xdr:spPr bwMode="auto">
        <a:xfrm>
          <a:off x="21832455" y="5992091"/>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21</xdr:col>
      <xdr:colOff>0</xdr:colOff>
      <xdr:row>91</xdr:row>
      <xdr:rowOff>0</xdr:rowOff>
    </xdr:from>
    <xdr:ext cx="95250" cy="171450"/>
    <xdr:sp macro="" textlink="">
      <xdr:nvSpPr>
        <xdr:cNvPr id="3327" name="Text Box 17">
          <a:extLst>
            <a:ext uri="{FF2B5EF4-FFF2-40B4-BE49-F238E27FC236}">
              <a16:creationId xmlns:a16="http://schemas.microsoft.com/office/drawing/2014/main" id="{00000000-0008-0000-0500-0000FF0C0000}"/>
            </a:ext>
          </a:extLst>
        </xdr:cNvPr>
        <xdr:cNvSpPr txBox="1">
          <a:spLocks noChangeArrowheads="1"/>
        </xdr:cNvSpPr>
      </xdr:nvSpPr>
      <xdr:spPr bwMode="auto">
        <a:xfrm>
          <a:off x="21832455" y="5992091"/>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21</xdr:col>
      <xdr:colOff>0</xdr:colOff>
      <xdr:row>91</xdr:row>
      <xdr:rowOff>0</xdr:rowOff>
    </xdr:from>
    <xdr:ext cx="95250" cy="171450"/>
    <xdr:sp macro="" textlink="">
      <xdr:nvSpPr>
        <xdr:cNvPr id="3328" name="Text Box 18">
          <a:extLst>
            <a:ext uri="{FF2B5EF4-FFF2-40B4-BE49-F238E27FC236}">
              <a16:creationId xmlns:a16="http://schemas.microsoft.com/office/drawing/2014/main" id="{00000000-0008-0000-0500-0000000D0000}"/>
            </a:ext>
          </a:extLst>
        </xdr:cNvPr>
        <xdr:cNvSpPr txBox="1">
          <a:spLocks noChangeArrowheads="1"/>
        </xdr:cNvSpPr>
      </xdr:nvSpPr>
      <xdr:spPr bwMode="auto">
        <a:xfrm>
          <a:off x="21832455" y="5992091"/>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21</xdr:col>
      <xdr:colOff>0</xdr:colOff>
      <xdr:row>91</xdr:row>
      <xdr:rowOff>0</xdr:rowOff>
    </xdr:from>
    <xdr:ext cx="95250" cy="171450"/>
    <xdr:sp macro="" textlink="">
      <xdr:nvSpPr>
        <xdr:cNvPr id="3329" name="Text Box 19">
          <a:extLst>
            <a:ext uri="{FF2B5EF4-FFF2-40B4-BE49-F238E27FC236}">
              <a16:creationId xmlns:a16="http://schemas.microsoft.com/office/drawing/2014/main" id="{00000000-0008-0000-0500-0000010D0000}"/>
            </a:ext>
          </a:extLst>
        </xdr:cNvPr>
        <xdr:cNvSpPr txBox="1">
          <a:spLocks noChangeArrowheads="1"/>
        </xdr:cNvSpPr>
      </xdr:nvSpPr>
      <xdr:spPr bwMode="auto">
        <a:xfrm>
          <a:off x="21832455" y="5992091"/>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92</xdr:row>
      <xdr:rowOff>504825</xdr:rowOff>
    </xdr:from>
    <xdr:ext cx="95250" cy="444014"/>
    <xdr:sp macro="" textlink="">
      <xdr:nvSpPr>
        <xdr:cNvPr id="3330" name="Text Box 15">
          <a:extLst>
            <a:ext uri="{FF2B5EF4-FFF2-40B4-BE49-F238E27FC236}">
              <a16:creationId xmlns:a16="http://schemas.microsoft.com/office/drawing/2014/main" id="{00000000-0008-0000-0500-0000020D0000}"/>
            </a:ext>
          </a:extLst>
        </xdr:cNvPr>
        <xdr:cNvSpPr txBox="1">
          <a:spLocks noChangeArrowheads="1"/>
        </xdr:cNvSpPr>
      </xdr:nvSpPr>
      <xdr:spPr bwMode="auto">
        <a:xfrm>
          <a:off x="4664364" y="6733020"/>
          <a:ext cx="95250" cy="444014"/>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96</xdr:row>
      <xdr:rowOff>0</xdr:rowOff>
    </xdr:from>
    <xdr:ext cx="95250" cy="171450"/>
    <xdr:sp macro="" textlink="">
      <xdr:nvSpPr>
        <xdr:cNvPr id="3331" name="Text Box 16">
          <a:extLst>
            <a:ext uri="{FF2B5EF4-FFF2-40B4-BE49-F238E27FC236}">
              <a16:creationId xmlns:a16="http://schemas.microsoft.com/office/drawing/2014/main" id="{00000000-0008-0000-0500-0000030D0000}"/>
            </a:ext>
          </a:extLst>
        </xdr:cNvPr>
        <xdr:cNvSpPr txBox="1">
          <a:spLocks noChangeArrowheads="1"/>
        </xdr:cNvSpPr>
      </xdr:nvSpPr>
      <xdr:spPr bwMode="auto">
        <a:xfrm>
          <a:off x="4664364"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96</xdr:row>
      <xdr:rowOff>0</xdr:rowOff>
    </xdr:from>
    <xdr:ext cx="95250" cy="171450"/>
    <xdr:sp macro="" textlink="">
      <xdr:nvSpPr>
        <xdr:cNvPr id="3332" name="Text Box 17">
          <a:extLst>
            <a:ext uri="{FF2B5EF4-FFF2-40B4-BE49-F238E27FC236}">
              <a16:creationId xmlns:a16="http://schemas.microsoft.com/office/drawing/2014/main" id="{00000000-0008-0000-0500-0000040D0000}"/>
            </a:ext>
          </a:extLst>
        </xdr:cNvPr>
        <xdr:cNvSpPr txBox="1">
          <a:spLocks noChangeArrowheads="1"/>
        </xdr:cNvSpPr>
      </xdr:nvSpPr>
      <xdr:spPr bwMode="auto">
        <a:xfrm>
          <a:off x="4664364"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96</xdr:row>
      <xdr:rowOff>0</xdr:rowOff>
    </xdr:from>
    <xdr:ext cx="95250" cy="171450"/>
    <xdr:sp macro="" textlink="">
      <xdr:nvSpPr>
        <xdr:cNvPr id="3333" name="Text Box 18">
          <a:extLst>
            <a:ext uri="{FF2B5EF4-FFF2-40B4-BE49-F238E27FC236}">
              <a16:creationId xmlns:a16="http://schemas.microsoft.com/office/drawing/2014/main" id="{00000000-0008-0000-0500-0000050D0000}"/>
            </a:ext>
          </a:extLst>
        </xdr:cNvPr>
        <xdr:cNvSpPr txBox="1">
          <a:spLocks noChangeArrowheads="1"/>
        </xdr:cNvSpPr>
      </xdr:nvSpPr>
      <xdr:spPr bwMode="auto">
        <a:xfrm>
          <a:off x="4664364"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96</xdr:row>
      <xdr:rowOff>0</xdr:rowOff>
    </xdr:from>
    <xdr:ext cx="95250" cy="171450"/>
    <xdr:sp macro="" textlink="">
      <xdr:nvSpPr>
        <xdr:cNvPr id="3334" name="Text Box 19">
          <a:extLst>
            <a:ext uri="{FF2B5EF4-FFF2-40B4-BE49-F238E27FC236}">
              <a16:creationId xmlns:a16="http://schemas.microsoft.com/office/drawing/2014/main" id="{00000000-0008-0000-0500-0000060D0000}"/>
            </a:ext>
          </a:extLst>
        </xdr:cNvPr>
        <xdr:cNvSpPr txBox="1">
          <a:spLocks noChangeArrowheads="1"/>
        </xdr:cNvSpPr>
      </xdr:nvSpPr>
      <xdr:spPr bwMode="auto">
        <a:xfrm>
          <a:off x="4664364"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96</xdr:row>
      <xdr:rowOff>0</xdr:rowOff>
    </xdr:from>
    <xdr:ext cx="95250" cy="171450"/>
    <xdr:sp macro="" textlink="">
      <xdr:nvSpPr>
        <xdr:cNvPr id="3335" name="Text Box 16">
          <a:extLst>
            <a:ext uri="{FF2B5EF4-FFF2-40B4-BE49-F238E27FC236}">
              <a16:creationId xmlns:a16="http://schemas.microsoft.com/office/drawing/2014/main" id="{00000000-0008-0000-0500-0000070D0000}"/>
            </a:ext>
          </a:extLst>
        </xdr:cNvPr>
        <xdr:cNvSpPr txBox="1">
          <a:spLocks noChangeArrowheads="1"/>
        </xdr:cNvSpPr>
      </xdr:nvSpPr>
      <xdr:spPr bwMode="auto">
        <a:xfrm>
          <a:off x="12540961"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96</xdr:row>
      <xdr:rowOff>0</xdr:rowOff>
    </xdr:from>
    <xdr:ext cx="95250" cy="171450"/>
    <xdr:sp macro="" textlink="">
      <xdr:nvSpPr>
        <xdr:cNvPr id="3336" name="Text Box 17">
          <a:extLst>
            <a:ext uri="{FF2B5EF4-FFF2-40B4-BE49-F238E27FC236}">
              <a16:creationId xmlns:a16="http://schemas.microsoft.com/office/drawing/2014/main" id="{00000000-0008-0000-0500-0000080D0000}"/>
            </a:ext>
          </a:extLst>
        </xdr:cNvPr>
        <xdr:cNvSpPr txBox="1">
          <a:spLocks noChangeArrowheads="1"/>
        </xdr:cNvSpPr>
      </xdr:nvSpPr>
      <xdr:spPr bwMode="auto">
        <a:xfrm>
          <a:off x="12540961"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1020762</xdr:colOff>
      <xdr:row>96</xdr:row>
      <xdr:rowOff>15875</xdr:rowOff>
    </xdr:from>
    <xdr:ext cx="95250" cy="171450"/>
    <xdr:sp macro="" textlink="">
      <xdr:nvSpPr>
        <xdr:cNvPr id="3337" name="Text Box 18">
          <a:extLst>
            <a:ext uri="{FF2B5EF4-FFF2-40B4-BE49-F238E27FC236}">
              <a16:creationId xmlns:a16="http://schemas.microsoft.com/office/drawing/2014/main" id="{00000000-0008-0000-0500-0000090D0000}"/>
            </a:ext>
          </a:extLst>
        </xdr:cNvPr>
        <xdr:cNvSpPr txBox="1">
          <a:spLocks noChangeArrowheads="1"/>
        </xdr:cNvSpPr>
      </xdr:nvSpPr>
      <xdr:spPr bwMode="auto">
        <a:xfrm>
          <a:off x="12485398" y="7116330"/>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96</xdr:row>
      <xdr:rowOff>0</xdr:rowOff>
    </xdr:from>
    <xdr:ext cx="95250" cy="171450"/>
    <xdr:sp macro="" textlink="">
      <xdr:nvSpPr>
        <xdr:cNvPr id="3338" name="Text Box 16">
          <a:extLst>
            <a:ext uri="{FF2B5EF4-FFF2-40B4-BE49-F238E27FC236}">
              <a16:creationId xmlns:a16="http://schemas.microsoft.com/office/drawing/2014/main" id="{00000000-0008-0000-0500-00000A0D0000}"/>
            </a:ext>
          </a:extLst>
        </xdr:cNvPr>
        <xdr:cNvSpPr txBox="1">
          <a:spLocks noChangeArrowheads="1"/>
        </xdr:cNvSpPr>
      </xdr:nvSpPr>
      <xdr:spPr bwMode="auto">
        <a:xfrm>
          <a:off x="15388070"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96</xdr:row>
      <xdr:rowOff>0</xdr:rowOff>
    </xdr:from>
    <xdr:ext cx="95250" cy="171450"/>
    <xdr:sp macro="" textlink="">
      <xdr:nvSpPr>
        <xdr:cNvPr id="3339" name="Text Box 17">
          <a:extLst>
            <a:ext uri="{FF2B5EF4-FFF2-40B4-BE49-F238E27FC236}">
              <a16:creationId xmlns:a16="http://schemas.microsoft.com/office/drawing/2014/main" id="{00000000-0008-0000-0500-00000B0D0000}"/>
            </a:ext>
          </a:extLst>
        </xdr:cNvPr>
        <xdr:cNvSpPr txBox="1">
          <a:spLocks noChangeArrowheads="1"/>
        </xdr:cNvSpPr>
      </xdr:nvSpPr>
      <xdr:spPr bwMode="auto">
        <a:xfrm>
          <a:off x="15388070"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96</xdr:row>
      <xdr:rowOff>0</xdr:rowOff>
    </xdr:from>
    <xdr:ext cx="95250" cy="171450"/>
    <xdr:sp macro="" textlink="">
      <xdr:nvSpPr>
        <xdr:cNvPr id="3340" name="Text Box 18">
          <a:extLst>
            <a:ext uri="{FF2B5EF4-FFF2-40B4-BE49-F238E27FC236}">
              <a16:creationId xmlns:a16="http://schemas.microsoft.com/office/drawing/2014/main" id="{00000000-0008-0000-0500-00000C0D0000}"/>
            </a:ext>
          </a:extLst>
        </xdr:cNvPr>
        <xdr:cNvSpPr txBox="1">
          <a:spLocks noChangeArrowheads="1"/>
        </xdr:cNvSpPr>
      </xdr:nvSpPr>
      <xdr:spPr bwMode="auto">
        <a:xfrm>
          <a:off x="15388070"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96</xdr:row>
      <xdr:rowOff>0</xdr:rowOff>
    </xdr:from>
    <xdr:ext cx="95250" cy="171450"/>
    <xdr:sp macro="" textlink="">
      <xdr:nvSpPr>
        <xdr:cNvPr id="3341" name="Text Box 19">
          <a:extLst>
            <a:ext uri="{FF2B5EF4-FFF2-40B4-BE49-F238E27FC236}">
              <a16:creationId xmlns:a16="http://schemas.microsoft.com/office/drawing/2014/main" id="{00000000-0008-0000-0500-00000D0D0000}"/>
            </a:ext>
          </a:extLst>
        </xdr:cNvPr>
        <xdr:cNvSpPr txBox="1">
          <a:spLocks noChangeArrowheads="1"/>
        </xdr:cNvSpPr>
      </xdr:nvSpPr>
      <xdr:spPr bwMode="auto">
        <a:xfrm>
          <a:off x="15388070"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96</xdr:row>
      <xdr:rowOff>0</xdr:rowOff>
    </xdr:from>
    <xdr:ext cx="95250" cy="171450"/>
    <xdr:sp macro="" textlink="">
      <xdr:nvSpPr>
        <xdr:cNvPr id="3342" name="Text Box 16">
          <a:extLst>
            <a:ext uri="{FF2B5EF4-FFF2-40B4-BE49-F238E27FC236}">
              <a16:creationId xmlns:a16="http://schemas.microsoft.com/office/drawing/2014/main" id="{00000000-0008-0000-0500-00000E0D0000}"/>
            </a:ext>
          </a:extLst>
        </xdr:cNvPr>
        <xdr:cNvSpPr txBox="1">
          <a:spLocks noChangeArrowheads="1"/>
        </xdr:cNvSpPr>
      </xdr:nvSpPr>
      <xdr:spPr bwMode="auto">
        <a:xfrm>
          <a:off x="15388070"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10</xdr:col>
      <xdr:colOff>28575</xdr:colOff>
      <xdr:row>96</xdr:row>
      <xdr:rowOff>170392</xdr:rowOff>
    </xdr:from>
    <xdr:ext cx="95250" cy="213632"/>
    <xdr:sp macro="" textlink="">
      <xdr:nvSpPr>
        <xdr:cNvPr id="3343" name="Text Box 15">
          <a:extLst>
            <a:ext uri="{FF2B5EF4-FFF2-40B4-BE49-F238E27FC236}">
              <a16:creationId xmlns:a16="http://schemas.microsoft.com/office/drawing/2014/main" id="{00000000-0008-0000-0500-00000F0D0000}"/>
            </a:ext>
          </a:extLst>
        </xdr:cNvPr>
        <xdr:cNvSpPr txBox="1">
          <a:spLocks noChangeArrowheads="1"/>
        </xdr:cNvSpPr>
      </xdr:nvSpPr>
      <xdr:spPr bwMode="auto">
        <a:xfrm>
          <a:off x="12578484" y="7270847"/>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96</xdr:row>
      <xdr:rowOff>504825</xdr:rowOff>
    </xdr:from>
    <xdr:ext cx="95250" cy="448496"/>
    <xdr:sp macro="" textlink="">
      <xdr:nvSpPr>
        <xdr:cNvPr id="3344" name="Text Box 15">
          <a:extLst>
            <a:ext uri="{FF2B5EF4-FFF2-40B4-BE49-F238E27FC236}">
              <a16:creationId xmlns:a16="http://schemas.microsoft.com/office/drawing/2014/main" id="{00000000-0008-0000-0500-0000100D0000}"/>
            </a:ext>
          </a:extLst>
        </xdr:cNvPr>
        <xdr:cNvSpPr txBox="1">
          <a:spLocks noChangeArrowheads="1"/>
        </xdr:cNvSpPr>
      </xdr:nvSpPr>
      <xdr:spPr bwMode="auto">
        <a:xfrm>
          <a:off x="4664364" y="5994111"/>
          <a:ext cx="95250" cy="448496"/>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96</xdr:row>
      <xdr:rowOff>504825</xdr:rowOff>
    </xdr:from>
    <xdr:ext cx="95250" cy="442269"/>
    <xdr:sp macro="" textlink="">
      <xdr:nvSpPr>
        <xdr:cNvPr id="3345" name="Text Box 15">
          <a:extLst>
            <a:ext uri="{FF2B5EF4-FFF2-40B4-BE49-F238E27FC236}">
              <a16:creationId xmlns:a16="http://schemas.microsoft.com/office/drawing/2014/main" id="{00000000-0008-0000-0500-0000110D0000}"/>
            </a:ext>
          </a:extLst>
        </xdr:cNvPr>
        <xdr:cNvSpPr txBox="1">
          <a:spLocks noChangeArrowheads="1"/>
        </xdr:cNvSpPr>
      </xdr:nvSpPr>
      <xdr:spPr bwMode="auto">
        <a:xfrm>
          <a:off x="12540961" y="5994111"/>
          <a:ext cx="95250" cy="442269"/>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21</xdr:col>
      <xdr:colOff>0</xdr:colOff>
      <xdr:row>96</xdr:row>
      <xdr:rowOff>504825</xdr:rowOff>
    </xdr:from>
    <xdr:ext cx="95250" cy="442269"/>
    <xdr:sp macro="" textlink="">
      <xdr:nvSpPr>
        <xdr:cNvPr id="3346" name="Text Box 15">
          <a:extLst>
            <a:ext uri="{FF2B5EF4-FFF2-40B4-BE49-F238E27FC236}">
              <a16:creationId xmlns:a16="http://schemas.microsoft.com/office/drawing/2014/main" id="{00000000-0008-0000-0500-0000120D0000}"/>
            </a:ext>
          </a:extLst>
        </xdr:cNvPr>
        <xdr:cNvSpPr txBox="1">
          <a:spLocks noChangeArrowheads="1"/>
        </xdr:cNvSpPr>
      </xdr:nvSpPr>
      <xdr:spPr bwMode="auto">
        <a:xfrm>
          <a:off x="21832455" y="5994111"/>
          <a:ext cx="95250" cy="442269"/>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96</xdr:row>
      <xdr:rowOff>504825</xdr:rowOff>
    </xdr:from>
    <xdr:ext cx="95250" cy="213632"/>
    <xdr:sp macro="" textlink="">
      <xdr:nvSpPr>
        <xdr:cNvPr id="3347" name="Text Box 15">
          <a:extLst>
            <a:ext uri="{FF2B5EF4-FFF2-40B4-BE49-F238E27FC236}">
              <a16:creationId xmlns:a16="http://schemas.microsoft.com/office/drawing/2014/main" id="{00000000-0008-0000-0500-0000130D0000}"/>
            </a:ext>
          </a:extLst>
        </xdr:cNvPr>
        <xdr:cNvSpPr txBox="1">
          <a:spLocks noChangeArrowheads="1"/>
        </xdr:cNvSpPr>
      </xdr:nvSpPr>
      <xdr:spPr bwMode="auto">
        <a:xfrm>
          <a:off x="4664364" y="5994111"/>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96</xdr:row>
      <xdr:rowOff>504825</xdr:rowOff>
    </xdr:from>
    <xdr:ext cx="95250" cy="444331"/>
    <xdr:sp macro="" textlink="">
      <xdr:nvSpPr>
        <xdr:cNvPr id="3348" name="Text Box 15">
          <a:extLst>
            <a:ext uri="{FF2B5EF4-FFF2-40B4-BE49-F238E27FC236}">
              <a16:creationId xmlns:a16="http://schemas.microsoft.com/office/drawing/2014/main" id="{00000000-0008-0000-0500-0000140D0000}"/>
            </a:ext>
          </a:extLst>
        </xdr:cNvPr>
        <xdr:cNvSpPr txBox="1">
          <a:spLocks noChangeArrowheads="1"/>
        </xdr:cNvSpPr>
      </xdr:nvSpPr>
      <xdr:spPr bwMode="auto">
        <a:xfrm>
          <a:off x="4664364" y="5994111"/>
          <a:ext cx="95250" cy="444331"/>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10</xdr:col>
      <xdr:colOff>28575</xdr:colOff>
      <xdr:row>96</xdr:row>
      <xdr:rowOff>170392</xdr:rowOff>
    </xdr:from>
    <xdr:ext cx="95250" cy="213632"/>
    <xdr:sp macro="" textlink="">
      <xdr:nvSpPr>
        <xdr:cNvPr id="3349" name="Text Box 15">
          <a:extLst>
            <a:ext uri="{FF2B5EF4-FFF2-40B4-BE49-F238E27FC236}">
              <a16:creationId xmlns:a16="http://schemas.microsoft.com/office/drawing/2014/main" id="{00000000-0008-0000-0500-0000150D0000}"/>
            </a:ext>
          </a:extLst>
        </xdr:cNvPr>
        <xdr:cNvSpPr txBox="1">
          <a:spLocks noChangeArrowheads="1"/>
        </xdr:cNvSpPr>
      </xdr:nvSpPr>
      <xdr:spPr bwMode="auto">
        <a:xfrm>
          <a:off x="12578484" y="5793028"/>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102</xdr:row>
      <xdr:rowOff>0</xdr:rowOff>
    </xdr:from>
    <xdr:ext cx="95250" cy="171450"/>
    <xdr:sp macro="" textlink="">
      <xdr:nvSpPr>
        <xdr:cNvPr id="3350" name="Text Box 16">
          <a:extLst>
            <a:ext uri="{FF2B5EF4-FFF2-40B4-BE49-F238E27FC236}">
              <a16:creationId xmlns:a16="http://schemas.microsoft.com/office/drawing/2014/main" id="{00000000-0008-0000-0500-0000160D0000}"/>
            </a:ext>
          </a:extLst>
        </xdr:cNvPr>
        <xdr:cNvSpPr txBox="1">
          <a:spLocks noChangeArrowheads="1"/>
        </xdr:cNvSpPr>
      </xdr:nvSpPr>
      <xdr:spPr bwMode="auto">
        <a:xfrm>
          <a:off x="4664364"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102</xdr:row>
      <xdr:rowOff>0</xdr:rowOff>
    </xdr:from>
    <xdr:ext cx="95250" cy="171450"/>
    <xdr:sp macro="" textlink="">
      <xdr:nvSpPr>
        <xdr:cNvPr id="3351" name="Text Box 17">
          <a:extLst>
            <a:ext uri="{FF2B5EF4-FFF2-40B4-BE49-F238E27FC236}">
              <a16:creationId xmlns:a16="http://schemas.microsoft.com/office/drawing/2014/main" id="{00000000-0008-0000-0500-0000170D0000}"/>
            </a:ext>
          </a:extLst>
        </xdr:cNvPr>
        <xdr:cNvSpPr txBox="1">
          <a:spLocks noChangeArrowheads="1"/>
        </xdr:cNvSpPr>
      </xdr:nvSpPr>
      <xdr:spPr bwMode="auto">
        <a:xfrm>
          <a:off x="4664364"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102</xdr:row>
      <xdr:rowOff>0</xdr:rowOff>
    </xdr:from>
    <xdr:ext cx="95250" cy="171450"/>
    <xdr:sp macro="" textlink="">
      <xdr:nvSpPr>
        <xdr:cNvPr id="3352" name="Text Box 18">
          <a:extLst>
            <a:ext uri="{FF2B5EF4-FFF2-40B4-BE49-F238E27FC236}">
              <a16:creationId xmlns:a16="http://schemas.microsoft.com/office/drawing/2014/main" id="{00000000-0008-0000-0500-0000180D0000}"/>
            </a:ext>
          </a:extLst>
        </xdr:cNvPr>
        <xdr:cNvSpPr txBox="1">
          <a:spLocks noChangeArrowheads="1"/>
        </xdr:cNvSpPr>
      </xdr:nvSpPr>
      <xdr:spPr bwMode="auto">
        <a:xfrm>
          <a:off x="4664364"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102</xdr:row>
      <xdr:rowOff>0</xdr:rowOff>
    </xdr:from>
    <xdr:ext cx="95250" cy="171450"/>
    <xdr:sp macro="" textlink="">
      <xdr:nvSpPr>
        <xdr:cNvPr id="3353" name="Text Box 19">
          <a:extLst>
            <a:ext uri="{FF2B5EF4-FFF2-40B4-BE49-F238E27FC236}">
              <a16:creationId xmlns:a16="http://schemas.microsoft.com/office/drawing/2014/main" id="{00000000-0008-0000-0500-0000190D0000}"/>
            </a:ext>
          </a:extLst>
        </xdr:cNvPr>
        <xdr:cNvSpPr txBox="1">
          <a:spLocks noChangeArrowheads="1"/>
        </xdr:cNvSpPr>
      </xdr:nvSpPr>
      <xdr:spPr bwMode="auto">
        <a:xfrm>
          <a:off x="4664364"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102</xdr:row>
      <xdr:rowOff>0</xdr:rowOff>
    </xdr:from>
    <xdr:ext cx="95250" cy="171450"/>
    <xdr:sp macro="" textlink="">
      <xdr:nvSpPr>
        <xdr:cNvPr id="3354" name="Text Box 16">
          <a:extLst>
            <a:ext uri="{FF2B5EF4-FFF2-40B4-BE49-F238E27FC236}">
              <a16:creationId xmlns:a16="http://schemas.microsoft.com/office/drawing/2014/main" id="{00000000-0008-0000-0500-00001A0D0000}"/>
            </a:ext>
          </a:extLst>
        </xdr:cNvPr>
        <xdr:cNvSpPr txBox="1">
          <a:spLocks noChangeArrowheads="1"/>
        </xdr:cNvSpPr>
      </xdr:nvSpPr>
      <xdr:spPr bwMode="auto">
        <a:xfrm>
          <a:off x="12540961"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102</xdr:row>
      <xdr:rowOff>0</xdr:rowOff>
    </xdr:from>
    <xdr:ext cx="95250" cy="171450"/>
    <xdr:sp macro="" textlink="">
      <xdr:nvSpPr>
        <xdr:cNvPr id="3355" name="Text Box 17">
          <a:extLst>
            <a:ext uri="{FF2B5EF4-FFF2-40B4-BE49-F238E27FC236}">
              <a16:creationId xmlns:a16="http://schemas.microsoft.com/office/drawing/2014/main" id="{00000000-0008-0000-0500-00001B0D0000}"/>
            </a:ext>
          </a:extLst>
        </xdr:cNvPr>
        <xdr:cNvSpPr txBox="1">
          <a:spLocks noChangeArrowheads="1"/>
        </xdr:cNvSpPr>
      </xdr:nvSpPr>
      <xdr:spPr bwMode="auto">
        <a:xfrm>
          <a:off x="12540961"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102</xdr:row>
      <xdr:rowOff>0</xdr:rowOff>
    </xdr:from>
    <xdr:ext cx="95250" cy="171450"/>
    <xdr:sp macro="" textlink="">
      <xdr:nvSpPr>
        <xdr:cNvPr id="3356" name="Text Box 18">
          <a:extLst>
            <a:ext uri="{FF2B5EF4-FFF2-40B4-BE49-F238E27FC236}">
              <a16:creationId xmlns:a16="http://schemas.microsoft.com/office/drawing/2014/main" id="{00000000-0008-0000-0500-00001C0D0000}"/>
            </a:ext>
          </a:extLst>
        </xdr:cNvPr>
        <xdr:cNvSpPr txBox="1">
          <a:spLocks noChangeArrowheads="1"/>
        </xdr:cNvSpPr>
      </xdr:nvSpPr>
      <xdr:spPr bwMode="auto">
        <a:xfrm>
          <a:off x="12540961"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102</xdr:row>
      <xdr:rowOff>0</xdr:rowOff>
    </xdr:from>
    <xdr:ext cx="95250" cy="171450"/>
    <xdr:sp macro="" textlink="">
      <xdr:nvSpPr>
        <xdr:cNvPr id="3357" name="Text Box 19">
          <a:extLst>
            <a:ext uri="{FF2B5EF4-FFF2-40B4-BE49-F238E27FC236}">
              <a16:creationId xmlns:a16="http://schemas.microsoft.com/office/drawing/2014/main" id="{00000000-0008-0000-0500-00001D0D0000}"/>
            </a:ext>
          </a:extLst>
        </xdr:cNvPr>
        <xdr:cNvSpPr txBox="1">
          <a:spLocks noChangeArrowheads="1"/>
        </xdr:cNvSpPr>
      </xdr:nvSpPr>
      <xdr:spPr bwMode="auto">
        <a:xfrm>
          <a:off x="12540961"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21</xdr:col>
      <xdr:colOff>0</xdr:colOff>
      <xdr:row>102</xdr:row>
      <xdr:rowOff>0</xdr:rowOff>
    </xdr:from>
    <xdr:ext cx="95250" cy="171450"/>
    <xdr:sp macro="" textlink="">
      <xdr:nvSpPr>
        <xdr:cNvPr id="3358" name="Text Box 16">
          <a:extLst>
            <a:ext uri="{FF2B5EF4-FFF2-40B4-BE49-F238E27FC236}">
              <a16:creationId xmlns:a16="http://schemas.microsoft.com/office/drawing/2014/main" id="{00000000-0008-0000-0500-00001E0D0000}"/>
            </a:ext>
          </a:extLst>
        </xdr:cNvPr>
        <xdr:cNvSpPr txBox="1">
          <a:spLocks noChangeArrowheads="1"/>
        </xdr:cNvSpPr>
      </xdr:nvSpPr>
      <xdr:spPr bwMode="auto">
        <a:xfrm>
          <a:off x="21832455"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21</xdr:col>
      <xdr:colOff>0</xdr:colOff>
      <xdr:row>102</xdr:row>
      <xdr:rowOff>0</xdr:rowOff>
    </xdr:from>
    <xdr:ext cx="95250" cy="171450"/>
    <xdr:sp macro="" textlink="">
      <xdr:nvSpPr>
        <xdr:cNvPr id="3359" name="Text Box 17">
          <a:extLst>
            <a:ext uri="{FF2B5EF4-FFF2-40B4-BE49-F238E27FC236}">
              <a16:creationId xmlns:a16="http://schemas.microsoft.com/office/drawing/2014/main" id="{00000000-0008-0000-0500-00001F0D0000}"/>
            </a:ext>
          </a:extLst>
        </xdr:cNvPr>
        <xdr:cNvSpPr txBox="1">
          <a:spLocks noChangeArrowheads="1"/>
        </xdr:cNvSpPr>
      </xdr:nvSpPr>
      <xdr:spPr bwMode="auto">
        <a:xfrm>
          <a:off x="21832455"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21</xdr:col>
      <xdr:colOff>0</xdr:colOff>
      <xdr:row>102</xdr:row>
      <xdr:rowOff>0</xdr:rowOff>
    </xdr:from>
    <xdr:ext cx="95250" cy="171450"/>
    <xdr:sp macro="" textlink="">
      <xdr:nvSpPr>
        <xdr:cNvPr id="3360" name="Text Box 18">
          <a:extLst>
            <a:ext uri="{FF2B5EF4-FFF2-40B4-BE49-F238E27FC236}">
              <a16:creationId xmlns:a16="http://schemas.microsoft.com/office/drawing/2014/main" id="{00000000-0008-0000-0500-0000200D0000}"/>
            </a:ext>
          </a:extLst>
        </xdr:cNvPr>
        <xdr:cNvSpPr txBox="1">
          <a:spLocks noChangeArrowheads="1"/>
        </xdr:cNvSpPr>
      </xdr:nvSpPr>
      <xdr:spPr bwMode="auto">
        <a:xfrm>
          <a:off x="21832455"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21</xdr:col>
      <xdr:colOff>0</xdr:colOff>
      <xdr:row>102</xdr:row>
      <xdr:rowOff>0</xdr:rowOff>
    </xdr:from>
    <xdr:ext cx="95250" cy="171450"/>
    <xdr:sp macro="" textlink="">
      <xdr:nvSpPr>
        <xdr:cNvPr id="3361" name="Text Box 19">
          <a:extLst>
            <a:ext uri="{FF2B5EF4-FFF2-40B4-BE49-F238E27FC236}">
              <a16:creationId xmlns:a16="http://schemas.microsoft.com/office/drawing/2014/main" id="{00000000-0008-0000-0500-0000210D0000}"/>
            </a:ext>
          </a:extLst>
        </xdr:cNvPr>
        <xdr:cNvSpPr txBox="1">
          <a:spLocks noChangeArrowheads="1"/>
        </xdr:cNvSpPr>
      </xdr:nvSpPr>
      <xdr:spPr bwMode="auto">
        <a:xfrm>
          <a:off x="21832455"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98</xdr:row>
      <xdr:rowOff>504825</xdr:rowOff>
    </xdr:from>
    <xdr:ext cx="95250" cy="444014"/>
    <xdr:sp macro="" textlink="">
      <xdr:nvSpPr>
        <xdr:cNvPr id="3362" name="Text Box 15">
          <a:extLst>
            <a:ext uri="{FF2B5EF4-FFF2-40B4-BE49-F238E27FC236}">
              <a16:creationId xmlns:a16="http://schemas.microsoft.com/office/drawing/2014/main" id="{00000000-0008-0000-0500-0000220D0000}"/>
            </a:ext>
          </a:extLst>
        </xdr:cNvPr>
        <xdr:cNvSpPr txBox="1">
          <a:spLocks noChangeArrowheads="1"/>
        </xdr:cNvSpPr>
      </xdr:nvSpPr>
      <xdr:spPr bwMode="auto">
        <a:xfrm>
          <a:off x="4664364" y="6733020"/>
          <a:ext cx="95250" cy="444014"/>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102</xdr:row>
      <xdr:rowOff>0</xdr:rowOff>
    </xdr:from>
    <xdr:ext cx="95250" cy="171450"/>
    <xdr:sp macro="" textlink="">
      <xdr:nvSpPr>
        <xdr:cNvPr id="3363" name="Text Box 16">
          <a:extLst>
            <a:ext uri="{FF2B5EF4-FFF2-40B4-BE49-F238E27FC236}">
              <a16:creationId xmlns:a16="http://schemas.microsoft.com/office/drawing/2014/main" id="{00000000-0008-0000-0500-0000230D0000}"/>
            </a:ext>
          </a:extLst>
        </xdr:cNvPr>
        <xdr:cNvSpPr txBox="1">
          <a:spLocks noChangeArrowheads="1"/>
        </xdr:cNvSpPr>
      </xdr:nvSpPr>
      <xdr:spPr bwMode="auto">
        <a:xfrm>
          <a:off x="4664364"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102</xdr:row>
      <xdr:rowOff>0</xdr:rowOff>
    </xdr:from>
    <xdr:ext cx="95250" cy="171450"/>
    <xdr:sp macro="" textlink="">
      <xdr:nvSpPr>
        <xdr:cNvPr id="3364" name="Text Box 17">
          <a:extLst>
            <a:ext uri="{FF2B5EF4-FFF2-40B4-BE49-F238E27FC236}">
              <a16:creationId xmlns:a16="http://schemas.microsoft.com/office/drawing/2014/main" id="{00000000-0008-0000-0500-0000240D0000}"/>
            </a:ext>
          </a:extLst>
        </xdr:cNvPr>
        <xdr:cNvSpPr txBox="1">
          <a:spLocks noChangeArrowheads="1"/>
        </xdr:cNvSpPr>
      </xdr:nvSpPr>
      <xdr:spPr bwMode="auto">
        <a:xfrm>
          <a:off x="4664364"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102</xdr:row>
      <xdr:rowOff>0</xdr:rowOff>
    </xdr:from>
    <xdr:ext cx="95250" cy="171450"/>
    <xdr:sp macro="" textlink="">
      <xdr:nvSpPr>
        <xdr:cNvPr id="3365" name="Text Box 18">
          <a:extLst>
            <a:ext uri="{FF2B5EF4-FFF2-40B4-BE49-F238E27FC236}">
              <a16:creationId xmlns:a16="http://schemas.microsoft.com/office/drawing/2014/main" id="{00000000-0008-0000-0500-0000250D0000}"/>
            </a:ext>
          </a:extLst>
        </xdr:cNvPr>
        <xdr:cNvSpPr txBox="1">
          <a:spLocks noChangeArrowheads="1"/>
        </xdr:cNvSpPr>
      </xdr:nvSpPr>
      <xdr:spPr bwMode="auto">
        <a:xfrm>
          <a:off x="4664364"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102</xdr:row>
      <xdr:rowOff>0</xdr:rowOff>
    </xdr:from>
    <xdr:ext cx="95250" cy="171450"/>
    <xdr:sp macro="" textlink="">
      <xdr:nvSpPr>
        <xdr:cNvPr id="3366" name="Text Box 19">
          <a:extLst>
            <a:ext uri="{FF2B5EF4-FFF2-40B4-BE49-F238E27FC236}">
              <a16:creationId xmlns:a16="http://schemas.microsoft.com/office/drawing/2014/main" id="{00000000-0008-0000-0500-0000260D0000}"/>
            </a:ext>
          </a:extLst>
        </xdr:cNvPr>
        <xdr:cNvSpPr txBox="1">
          <a:spLocks noChangeArrowheads="1"/>
        </xdr:cNvSpPr>
      </xdr:nvSpPr>
      <xdr:spPr bwMode="auto">
        <a:xfrm>
          <a:off x="4664364"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102</xdr:row>
      <xdr:rowOff>0</xdr:rowOff>
    </xdr:from>
    <xdr:ext cx="95250" cy="171450"/>
    <xdr:sp macro="" textlink="">
      <xdr:nvSpPr>
        <xdr:cNvPr id="3367" name="Text Box 16">
          <a:extLst>
            <a:ext uri="{FF2B5EF4-FFF2-40B4-BE49-F238E27FC236}">
              <a16:creationId xmlns:a16="http://schemas.microsoft.com/office/drawing/2014/main" id="{00000000-0008-0000-0500-0000270D0000}"/>
            </a:ext>
          </a:extLst>
        </xdr:cNvPr>
        <xdr:cNvSpPr txBox="1">
          <a:spLocks noChangeArrowheads="1"/>
        </xdr:cNvSpPr>
      </xdr:nvSpPr>
      <xdr:spPr bwMode="auto">
        <a:xfrm>
          <a:off x="12540961"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102</xdr:row>
      <xdr:rowOff>0</xdr:rowOff>
    </xdr:from>
    <xdr:ext cx="95250" cy="171450"/>
    <xdr:sp macro="" textlink="">
      <xdr:nvSpPr>
        <xdr:cNvPr id="3368" name="Text Box 17">
          <a:extLst>
            <a:ext uri="{FF2B5EF4-FFF2-40B4-BE49-F238E27FC236}">
              <a16:creationId xmlns:a16="http://schemas.microsoft.com/office/drawing/2014/main" id="{00000000-0008-0000-0500-0000280D0000}"/>
            </a:ext>
          </a:extLst>
        </xdr:cNvPr>
        <xdr:cNvSpPr txBox="1">
          <a:spLocks noChangeArrowheads="1"/>
        </xdr:cNvSpPr>
      </xdr:nvSpPr>
      <xdr:spPr bwMode="auto">
        <a:xfrm>
          <a:off x="12540961"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102</xdr:row>
      <xdr:rowOff>0</xdr:rowOff>
    </xdr:from>
    <xdr:ext cx="95250" cy="171450"/>
    <xdr:sp macro="" textlink="">
      <xdr:nvSpPr>
        <xdr:cNvPr id="3369" name="Text Box 18">
          <a:extLst>
            <a:ext uri="{FF2B5EF4-FFF2-40B4-BE49-F238E27FC236}">
              <a16:creationId xmlns:a16="http://schemas.microsoft.com/office/drawing/2014/main" id="{00000000-0008-0000-0500-0000290D0000}"/>
            </a:ext>
          </a:extLst>
        </xdr:cNvPr>
        <xdr:cNvSpPr txBox="1">
          <a:spLocks noChangeArrowheads="1"/>
        </xdr:cNvSpPr>
      </xdr:nvSpPr>
      <xdr:spPr bwMode="auto">
        <a:xfrm>
          <a:off x="12540961"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102</xdr:row>
      <xdr:rowOff>0</xdr:rowOff>
    </xdr:from>
    <xdr:ext cx="95250" cy="171450"/>
    <xdr:sp macro="" textlink="">
      <xdr:nvSpPr>
        <xdr:cNvPr id="3370" name="Text Box 16">
          <a:extLst>
            <a:ext uri="{FF2B5EF4-FFF2-40B4-BE49-F238E27FC236}">
              <a16:creationId xmlns:a16="http://schemas.microsoft.com/office/drawing/2014/main" id="{00000000-0008-0000-0500-00002A0D0000}"/>
            </a:ext>
          </a:extLst>
        </xdr:cNvPr>
        <xdr:cNvSpPr txBox="1">
          <a:spLocks noChangeArrowheads="1"/>
        </xdr:cNvSpPr>
      </xdr:nvSpPr>
      <xdr:spPr bwMode="auto">
        <a:xfrm>
          <a:off x="15388070"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102</xdr:row>
      <xdr:rowOff>0</xdr:rowOff>
    </xdr:from>
    <xdr:ext cx="95250" cy="171450"/>
    <xdr:sp macro="" textlink="">
      <xdr:nvSpPr>
        <xdr:cNvPr id="3371" name="Text Box 17">
          <a:extLst>
            <a:ext uri="{FF2B5EF4-FFF2-40B4-BE49-F238E27FC236}">
              <a16:creationId xmlns:a16="http://schemas.microsoft.com/office/drawing/2014/main" id="{00000000-0008-0000-0500-00002B0D0000}"/>
            </a:ext>
          </a:extLst>
        </xdr:cNvPr>
        <xdr:cNvSpPr txBox="1">
          <a:spLocks noChangeArrowheads="1"/>
        </xdr:cNvSpPr>
      </xdr:nvSpPr>
      <xdr:spPr bwMode="auto">
        <a:xfrm>
          <a:off x="15388070"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102</xdr:row>
      <xdr:rowOff>0</xdr:rowOff>
    </xdr:from>
    <xdr:ext cx="95250" cy="171450"/>
    <xdr:sp macro="" textlink="">
      <xdr:nvSpPr>
        <xdr:cNvPr id="3372" name="Text Box 18">
          <a:extLst>
            <a:ext uri="{FF2B5EF4-FFF2-40B4-BE49-F238E27FC236}">
              <a16:creationId xmlns:a16="http://schemas.microsoft.com/office/drawing/2014/main" id="{00000000-0008-0000-0500-00002C0D0000}"/>
            </a:ext>
          </a:extLst>
        </xdr:cNvPr>
        <xdr:cNvSpPr txBox="1">
          <a:spLocks noChangeArrowheads="1"/>
        </xdr:cNvSpPr>
      </xdr:nvSpPr>
      <xdr:spPr bwMode="auto">
        <a:xfrm>
          <a:off x="15388070"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102</xdr:row>
      <xdr:rowOff>0</xdr:rowOff>
    </xdr:from>
    <xdr:ext cx="95250" cy="171450"/>
    <xdr:sp macro="" textlink="">
      <xdr:nvSpPr>
        <xdr:cNvPr id="3373" name="Text Box 19">
          <a:extLst>
            <a:ext uri="{FF2B5EF4-FFF2-40B4-BE49-F238E27FC236}">
              <a16:creationId xmlns:a16="http://schemas.microsoft.com/office/drawing/2014/main" id="{00000000-0008-0000-0500-00002D0D0000}"/>
            </a:ext>
          </a:extLst>
        </xdr:cNvPr>
        <xdr:cNvSpPr txBox="1">
          <a:spLocks noChangeArrowheads="1"/>
        </xdr:cNvSpPr>
      </xdr:nvSpPr>
      <xdr:spPr bwMode="auto">
        <a:xfrm>
          <a:off x="15388070"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102</xdr:row>
      <xdr:rowOff>0</xdr:rowOff>
    </xdr:from>
    <xdr:ext cx="95250" cy="171450"/>
    <xdr:sp macro="" textlink="">
      <xdr:nvSpPr>
        <xdr:cNvPr id="3374" name="Text Box 16">
          <a:extLst>
            <a:ext uri="{FF2B5EF4-FFF2-40B4-BE49-F238E27FC236}">
              <a16:creationId xmlns:a16="http://schemas.microsoft.com/office/drawing/2014/main" id="{00000000-0008-0000-0500-00002E0D0000}"/>
            </a:ext>
          </a:extLst>
        </xdr:cNvPr>
        <xdr:cNvSpPr txBox="1">
          <a:spLocks noChangeArrowheads="1"/>
        </xdr:cNvSpPr>
      </xdr:nvSpPr>
      <xdr:spPr bwMode="auto">
        <a:xfrm>
          <a:off x="15388070"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102</xdr:row>
      <xdr:rowOff>0</xdr:rowOff>
    </xdr:from>
    <xdr:ext cx="95250" cy="171450"/>
    <xdr:sp macro="" textlink="">
      <xdr:nvSpPr>
        <xdr:cNvPr id="3375" name="Text Box 17">
          <a:extLst>
            <a:ext uri="{FF2B5EF4-FFF2-40B4-BE49-F238E27FC236}">
              <a16:creationId xmlns:a16="http://schemas.microsoft.com/office/drawing/2014/main" id="{00000000-0008-0000-0500-00002F0D0000}"/>
            </a:ext>
          </a:extLst>
        </xdr:cNvPr>
        <xdr:cNvSpPr txBox="1">
          <a:spLocks noChangeArrowheads="1"/>
        </xdr:cNvSpPr>
      </xdr:nvSpPr>
      <xdr:spPr bwMode="auto">
        <a:xfrm>
          <a:off x="15388070"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102</xdr:row>
      <xdr:rowOff>0</xdr:rowOff>
    </xdr:from>
    <xdr:ext cx="95250" cy="171450"/>
    <xdr:sp macro="" textlink="">
      <xdr:nvSpPr>
        <xdr:cNvPr id="3376" name="Text Box 18">
          <a:extLst>
            <a:ext uri="{FF2B5EF4-FFF2-40B4-BE49-F238E27FC236}">
              <a16:creationId xmlns:a16="http://schemas.microsoft.com/office/drawing/2014/main" id="{00000000-0008-0000-0500-0000300D0000}"/>
            </a:ext>
          </a:extLst>
        </xdr:cNvPr>
        <xdr:cNvSpPr txBox="1">
          <a:spLocks noChangeArrowheads="1"/>
        </xdr:cNvSpPr>
      </xdr:nvSpPr>
      <xdr:spPr bwMode="auto">
        <a:xfrm>
          <a:off x="15388070"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102</xdr:row>
      <xdr:rowOff>0</xdr:rowOff>
    </xdr:from>
    <xdr:ext cx="95250" cy="171450"/>
    <xdr:sp macro="" textlink="">
      <xdr:nvSpPr>
        <xdr:cNvPr id="3377" name="Text Box 19">
          <a:extLst>
            <a:ext uri="{FF2B5EF4-FFF2-40B4-BE49-F238E27FC236}">
              <a16:creationId xmlns:a16="http://schemas.microsoft.com/office/drawing/2014/main" id="{00000000-0008-0000-0500-0000310D0000}"/>
            </a:ext>
          </a:extLst>
        </xdr:cNvPr>
        <xdr:cNvSpPr txBox="1">
          <a:spLocks noChangeArrowheads="1"/>
        </xdr:cNvSpPr>
      </xdr:nvSpPr>
      <xdr:spPr bwMode="auto">
        <a:xfrm>
          <a:off x="15388070"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96</xdr:row>
      <xdr:rowOff>504825</xdr:rowOff>
    </xdr:from>
    <xdr:ext cx="95250" cy="456743"/>
    <xdr:sp macro="" textlink="">
      <xdr:nvSpPr>
        <xdr:cNvPr id="3378" name="Text Box 15">
          <a:extLst>
            <a:ext uri="{FF2B5EF4-FFF2-40B4-BE49-F238E27FC236}">
              <a16:creationId xmlns:a16="http://schemas.microsoft.com/office/drawing/2014/main" id="{00000000-0008-0000-0500-0000320D0000}"/>
            </a:ext>
          </a:extLst>
        </xdr:cNvPr>
        <xdr:cNvSpPr txBox="1">
          <a:spLocks noChangeArrowheads="1"/>
        </xdr:cNvSpPr>
      </xdr:nvSpPr>
      <xdr:spPr bwMode="auto">
        <a:xfrm>
          <a:off x="4664364" y="5994111"/>
          <a:ext cx="95250" cy="456743"/>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96</xdr:row>
      <xdr:rowOff>504825</xdr:rowOff>
    </xdr:from>
    <xdr:ext cx="95250" cy="442269"/>
    <xdr:sp macro="" textlink="">
      <xdr:nvSpPr>
        <xdr:cNvPr id="3379" name="Text Box 15">
          <a:extLst>
            <a:ext uri="{FF2B5EF4-FFF2-40B4-BE49-F238E27FC236}">
              <a16:creationId xmlns:a16="http://schemas.microsoft.com/office/drawing/2014/main" id="{00000000-0008-0000-0500-0000330D0000}"/>
            </a:ext>
          </a:extLst>
        </xdr:cNvPr>
        <xdr:cNvSpPr txBox="1">
          <a:spLocks noChangeArrowheads="1"/>
        </xdr:cNvSpPr>
      </xdr:nvSpPr>
      <xdr:spPr bwMode="auto">
        <a:xfrm>
          <a:off x="12540961" y="5994111"/>
          <a:ext cx="95250" cy="442269"/>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21</xdr:col>
      <xdr:colOff>0</xdr:colOff>
      <xdr:row>96</xdr:row>
      <xdr:rowOff>504825</xdr:rowOff>
    </xdr:from>
    <xdr:ext cx="95250" cy="442269"/>
    <xdr:sp macro="" textlink="">
      <xdr:nvSpPr>
        <xdr:cNvPr id="3380" name="Text Box 15">
          <a:extLst>
            <a:ext uri="{FF2B5EF4-FFF2-40B4-BE49-F238E27FC236}">
              <a16:creationId xmlns:a16="http://schemas.microsoft.com/office/drawing/2014/main" id="{00000000-0008-0000-0500-0000340D0000}"/>
            </a:ext>
          </a:extLst>
        </xdr:cNvPr>
        <xdr:cNvSpPr txBox="1">
          <a:spLocks noChangeArrowheads="1"/>
        </xdr:cNvSpPr>
      </xdr:nvSpPr>
      <xdr:spPr bwMode="auto">
        <a:xfrm>
          <a:off x="21832455" y="5994111"/>
          <a:ext cx="95250" cy="442269"/>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96</xdr:row>
      <xdr:rowOff>504825</xdr:rowOff>
    </xdr:from>
    <xdr:ext cx="95250" cy="213632"/>
    <xdr:sp macro="" textlink="">
      <xdr:nvSpPr>
        <xdr:cNvPr id="3381" name="Text Box 15">
          <a:extLst>
            <a:ext uri="{FF2B5EF4-FFF2-40B4-BE49-F238E27FC236}">
              <a16:creationId xmlns:a16="http://schemas.microsoft.com/office/drawing/2014/main" id="{00000000-0008-0000-0500-0000350D0000}"/>
            </a:ext>
          </a:extLst>
        </xdr:cNvPr>
        <xdr:cNvSpPr txBox="1">
          <a:spLocks noChangeArrowheads="1"/>
        </xdr:cNvSpPr>
      </xdr:nvSpPr>
      <xdr:spPr bwMode="auto">
        <a:xfrm>
          <a:off x="4664364" y="5994111"/>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96</xdr:row>
      <xdr:rowOff>504825</xdr:rowOff>
    </xdr:from>
    <xdr:ext cx="95250" cy="444331"/>
    <xdr:sp macro="" textlink="">
      <xdr:nvSpPr>
        <xdr:cNvPr id="3382" name="Text Box 15">
          <a:extLst>
            <a:ext uri="{FF2B5EF4-FFF2-40B4-BE49-F238E27FC236}">
              <a16:creationId xmlns:a16="http://schemas.microsoft.com/office/drawing/2014/main" id="{00000000-0008-0000-0500-0000360D0000}"/>
            </a:ext>
          </a:extLst>
        </xdr:cNvPr>
        <xdr:cNvSpPr txBox="1">
          <a:spLocks noChangeArrowheads="1"/>
        </xdr:cNvSpPr>
      </xdr:nvSpPr>
      <xdr:spPr bwMode="auto">
        <a:xfrm>
          <a:off x="4664364" y="5994111"/>
          <a:ext cx="95250" cy="444331"/>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96</xdr:row>
      <xdr:rowOff>504825</xdr:rowOff>
    </xdr:from>
    <xdr:ext cx="95250" cy="213632"/>
    <xdr:sp macro="" textlink="">
      <xdr:nvSpPr>
        <xdr:cNvPr id="3383" name="Text Box 15">
          <a:extLst>
            <a:ext uri="{FF2B5EF4-FFF2-40B4-BE49-F238E27FC236}">
              <a16:creationId xmlns:a16="http://schemas.microsoft.com/office/drawing/2014/main" id="{00000000-0008-0000-0500-0000370D0000}"/>
            </a:ext>
          </a:extLst>
        </xdr:cNvPr>
        <xdr:cNvSpPr txBox="1">
          <a:spLocks noChangeArrowheads="1"/>
        </xdr:cNvSpPr>
      </xdr:nvSpPr>
      <xdr:spPr bwMode="auto">
        <a:xfrm>
          <a:off x="12540961" y="5994111"/>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102</xdr:row>
      <xdr:rowOff>0</xdr:rowOff>
    </xdr:from>
    <xdr:ext cx="95250" cy="171450"/>
    <xdr:sp macro="" textlink="">
      <xdr:nvSpPr>
        <xdr:cNvPr id="3384" name="Text Box 16">
          <a:extLst>
            <a:ext uri="{FF2B5EF4-FFF2-40B4-BE49-F238E27FC236}">
              <a16:creationId xmlns:a16="http://schemas.microsoft.com/office/drawing/2014/main" id="{00000000-0008-0000-0500-0000380D0000}"/>
            </a:ext>
          </a:extLst>
        </xdr:cNvPr>
        <xdr:cNvSpPr txBox="1">
          <a:spLocks noChangeArrowheads="1"/>
        </xdr:cNvSpPr>
      </xdr:nvSpPr>
      <xdr:spPr bwMode="auto">
        <a:xfrm>
          <a:off x="4664364"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102</xdr:row>
      <xdr:rowOff>0</xdr:rowOff>
    </xdr:from>
    <xdr:ext cx="95250" cy="171450"/>
    <xdr:sp macro="" textlink="">
      <xdr:nvSpPr>
        <xdr:cNvPr id="3385" name="Text Box 17">
          <a:extLst>
            <a:ext uri="{FF2B5EF4-FFF2-40B4-BE49-F238E27FC236}">
              <a16:creationId xmlns:a16="http://schemas.microsoft.com/office/drawing/2014/main" id="{00000000-0008-0000-0500-0000390D0000}"/>
            </a:ext>
          </a:extLst>
        </xdr:cNvPr>
        <xdr:cNvSpPr txBox="1">
          <a:spLocks noChangeArrowheads="1"/>
        </xdr:cNvSpPr>
      </xdr:nvSpPr>
      <xdr:spPr bwMode="auto">
        <a:xfrm>
          <a:off x="4664364"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102</xdr:row>
      <xdr:rowOff>0</xdr:rowOff>
    </xdr:from>
    <xdr:ext cx="95250" cy="171450"/>
    <xdr:sp macro="" textlink="">
      <xdr:nvSpPr>
        <xdr:cNvPr id="3386" name="Text Box 18">
          <a:extLst>
            <a:ext uri="{FF2B5EF4-FFF2-40B4-BE49-F238E27FC236}">
              <a16:creationId xmlns:a16="http://schemas.microsoft.com/office/drawing/2014/main" id="{00000000-0008-0000-0500-00003A0D0000}"/>
            </a:ext>
          </a:extLst>
        </xdr:cNvPr>
        <xdr:cNvSpPr txBox="1">
          <a:spLocks noChangeArrowheads="1"/>
        </xdr:cNvSpPr>
      </xdr:nvSpPr>
      <xdr:spPr bwMode="auto">
        <a:xfrm>
          <a:off x="4664364"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102</xdr:row>
      <xdr:rowOff>0</xdr:rowOff>
    </xdr:from>
    <xdr:ext cx="95250" cy="171450"/>
    <xdr:sp macro="" textlink="">
      <xdr:nvSpPr>
        <xdr:cNvPr id="3387" name="Text Box 19">
          <a:extLst>
            <a:ext uri="{FF2B5EF4-FFF2-40B4-BE49-F238E27FC236}">
              <a16:creationId xmlns:a16="http://schemas.microsoft.com/office/drawing/2014/main" id="{00000000-0008-0000-0500-00003B0D0000}"/>
            </a:ext>
          </a:extLst>
        </xdr:cNvPr>
        <xdr:cNvSpPr txBox="1">
          <a:spLocks noChangeArrowheads="1"/>
        </xdr:cNvSpPr>
      </xdr:nvSpPr>
      <xdr:spPr bwMode="auto">
        <a:xfrm>
          <a:off x="4664364"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102</xdr:row>
      <xdr:rowOff>0</xdr:rowOff>
    </xdr:from>
    <xdr:ext cx="95250" cy="171450"/>
    <xdr:sp macro="" textlink="">
      <xdr:nvSpPr>
        <xdr:cNvPr id="3388" name="Text Box 16">
          <a:extLst>
            <a:ext uri="{FF2B5EF4-FFF2-40B4-BE49-F238E27FC236}">
              <a16:creationId xmlns:a16="http://schemas.microsoft.com/office/drawing/2014/main" id="{00000000-0008-0000-0500-00003C0D0000}"/>
            </a:ext>
          </a:extLst>
        </xdr:cNvPr>
        <xdr:cNvSpPr txBox="1">
          <a:spLocks noChangeArrowheads="1"/>
        </xdr:cNvSpPr>
      </xdr:nvSpPr>
      <xdr:spPr bwMode="auto">
        <a:xfrm>
          <a:off x="12540961"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102</xdr:row>
      <xdr:rowOff>0</xdr:rowOff>
    </xdr:from>
    <xdr:ext cx="95250" cy="171450"/>
    <xdr:sp macro="" textlink="">
      <xdr:nvSpPr>
        <xdr:cNvPr id="3389" name="Text Box 17">
          <a:extLst>
            <a:ext uri="{FF2B5EF4-FFF2-40B4-BE49-F238E27FC236}">
              <a16:creationId xmlns:a16="http://schemas.microsoft.com/office/drawing/2014/main" id="{00000000-0008-0000-0500-00003D0D0000}"/>
            </a:ext>
          </a:extLst>
        </xdr:cNvPr>
        <xdr:cNvSpPr txBox="1">
          <a:spLocks noChangeArrowheads="1"/>
        </xdr:cNvSpPr>
      </xdr:nvSpPr>
      <xdr:spPr bwMode="auto">
        <a:xfrm>
          <a:off x="12540961"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102</xdr:row>
      <xdr:rowOff>0</xdr:rowOff>
    </xdr:from>
    <xdr:ext cx="95250" cy="171450"/>
    <xdr:sp macro="" textlink="">
      <xdr:nvSpPr>
        <xdr:cNvPr id="3390" name="Text Box 18">
          <a:extLst>
            <a:ext uri="{FF2B5EF4-FFF2-40B4-BE49-F238E27FC236}">
              <a16:creationId xmlns:a16="http://schemas.microsoft.com/office/drawing/2014/main" id="{00000000-0008-0000-0500-00003E0D0000}"/>
            </a:ext>
          </a:extLst>
        </xdr:cNvPr>
        <xdr:cNvSpPr txBox="1">
          <a:spLocks noChangeArrowheads="1"/>
        </xdr:cNvSpPr>
      </xdr:nvSpPr>
      <xdr:spPr bwMode="auto">
        <a:xfrm>
          <a:off x="12540961"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102</xdr:row>
      <xdr:rowOff>0</xdr:rowOff>
    </xdr:from>
    <xdr:ext cx="95250" cy="171450"/>
    <xdr:sp macro="" textlink="">
      <xdr:nvSpPr>
        <xdr:cNvPr id="3391" name="Text Box 19">
          <a:extLst>
            <a:ext uri="{FF2B5EF4-FFF2-40B4-BE49-F238E27FC236}">
              <a16:creationId xmlns:a16="http://schemas.microsoft.com/office/drawing/2014/main" id="{00000000-0008-0000-0500-00003F0D0000}"/>
            </a:ext>
          </a:extLst>
        </xdr:cNvPr>
        <xdr:cNvSpPr txBox="1">
          <a:spLocks noChangeArrowheads="1"/>
        </xdr:cNvSpPr>
      </xdr:nvSpPr>
      <xdr:spPr bwMode="auto">
        <a:xfrm>
          <a:off x="12540961"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21</xdr:col>
      <xdr:colOff>0</xdr:colOff>
      <xdr:row>102</xdr:row>
      <xdr:rowOff>0</xdr:rowOff>
    </xdr:from>
    <xdr:ext cx="95250" cy="171450"/>
    <xdr:sp macro="" textlink="">
      <xdr:nvSpPr>
        <xdr:cNvPr id="3392" name="Text Box 16">
          <a:extLst>
            <a:ext uri="{FF2B5EF4-FFF2-40B4-BE49-F238E27FC236}">
              <a16:creationId xmlns:a16="http://schemas.microsoft.com/office/drawing/2014/main" id="{00000000-0008-0000-0500-0000400D0000}"/>
            </a:ext>
          </a:extLst>
        </xdr:cNvPr>
        <xdr:cNvSpPr txBox="1">
          <a:spLocks noChangeArrowheads="1"/>
        </xdr:cNvSpPr>
      </xdr:nvSpPr>
      <xdr:spPr bwMode="auto">
        <a:xfrm>
          <a:off x="21832455"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21</xdr:col>
      <xdr:colOff>0</xdr:colOff>
      <xdr:row>102</xdr:row>
      <xdr:rowOff>0</xdr:rowOff>
    </xdr:from>
    <xdr:ext cx="95250" cy="171450"/>
    <xdr:sp macro="" textlink="">
      <xdr:nvSpPr>
        <xdr:cNvPr id="3393" name="Text Box 17">
          <a:extLst>
            <a:ext uri="{FF2B5EF4-FFF2-40B4-BE49-F238E27FC236}">
              <a16:creationId xmlns:a16="http://schemas.microsoft.com/office/drawing/2014/main" id="{00000000-0008-0000-0500-0000410D0000}"/>
            </a:ext>
          </a:extLst>
        </xdr:cNvPr>
        <xdr:cNvSpPr txBox="1">
          <a:spLocks noChangeArrowheads="1"/>
        </xdr:cNvSpPr>
      </xdr:nvSpPr>
      <xdr:spPr bwMode="auto">
        <a:xfrm>
          <a:off x="21832455"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21</xdr:col>
      <xdr:colOff>0</xdr:colOff>
      <xdr:row>102</xdr:row>
      <xdr:rowOff>0</xdr:rowOff>
    </xdr:from>
    <xdr:ext cx="95250" cy="171450"/>
    <xdr:sp macro="" textlink="">
      <xdr:nvSpPr>
        <xdr:cNvPr id="3394" name="Text Box 18">
          <a:extLst>
            <a:ext uri="{FF2B5EF4-FFF2-40B4-BE49-F238E27FC236}">
              <a16:creationId xmlns:a16="http://schemas.microsoft.com/office/drawing/2014/main" id="{00000000-0008-0000-0500-0000420D0000}"/>
            </a:ext>
          </a:extLst>
        </xdr:cNvPr>
        <xdr:cNvSpPr txBox="1">
          <a:spLocks noChangeArrowheads="1"/>
        </xdr:cNvSpPr>
      </xdr:nvSpPr>
      <xdr:spPr bwMode="auto">
        <a:xfrm>
          <a:off x="21832455"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21</xdr:col>
      <xdr:colOff>0</xdr:colOff>
      <xdr:row>102</xdr:row>
      <xdr:rowOff>0</xdr:rowOff>
    </xdr:from>
    <xdr:ext cx="95250" cy="171450"/>
    <xdr:sp macro="" textlink="">
      <xdr:nvSpPr>
        <xdr:cNvPr id="3395" name="Text Box 19">
          <a:extLst>
            <a:ext uri="{FF2B5EF4-FFF2-40B4-BE49-F238E27FC236}">
              <a16:creationId xmlns:a16="http://schemas.microsoft.com/office/drawing/2014/main" id="{00000000-0008-0000-0500-0000430D0000}"/>
            </a:ext>
          </a:extLst>
        </xdr:cNvPr>
        <xdr:cNvSpPr txBox="1">
          <a:spLocks noChangeArrowheads="1"/>
        </xdr:cNvSpPr>
      </xdr:nvSpPr>
      <xdr:spPr bwMode="auto">
        <a:xfrm>
          <a:off x="21832455"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98</xdr:row>
      <xdr:rowOff>504825</xdr:rowOff>
    </xdr:from>
    <xdr:ext cx="95250" cy="444014"/>
    <xdr:sp macro="" textlink="">
      <xdr:nvSpPr>
        <xdr:cNvPr id="3396" name="Text Box 15">
          <a:extLst>
            <a:ext uri="{FF2B5EF4-FFF2-40B4-BE49-F238E27FC236}">
              <a16:creationId xmlns:a16="http://schemas.microsoft.com/office/drawing/2014/main" id="{00000000-0008-0000-0500-0000440D0000}"/>
            </a:ext>
          </a:extLst>
        </xdr:cNvPr>
        <xdr:cNvSpPr txBox="1">
          <a:spLocks noChangeArrowheads="1"/>
        </xdr:cNvSpPr>
      </xdr:nvSpPr>
      <xdr:spPr bwMode="auto">
        <a:xfrm>
          <a:off x="4664364" y="6733020"/>
          <a:ext cx="95250" cy="444014"/>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102</xdr:row>
      <xdr:rowOff>0</xdr:rowOff>
    </xdr:from>
    <xdr:ext cx="95250" cy="171450"/>
    <xdr:sp macro="" textlink="">
      <xdr:nvSpPr>
        <xdr:cNvPr id="3397" name="Text Box 16">
          <a:extLst>
            <a:ext uri="{FF2B5EF4-FFF2-40B4-BE49-F238E27FC236}">
              <a16:creationId xmlns:a16="http://schemas.microsoft.com/office/drawing/2014/main" id="{00000000-0008-0000-0500-0000450D0000}"/>
            </a:ext>
          </a:extLst>
        </xdr:cNvPr>
        <xdr:cNvSpPr txBox="1">
          <a:spLocks noChangeArrowheads="1"/>
        </xdr:cNvSpPr>
      </xdr:nvSpPr>
      <xdr:spPr bwMode="auto">
        <a:xfrm>
          <a:off x="4664364"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102</xdr:row>
      <xdr:rowOff>0</xdr:rowOff>
    </xdr:from>
    <xdr:ext cx="95250" cy="171450"/>
    <xdr:sp macro="" textlink="">
      <xdr:nvSpPr>
        <xdr:cNvPr id="3398" name="Text Box 17">
          <a:extLst>
            <a:ext uri="{FF2B5EF4-FFF2-40B4-BE49-F238E27FC236}">
              <a16:creationId xmlns:a16="http://schemas.microsoft.com/office/drawing/2014/main" id="{00000000-0008-0000-0500-0000460D0000}"/>
            </a:ext>
          </a:extLst>
        </xdr:cNvPr>
        <xdr:cNvSpPr txBox="1">
          <a:spLocks noChangeArrowheads="1"/>
        </xdr:cNvSpPr>
      </xdr:nvSpPr>
      <xdr:spPr bwMode="auto">
        <a:xfrm>
          <a:off x="4664364"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102</xdr:row>
      <xdr:rowOff>0</xdr:rowOff>
    </xdr:from>
    <xdr:ext cx="95250" cy="171450"/>
    <xdr:sp macro="" textlink="">
      <xdr:nvSpPr>
        <xdr:cNvPr id="3399" name="Text Box 18">
          <a:extLst>
            <a:ext uri="{FF2B5EF4-FFF2-40B4-BE49-F238E27FC236}">
              <a16:creationId xmlns:a16="http://schemas.microsoft.com/office/drawing/2014/main" id="{00000000-0008-0000-0500-0000470D0000}"/>
            </a:ext>
          </a:extLst>
        </xdr:cNvPr>
        <xdr:cNvSpPr txBox="1">
          <a:spLocks noChangeArrowheads="1"/>
        </xdr:cNvSpPr>
      </xdr:nvSpPr>
      <xdr:spPr bwMode="auto">
        <a:xfrm>
          <a:off x="4664364"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102</xdr:row>
      <xdr:rowOff>0</xdr:rowOff>
    </xdr:from>
    <xdr:ext cx="95250" cy="171450"/>
    <xdr:sp macro="" textlink="">
      <xdr:nvSpPr>
        <xdr:cNvPr id="3400" name="Text Box 19">
          <a:extLst>
            <a:ext uri="{FF2B5EF4-FFF2-40B4-BE49-F238E27FC236}">
              <a16:creationId xmlns:a16="http://schemas.microsoft.com/office/drawing/2014/main" id="{00000000-0008-0000-0500-0000480D0000}"/>
            </a:ext>
          </a:extLst>
        </xdr:cNvPr>
        <xdr:cNvSpPr txBox="1">
          <a:spLocks noChangeArrowheads="1"/>
        </xdr:cNvSpPr>
      </xdr:nvSpPr>
      <xdr:spPr bwMode="auto">
        <a:xfrm>
          <a:off x="4664364"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98</xdr:row>
      <xdr:rowOff>504825</xdr:rowOff>
    </xdr:from>
    <xdr:ext cx="95250" cy="442269"/>
    <xdr:sp macro="" textlink="">
      <xdr:nvSpPr>
        <xdr:cNvPr id="3401" name="Text Box 15">
          <a:extLst>
            <a:ext uri="{FF2B5EF4-FFF2-40B4-BE49-F238E27FC236}">
              <a16:creationId xmlns:a16="http://schemas.microsoft.com/office/drawing/2014/main" id="{00000000-0008-0000-0500-0000490D0000}"/>
            </a:ext>
          </a:extLst>
        </xdr:cNvPr>
        <xdr:cNvSpPr txBox="1">
          <a:spLocks noChangeArrowheads="1"/>
        </xdr:cNvSpPr>
      </xdr:nvSpPr>
      <xdr:spPr bwMode="auto">
        <a:xfrm>
          <a:off x="12540961" y="6733020"/>
          <a:ext cx="95250" cy="442269"/>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102</xdr:row>
      <xdr:rowOff>0</xdr:rowOff>
    </xdr:from>
    <xdr:ext cx="95250" cy="171450"/>
    <xdr:sp macro="" textlink="">
      <xdr:nvSpPr>
        <xdr:cNvPr id="3402" name="Text Box 16">
          <a:extLst>
            <a:ext uri="{FF2B5EF4-FFF2-40B4-BE49-F238E27FC236}">
              <a16:creationId xmlns:a16="http://schemas.microsoft.com/office/drawing/2014/main" id="{00000000-0008-0000-0500-00004A0D0000}"/>
            </a:ext>
          </a:extLst>
        </xdr:cNvPr>
        <xdr:cNvSpPr txBox="1">
          <a:spLocks noChangeArrowheads="1"/>
        </xdr:cNvSpPr>
      </xdr:nvSpPr>
      <xdr:spPr bwMode="auto">
        <a:xfrm>
          <a:off x="12540961"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102</xdr:row>
      <xdr:rowOff>0</xdr:rowOff>
    </xdr:from>
    <xdr:ext cx="95250" cy="171450"/>
    <xdr:sp macro="" textlink="">
      <xdr:nvSpPr>
        <xdr:cNvPr id="3403" name="Text Box 17">
          <a:extLst>
            <a:ext uri="{FF2B5EF4-FFF2-40B4-BE49-F238E27FC236}">
              <a16:creationId xmlns:a16="http://schemas.microsoft.com/office/drawing/2014/main" id="{00000000-0008-0000-0500-00004B0D0000}"/>
            </a:ext>
          </a:extLst>
        </xdr:cNvPr>
        <xdr:cNvSpPr txBox="1">
          <a:spLocks noChangeArrowheads="1"/>
        </xdr:cNvSpPr>
      </xdr:nvSpPr>
      <xdr:spPr bwMode="auto">
        <a:xfrm>
          <a:off x="12540961"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102</xdr:row>
      <xdr:rowOff>0</xdr:rowOff>
    </xdr:from>
    <xdr:ext cx="95250" cy="171450"/>
    <xdr:sp macro="" textlink="">
      <xdr:nvSpPr>
        <xdr:cNvPr id="3404" name="Text Box 18">
          <a:extLst>
            <a:ext uri="{FF2B5EF4-FFF2-40B4-BE49-F238E27FC236}">
              <a16:creationId xmlns:a16="http://schemas.microsoft.com/office/drawing/2014/main" id="{00000000-0008-0000-0500-00004C0D0000}"/>
            </a:ext>
          </a:extLst>
        </xdr:cNvPr>
        <xdr:cNvSpPr txBox="1">
          <a:spLocks noChangeArrowheads="1"/>
        </xdr:cNvSpPr>
      </xdr:nvSpPr>
      <xdr:spPr bwMode="auto">
        <a:xfrm>
          <a:off x="12540961"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102</xdr:row>
      <xdr:rowOff>0</xdr:rowOff>
    </xdr:from>
    <xdr:ext cx="95250" cy="171450"/>
    <xdr:sp macro="" textlink="">
      <xdr:nvSpPr>
        <xdr:cNvPr id="3405" name="Text Box 16">
          <a:extLst>
            <a:ext uri="{FF2B5EF4-FFF2-40B4-BE49-F238E27FC236}">
              <a16:creationId xmlns:a16="http://schemas.microsoft.com/office/drawing/2014/main" id="{00000000-0008-0000-0500-00004D0D0000}"/>
            </a:ext>
          </a:extLst>
        </xdr:cNvPr>
        <xdr:cNvSpPr txBox="1">
          <a:spLocks noChangeArrowheads="1"/>
        </xdr:cNvSpPr>
      </xdr:nvSpPr>
      <xdr:spPr bwMode="auto">
        <a:xfrm>
          <a:off x="15388070"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102</xdr:row>
      <xdr:rowOff>0</xdr:rowOff>
    </xdr:from>
    <xdr:ext cx="95250" cy="171450"/>
    <xdr:sp macro="" textlink="">
      <xdr:nvSpPr>
        <xdr:cNvPr id="3406" name="Text Box 17">
          <a:extLst>
            <a:ext uri="{FF2B5EF4-FFF2-40B4-BE49-F238E27FC236}">
              <a16:creationId xmlns:a16="http://schemas.microsoft.com/office/drawing/2014/main" id="{00000000-0008-0000-0500-00004E0D0000}"/>
            </a:ext>
          </a:extLst>
        </xdr:cNvPr>
        <xdr:cNvSpPr txBox="1">
          <a:spLocks noChangeArrowheads="1"/>
        </xdr:cNvSpPr>
      </xdr:nvSpPr>
      <xdr:spPr bwMode="auto">
        <a:xfrm>
          <a:off x="15388070"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102</xdr:row>
      <xdr:rowOff>0</xdr:rowOff>
    </xdr:from>
    <xdr:ext cx="95250" cy="171450"/>
    <xdr:sp macro="" textlink="">
      <xdr:nvSpPr>
        <xdr:cNvPr id="3407" name="Text Box 18">
          <a:extLst>
            <a:ext uri="{FF2B5EF4-FFF2-40B4-BE49-F238E27FC236}">
              <a16:creationId xmlns:a16="http://schemas.microsoft.com/office/drawing/2014/main" id="{00000000-0008-0000-0500-00004F0D0000}"/>
            </a:ext>
          </a:extLst>
        </xdr:cNvPr>
        <xdr:cNvSpPr txBox="1">
          <a:spLocks noChangeArrowheads="1"/>
        </xdr:cNvSpPr>
      </xdr:nvSpPr>
      <xdr:spPr bwMode="auto">
        <a:xfrm>
          <a:off x="15388070"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102</xdr:row>
      <xdr:rowOff>0</xdr:rowOff>
    </xdr:from>
    <xdr:ext cx="95250" cy="171450"/>
    <xdr:sp macro="" textlink="">
      <xdr:nvSpPr>
        <xdr:cNvPr id="3408" name="Text Box 19">
          <a:extLst>
            <a:ext uri="{FF2B5EF4-FFF2-40B4-BE49-F238E27FC236}">
              <a16:creationId xmlns:a16="http://schemas.microsoft.com/office/drawing/2014/main" id="{00000000-0008-0000-0500-0000500D0000}"/>
            </a:ext>
          </a:extLst>
        </xdr:cNvPr>
        <xdr:cNvSpPr txBox="1">
          <a:spLocks noChangeArrowheads="1"/>
        </xdr:cNvSpPr>
      </xdr:nvSpPr>
      <xdr:spPr bwMode="auto">
        <a:xfrm>
          <a:off x="15388070"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102</xdr:row>
      <xdr:rowOff>0</xdr:rowOff>
    </xdr:from>
    <xdr:ext cx="95250" cy="171450"/>
    <xdr:sp macro="" textlink="">
      <xdr:nvSpPr>
        <xdr:cNvPr id="3409" name="Text Box 16">
          <a:extLst>
            <a:ext uri="{FF2B5EF4-FFF2-40B4-BE49-F238E27FC236}">
              <a16:creationId xmlns:a16="http://schemas.microsoft.com/office/drawing/2014/main" id="{00000000-0008-0000-0500-0000510D0000}"/>
            </a:ext>
          </a:extLst>
        </xdr:cNvPr>
        <xdr:cNvSpPr txBox="1">
          <a:spLocks noChangeArrowheads="1"/>
        </xdr:cNvSpPr>
      </xdr:nvSpPr>
      <xdr:spPr bwMode="auto">
        <a:xfrm>
          <a:off x="15388070"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102</xdr:row>
      <xdr:rowOff>0</xdr:rowOff>
    </xdr:from>
    <xdr:ext cx="95250" cy="171450"/>
    <xdr:sp macro="" textlink="">
      <xdr:nvSpPr>
        <xdr:cNvPr id="3410" name="Text Box 17">
          <a:extLst>
            <a:ext uri="{FF2B5EF4-FFF2-40B4-BE49-F238E27FC236}">
              <a16:creationId xmlns:a16="http://schemas.microsoft.com/office/drawing/2014/main" id="{00000000-0008-0000-0500-0000520D0000}"/>
            </a:ext>
          </a:extLst>
        </xdr:cNvPr>
        <xdr:cNvSpPr txBox="1">
          <a:spLocks noChangeArrowheads="1"/>
        </xdr:cNvSpPr>
      </xdr:nvSpPr>
      <xdr:spPr bwMode="auto">
        <a:xfrm>
          <a:off x="15388070"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102</xdr:row>
      <xdr:rowOff>0</xdr:rowOff>
    </xdr:from>
    <xdr:ext cx="95250" cy="171450"/>
    <xdr:sp macro="" textlink="">
      <xdr:nvSpPr>
        <xdr:cNvPr id="3411" name="Text Box 18">
          <a:extLst>
            <a:ext uri="{FF2B5EF4-FFF2-40B4-BE49-F238E27FC236}">
              <a16:creationId xmlns:a16="http://schemas.microsoft.com/office/drawing/2014/main" id="{00000000-0008-0000-0500-0000530D0000}"/>
            </a:ext>
          </a:extLst>
        </xdr:cNvPr>
        <xdr:cNvSpPr txBox="1">
          <a:spLocks noChangeArrowheads="1"/>
        </xdr:cNvSpPr>
      </xdr:nvSpPr>
      <xdr:spPr bwMode="auto">
        <a:xfrm>
          <a:off x="15388070"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10</xdr:col>
      <xdr:colOff>28575</xdr:colOff>
      <xdr:row>102</xdr:row>
      <xdr:rowOff>170392</xdr:rowOff>
    </xdr:from>
    <xdr:ext cx="95250" cy="213632"/>
    <xdr:sp macro="" textlink="">
      <xdr:nvSpPr>
        <xdr:cNvPr id="3412" name="Text Box 15">
          <a:extLst>
            <a:ext uri="{FF2B5EF4-FFF2-40B4-BE49-F238E27FC236}">
              <a16:creationId xmlns:a16="http://schemas.microsoft.com/office/drawing/2014/main" id="{00000000-0008-0000-0500-0000540D0000}"/>
            </a:ext>
          </a:extLst>
        </xdr:cNvPr>
        <xdr:cNvSpPr txBox="1">
          <a:spLocks noChangeArrowheads="1"/>
        </xdr:cNvSpPr>
      </xdr:nvSpPr>
      <xdr:spPr bwMode="auto">
        <a:xfrm>
          <a:off x="12578484" y="7270847"/>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102</xdr:row>
      <xdr:rowOff>0</xdr:rowOff>
    </xdr:from>
    <xdr:ext cx="95250" cy="171450"/>
    <xdr:sp macro="" textlink="">
      <xdr:nvSpPr>
        <xdr:cNvPr id="3413" name="Text Box 16">
          <a:extLst>
            <a:ext uri="{FF2B5EF4-FFF2-40B4-BE49-F238E27FC236}">
              <a16:creationId xmlns:a16="http://schemas.microsoft.com/office/drawing/2014/main" id="{00000000-0008-0000-0500-0000550D0000}"/>
            </a:ext>
          </a:extLst>
        </xdr:cNvPr>
        <xdr:cNvSpPr txBox="1">
          <a:spLocks noChangeArrowheads="1"/>
        </xdr:cNvSpPr>
      </xdr:nvSpPr>
      <xdr:spPr bwMode="auto">
        <a:xfrm>
          <a:off x="4664364"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102</xdr:row>
      <xdr:rowOff>0</xdr:rowOff>
    </xdr:from>
    <xdr:ext cx="95250" cy="171450"/>
    <xdr:sp macro="" textlink="">
      <xdr:nvSpPr>
        <xdr:cNvPr id="3414" name="Text Box 17">
          <a:extLst>
            <a:ext uri="{FF2B5EF4-FFF2-40B4-BE49-F238E27FC236}">
              <a16:creationId xmlns:a16="http://schemas.microsoft.com/office/drawing/2014/main" id="{00000000-0008-0000-0500-0000560D0000}"/>
            </a:ext>
          </a:extLst>
        </xdr:cNvPr>
        <xdr:cNvSpPr txBox="1">
          <a:spLocks noChangeArrowheads="1"/>
        </xdr:cNvSpPr>
      </xdr:nvSpPr>
      <xdr:spPr bwMode="auto">
        <a:xfrm>
          <a:off x="4664364"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102</xdr:row>
      <xdr:rowOff>0</xdr:rowOff>
    </xdr:from>
    <xdr:ext cx="95250" cy="171450"/>
    <xdr:sp macro="" textlink="">
      <xdr:nvSpPr>
        <xdr:cNvPr id="3415" name="Text Box 18">
          <a:extLst>
            <a:ext uri="{FF2B5EF4-FFF2-40B4-BE49-F238E27FC236}">
              <a16:creationId xmlns:a16="http://schemas.microsoft.com/office/drawing/2014/main" id="{00000000-0008-0000-0500-0000570D0000}"/>
            </a:ext>
          </a:extLst>
        </xdr:cNvPr>
        <xdr:cNvSpPr txBox="1">
          <a:spLocks noChangeArrowheads="1"/>
        </xdr:cNvSpPr>
      </xdr:nvSpPr>
      <xdr:spPr bwMode="auto">
        <a:xfrm>
          <a:off x="4664364"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102</xdr:row>
      <xdr:rowOff>0</xdr:rowOff>
    </xdr:from>
    <xdr:ext cx="95250" cy="171450"/>
    <xdr:sp macro="" textlink="">
      <xdr:nvSpPr>
        <xdr:cNvPr id="3416" name="Text Box 19">
          <a:extLst>
            <a:ext uri="{FF2B5EF4-FFF2-40B4-BE49-F238E27FC236}">
              <a16:creationId xmlns:a16="http://schemas.microsoft.com/office/drawing/2014/main" id="{00000000-0008-0000-0500-0000580D0000}"/>
            </a:ext>
          </a:extLst>
        </xdr:cNvPr>
        <xdr:cNvSpPr txBox="1">
          <a:spLocks noChangeArrowheads="1"/>
        </xdr:cNvSpPr>
      </xdr:nvSpPr>
      <xdr:spPr bwMode="auto">
        <a:xfrm>
          <a:off x="4664364"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102</xdr:row>
      <xdr:rowOff>0</xdr:rowOff>
    </xdr:from>
    <xdr:ext cx="95250" cy="171450"/>
    <xdr:sp macro="" textlink="">
      <xdr:nvSpPr>
        <xdr:cNvPr id="3417" name="Text Box 16">
          <a:extLst>
            <a:ext uri="{FF2B5EF4-FFF2-40B4-BE49-F238E27FC236}">
              <a16:creationId xmlns:a16="http://schemas.microsoft.com/office/drawing/2014/main" id="{00000000-0008-0000-0500-0000590D0000}"/>
            </a:ext>
          </a:extLst>
        </xdr:cNvPr>
        <xdr:cNvSpPr txBox="1">
          <a:spLocks noChangeArrowheads="1"/>
        </xdr:cNvSpPr>
      </xdr:nvSpPr>
      <xdr:spPr bwMode="auto">
        <a:xfrm>
          <a:off x="12540961"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102</xdr:row>
      <xdr:rowOff>0</xdr:rowOff>
    </xdr:from>
    <xdr:ext cx="95250" cy="171450"/>
    <xdr:sp macro="" textlink="">
      <xdr:nvSpPr>
        <xdr:cNvPr id="3418" name="Text Box 17">
          <a:extLst>
            <a:ext uri="{FF2B5EF4-FFF2-40B4-BE49-F238E27FC236}">
              <a16:creationId xmlns:a16="http://schemas.microsoft.com/office/drawing/2014/main" id="{00000000-0008-0000-0500-00005A0D0000}"/>
            </a:ext>
          </a:extLst>
        </xdr:cNvPr>
        <xdr:cNvSpPr txBox="1">
          <a:spLocks noChangeArrowheads="1"/>
        </xdr:cNvSpPr>
      </xdr:nvSpPr>
      <xdr:spPr bwMode="auto">
        <a:xfrm>
          <a:off x="12540961"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102</xdr:row>
      <xdr:rowOff>0</xdr:rowOff>
    </xdr:from>
    <xdr:ext cx="95250" cy="171450"/>
    <xdr:sp macro="" textlink="">
      <xdr:nvSpPr>
        <xdr:cNvPr id="3419" name="Text Box 18">
          <a:extLst>
            <a:ext uri="{FF2B5EF4-FFF2-40B4-BE49-F238E27FC236}">
              <a16:creationId xmlns:a16="http://schemas.microsoft.com/office/drawing/2014/main" id="{00000000-0008-0000-0500-00005B0D0000}"/>
            </a:ext>
          </a:extLst>
        </xdr:cNvPr>
        <xdr:cNvSpPr txBox="1">
          <a:spLocks noChangeArrowheads="1"/>
        </xdr:cNvSpPr>
      </xdr:nvSpPr>
      <xdr:spPr bwMode="auto">
        <a:xfrm>
          <a:off x="12540961"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102</xdr:row>
      <xdr:rowOff>0</xdr:rowOff>
    </xdr:from>
    <xdr:ext cx="95250" cy="171450"/>
    <xdr:sp macro="" textlink="">
      <xdr:nvSpPr>
        <xdr:cNvPr id="3420" name="Text Box 19">
          <a:extLst>
            <a:ext uri="{FF2B5EF4-FFF2-40B4-BE49-F238E27FC236}">
              <a16:creationId xmlns:a16="http://schemas.microsoft.com/office/drawing/2014/main" id="{00000000-0008-0000-0500-00005C0D0000}"/>
            </a:ext>
          </a:extLst>
        </xdr:cNvPr>
        <xdr:cNvSpPr txBox="1">
          <a:spLocks noChangeArrowheads="1"/>
        </xdr:cNvSpPr>
      </xdr:nvSpPr>
      <xdr:spPr bwMode="auto">
        <a:xfrm>
          <a:off x="12540961"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21</xdr:col>
      <xdr:colOff>0</xdr:colOff>
      <xdr:row>97</xdr:row>
      <xdr:rowOff>0</xdr:rowOff>
    </xdr:from>
    <xdr:ext cx="95250" cy="171450"/>
    <xdr:sp macro="" textlink="">
      <xdr:nvSpPr>
        <xdr:cNvPr id="3421" name="Text Box 16">
          <a:extLst>
            <a:ext uri="{FF2B5EF4-FFF2-40B4-BE49-F238E27FC236}">
              <a16:creationId xmlns:a16="http://schemas.microsoft.com/office/drawing/2014/main" id="{00000000-0008-0000-0500-00005D0D0000}"/>
            </a:ext>
          </a:extLst>
        </xdr:cNvPr>
        <xdr:cNvSpPr txBox="1">
          <a:spLocks noChangeArrowheads="1"/>
        </xdr:cNvSpPr>
      </xdr:nvSpPr>
      <xdr:spPr bwMode="auto">
        <a:xfrm>
          <a:off x="21832455" y="5992091"/>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21</xdr:col>
      <xdr:colOff>0</xdr:colOff>
      <xdr:row>97</xdr:row>
      <xdr:rowOff>0</xdr:rowOff>
    </xdr:from>
    <xdr:ext cx="95250" cy="171450"/>
    <xdr:sp macro="" textlink="">
      <xdr:nvSpPr>
        <xdr:cNvPr id="3422" name="Text Box 17">
          <a:extLst>
            <a:ext uri="{FF2B5EF4-FFF2-40B4-BE49-F238E27FC236}">
              <a16:creationId xmlns:a16="http://schemas.microsoft.com/office/drawing/2014/main" id="{00000000-0008-0000-0500-00005E0D0000}"/>
            </a:ext>
          </a:extLst>
        </xdr:cNvPr>
        <xdr:cNvSpPr txBox="1">
          <a:spLocks noChangeArrowheads="1"/>
        </xdr:cNvSpPr>
      </xdr:nvSpPr>
      <xdr:spPr bwMode="auto">
        <a:xfrm>
          <a:off x="21832455" y="5992091"/>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21</xdr:col>
      <xdr:colOff>0</xdr:colOff>
      <xdr:row>97</xdr:row>
      <xdr:rowOff>0</xdr:rowOff>
    </xdr:from>
    <xdr:ext cx="95250" cy="171450"/>
    <xdr:sp macro="" textlink="">
      <xdr:nvSpPr>
        <xdr:cNvPr id="3423" name="Text Box 18">
          <a:extLst>
            <a:ext uri="{FF2B5EF4-FFF2-40B4-BE49-F238E27FC236}">
              <a16:creationId xmlns:a16="http://schemas.microsoft.com/office/drawing/2014/main" id="{00000000-0008-0000-0500-00005F0D0000}"/>
            </a:ext>
          </a:extLst>
        </xdr:cNvPr>
        <xdr:cNvSpPr txBox="1">
          <a:spLocks noChangeArrowheads="1"/>
        </xdr:cNvSpPr>
      </xdr:nvSpPr>
      <xdr:spPr bwMode="auto">
        <a:xfrm>
          <a:off x="21832455" y="5992091"/>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21</xdr:col>
      <xdr:colOff>0</xdr:colOff>
      <xdr:row>97</xdr:row>
      <xdr:rowOff>0</xdr:rowOff>
    </xdr:from>
    <xdr:ext cx="95250" cy="171450"/>
    <xdr:sp macro="" textlink="">
      <xdr:nvSpPr>
        <xdr:cNvPr id="3424" name="Text Box 19">
          <a:extLst>
            <a:ext uri="{FF2B5EF4-FFF2-40B4-BE49-F238E27FC236}">
              <a16:creationId xmlns:a16="http://schemas.microsoft.com/office/drawing/2014/main" id="{00000000-0008-0000-0500-0000600D0000}"/>
            </a:ext>
          </a:extLst>
        </xdr:cNvPr>
        <xdr:cNvSpPr txBox="1">
          <a:spLocks noChangeArrowheads="1"/>
        </xdr:cNvSpPr>
      </xdr:nvSpPr>
      <xdr:spPr bwMode="auto">
        <a:xfrm>
          <a:off x="21832455" y="5992091"/>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98</xdr:row>
      <xdr:rowOff>504825</xdr:rowOff>
    </xdr:from>
    <xdr:ext cx="95250" cy="444014"/>
    <xdr:sp macro="" textlink="">
      <xdr:nvSpPr>
        <xdr:cNvPr id="3425" name="Text Box 15">
          <a:extLst>
            <a:ext uri="{FF2B5EF4-FFF2-40B4-BE49-F238E27FC236}">
              <a16:creationId xmlns:a16="http://schemas.microsoft.com/office/drawing/2014/main" id="{00000000-0008-0000-0500-0000610D0000}"/>
            </a:ext>
          </a:extLst>
        </xdr:cNvPr>
        <xdr:cNvSpPr txBox="1">
          <a:spLocks noChangeArrowheads="1"/>
        </xdr:cNvSpPr>
      </xdr:nvSpPr>
      <xdr:spPr bwMode="auto">
        <a:xfrm>
          <a:off x="4664364" y="6733020"/>
          <a:ext cx="95250" cy="444014"/>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102</xdr:row>
      <xdr:rowOff>0</xdr:rowOff>
    </xdr:from>
    <xdr:ext cx="95250" cy="171450"/>
    <xdr:sp macro="" textlink="">
      <xdr:nvSpPr>
        <xdr:cNvPr id="3426" name="Text Box 16">
          <a:extLst>
            <a:ext uri="{FF2B5EF4-FFF2-40B4-BE49-F238E27FC236}">
              <a16:creationId xmlns:a16="http://schemas.microsoft.com/office/drawing/2014/main" id="{00000000-0008-0000-0500-0000620D0000}"/>
            </a:ext>
          </a:extLst>
        </xdr:cNvPr>
        <xdr:cNvSpPr txBox="1">
          <a:spLocks noChangeArrowheads="1"/>
        </xdr:cNvSpPr>
      </xdr:nvSpPr>
      <xdr:spPr bwMode="auto">
        <a:xfrm>
          <a:off x="4664364"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102</xdr:row>
      <xdr:rowOff>0</xdr:rowOff>
    </xdr:from>
    <xdr:ext cx="95250" cy="171450"/>
    <xdr:sp macro="" textlink="">
      <xdr:nvSpPr>
        <xdr:cNvPr id="3427" name="Text Box 17">
          <a:extLst>
            <a:ext uri="{FF2B5EF4-FFF2-40B4-BE49-F238E27FC236}">
              <a16:creationId xmlns:a16="http://schemas.microsoft.com/office/drawing/2014/main" id="{00000000-0008-0000-0500-0000630D0000}"/>
            </a:ext>
          </a:extLst>
        </xdr:cNvPr>
        <xdr:cNvSpPr txBox="1">
          <a:spLocks noChangeArrowheads="1"/>
        </xdr:cNvSpPr>
      </xdr:nvSpPr>
      <xdr:spPr bwMode="auto">
        <a:xfrm>
          <a:off x="4664364"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102</xdr:row>
      <xdr:rowOff>0</xdr:rowOff>
    </xdr:from>
    <xdr:ext cx="95250" cy="171450"/>
    <xdr:sp macro="" textlink="">
      <xdr:nvSpPr>
        <xdr:cNvPr id="3428" name="Text Box 18">
          <a:extLst>
            <a:ext uri="{FF2B5EF4-FFF2-40B4-BE49-F238E27FC236}">
              <a16:creationId xmlns:a16="http://schemas.microsoft.com/office/drawing/2014/main" id="{00000000-0008-0000-0500-0000640D0000}"/>
            </a:ext>
          </a:extLst>
        </xdr:cNvPr>
        <xdr:cNvSpPr txBox="1">
          <a:spLocks noChangeArrowheads="1"/>
        </xdr:cNvSpPr>
      </xdr:nvSpPr>
      <xdr:spPr bwMode="auto">
        <a:xfrm>
          <a:off x="4664364"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102</xdr:row>
      <xdr:rowOff>0</xdr:rowOff>
    </xdr:from>
    <xdr:ext cx="95250" cy="171450"/>
    <xdr:sp macro="" textlink="">
      <xdr:nvSpPr>
        <xdr:cNvPr id="3429" name="Text Box 19">
          <a:extLst>
            <a:ext uri="{FF2B5EF4-FFF2-40B4-BE49-F238E27FC236}">
              <a16:creationId xmlns:a16="http://schemas.microsoft.com/office/drawing/2014/main" id="{00000000-0008-0000-0500-0000650D0000}"/>
            </a:ext>
          </a:extLst>
        </xdr:cNvPr>
        <xdr:cNvSpPr txBox="1">
          <a:spLocks noChangeArrowheads="1"/>
        </xdr:cNvSpPr>
      </xdr:nvSpPr>
      <xdr:spPr bwMode="auto">
        <a:xfrm>
          <a:off x="4664364"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102</xdr:row>
      <xdr:rowOff>0</xdr:rowOff>
    </xdr:from>
    <xdr:ext cx="95250" cy="171450"/>
    <xdr:sp macro="" textlink="">
      <xdr:nvSpPr>
        <xdr:cNvPr id="3430" name="Text Box 16">
          <a:extLst>
            <a:ext uri="{FF2B5EF4-FFF2-40B4-BE49-F238E27FC236}">
              <a16:creationId xmlns:a16="http://schemas.microsoft.com/office/drawing/2014/main" id="{00000000-0008-0000-0500-0000660D0000}"/>
            </a:ext>
          </a:extLst>
        </xdr:cNvPr>
        <xdr:cNvSpPr txBox="1">
          <a:spLocks noChangeArrowheads="1"/>
        </xdr:cNvSpPr>
      </xdr:nvSpPr>
      <xdr:spPr bwMode="auto">
        <a:xfrm>
          <a:off x="12540961"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102</xdr:row>
      <xdr:rowOff>0</xdr:rowOff>
    </xdr:from>
    <xdr:ext cx="95250" cy="171450"/>
    <xdr:sp macro="" textlink="">
      <xdr:nvSpPr>
        <xdr:cNvPr id="3431" name="Text Box 17">
          <a:extLst>
            <a:ext uri="{FF2B5EF4-FFF2-40B4-BE49-F238E27FC236}">
              <a16:creationId xmlns:a16="http://schemas.microsoft.com/office/drawing/2014/main" id="{00000000-0008-0000-0500-0000670D0000}"/>
            </a:ext>
          </a:extLst>
        </xdr:cNvPr>
        <xdr:cNvSpPr txBox="1">
          <a:spLocks noChangeArrowheads="1"/>
        </xdr:cNvSpPr>
      </xdr:nvSpPr>
      <xdr:spPr bwMode="auto">
        <a:xfrm>
          <a:off x="12540961"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1020762</xdr:colOff>
      <xdr:row>102</xdr:row>
      <xdr:rowOff>15875</xdr:rowOff>
    </xdr:from>
    <xdr:ext cx="95250" cy="171450"/>
    <xdr:sp macro="" textlink="">
      <xdr:nvSpPr>
        <xdr:cNvPr id="3432" name="Text Box 18">
          <a:extLst>
            <a:ext uri="{FF2B5EF4-FFF2-40B4-BE49-F238E27FC236}">
              <a16:creationId xmlns:a16="http://schemas.microsoft.com/office/drawing/2014/main" id="{00000000-0008-0000-0500-0000680D0000}"/>
            </a:ext>
          </a:extLst>
        </xdr:cNvPr>
        <xdr:cNvSpPr txBox="1">
          <a:spLocks noChangeArrowheads="1"/>
        </xdr:cNvSpPr>
      </xdr:nvSpPr>
      <xdr:spPr bwMode="auto">
        <a:xfrm>
          <a:off x="12485398" y="7116330"/>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102</xdr:row>
      <xdr:rowOff>0</xdr:rowOff>
    </xdr:from>
    <xdr:ext cx="95250" cy="171450"/>
    <xdr:sp macro="" textlink="">
      <xdr:nvSpPr>
        <xdr:cNvPr id="3433" name="Text Box 16">
          <a:extLst>
            <a:ext uri="{FF2B5EF4-FFF2-40B4-BE49-F238E27FC236}">
              <a16:creationId xmlns:a16="http://schemas.microsoft.com/office/drawing/2014/main" id="{00000000-0008-0000-0500-0000690D0000}"/>
            </a:ext>
          </a:extLst>
        </xdr:cNvPr>
        <xdr:cNvSpPr txBox="1">
          <a:spLocks noChangeArrowheads="1"/>
        </xdr:cNvSpPr>
      </xdr:nvSpPr>
      <xdr:spPr bwMode="auto">
        <a:xfrm>
          <a:off x="15388070"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102</xdr:row>
      <xdr:rowOff>0</xdr:rowOff>
    </xdr:from>
    <xdr:ext cx="95250" cy="171450"/>
    <xdr:sp macro="" textlink="">
      <xdr:nvSpPr>
        <xdr:cNvPr id="3434" name="Text Box 17">
          <a:extLst>
            <a:ext uri="{FF2B5EF4-FFF2-40B4-BE49-F238E27FC236}">
              <a16:creationId xmlns:a16="http://schemas.microsoft.com/office/drawing/2014/main" id="{00000000-0008-0000-0500-00006A0D0000}"/>
            </a:ext>
          </a:extLst>
        </xdr:cNvPr>
        <xdr:cNvSpPr txBox="1">
          <a:spLocks noChangeArrowheads="1"/>
        </xdr:cNvSpPr>
      </xdr:nvSpPr>
      <xdr:spPr bwMode="auto">
        <a:xfrm>
          <a:off x="15388070"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102</xdr:row>
      <xdr:rowOff>0</xdr:rowOff>
    </xdr:from>
    <xdr:ext cx="95250" cy="171450"/>
    <xdr:sp macro="" textlink="">
      <xdr:nvSpPr>
        <xdr:cNvPr id="3435" name="Text Box 18">
          <a:extLst>
            <a:ext uri="{FF2B5EF4-FFF2-40B4-BE49-F238E27FC236}">
              <a16:creationId xmlns:a16="http://schemas.microsoft.com/office/drawing/2014/main" id="{00000000-0008-0000-0500-00006B0D0000}"/>
            </a:ext>
          </a:extLst>
        </xdr:cNvPr>
        <xdr:cNvSpPr txBox="1">
          <a:spLocks noChangeArrowheads="1"/>
        </xdr:cNvSpPr>
      </xdr:nvSpPr>
      <xdr:spPr bwMode="auto">
        <a:xfrm>
          <a:off x="15388070"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102</xdr:row>
      <xdr:rowOff>0</xdr:rowOff>
    </xdr:from>
    <xdr:ext cx="95250" cy="171450"/>
    <xdr:sp macro="" textlink="">
      <xdr:nvSpPr>
        <xdr:cNvPr id="3436" name="Text Box 19">
          <a:extLst>
            <a:ext uri="{FF2B5EF4-FFF2-40B4-BE49-F238E27FC236}">
              <a16:creationId xmlns:a16="http://schemas.microsoft.com/office/drawing/2014/main" id="{00000000-0008-0000-0500-00006C0D0000}"/>
            </a:ext>
          </a:extLst>
        </xdr:cNvPr>
        <xdr:cNvSpPr txBox="1">
          <a:spLocks noChangeArrowheads="1"/>
        </xdr:cNvSpPr>
      </xdr:nvSpPr>
      <xdr:spPr bwMode="auto">
        <a:xfrm>
          <a:off x="15388070"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102</xdr:row>
      <xdr:rowOff>0</xdr:rowOff>
    </xdr:from>
    <xdr:ext cx="95250" cy="171450"/>
    <xdr:sp macro="" textlink="">
      <xdr:nvSpPr>
        <xdr:cNvPr id="3437" name="Text Box 16">
          <a:extLst>
            <a:ext uri="{FF2B5EF4-FFF2-40B4-BE49-F238E27FC236}">
              <a16:creationId xmlns:a16="http://schemas.microsoft.com/office/drawing/2014/main" id="{00000000-0008-0000-0500-00006D0D0000}"/>
            </a:ext>
          </a:extLst>
        </xdr:cNvPr>
        <xdr:cNvSpPr txBox="1">
          <a:spLocks noChangeArrowheads="1"/>
        </xdr:cNvSpPr>
      </xdr:nvSpPr>
      <xdr:spPr bwMode="auto">
        <a:xfrm>
          <a:off x="15388070"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10</xdr:col>
      <xdr:colOff>28575</xdr:colOff>
      <xdr:row>102</xdr:row>
      <xdr:rowOff>170392</xdr:rowOff>
    </xdr:from>
    <xdr:ext cx="95250" cy="213632"/>
    <xdr:sp macro="" textlink="">
      <xdr:nvSpPr>
        <xdr:cNvPr id="3438" name="Text Box 15">
          <a:extLst>
            <a:ext uri="{FF2B5EF4-FFF2-40B4-BE49-F238E27FC236}">
              <a16:creationId xmlns:a16="http://schemas.microsoft.com/office/drawing/2014/main" id="{00000000-0008-0000-0500-00006E0D0000}"/>
            </a:ext>
          </a:extLst>
        </xdr:cNvPr>
        <xdr:cNvSpPr txBox="1">
          <a:spLocks noChangeArrowheads="1"/>
        </xdr:cNvSpPr>
      </xdr:nvSpPr>
      <xdr:spPr bwMode="auto">
        <a:xfrm>
          <a:off x="12578484" y="7270847"/>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102</xdr:row>
      <xdr:rowOff>504825</xdr:rowOff>
    </xdr:from>
    <xdr:ext cx="95250" cy="448496"/>
    <xdr:sp macro="" textlink="">
      <xdr:nvSpPr>
        <xdr:cNvPr id="3439" name="Text Box 15">
          <a:extLst>
            <a:ext uri="{FF2B5EF4-FFF2-40B4-BE49-F238E27FC236}">
              <a16:creationId xmlns:a16="http://schemas.microsoft.com/office/drawing/2014/main" id="{00000000-0008-0000-0500-00006F0D0000}"/>
            </a:ext>
          </a:extLst>
        </xdr:cNvPr>
        <xdr:cNvSpPr txBox="1">
          <a:spLocks noChangeArrowheads="1"/>
        </xdr:cNvSpPr>
      </xdr:nvSpPr>
      <xdr:spPr bwMode="auto">
        <a:xfrm>
          <a:off x="4664364" y="5994111"/>
          <a:ext cx="95250" cy="448496"/>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102</xdr:row>
      <xdr:rowOff>504825</xdr:rowOff>
    </xdr:from>
    <xdr:ext cx="95250" cy="442269"/>
    <xdr:sp macro="" textlink="">
      <xdr:nvSpPr>
        <xdr:cNvPr id="3440" name="Text Box 15">
          <a:extLst>
            <a:ext uri="{FF2B5EF4-FFF2-40B4-BE49-F238E27FC236}">
              <a16:creationId xmlns:a16="http://schemas.microsoft.com/office/drawing/2014/main" id="{00000000-0008-0000-0500-0000700D0000}"/>
            </a:ext>
          </a:extLst>
        </xdr:cNvPr>
        <xdr:cNvSpPr txBox="1">
          <a:spLocks noChangeArrowheads="1"/>
        </xdr:cNvSpPr>
      </xdr:nvSpPr>
      <xdr:spPr bwMode="auto">
        <a:xfrm>
          <a:off x="12540961" y="5994111"/>
          <a:ext cx="95250" cy="442269"/>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21</xdr:col>
      <xdr:colOff>0</xdr:colOff>
      <xdr:row>102</xdr:row>
      <xdr:rowOff>504825</xdr:rowOff>
    </xdr:from>
    <xdr:ext cx="95250" cy="442269"/>
    <xdr:sp macro="" textlink="">
      <xdr:nvSpPr>
        <xdr:cNvPr id="3441" name="Text Box 15">
          <a:extLst>
            <a:ext uri="{FF2B5EF4-FFF2-40B4-BE49-F238E27FC236}">
              <a16:creationId xmlns:a16="http://schemas.microsoft.com/office/drawing/2014/main" id="{00000000-0008-0000-0500-0000710D0000}"/>
            </a:ext>
          </a:extLst>
        </xdr:cNvPr>
        <xdr:cNvSpPr txBox="1">
          <a:spLocks noChangeArrowheads="1"/>
        </xdr:cNvSpPr>
      </xdr:nvSpPr>
      <xdr:spPr bwMode="auto">
        <a:xfrm>
          <a:off x="21832455" y="5994111"/>
          <a:ext cx="95250" cy="442269"/>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102</xdr:row>
      <xdr:rowOff>504825</xdr:rowOff>
    </xdr:from>
    <xdr:ext cx="95250" cy="213632"/>
    <xdr:sp macro="" textlink="">
      <xdr:nvSpPr>
        <xdr:cNvPr id="3442" name="Text Box 15">
          <a:extLst>
            <a:ext uri="{FF2B5EF4-FFF2-40B4-BE49-F238E27FC236}">
              <a16:creationId xmlns:a16="http://schemas.microsoft.com/office/drawing/2014/main" id="{00000000-0008-0000-0500-0000720D0000}"/>
            </a:ext>
          </a:extLst>
        </xdr:cNvPr>
        <xdr:cNvSpPr txBox="1">
          <a:spLocks noChangeArrowheads="1"/>
        </xdr:cNvSpPr>
      </xdr:nvSpPr>
      <xdr:spPr bwMode="auto">
        <a:xfrm>
          <a:off x="4664364" y="5994111"/>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102</xdr:row>
      <xdr:rowOff>504825</xdr:rowOff>
    </xdr:from>
    <xdr:ext cx="95250" cy="444331"/>
    <xdr:sp macro="" textlink="">
      <xdr:nvSpPr>
        <xdr:cNvPr id="3443" name="Text Box 15">
          <a:extLst>
            <a:ext uri="{FF2B5EF4-FFF2-40B4-BE49-F238E27FC236}">
              <a16:creationId xmlns:a16="http://schemas.microsoft.com/office/drawing/2014/main" id="{00000000-0008-0000-0500-0000730D0000}"/>
            </a:ext>
          </a:extLst>
        </xdr:cNvPr>
        <xdr:cNvSpPr txBox="1">
          <a:spLocks noChangeArrowheads="1"/>
        </xdr:cNvSpPr>
      </xdr:nvSpPr>
      <xdr:spPr bwMode="auto">
        <a:xfrm>
          <a:off x="4664364" y="5994111"/>
          <a:ext cx="95250" cy="444331"/>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10</xdr:col>
      <xdr:colOff>28575</xdr:colOff>
      <xdr:row>102</xdr:row>
      <xdr:rowOff>170392</xdr:rowOff>
    </xdr:from>
    <xdr:ext cx="95250" cy="213632"/>
    <xdr:sp macro="" textlink="">
      <xdr:nvSpPr>
        <xdr:cNvPr id="3444" name="Text Box 15">
          <a:extLst>
            <a:ext uri="{FF2B5EF4-FFF2-40B4-BE49-F238E27FC236}">
              <a16:creationId xmlns:a16="http://schemas.microsoft.com/office/drawing/2014/main" id="{00000000-0008-0000-0500-0000740D0000}"/>
            </a:ext>
          </a:extLst>
        </xdr:cNvPr>
        <xdr:cNvSpPr txBox="1">
          <a:spLocks noChangeArrowheads="1"/>
        </xdr:cNvSpPr>
      </xdr:nvSpPr>
      <xdr:spPr bwMode="auto">
        <a:xfrm>
          <a:off x="12578484" y="5793028"/>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108</xdr:row>
      <xdr:rowOff>0</xdr:rowOff>
    </xdr:from>
    <xdr:ext cx="95250" cy="171450"/>
    <xdr:sp macro="" textlink="">
      <xdr:nvSpPr>
        <xdr:cNvPr id="3445" name="Text Box 16">
          <a:extLst>
            <a:ext uri="{FF2B5EF4-FFF2-40B4-BE49-F238E27FC236}">
              <a16:creationId xmlns:a16="http://schemas.microsoft.com/office/drawing/2014/main" id="{00000000-0008-0000-0500-0000750D0000}"/>
            </a:ext>
          </a:extLst>
        </xdr:cNvPr>
        <xdr:cNvSpPr txBox="1">
          <a:spLocks noChangeArrowheads="1"/>
        </xdr:cNvSpPr>
      </xdr:nvSpPr>
      <xdr:spPr bwMode="auto">
        <a:xfrm>
          <a:off x="4664364"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108</xdr:row>
      <xdr:rowOff>0</xdr:rowOff>
    </xdr:from>
    <xdr:ext cx="95250" cy="171450"/>
    <xdr:sp macro="" textlink="">
      <xdr:nvSpPr>
        <xdr:cNvPr id="3446" name="Text Box 17">
          <a:extLst>
            <a:ext uri="{FF2B5EF4-FFF2-40B4-BE49-F238E27FC236}">
              <a16:creationId xmlns:a16="http://schemas.microsoft.com/office/drawing/2014/main" id="{00000000-0008-0000-0500-0000760D0000}"/>
            </a:ext>
          </a:extLst>
        </xdr:cNvPr>
        <xdr:cNvSpPr txBox="1">
          <a:spLocks noChangeArrowheads="1"/>
        </xdr:cNvSpPr>
      </xdr:nvSpPr>
      <xdr:spPr bwMode="auto">
        <a:xfrm>
          <a:off x="4664364"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108</xdr:row>
      <xdr:rowOff>0</xdr:rowOff>
    </xdr:from>
    <xdr:ext cx="95250" cy="171450"/>
    <xdr:sp macro="" textlink="">
      <xdr:nvSpPr>
        <xdr:cNvPr id="3447" name="Text Box 18">
          <a:extLst>
            <a:ext uri="{FF2B5EF4-FFF2-40B4-BE49-F238E27FC236}">
              <a16:creationId xmlns:a16="http://schemas.microsoft.com/office/drawing/2014/main" id="{00000000-0008-0000-0500-0000770D0000}"/>
            </a:ext>
          </a:extLst>
        </xdr:cNvPr>
        <xdr:cNvSpPr txBox="1">
          <a:spLocks noChangeArrowheads="1"/>
        </xdr:cNvSpPr>
      </xdr:nvSpPr>
      <xdr:spPr bwMode="auto">
        <a:xfrm>
          <a:off x="4664364"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108</xdr:row>
      <xdr:rowOff>0</xdr:rowOff>
    </xdr:from>
    <xdr:ext cx="95250" cy="171450"/>
    <xdr:sp macro="" textlink="">
      <xdr:nvSpPr>
        <xdr:cNvPr id="3448" name="Text Box 19">
          <a:extLst>
            <a:ext uri="{FF2B5EF4-FFF2-40B4-BE49-F238E27FC236}">
              <a16:creationId xmlns:a16="http://schemas.microsoft.com/office/drawing/2014/main" id="{00000000-0008-0000-0500-0000780D0000}"/>
            </a:ext>
          </a:extLst>
        </xdr:cNvPr>
        <xdr:cNvSpPr txBox="1">
          <a:spLocks noChangeArrowheads="1"/>
        </xdr:cNvSpPr>
      </xdr:nvSpPr>
      <xdr:spPr bwMode="auto">
        <a:xfrm>
          <a:off x="4664364"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108</xdr:row>
      <xdr:rowOff>0</xdr:rowOff>
    </xdr:from>
    <xdr:ext cx="95250" cy="171450"/>
    <xdr:sp macro="" textlink="">
      <xdr:nvSpPr>
        <xdr:cNvPr id="3449" name="Text Box 16">
          <a:extLst>
            <a:ext uri="{FF2B5EF4-FFF2-40B4-BE49-F238E27FC236}">
              <a16:creationId xmlns:a16="http://schemas.microsoft.com/office/drawing/2014/main" id="{00000000-0008-0000-0500-0000790D0000}"/>
            </a:ext>
          </a:extLst>
        </xdr:cNvPr>
        <xdr:cNvSpPr txBox="1">
          <a:spLocks noChangeArrowheads="1"/>
        </xdr:cNvSpPr>
      </xdr:nvSpPr>
      <xdr:spPr bwMode="auto">
        <a:xfrm>
          <a:off x="12540961"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108</xdr:row>
      <xdr:rowOff>0</xdr:rowOff>
    </xdr:from>
    <xdr:ext cx="95250" cy="171450"/>
    <xdr:sp macro="" textlink="">
      <xdr:nvSpPr>
        <xdr:cNvPr id="3450" name="Text Box 17">
          <a:extLst>
            <a:ext uri="{FF2B5EF4-FFF2-40B4-BE49-F238E27FC236}">
              <a16:creationId xmlns:a16="http://schemas.microsoft.com/office/drawing/2014/main" id="{00000000-0008-0000-0500-00007A0D0000}"/>
            </a:ext>
          </a:extLst>
        </xdr:cNvPr>
        <xdr:cNvSpPr txBox="1">
          <a:spLocks noChangeArrowheads="1"/>
        </xdr:cNvSpPr>
      </xdr:nvSpPr>
      <xdr:spPr bwMode="auto">
        <a:xfrm>
          <a:off x="12540961"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108</xdr:row>
      <xdr:rowOff>0</xdr:rowOff>
    </xdr:from>
    <xdr:ext cx="95250" cy="171450"/>
    <xdr:sp macro="" textlink="">
      <xdr:nvSpPr>
        <xdr:cNvPr id="3451" name="Text Box 18">
          <a:extLst>
            <a:ext uri="{FF2B5EF4-FFF2-40B4-BE49-F238E27FC236}">
              <a16:creationId xmlns:a16="http://schemas.microsoft.com/office/drawing/2014/main" id="{00000000-0008-0000-0500-00007B0D0000}"/>
            </a:ext>
          </a:extLst>
        </xdr:cNvPr>
        <xdr:cNvSpPr txBox="1">
          <a:spLocks noChangeArrowheads="1"/>
        </xdr:cNvSpPr>
      </xdr:nvSpPr>
      <xdr:spPr bwMode="auto">
        <a:xfrm>
          <a:off x="12540961"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108</xdr:row>
      <xdr:rowOff>0</xdr:rowOff>
    </xdr:from>
    <xdr:ext cx="95250" cy="171450"/>
    <xdr:sp macro="" textlink="">
      <xdr:nvSpPr>
        <xdr:cNvPr id="3452" name="Text Box 19">
          <a:extLst>
            <a:ext uri="{FF2B5EF4-FFF2-40B4-BE49-F238E27FC236}">
              <a16:creationId xmlns:a16="http://schemas.microsoft.com/office/drawing/2014/main" id="{00000000-0008-0000-0500-00007C0D0000}"/>
            </a:ext>
          </a:extLst>
        </xdr:cNvPr>
        <xdr:cNvSpPr txBox="1">
          <a:spLocks noChangeArrowheads="1"/>
        </xdr:cNvSpPr>
      </xdr:nvSpPr>
      <xdr:spPr bwMode="auto">
        <a:xfrm>
          <a:off x="12540961"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21</xdr:col>
      <xdr:colOff>0</xdr:colOff>
      <xdr:row>108</xdr:row>
      <xdr:rowOff>0</xdr:rowOff>
    </xdr:from>
    <xdr:ext cx="95250" cy="171450"/>
    <xdr:sp macro="" textlink="">
      <xdr:nvSpPr>
        <xdr:cNvPr id="3453" name="Text Box 16">
          <a:extLst>
            <a:ext uri="{FF2B5EF4-FFF2-40B4-BE49-F238E27FC236}">
              <a16:creationId xmlns:a16="http://schemas.microsoft.com/office/drawing/2014/main" id="{00000000-0008-0000-0500-00007D0D0000}"/>
            </a:ext>
          </a:extLst>
        </xdr:cNvPr>
        <xdr:cNvSpPr txBox="1">
          <a:spLocks noChangeArrowheads="1"/>
        </xdr:cNvSpPr>
      </xdr:nvSpPr>
      <xdr:spPr bwMode="auto">
        <a:xfrm>
          <a:off x="21832455"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21</xdr:col>
      <xdr:colOff>0</xdr:colOff>
      <xdr:row>108</xdr:row>
      <xdr:rowOff>0</xdr:rowOff>
    </xdr:from>
    <xdr:ext cx="95250" cy="171450"/>
    <xdr:sp macro="" textlink="">
      <xdr:nvSpPr>
        <xdr:cNvPr id="3454" name="Text Box 17">
          <a:extLst>
            <a:ext uri="{FF2B5EF4-FFF2-40B4-BE49-F238E27FC236}">
              <a16:creationId xmlns:a16="http://schemas.microsoft.com/office/drawing/2014/main" id="{00000000-0008-0000-0500-00007E0D0000}"/>
            </a:ext>
          </a:extLst>
        </xdr:cNvPr>
        <xdr:cNvSpPr txBox="1">
          <a:spLocks noChangeArrowheads="1"/>
        </xdr:cNvSpPr>
      </xdr:nvSpPr>
      <xdr:spPr bwMode="auto">
        <a:xfrm>
          <a:off x="21832455"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21</xdr:col>
      <xdr:colOff>0</xdr:colOff>
      <xdr:row>108</xdr:row>
      <xdr:rowOff>0</xdr:rowOff>
    </xdr:from>
    <xdr:ext cx="95250" cy="171450"/>
    <xdr:sp macro="" textlink="">
      <xdr:nvSpPr>
        <xdr:cNvPr id="3455" name="Text Box 18">
          <a:extLst>
            <a:ext uri="{FF2B5EF4-FFF2-40B4-BE49-F238E27FC236}">
              <a16:creationId xmlns:a16="http://schemas.microsoft.com/office/drawing/2014/main" id="{00000000-0008-0000-0500-00007F0D0000}"/>
            </a:ext>
          </a:extLst>
        </xdr:cNvPr>
        <xdr:cNvSpPr txBox="1">
          <a:spLocks noChangeArrowheads="1"/>
        </xdr:cNvSpPr>
      </xdr:nvSpPr>
      <xdr:spPr bwMode="auto">
        <a:xfrm>
          <a:off x="21832455"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21</xdr:col>
      <xdr:colOff>0</xdr:colOff>
      <xdr:row>108</xdr:row>
      <xdr:rowOff>0</xdr:rowOff>
    </xdr:from>
    <xdr:ext cx="95250" cy="171450"/>
    <xdr:sp macro="" textlink="">
      <xdr:nvSpPr>
        <xdr:cNvPr id="3456" name="Text Box 19">
          <a:extLst>
            <a:ext uri="{FF2B5EF4-FFF2-40B4-BE49-F238E27FC236}">
              <a16:creationId xmlns:a16="http://schemas.microsoft.com/office/drawing/2014/main" id="{00000000-0008-0000-0500-0000800D0000}"/>
            </a:ext>
          </a:extLst>
        </xdr:cNvPr>
        <xdr:cNvSpPr txBox="1">
          <a:spLocks noChangeArrowheads="1"/>
        </xdr:cNvSpPr>
      </xdr:nvSpPr>
      <xdr:spPr bwMode="auto">
        <a:xfrm>
          <a:off x="21832455"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106</xdr:row>
      <xdr:rowOff>504825</xdr:rowOff>
    </xdr:from>
    <xdr:ext cx="95250" cy="444014"/>
    <xdr:sp macro="" textlink="">
      <xdr:nvSpPr>
        <xdr:cNvPr id="3457" name="Text Box 15">
          <a:extLst>
            <a:ext uri="{FF2B5EF4-FFF2-40B4-BE49-F238E27FC236}">
              <a16:creationId xmlns:a16="http://schemas.microsoft.com/office/drawing/2014/main" id="{00000000-0008-0000-0500-0000810D0000}"/>
            </a:ext>
          </a:extLst>
        </xdr:cNvPr>
        <xdr:cNvSpPr txBox="1">
          <a:spLocks noChangeArrowheads="1"/>
        </xdr:cNvSpPr>
      </xdr:nvSpPr>
      <xdr:spPr bwMode="auto">
        <a:xfrm>
          <a:off x="4664364" y="6733020"/>
          <a:ext cx="95250" cy="444014"/>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108</xdr:row>
      <xdr:rowOff>0</xdr:rowOff>
    </xdr:from>
    <xdr:ext cx="95250" cy="171450"/>
    <xdr:sp macro="" textlink="">
      <xdr:nvSpPr>
        <xdr:cNvPr id="3458" name="Text Box 16">
          <a:extLst>
            <a:ext uri="{FF2B5EF4-FFF2-40B4-BE49-F238E27FC236}">
              <a16:creationId xmlns:a16="http://schemas.microsoft.com/office/drawing/2014/main" id="{00000000-0008-0000-0500-0000820D0000}"/>
            </a:ext>
          </a:extLst>
        </xdr:cNvPr>
        <xdr:cNvSpPr txBox="1">
          <a:spLocks noChangeArrowheads="1"/>
        </xdr:cNvSpPr>
      </xdr:nvSpPr>
      <xdr:spPr bwMode="auto">
        <a:xfrm>
          <a:off x="4664364"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108</xdr:row>
      <xdr:rowOff>0</xdr:rowOff>
    </xdr:from>
    <xdr:ext cx="95250" cy="171450"/>
    <xdr:sp macro="" textlink="">
      <xdr:nvSpPr>
        <xdr:cNvPr id="3459" name="Text Box 17">
          <a:extLst>
            <a:ext uri="{FF2B5EF4-FFF2-40B4-BE49-F238E27FC236}">
              <a16:creationId xmlns:a16="http://schemas.microsoft.com/office/drawing/2014/main" id="{00000000-0008-0000-0500-0000830D0000}"/>
            </a:ext>
          </a:extLst>
        </xdr:cNvPr>
        <xdr:cNvSpPr txBox="1">
          <a:spLocks noChangeArrowheads="1"/>
        </xdr:cNvSpPr>
      </xdr:nvSpPr>
      <xdr:spPr bwMode="auto">
        <a:xfrm>
          <a:off x="4664364"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108</xdr:row>
      <xdr:rowOff>0</xdr:rowOff>
    </xdr:from>
    <xdr:ext cx="95250" cy="171450"/>
    <xdr:sp macro="" textlink="">
      <xdr:nvSpPr>
        <xdr:cNvPr id="3460" name="Text Box 18">
          <a:extLst>
            <a:ext uri="{FF2B5EF4-FFF2-40B4-BE49-F238E27FC236}">
              <a16:creationId xmlns:a16="http://schemas.microsoft.com/office/drawing/2014/main" id="{00000000-0008-0000-0500-0000840D0000}"/>
            </a:ext>
          </a:extLst>
        </xdr:cNvPr>
        <xdr:cNvSpPr txBox="1">
          <a:spLocks noChangeArrowheads="1"/>
        </xdr:cNvSpPr>
      </xdr:nvSpPr>
      <xdr:spPr bwMode="auto">
        <a:xfrm>
          <a:off x="4664364"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108</xdr:row>
      <xdr:rowOff>0</xdr:rowOff>
    </xdr:from>
    <xdr:ext cx="95250" cy="171450"/>
    <xdr:sp macro="" textlink="">
      <xdr:nvSpPr>
        <xdr:cNvPr id="3461" name="Text Box 19">
          <a:extLst>
            <a:ext uri="{FF2B5EF4-FFF2-40B4-BE49-F238E27FC236}">
              <a16:creationId xmlns:a16="http://schemas.microsoft.com/office/drawing/2014/main" id="{00000000-0008-0000-0500-0000850D0000}"/>
            </a:ext>
          </a:extLst>
        </xdr:cNvPr>
        <xdr:cNvSpPr txBox="1">
          <a:spLocks noChangeArrowheads="1"/>
        </xdr:cNvSpPr>
      </xdr:nvSpPr>
      <xdr:spPr bwMode="auto">
        <a:xfrm>
          <a:off x="4664364"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108</xdr:row>
      <xdr:rowOff>0</xdr:rowOff>
    </xdr:from>
    <xdr:ext cx="95250" cy="171450"/>
    <xdr:sp macro="" textlink="">
      <xdr:nvSpPr>
        <xdr:cNvPr id="3462" name="Text Box 16">
          <a:extLst>
            <a:ext uri="{FF2B5EF4-FFF2-40B4-BE49-F238E27FC236}">
              <a16:creationId xmlns:a16="http://schemas.microsoft.com/office/drawing/2014/main" id="{00000000-0008-0000-0500-0000860D0000}"/>
            </a:ext>
          </a:extLst>
        </xdr:cNvPr>
        <xdr:cNvSpPr txBox="1">
          <a:spLocks noChangeArrowheads="1"/>
        </xdr:cNvSpPr>
      </xdr:nvSpPr>
      <xdr:spPr bwMode="auto">
        <a:xfrm>
          <a:off x="12540961"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108</xdr:row>
      <xdr:rowOff>0</xdr:rowOff>
    </xdr:from>
    <xdr:ext cx="95250" cy="171450"/>
    <xdr:sp macro="" textlink="">
      <xdr:nvSpPr>
        <xdr:cNvPr id="3463" name="Text Box 17">
          <a:extLst>
            <a:ext uri="{FF2B5EF4-FFF2-40B4-BE49-F238E27FC236}">
              <a16:creationId xmlns:a16="http://schemas.microsoft.com/office/drawing/2014/main" id="{00000000-0008-0000-0500-0000870D0000}"/>
            </a:ext>
          </a:extLst>
        </xdr:cNvPr>
        <xdr:cNvSpPr txBox="1">
          <a:spLocks noChangeArrowheads="1"/>
        </xdr:cNvSpPr>
      </xdr:nvSpPr>
      <xdr:spPr bwMode="auto">
        <a:xfrm>
          <a:off x="12540961"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108</xdr:row>
      <xdr:rowOff>0</xdr:rowOff>
    </xdr:from>
    <xdr:ext cx="95250" cy="171450"/>
    <xdr:sp macro="" textlink="">
      <xdr:nvSpPr>
        <xdr:cNvPr id="3464" name="Text Box 18">
          <a:extLst>
            <a:ext uri="{FF2B5EF4-FFF2-40B4-BE49-F238E27FC236}">
              <a16:creationId xmlns:a16="http://schemas.microsoft.com/office/drawing/2014/main" id="{00000000-0008-0000-0500-0000880D0000}"/>
            </a:ext>
          </a:extLst>
        </xdr:cNvPr>
        <xdr:cNvSpPr txBox="1">
          <a:spLocks noChangeArrowheads="1"/>
        </xdr:cNvSpPr>
      </xdr:nvSpPr>
      <xdr:spPr bwMode="auto">
        <a:xfrm>
          <a:off x="12540961"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108</xdr:row>
      <xdr:rowOff>0</xdr:rowOff>
    </xdr:from>
    <xdr:ext cx="95250" cy="171450"/>
    <xdr:sp macro="" textlink="">
      <xdr:nvSpPr>
        <xdr:cNvPr id="3465" name="Text Box 16">
          <a:extLst>
            <a:ext uri="{FF2B5EF4-FFF2-40B4-BE49-F238E27FC236}">
              <a16:creationId xmlns:a16="http://schemas.microsoft.com/office/drawing/2014/main" id="{00000000-0008-0000-0500-0000890D0000}"/>
            </a:ext>
          </a:extLst>
        </xdr:cNvPr>
        <xdr:cNvSpPr txBox="1">
          <a:spLocks noChangeArrowheads="1"/>
        </xdr:cNvSpPr>
      </xdr:nvSpPr>
      <xdr:spPr bwMode="auto">
        <a:xfrm>
          <a:off x="15388070"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108</xdr:row>
      <xdr:rowOff>0</xdr:rowOff>
    </xdr:from>
    <xdr:ext cx="95250" cy="171450"/>
    <xdr:sp macro="" textlink="">
      <xdr:nvSpPr>
        <xdr:cNvPr id="3466" name="Text Box 17">
          <a:extLst>
            <a:ext uri="{FF2B5EF4-FFF2-40B4-BE49-F238E27FC236}">
              <a16:creationId xmlns:a16="http://schemas.microsoft.com/office/drawing/2014/main" id="{00000000-0008-0000-0500-00008A0D0000}"/>
            </a:ext>
          </a:extLst>
        </xdr:cNvPr>
        <xdr:cNvSpPr txBox="1">
          <a:spLocks noChangeArrowheads="1"/>
        </xdr:cNvSpPr>
      </xdr:nvSpPr>
      <xdr:spPr bwMode="auto">
        <a:xfrm>
          <a:off x="15388070"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108</xdr:row>
      <xdr:rowOff>0</xdr:rowOff>
    </xdr:from>
    <xdr:ext cx="95250" cy="171450"/>
    <xdr:sp macro="" textlink="">
      <xdr:nvSpPr>
        <xdr:cNvPr id="3467" name="Text Box 18">
          <a:extLst>
            <a:ext uri="{FF2B5EF4-FFF2-40B4-BE49-F238E27FC236}">
              <a16:creationId xmlns:a16="http://schemas.microsoft.com/office/drawing/2014/main" id="{00000000-0008-0000-0500-00008B0D0000}"/>
            </a:ext>
          </a:extLst>
        </xdr:cNvPr>
        <xdr:cNvSpPr txBox="1">
          <a:spLocks noChangeArrowheads="1"/>
        </xdr:cNvSpPr>
      </xdr:nvSpPr>
      <xdr:spPr bwMode="auto">
        <a:xfrm>
          <a:off x="15388070"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108</xdr:row>
      <xdr:rowOff>0</xdr:rowOff>
    </xdr:from>
    <xdr:ext cx="95250" cy="171450"/>
    <xdr:sp macro="" textlink="">
      <xdr:nvSpPr>
        <xdr:cNvPr id="3468" name="Text Box 19">
          <a:extLst>
            <a:ext uri="{FF2B5EF4-FFF2-40B4-BE49-F238E27FC236}">
              <a16:creationId xmlns:a16="http://schemas.microsoft.com/office/drawing/2014/main" id="{00000000-0008-0000-0500-00008C0D0000}"/>
            </a:ext>
          </a:extLst>
        </xdr:cNvPr>
        <xdr:cNvSpPr txBox="1">
          <a:spLocks noChangeArrowheads="1"/>
        </xdr:cNvSpPr>
      </xdr:nvSpPr>
      <xdr:spPr bwMode="auto">
        <a:xfrm>
          <a:off x="15388070"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108</xdr:row>
      <xdr:rowOff>0</xdr:rowOff>
    </xdr:from>
    <xdr:ext cx="95250" cy="171450"/>
    <xdr:sp macro="" textlink="">
      <xdr:nvSpPr>
        <xdr:cNvPr id="3469" name="Text Box 16">
          <a:extLst>
            <a:ext uri="{FF2B5EF4-FFF2-40B4-BE49-F238E27FC236}">
              <a16:creationId xmlns:a16="http://schemas.microsoft.com/office/drawing/2014/main" id="{00000000-0008-0000-0500-00008D0D0000}"/>
            </a:ext>
          </a:extLst>
        </xdr:cNvPr>
        <xdr:cNvSpPr txBox="1">
          <a:spLocks noChangeArrowheads="1"/>
        </xdr:cNvSpPr>
      </xdr:nvSpPr>
      <xdr:spPr bwMode="auto">
        <a:xfrm>
          <a:off x="15388070"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108</xdr:row>
      <xdr:rowOff>0</xdr:rowOff>
    </xdr:from>
    <xdr:ext cx="95250" cy="171450"/>
    <xdr:sp macro="" textlink="">
      <xdr:nvSpPr>
        <xdr:cNvPr id="3470" name="Text Box 17">
          <a:extLst>
            <a:ext uri="{FF2B5EF4-FFF2-40B4-BE49-F238E27FC236}">
              <a16:creationId xmlns:a16="http://schemas.microsoft.com/office/drawing/2014/main" id="{00000000-0008-0000-0500-00008E0D0000}"/>
            </a:ext>
          </a:extLst>
        </xdr:cNvPr>
        <xdr:cNvSpPr txBox="1">
          <a:spLocks noChangeArrowheads="1"/>
        </xdr:cNvSpPr>
      </xdr:nvSpPr>
      <xdr:spPr bwMode="auto">
        <a:xfrm>
          <a:off x="15388070"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108</xdr:row>
      <xdr:rowOff>0</xdr:rowOff>
    </xdr:from>
    <xdr:ext cx="95250" cy="171450"/>
    <xdr:sp macro="" textlink="">
      <xdr:nvSpPr>
        <xdr:cNvPr id="3471" name="Text Box 18">
          <a:extLst>
            <a:ext uri="{FF2B5EF4-FFF2-40B4-BE49-F238E27FC236}">
              <a16:creationId xmlns:a16="http://schemas.microsoft.com/office/drawing/2014/main" id="{00000000-0008-0000-0500-00008F0D0000}"/>
            </a:ext>
          </a:extLst>
        </xdr:cNvPr>
        <xdr:cNvSpPr txBox="1">
          <a:spLocks noChangeArrowheads="1"/>
        </xdr:cNvSpPr>
      </xdr:nvSpPr>
      <xdr:spPr bwMode="auto">
        <a:xfrm>
          <a:off x="15388070"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108</xdr:row>
      <xdr:rowOff>0</xdr:rowOff>
    </xdr:from>
    <xdr:ext cx="95250" cy="171450"/>
    <xdr:sp macro="" textlink="">
      <xdr:nvSpPr>
        <xdr:cNvPr id="3472" name="Text Box 19">
          <a:extLst>
            <a:ext uri="{FF2B5EF4-FFF2-40B4-BE49-F238E27FC236}">
              <a16:creationId xmlns:a16="http://schemas.microsoft.com/office/drawing/2014/main" id="{00000000-0008-0000-0500-0000900D0000}"/>
            </a:ext>
          </a:extLst>
        </xdr:cNvPr>
        <xdr:cNvSpPr txBox="1">
          <a:spLocks noChangeArrowheads="1"/>
        </xdr:cNvSpPr>
      </xdr:nvSpPr>
      <xdr:spPr bwMode="auto">
        <a:xfrm>
          <a:off x="15388070"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102</xdr:row>
      <xdr:rowOff>504825</xdr:rowOff>
    </xdr:from>
    <xdr:ext cx="95250" cy="442269"/>
    <xdr:sp macro="" textlink="">
      <xdr:nvSpPr>
        <xdr:cNvPr id="3474" name="Text Box 15">
          <a:extLst>
            <a:ext uri="{FF2B5EF4-FFF2-40B4-BE49-F238E27FC236}">
              <a16:creationId xmlns:a16="http://schemas.microsoft.com/office/drawing/2014/main" id="{00000000-0008-0000-0500-0000920D0000}"/>
            </a:ext>
          </a:extLst>
        </xdr:cNvPr>
        <xdr:cNvSpPr txBox="1">
          <a:spLocks noChangeArrowheads="1"/>
        </xdr:cNvSpPr>
      </xdr:nvSpPr>
      <xdr:spPr bwMode="auto">
        <a:xfrm>
          <a:off x="12540961" y="5994111"/>
          <a:ext cx="95250" cy="442269"/>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21</xdr:col>
      <xdr:colOff>0</xdr:colOff>
      <xdr:row>102</xdr:row>
      <xdr:rowOff>504825</xdr:rowOff>
    </xdr:from>
    <xdr:ext cx="95250" cy="442269"/>
    <xdr:sp macro="" textlink="">
      <xdr:nvSpPr>
        <xdr:cNvPr id="3475" name="Text Box 15">
          <a:extLst>
            <a:ext uri="{FF2B5EF4-FFF2-40B4-BE49-F238E27FC236}">
              <a16:creationId xmlns:a16="http://schemas.microsoft.com/office/drawing/2014/main" id="{00000000-0008-0000-0500-0000930D0000}"/>
            </a:ext>
          </a:extLst>
        </xdr:cNvPr>
        <xdr:cNvSpPr txBox="1">
          <a:spLocks noChangeArrowheads="1"/>
        </xdr:cNvSpPr>
      </xdr:nvSpPr>
      <xdr:spPr bwMode="auto">
        <a:xfrm>
          <a:off x="21832455" y="5994111"/>
          <a:ext cx="95250" cy="442269"/>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102</xdr:row>
      <xdr:rowOff>504825</xdr:rowOff>
    </xdr:from>
    <xdr:ext cx="95250" cy="213632"/>
    <xdr:sp macro="" textlink="">
      <xdr:nvSpPr>
        <xdr:cNvPr id="3478" name="Text Box 15">
          <a:extLst>
            <a:ext uri="{FF2B5EF4-FFF2-40B4-BE49-F238E27FC236}">
              <a16:creationId xmlns:a16="http://schemas.microsoft.com/office/drawing/2014/main" id="{00000000-0008-0000-0500-0000960D0000}"/>
            </a:ext>
          </a:extLst>
        </xdr:cNvPr>
        <xdr:cNvSpPr txBox="1">
          <a:spLocks noChangeArrowheads="1"/>
        </xdr:cNvSpPr>
      </xdr:nvSpPr>
      <xdr:spPr bwMode="auto">
        <a:xfrm>
          <a:off x="12540961" y="5994111"/>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108</xdr:row>
      <xdr:rowOff>0</xdr:rowOff>
    </xdr:from>
    <xdr:ext cx="95250" cy="171450"/>
    <xdr:sp macro="" textlink="">
      <xdr:nvSpPr>
        <xdr:cNvPr id="3479" name="Text Box 16">
          <a:extLst>
            <a:ext uri="{FF2B5EF4-FFF2-40B4-BE49-F238E27FC236}">
              <a16:creationId xmlns:a16="http://schemas.microsoft.com/office/drawing/2014/main" id="{00000000-0008-0000-0500-0000970D0000}"/>
            </a:ext>
          </a:extLst>
        </xdr:cNvPr>
        <xdr:cNvSpPr txBox="1">
          <a:spLocks noChangeArrowheads="1"/>
        </xdr:cNvSpPr>
      </xdr:nvSpPr>
      <xdr:spPr bwMode="auto">
        <a:xfrm>
          <a:off x="4664364"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108</xdr:row>
      <xdr:rowOff>0</xdr:rowOff>
    </xdr:from>
    <xdr:ext cx="95250" cy="171450"/>
    <xdr:sp macro="" textlink="">
      <xdr:nvSpPr>
        <xdr:cNvPr id="3480" name="Text Box 17">
          <a:extLst>
            <a:ext uri="{FF2B5EF4-FFF2-40B4-BE49-F238E27FC236}">
              <a16:creationId xmlns:a16="http://schemas.microsoft.com/office/drawing/2014/main" id="{00000000-0008-0000-0500-0000980D0000}"/>
            </a:ext>
          </a:extLst>
        </xdr:cNvPr>
        <xdr:cNvSpPr txBox="1">
          <a:spLocks noChangeArrowheads="1"/>
        </xdr:cNvSpPr>
      </xdr:nvSpPr>
      <xdr:spPr bwMode="auto">
        <a:xfrm>
          <a:off x="4664364"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108</xdr:row>
      <xdr:rowOff>0</xdr:rowOff>
    </xdr:from>
    <xdr:ext cx="95250" cy="171450"/>
    <xdr:sp macro="" textlink="">
      <xdr:nvSpPr>
        <xdr:cNvPr id="3481" name="Text Box 18">
          <a:extLst>
            <a:ext uri="{FF2B5EF4-FFF2-40B4-BE49-F238E27FC236}">
              <a16:creationId xmlns:a16="http://schemas.microsoft.com/office/drawing/2014/main" id="{00000000-0008-0000-0500-0000990D0000}"/>
            </a:ext>
          </a:extLst>
        </xdr:cNvPr>
        <xdr:cNvSpPr txBox="1">
          <a:spLocks noChangeArrowheads="1"/>
        </xdr:cNvSpPr>
      </xdr:nvSpPr>
      <xdr:spPr bwMode="auto">
        <a:xfrm>
          <a:off x="4664364"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108</xdr:row>
      <xdr:rowOff>0</xdr:rowOff>
    </xdr:from>
    <xdr:ext cx="95250" cy="171450"/>
    <xdr:sp macro="" textlink="">
      <xdr:nvSpPr>
        <xdr:cNvPr id="3482" name="Text Box 19">
          <a:extLst>
            <a:ext uri="{FF2B5EF4-FFF2-40B4-BE49-F238E27FC236}">
              <a16:creationId xmlns:a16="http://schemas.microsoft.com/office/drawing/2014/main" id="{00000000-0008-0000-0500-00009A0D0000}"/>
            </a:ext>
          </a:extLst>
        </xdr:cNvPr>
        <xdr:cNvSpPr txBox="1">
          <a:spLocks noChangeArrowheads="1"/>
        </xdr:cNvSpPr>
      </xdr:nvSpPr>
      <xdr:spPr bwMode="auto">
        <a:xfrm>
          <a:off x="4664364"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108</xdr:row>
      <xdr:rowOff>0</xdr:rowOff>
    </xdr:from>
    <xdr:ext cx="95250" cy="171450"/>
    <xdr:sp macro="" textlink="">
      <xdr:nvSpPr>
        <xdr:cNvPr id="3483" name="Text Box 16">
          <a:extLst>
            <a:ext uri="{FF2B5EF4-FFF2-40B4-BE49-F238E27FC236}">
              <a16:creationId xmlns:a16="http://schemas.microsoft.com/office/drawing/2014/main" id="{00000000-0008-0000-0500-00009B0D0000}"/>
            </a:ext>
          </a:extLst>
        </xdr:cNvPr>
        <xdr:cNvSpPr txBox="1">
          <a:spLocks noChangeArrowheads="1"/>
        </xdr:cNvSpPr>
      </xdr:nvSpPr>
      <xdr:spPr bwMode="auto">
        <a:xfrm>
          <a:off x="12540961"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108</xdr:row>
      <xdr:rowOff>0</xdr:rowOff>
    </xdr:from>
    <xdr:ext cx="95250" cy="171450"/>
    <xdr:sp macro="" textlink="">
      <xdr:nvSpPr>
        <xdr:cNvPr id="3484" name="Text Box 17">
          <a:extLst>
            <a:ext uri="{FF2B5EF4-FFF2-40B4-BE49-F238E27FC236}">
              <a16:creationId xmlns:a16="http://schemas.microsoft.com/office/drawing/2014/main" id="{00000000-0008-0000-0500-00009C0D0000}"/>
            </a:ext>
          </a:extLst>
        </xdr:cNvPr>
        <xdr:cNvSpPr txBox="1">
          <a:spLocks noChangeArrowheads="1"/>
        </xdr:cNvSpPr>
      </xdr:nvSpPr>
      <xdr:spPr bwMode="auto">
        <a:xfrm>
          <a:off x="12540961"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108</xdr:row>
      <xdr:rowOff>0</xdr:rowOff>
    </xdr:from>
    <xdr:ext cx="95250" cy="171450"/>
    <xdr:sp macro="" textlink="">
      <xdr:nvSpPr>
        <xdr:cNvPr id="3485" name="Text Box 18">
          <a:extLst>
            <a:ext uri="{FF2B5EF4-FFF2-40B4-BE49-F238E27FC236}">
              <a16:creationId xmlns:a16="http://schemas.microsoft.com/office/drawing/2014/main" id="{00000000-0008-0000-0500-00009D0D0000}"/>
            </a:ext>
          </a:extLst>
        </xdr:cNvPr>
        <xdr:cNvSpPr txBox="1">
          <a:spLocks noChangeArrowheads="1"/>
        </xdr:cNvSpPr>
      </xdr:nvSpPr>
      <xdr:spPr bwMode="auto">
        <a:xfrm>
          <a:off x="12540961"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108</xdr:row>
      <xdr:rowOff>0</xdr:rowOff>
    </xdr:from>
    <xdr:ext cx="95250" cy="171450"/>
    <xdr:sp macro="" textlink="">
      <xdr:nvSpPr>
        <xdr:cNvPr id="3486" name="Text Box 19">
          <a:extLst>
            <a:ext uri="{FF2B5EF4-FFF2-40B4-BE49-F238E27FC236}">
              <a16:creationId xmlns:a16="http://schemas.microsoft.com/office/drawing/2014/main" id="{00000000-0008-0000-0500-00009E0D0000}"/>
            </a:ext>
          </a:extLst>
        </xdr:cNvPr>
        <xdr:cNvSpPr txBox="1">
          <a:spLocks noChangeArrowheads="1"/>
        </xdr:cNvSpPr>
      </xdr:nvSpPr>
      <xdr:spPr bwMode="auto">
        <a:xfrm>
          <a:off x="12540961"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21</xdr:col>
      <xdr:colOff>0</xdr:colOff>
      <xdr:row>108</xdr:row>
      <xdr:rowOff>0</xdr:rowOff>
    </xdr:from>
    <xdr:ext cx="95250" cy="171450"/>
    <xdr:sp macro="" textlink="">
      <xdr:nvSpPr>
        <xdr:cNvPr id="3487" name="Text Box 16">
          <a:extLst>
            <a:ext uri="{FF2B5EF4-FFF2-40B4-BE49-F238E27FC236}">
              <a16:creationId xmlns:a16="http://schemas.microsoft.com/office/drawing/2014/main" id="{00000000-0008-0000-0500-00009F0D0000}"/>
            </a:ext>
          </a:extLst>
        </xdr:cNvPr>
        <xdr:cNvSpPr txBox="1">
          <a:spLocks noChangeArrowheads="1"/>
        </xdr:cNvSpPr>
      </xdr:nvSpPr>
      <xdr:spPr bwMode="auto">
        <a:xfrm>
          <a:off x="21832455"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21</xdr:col>
      <xdr:colOff>0</xdr:colOff>
      <xdr:row>108</xdr:row>
      <xdr:rowOff>0</xdr:rowOff>
    </xdr:from>
    <xdr:ext cx="95250" cy="171450"/>
    <xdr:sp macro="" textlink="">
      <xdr:nvSpPr>
        <xdr:cNvPr id="3488" name="Text Box 17">
          <a:extLst>
            <a:ext uri="{FF2B5EF4-FFF2-40B4-BE49-F238E27FC236}">
              <a16:creationId xmlns:a16="http://schemas.microsoft.com/office/drawing/2014/main" id="{00000000-0008-0000-0500-0000A00D0000}"/>
            </a:ext>
          </a:extLst>
        </xdr:cNvPr>
        <xdr:cNvSpPr txBox="1">
          <a:spLocks noChangeArrowheads="1"/>
        </xdr:cNvSpPr>
      </xdr:nvSpPr>
      <xdr:spPr bwMode="auto">
        <a:xfrm>
          <a:off x="21832455"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21</xdr:col>
      <xdr:colOff>0</xdr:colOff>
      <xdr:row>108</xdr:row>
      <xdr:rowOff>0</xdr:rowOff>
    </xdr:from>
    <xdr:ext cx="95250" cy="171450"/>
    <xdr:sp macro="" textlink="">
      <xdr:nvSpPr>
        <xdr:cNvPr id="3489" name="Text Box 18">
          <a:extLst>
            <a:ext uri="{FF2B5EF4-FFF2-40B4-BE49-F238E27FC236}">
              <a16:creationId xmlns:a16="http://schemas.microsoft.com/office/drawing/2014/main" id="{00000000-0008-0000-0500-0000A10D0000}"/>
            </a:ext>
          </a:extLst>
        </xdr:cNvPr>
        <xdr:cNvSpPr txBox="1">
          <a:spLocks noChangeArrowheads="1"/>
        </xdr:cNvSpPr>
      </xdr:nvSpPr>
      <xdr:spPr bwMode="auto">
        <a:xfrm>
          <a:off x="21832455"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21</xdr:col>
      <xdr:colOff>0</xdr:colOff>
      <xdr:row>108</xdr:row>
      <xdr:rowOff>0</xdr:rowOff>
    </xdr:from>
    <xdr:ext cx="95250" cy="171450"/>
    <xdr:sp macro="" textlink="">
      <xdr:nvSpPr>
        <xdr:cNvPr id="3490" name="Text Box 19">
          <a:extLst>
            <a:ext uri="{FF2B5EF4-FFF2-40B4-BE49-F238E27FC236}">
              <a16:creationId xmlns:a16="http://schemas.microsoft.com/office/drawing/2014/main" id="{00000000-0008-0000-0500-0000A20D0000}"/>
            </a:ext>
          </a:extLst>
        </xdr:cNvPr>
        <xdr:cNvSpPr txBox="1">
          <a:spLocks noChangeArrowheads="1"/>
        </xdr:cNvSpPr>
      </xdr:nvSpPr>
      <xdr:spPr bwMode="auto">
        <a:xfrm>
          <a:off x="21832455"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106</xdr:row>
      <xdr:rowOff>504825</xdr:rowOff>
    </xdr:from>
    <xdr:ext cx="95250" cy="444014"/>
    <xdr:sp macro="" textlink="">
      <xdr:nvSpPr>
        <xdr:cNvPr id="3491" name="Text Box 15">
          <a:extLst>
            <a:ext uri="{FF2B5EF4-FFF2-40B4-BE49-F238E27FC236}">
              <a16:creationId xmlns:a16="http://schemas.microsoft.com/office/drawing/2014/main" id="{00000000-0008-0000-0500-0000A30D0000}"/>
            </a:ext>
          </a:extLst>
        </xdr:cNvPr>
        <xdr:cNvSpPr txBox="1">
          <a:spLocks noChangeArrowheads="1"/>
        </xdr:cNvSpPr>
      </xdr:nvSpPr>
      <xdr:spPr bwMode="auto">
        <a:xfrm>
          <a:off x="4664364" y="6733020"/>
          <a:ext cx="95250" cy="444014"/>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108</xdr:row>
      <xdr:rowOff>0</xdr:rowOff>
    </xdr:from>
    <xdr:ext cx="95250" cy="171450"/>
    <xdr:sp macro="" textlink="">
      <xdr:nvSpPr>
        <xdr:cNvPr id="3492" name="Text Box 16">
          <a:extLst>
            <a:ext uri="{FF2B5EF4-FFF2-40B4-BE49-F238E27FC236}">
              <a16:creationId xmlns:a16="http://schemas.microsoft.com/office/drawing/2014/main" id="{00000000-0008-0000-0500-0000A40D0000}"/>
            </a:ext>
          </a:extLst>
        </xdr:cNvPr>
        <xdr:cNvSpPr txBox="1">
          <a:spLocks noChangeArrowheads="1"/>
        </xdr:cNvSpPr>
      </xdr:nvSpPr>
      <xdr:spPr bwMode="auto">
        <a:xfrm>
          <a:off x="4664364"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108</xdr:row>
      <xdr:rowOff>0</xdr:rowOff>
    </xdr:from>
    <xdr:ext cx="95250" cy="171450"/>
    <xdr:sp macro="" textlink="">
      <xdr:nvSpPr>
        <xdr:cNvPr id="3493" name="Text Box 17">
          <a:extLst>
            <a:ext uri="{FF2B5EF4-FFF2-40B4-BE49-F238E27FC236}">
              <a16:creationId xmlns:a16="http://schemas.microsoft.com/office/drawing/2014/main" id="{00000000-0008-0000-0500-0000A50D0000}"/>
            </a:ext>
          </a:extLst>
        </xdr:cNvPr>
        <xdr:cNvSpPr txBox="1">
          <a:spLocks noChangeArrowheads="1"/>
        </xdr:cNvSpPr>
      </xdr:nvSpPr>
      <xdr:spPr bwMode="auto">
        <a:xfrm>
          <a:off x="4664364"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108</xdr:row>
      <xdr:rowOff>0</xdr:rowOff>
    </xdr:from>
    <xdr:ext cx="95250" cy="171450"/>
    <xdr:sp macro="" textlink="">
      <xdr:nvSpPr>
        <xdr:cNvPr id="3494" name="Text Box 18">
          <a:extLst>
            <a:ext uri="{FF2B5EF4-FFF2-40B4-BE49-F238E27FC236}">
              <a16:creationId xmlns:a16="http://schemas.microsoft.com/office/drawing/2014/main" id="{00000000-0008-0000-0500-0000A60D0000}"/>
            </a:ext>
          </a:extLst>
        </xdr:cNvPr>
        <xdr:cNvSpPr txBox="1">
          <a:spLocks noChangeArrowheads="1"/>
        </xdr:cNvSpPr>
      </xdr:nvSpPr>
      <xdr:spPr bwMode="auto">
        <a:xfrm>
          <a:off x="4664364"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108</xdr:row>
      <xdr:rowOff>0</xdr:rowOff>
    </xdr:from>
    <xdr:ext cx="95250" cy="171450"/>
    <xdr:sp macro="" textlink="">
      <xdr:nvSpPr>
        <xdr:cNvPr id="3495" name="Text Box 19">
          <a:extLst>
            <a:ext uri="{FF2B5EF4-FFF2-40B4-BE49-F238E27FC236}">
              <a16:creationId xmlns:a16="http://schemas.microsoft.com/office/drawing/2014/main" id="{00000000-0008-0000-0500-0000A70D0000}"/>
            </a:ext>
          </a:extLst>
        </xdr:cNvPr>
        <xdr:cNvSpPr txBox="1">
          <a:spLocks noChangeArrowheads="1"/>
        </xdr:cNvSpPr>
      </xdr:nvSpPr>
      <xdr:spPr bwMode="auto">
        <a:xfrm>
          <a:off x="4664364"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106</xdr:row>
      <xdr:rowOff>504825</xdr:rowOff>
    </xdr:from>
    <xdr:ext cx="95250" cy="442269"/>
    <xdr:sp macro="" textlink="">
      <xdr:nvSpPr>
        <xdr:cNvPr id="3496" name="Text Box 15">
          <a:extLst>
            <a:ext uri="{FF2B5EF4-FFF2-40B4-BE49-F238E27FC236}">
              <a16:creationId xmlns:a16="http://schemas.microsoft.com/office/drawing/2014/main" id="{00000000-0008-0000-0500-0000A80D0000}"/>
            </a:ext>
          </a:extLst>
        </xdr:cNvPr>
        <xdr:cNvSpPr txBox="1">
          <a:spLocks noChangeArrowheads="1"/>
        </xdr:cNvSpPr>
      </xdr:nvSpPr>
      <xdr:spPr bwMode="auto">
        <a:xfrm>
          <a:off x="12540961" y="6733020"/>
          <a:ext cx="95250" cy="442269"/>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108</xdr:row>
      <xdr:rowOff>0</xdr:rowOff>
    </xdr:from>
    <xdr:ext cx="95250" cy="171450"/>
    <xdr:sp macro="" textlink="">
      <xdr:nvSpPr>
        <xdr:cNvPr id="3497" name="Text Box 16">
          <a:extLst>
            <a:ext uri="{FF2B5EF4-FFF2-40B4-BE49-F238E27FC236}">
              <a16:creationId xmlns:a16="http://schemas.microsoft.com/office/drawing/2014/main" id="{00000000-0008-0000-0500-0000A90D0000}"/>
            </a:ext>
          </a:extLst>
        </xdr:cNvPr>
        <xdr:cNvSpPr txBox="1">
          <a:spLocks noChangeArrowheads="1"/>
        </xdr:cNvSpPr>
      </xdr:nvSpPr>
      <xdr:spPr bwMode="auto">
        <a:xfrm>
          <a:off x="12540961"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108</xdr:row>
      <xdr:rowOff>0</xdr:rowOff>
    </xdr:from>
    <xdr:ext cx="95250" cy="171450"/>
    <xdr:sp macro="" textlink="">
      <xdr:nvSpPr>
        <xdr:cNvPr id="3498" name="Text Box 17">
          <a:extLst>
            <a:ext uri="{FF2B5EF4-FFF2-40B4-BE49-F238E27FC236}">
              <a16:creationId xmlns:a16="http://schemas.microsoft.com/office/drawing/2014/main" id="{00000000-0008-0000-0500-0000AA0D0000}"/>
            </a:ext>
          </a:extLst>
        </xdr:cNvPr>
        <xdr:cNvSpPr txBox="1">
          <a:spLocks noChangeArrowheads="1"/>
        </xdr:cNvSpPr>
      </xdr:nvSpPr>
      <xdr:spPr bwMode="auto">
        <a:xfrm>
          <a:off x="12540961"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108</xdr:row>
      <xdr:rowOff>0</xdr:rowOff>
    </xdr:from>
    <xdr:ext cx="95250" cy="171450"/>
    <xdr:sp macro="" textlink="">
      <xdr:nvSpPr>
        <xdr:cNvPr id="3499" name="Text Box 18">
          <a:extLst>
            <a:ext uri="{FF2B5EF4-FFF2-40B4-BE49-F238E27FC236}">
              <a16:creationId xmlns:a16="http://schemas.microsoft.com/office/drawing/2014/main" id="{00000000-0008-0000-0500-0000AB0D0000}"/>
            </a:ext>
          </a:extLst>
        </xdr:cNvPr>
        <xdr:cNvSpPr txBox="1">
          <a:spLocks noChangeArrowheads="1"/>
        </xdr:cNvSpPr>
      </xdr:nvSpPr>
      <xdr:spPr bwMode="auto">
        <a:xfrm>
          <a:off x="12540961"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108</xdr:row>
      <xdr:rowOff>0</xdr:rowOff>
    </xdr:from>
    <xdr:ext cx="95250" cy="171450"/>
    <xdr:sp macro="" textlink="">
      <xdr:nvSpPr>
        <xdr:cNvPr id="3500" name="Text Box 16">
          <a:extLst>
            <a:ext uri="{FF2B5EF4-FFF2-40B4-BE49-F238E27FC236}">
              <a16:creationId xmlns:a16="http://schemas.microsoft.com/office/drawing/2014/main" id="{00000000-0008-0000-0500-0000AC0D0000}"/>
            </a:ext>
          </a:extLst>
        </xdr:cNvPr>
        <xdr:cNvSpPr txBox="1">
          <a:spLocks noChangeArrowheads="1"/>
        </xdr:cNvSpPr>
      </xdr:nvSpPr>
      <xdr:spPr bwMode="auto">
        <a:xfrm>
          <a:off x="15388070"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108</xdr:row>
      <xdr:rowOff>0</xdr:rowOff>
    </xdr:from>
    <xdr:ext cx="95250" cy="171450"/>
    <xdr:sp macro="" textlink="">
      <xdr:nvSpPr>
        <xdr:cNvPr id="3501" name="Text Box 17">
          <a:extLst>
            <a:ext uri="{FF2B5EF4-FFF2-40B4-BE49-F238E27FC236}">
              <a16:creationId xmlns:a16="http://schemas.microsoft.com/office/drawing/2014/main" id="{00000000-0008-0000-0500-0000AD0D0000}"/>
            </a:ext>
          </a:extLst>
        </xdr:cNvPr>
        <xdr:cNvSpPr txBox="1">
          <a:spLocks noChangeArrowheads="1"/>
        </xdr:cNvSpPr>
      </xdr:nvSpPr>
      <xdr:spPr bwMode="auto">
        <a:xfrm>
          <a:off x="15388070"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108</xdr:row>
      <xdr:rowOff>0</xdr:rowOff>
    </xdr:from>
    <xdr:ext cx="95250" cy="171450"/>
    <xdr:sp macro="" textlink="">
      <xdr:nvSpPr>
        <xdr:cNvPr id="3502" name="Text Box 18">
          <a:extLst>
            <a:ext uri="{FF2B5EF4-FFF2-40B4-BE49-F238E27FC236}">
              <a16:creationId xmlns:a16="http://schemas.microsoft.com/office/drawing/2014/main" id="{00000000-0008-0000-0500-0000AE0D0000}"/>
            </a:ext>
          </a:extLst>
        </xdr:cNvPr>
        <xdr:cNvSpPr txBox="1">
          <a:spLocks noChangeArrowheads="1"/>
        </xdr:cNvSpPr>
      </xdr:nvSpPr>
      <xdr:spPr bwMode="auto">
        <a:xfrm>
          <a:off x="15388070"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108</xdr:row>
      <xdr:rowOff>0</xdr:rowOff>
    </xdr:from>
    <xdr:ext cx="95250" cy="171450"/>
    <xdr:sp macro="" textlink="">
      <xdr:nvSpPr>
        <xdr:cNvPr id="3503" name="Text Box 19">
          <a:extLst>
            <a:ext uri="{FF2B5EF4-FFF2-40B4-BE49-F238E27FC236}">
              <a16:creationId xmlns:a16="http://schemas.microsoft.com/office/drawing/2014/main" id="{00000000-0008-0000-0500-0000AF0D0000}"/>
            </a:ext>
          </a:extLst>
        </xdr:cNvPr>
        <xdr:cNvSpPr txBox="1">
          <a:spLocks noChangeArrowheads="1"/>
        </xdr:cNvSpPr>
      </xdr:nvSpPr>
      <xdr:spPr bwMode="auto">
        <a:xfrm>
          <a:off x="15388070"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108</xdr:row>
      <xdr:rowOff>0</xdr:rowOff>
    </xdr:from>
    <xdr:ext cx="95250" cy="171450"/>
    <xdr:sp macro="" textlink="">
      <xdr:nvSpPr>
        <xdr:cNvPr id="3504" name="Text Box 16">
          <a:extLst>
            <a:ext uri="{FF2B5EF4-FFF2-40B4-BE49-F238E27FC236}">
              <a16:creationId xmlns:a16="http://schemas.microsoft.com/office/drawing/2014/main" id="{00000000-0008-0000-0500-0000B00D0000}"/>
            </a:ext>
          </a:extLst>
        </xdr:cNvPr>
        <xdr:cNvSpPr txBox="1">
          <a:spLocks noChangeArrowheads="1"/>
        </xdr:cNvSpPr>
      </xdr:nvSpPr>
      <xdr:spPr bwMode="auto">
        <a:xfrm>
          <a:off x="15388070"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108</xdr:row>
      <xdr:rowOff>0</xdr:rowOff>
    </xdr:from>
    <xdr:ext cx="95250" cy="171450"/>
    <xdr:sp macro="" textlink="">
      <xdr:nvSpPr>
        <xdr:cNvPr id="3505" name="Text Box 17">
          <a:extLst>
            <a:ext uri="{FF2B5EF4-FFF2-40B4-BE49-F238E27FC236}">
              <a16:creationId xmlns:a16="http://schemas.microsoft.com/office/drawing/2014/main" id="{00000000-0008-0000-0500-0000B10D0000}"/>
            </a:ext>
          </a:extLst>
        </xdr:cNvPr>
        <xdr:cNvSpPr txBox="1">
          <a:spLocks noChangeArrowheads="1"/>
        </xdr:cNvSpPr>
      </xdr:nvSpPr>
      <xdr:spPr bwMode="auto">
        <a:xfrm>
          <a:off x="15388070"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108</xdr:row>
      <xdr:rowOff>0</xdr:rowOff>
    </xdr:from>
    <xdr:ext cx="95250" cy="171450"/>
    <xdr:sp macro="" textlink="">
      <xdr:nvSpPr>
        <xdr:cNvPr id="3506" name="Text Box 18">
          <a:extLst>
            <a:ext uri="{FF2B5EF4-FFF2-40B4-BE49-F238E27FC236}">
              <a16:creationId xmlns:a16="http://schemas.microsoft.com/office/drawing/2014/main" id="{00000000-0008-0000-0500-0000B20D0000}"/>
            </a:ext>
          </a:extLst>
        </xdr:cNvPr>
        <xdr:cNvSpPr txBox="1">
          <a:spLocks noChangeArrowheads="1"/>
        </xdr:cNvSpPr>
      </xdr:nvSpPr>
      <xdr:spPr bwMode="auto">
        <a:xfrm>
          <a:off x="15388070"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10</xdr:col>
      <xdr:colOff>28575</xdr:colOff>
      <xdr:row>108</xdr:row>
      <xdr:rowOff>170392</xdr:rowOff>
    </xdr:from>
    <xdr:ext cx="95250" cy="213632"/>
    <xdr:sp macro="" textlink="">
      <xdr:nvSpPr>
        <xdr:cNvPr id="3507" name="Text Box 15">
          <a:extLst>
            <a:ext uri="{FF2B5EF4-FFF2-40B4-BE49-F238E27FC236}">
              <a16:creationId xmlns:a16="http://schemas.microsoft.com/office/drawing/2014/main" id="{00000000-0008-0000-0500-0000B30D0000}"/>
            </a:ext>
          </a:extLst>
        </xdr:cNvPr>
        <xdr:cNvSpPr txBox="1">
          <a:spLocks noChangeArrowheads="1"/>
        </xdr:cNvSpPr>
      </xdr:nvSpPr>
      <xdr:spPr bwMode="auto">
        <a:xfrm>
          <a:off x="12578484" y="7270847"/>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108</xdr:row>
      <xdr:rowOff>0</xdr:rowOff>
    </xdr:from>
    <xdr:ext cx="95250" cy="171450"/>
    <xdr:sp macro="" textlink="">
      <xdr:nvSpPr>
        <xdr:cNvPr id="3508" name="Text Box 16">
          <a:extLst>
            <a:ext uri="{FF2B5EF4-FFF2-40B4-BE49-F238E27FC236}">
              <a16:creationId xmlns:a16="http://schemas.microsoft.com/office/drawing/2014/main" id="{00000000-0008-0000-0500-0000B40D0000}"/>
            </a:ext>
          </a:extLst>
        </xdr:cNvPr>
        <xdr:cNvSpPr txBox="1">
          <a:spLocks noChangeArrowheads="1"/>
        </xdr:cNvSpPr>
      </xdr:nvSpPr>
      <xdr:spPr bwMode="auto">
        <a:xfrm>
          <a:off x="4664364"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108</xdr:row>
      <xdr:rowOff>0</xdr:rowOff>
    </xdr:from>
    <xdr:ext cx="95250" cy="171450"/>
    <xdr:sp macro="" textlink="">
      <xdr:nvSpPr>
        <xdr:cNvPr id="3509" name="Text Box 17">
          <a:extLst>
            <a:ext uri="{FF2B5EF4-FFF2-40B4-BE49-F238E27FC236}">
              <a16:creationId xmlns:a16="http://schemas.microsoft.com/office/drawing/2014/main" id="{00000000-0008-0000-0500-0000B50D0000}"/>
            </a:ext>
          </a:extLst>
        </xdr:cNvPr>
        <xdr:cNvSpPr txBox="1">
          <a:spLocks noChangeArrowheads="1"/>
        </xdr:cNvSpPr>
      </xdr:nvSpPr>
      <xdr:spPr bwMode="auto">
        <a:xfrm>
          <a:off x="4664364"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108</xdr:row>
      <xdr:rowOff>0</xdr:rowOff>
    </xdr:from>
    <xdr:ext cx="95250" cy="171450"/>
    <xdr:sp macro="" textlink="">
      <xdr:nvSpPr>
        <xdr:cNvPr id="3510" name="Text Box 18">
          <a:extLst>
            <a:ext uri="{FF2B5EF4-FFF2-40B4-BE49-F238E27FC236}">
              <a16:creationId xmlns:a16="http://schemas.microsoft.com/office/drawing/2014/main" id="{00000000-0008-0000-0500-0000B60D0000}"/>
            </a:ext>
          </a:extLst>
        </xdr:cNvPr>
        <xdr:cNvSpPr txBox="1">
          <a:spLocks noChangeArrowheads="1"/>
        </xdr:cNvSpPr>
      </xdr:nvSpPr>
      <xdr:spPr bwMode="auto">
        <a:xfrm>
          <a:off x="4664364"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108</xdr:row>
      <xdr:rowOff>0</xdr:rowOff>
    </xdr:from>
    <xdr:ext cx="95250" cy="171450"/>
    <xdr:sp macro="" textlink="">
      <xdr:nvSpPr>
        <xdr:cNvPr id="3511" name="Text Box 19">
          <a:extLst>
            <a:ext uri="{FF2B5EF4-FFF2-40B4-BE49-F238E27FC236}">
              <a16:creationId xmlns:a16="http://schemas.microsoft.com/office/drawing/2014/main" id="{00000000-0008-0000-0500-0000B70D0000}"/>
            </a:ext>
          </a:extLst>
        </xdr:cNvPr>
        <xdr:cNvSpPr txBox="1">
          <a:spLocks noChangeArrowheads="1"/>
        </xdr:cNvSpPr>
      </xdr:nvSpPr>
      <xdr:spPr bwMode="auto">
        <a:xfrm>
          <a:off x="4664364"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108</xdr:row>
      <xdr:rowOff>0</xdr:rowOff>
    </xdr:from>
    <xdr:ext cx="95250" cy="171450"/>
    <xdr:sp macro="" textlink="">
      <xdr:nvSpPr>
        <xdr:cNvPr id="3512" name="Text Box 16">
          <a:extLst>
            <a:ext uri="{FF2B5EF4-FFF2-40B4-BE49-F238E27FC236}">
              <a16:creationId xmlns:a16="http://schemas.microsoft.com/office/drawing/2014/main" id="{00000000-0008-0000-0500-0000B80D0000}"/>
            </a:ext>
          </a:extLst>
        </xdr:cNvPr>
        <xdr:cNvSpPr txBox="1">
          <a:spLocks noChangeArrowheads="1"/>
        </xdr:cNvSpPr>
      </xdr:nvSpPr>
      <xdr:spPr bwMode="auto">
        <a:xfrm>
          <a:off x="12540961"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108</xdr:row>
      <xdr:rowOff>0</xdr:rowOff>
    </xdr:from>
    <xdr:ext cx="95250" cy="171450"/>
    <xdr:sp macro="" textlink="">
      <xdr:nvSpPr>
        <xdr:cNvPr id="3513" name="Text Box 17">
          <a:extLst>
            <a:ext uri="{FF2B5EF4-FFF2-40B4-BE49-F238E27FC236}">
              <a16:creationId xmlns:a16="http://schemas.microsoft.com/office/drawing/2014/main" id="{00000000-0008-0000-0500-0000B90D0000}"/>
            </a:ext>
          </a:extLst>
        </xdr:cNvPr>
        <xdr:cNvSpPr txBox="1">
          <a:spLocks noChangeArrowheads="1"/>
        </xdr:cNvSpPr>
      </xdr:nvSpPr>
      <xdr:spPr bwMode="auto">
        <a:xfrm>
          <a:off x="12540961"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108</xdr:row>
      <xdr:rowOff>0</xdr:rowOff>
    </xdr:from>
    <xdr:ext cx="95250" cy="171450"/>
    <xdr:sp macro="" textlink="">
      <xdr:nvSpPr>
        <xdr:cNvPr id="3514" name="Text Box 18">
          <a:extLst>
            <a:ext uri="{FF2B5EF4-FFF2-40B4-BE49-F238E27FC236}">
              <a16:creationId xmlns:a16="http://schemas.microsoft.com/office/drawing/2014/main" id="{00000000-0008-0000-0500-0000BA0D0000}"/>
            </a:ext>
          </a:extLst>
        </xdr:cNvPr>
        <xdr:cNvSpPr txBox="1">
          <a:spLocks noChangeArrowheads="1"/>
        </xdr:cNvSpPr>
      </xdr:nvSpPr>
      <xdr:spPr bwMode="auto">
        <a:xfrm>
          <a:off x="12540961"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108</xdr:row>
      <xdr:rowOff>0</xdr:rowOff>
    </xdr:from>
    <xdr:ext cx="95250" cy="171450"/>
    <xdr:sp macro="" textlink="">
      <xdr:nvSpPr>
        <xdr:cNvPr id="3515" name="Text Box 19">
          <a:extLst>
            <a:ext uri="{FF2B5EF4-FFF2-40B4-BE49-F238E27FC236}">
              <a16:creationId xmlns:a16="http://schemas.microsoft.com/office/drawing/2014/main" id="{00000000-0008-0000-0500-0000BB0D0000}"/>
            </a:ext>
          </a:extLst>
        </xdr:cNvPr>
        <xdr:cNvSpPr txBox="1">
          <a:spLocks noChangeArrowheads="1"/>
        </xdr:cNvSpPr>
      </xdr:nvSpPr>
      <xdr:spPr bwMode="auto">
        <a:xfrm>
          <a:off x="12540961"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21</xdr:col>
      <xdr:colOff>0</xdr:colOff>
      <xdr:row>103</xdr:row>
      <xdr:rowOff>0</xdr:rowOff>
    </xdr:from>
    <xdr:ext cx="95250" cy="171450"/>
    <xdr:sp macro="" textlink="">
      <xdr:nvSpPr>
        <xdr:cNvPr id="3516" name="Text Box 16">
          <a:extLst>
            <a:ext uri="{FF2B5EF4-FFF2-40B4-BE49-F238E27FC236}">
              <a16:creationId xmlns:a16="http://schemas.microsoft.com/office/drawing/2014/main" id="{00000000-0008-0000-0500-0000BC0D0000}"/>
            </a:ext>
          </a:extLst>
        </xdr:cNvPr>
        <xdr:cNvSpPr txBox="1">
          <a:spLocks noChangeArrowheads="1"/>
        </xdr:cNvSpPr>
      </xdr:nvSpPr>
      <xdr:spPr bwMode="auto">
        <a:xfrm>
          <a:off x="21832455" y="5992091"/>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21</xdr:col>
      <xdr:colOff>0</xdr:colOff>
      <xdr:row>103</xdr:row>
      <xdr:rowOff>0</xdr:rowOff>
    </xdr:from>
    <xdr:ext cx="95250" cy="171450"/>
    <xdr:sp macro="" textlink="">
      <xdr:nvSpPr>
        <xdr:cNvPr id="3517" name="Text Box 17">
          <a:extLst>
            <a:ext uri="{FF2B5EF4-FFF2-40B4-BE49-F238E27FC236}">
              <a16:creationId xmlns:a16="http://schemas.microsoft.com/office/drawing/2014/main" id="{00000000-0008-0000-0500-0000BD0D0000}"/>
            </a:ext>
          </a:extLst>
        </xdr:cNvPr>
        <xdr:cNvSpPr txBox="1">
          <a:spLocks noChangeArrowheads="1"/>
        </xdr:cNvSpPr>
      </xdr:nvSpPr>
      <xdr:spPr bwMode="auto">
        <a:xfrm>
          <a:off x="21832455" y="5992091"/>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21</xdr:col>
      <xdr:colOff>0</xdr:colOff>
      <xdr:row>103</xdr:row>
      <xdr:rowOff>0</xdr:rowOff>
    </xdr:from>
    <xdr:ext cx="95250" cy="171450"/>
    <xdr:sp macro="" textlink="">
      <xdr:nvSpPr>
        <xdr:cNvPr id="3518" name="Text Box 18">
          <a:extLst>
            <a:ext uri="{FF2B5EF4-FFF2-40B4-BE49-F238E27FC236}">
              <a16:creationId xmlns:a16="http://schemas.microsoft.com/office/drawing/2014/main" id="{00000000-0008-0000-0500-0000BE0D0000}"/>
            </a:ext>
          </a:extLst>
        </xdr:cNvPr>
        <xdr:cNvSpPr txBox="1">
          <a:spLocks noChangeArrowheads="1"/>
        </xdr:cNvSpPr>
      </xdr:nvSpPr>
      <xdr:spPr bwMode="auto">
        <a:xfrm>
          <a:off x="21832455" y="5992091"/>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21</xdr:col>
      <xdr:colOff>0</xdr:colOff>
      <xdr:row>103</xdr:row>
      <xdr:rowOff>0</xdr:rowOff>
    </xdr:from>
    <xdr:ext cx="95250" cy="171450"/>
    <xdr:sp macro="" textlink="">
      <xdr:nvSpPr>
        <xdr:cNvPr id="3519" name="Text Box 19">
          <a:extLst>
            <a:ext uri="{FF2B5EF4-FFF2-40B4-BE49-F238E27FC236}">
              <a16:creationId xmlns:a16="http://schemas.microsoft.com/office/drawing/2014/main" id="{00000000-0008-0000-0500-0000BF0D0000}"/>
            </a:ext>
          </a:extLst>
        </xdr:cNvPr>
        <xdr:cNvSpPr txBox="1">
          <a:spLocks noChangeArrowheads="1"/>
        </xdr:cNvSpPr>
      </xdr:nvSpPr>
      <xdr:spPr bwMode="auto">
        <a:xfrm>
          <a:off x="21832455" y="5992091"/>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106</xdr:row>
      <xdr:rowOff>504825</xdr:rowOff>
    </xdr:from>
    <xdr:ext cx="95250" cy="444014"/>
    <xdr:sp macro="" textlink="">
      <xdr:nvSpPr>
        <xdr:cNvPr id="3520" name="Text Box 15">
          <a:extLst>
            <a:ext uri="{FF2B5EF4-FFF2-40B4-BE49-F238E27FC236}">
              <a16:creationId xmlns:a16="http://schemas.microsoft.com/office/drawing/2014/main" id="{00000000-0008-0000-0500-0000C00D0000}"/>
            </a:ext>
          </a:extLst>
        </xdr:cNvPr>
        <xdr:cNvSpPr txBox="1">
          <a:spLocks noChangeArrowheads="1"/>
        </xdr:cNvSpPr>
      </xdr:nvSpPr>
      <xdr:spPr bwMode="auto">
        <a:xfrm>
          <a:off x="4664364" y="6733020"/>
          <a:ext cx="95250" cy="444014"/>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108</xdr:row>
      <xdr:rowOff>0</xdr:rowOff>
    </xdr:from>
    <xdr:ext cx="95250" cy="171450"/>
    <xdr:sp macro="" textlink="">
      <xdr:nvSpPr>
        <xdr:cNvPr id="3521" name="Text Box 16">
          <a:extLst>
            <a:ext uri="{FF2B5EF4-FFF2-40B4-BE49-F238E27FC236}">
              <a16:creationId xmlns:a16="http://schemas.microsoft.com/office/drawing/2014/main" id="{00000000-0008-0000-0500-0000C10D0000}"/>
            </a:ext>
          </a:extLst>
        </xdr:cNvPr>
        <xdr:cNvSpPr txBox="1">
          <a:spLocks noChangeArrowheads="1"/>
        </xdr:cNvSpPr>
      </xdr:nvSpPr>
      <xdr:spPr bwMode="auto">
        <a:xfrm>
          <a:off x="4664364"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108</xdr:row>
      <xdr:rowOff>0</xdr:rowOff>
    </xdr:from>
    <xdr:ext cx="95250" cy="171450"/>
    <xdr:sp macro="" textlink="">
      <xdr:nvSpPr>
        <xdr:cNvPr id="3522" name="Text Box 17">
          <a:extLst>
            <a:ext uri="{FF2B5EF4-FFF2-40B4-BE49-F238E27FC236}">
              <a16:creationId xmlns:a16="http://schemas.microsoft.com/office/drawing/2014/main" id="{00000000-0008-0000-0500-0000C20D0000}"/>
            </a:ext>
          </a:extLst>
        </xdr:cNvPr>
        <xdr:cNvSpPr txBox="1">
          <a:spLocks noChangeArrowheads="1"/>
        </xdr:cNvSpPr>
      </xdr:nvSpPr>
      <xdr:spPr bwMode="auto">
        <a:xfrm>
          <a:off x="4664364"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108</xdr:row>
      <xdr:rowOff>0</xdr:rowOff>
    </xdr:from>
    <xdr:ext cx="95250" cy="171450"/>
    <xdr:sp macro="" textlink="">
      <xdr:nvSpPr>
        <xdr:cNvPr id="3523" name="Text Box 18">
          <a:extLst>
            <a:ext uri="{FF2B5EF4-FFF2-40B4-BE49-F238E27FC236}">
              <a16:creationId xmlns:a16="http://schemas.microsoft.com/office/drawing/2014/main" id="{00000000-0008-0000-0500-0000C30D0000}"/>
            </a:ext>
          </a:extLst>
        </xdr:cNvPr>
        <xdr:cNvSpPr txBox="1">
          <a:spLocks noChangeArrowheads="1"/>
        </xdr:cNvSpPr>
      </xdr:nvSpPr>
      <xdr:spPr bwMode="auto">
        <a:xfrm>
          <a:off x="4664364"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108</xdr:row>
      <xdr:rowOff>0</xdr:rowOff>
    </xdr:from>
    <xdr:ext cx="95250" cy="171450"/>
    <xdr:sp macro="" textlink="">
      <xdr:nvSpPr>
        <xdr:cNvPr id="3524" name="Text Box 19">
          <a:extLst>
            <a:ext uri="{FF2B5EF4-FFF2-40B4-BE49-F238E27FC236}">
              <a16:creationId xmlns:a16="http://schemas.microsoft.com/office/drawing/2014/main" id="{00000000-0008-0000-0500-0000C40D0000}"/>
            </a:ext>
          </a:extLst>
        </xdr:cNvPr>
        <xdr:cNvSpPr txBox="1">
          <a:spLocks noChangeArrowheads="1"/>
        </xdr:cNvSpPr>
      </xdr:nvSpPr>
      <xdr:spPr bwMode="auto">
        <a:xfrm>
          <a:off x="4664364"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108</xdr:row>
      <xdr:rowOff>0</xdr:rowOff>
    </xdr:from>
    <xdr:ext cx="95250" cy="171450"/>
    <xdr:sp macro="" textlink="">
      <xdr:nvSpPr>
        <xdr:cNvPr id="3525" name="Text Box 16">
          <a:extLst>
            <a:ext uri="{FF2B5EF4-FFF2-40B4-BE49-F238E27FC236}">
              <a16:creationId xmlns:a16="http://schemas.microsoft.com/office/drawing/2014/main" id="{00000000-0008-0000-0500-0000C50D0000}"/>
            </a:ext>
          </a:extLst>
        </xdr:cNvPr>
        <xdr:cNvSpPr txBox="1">
          <a:spLocks noChangeArrowheads="1"/>
        </xdr:cNvSpPr>
      </xdr:nvSpPr>
      <xdr:spPr bwMode="auto">
        <a:xfrm>
          <a:off x="12540961"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108</xdr:row>
      <xdr:rowOff>0</xdr:rowOff>
    </xdr:from>
    <xdr:ext cx="95250" cy="171450"/>
    <xdr:sp macro="" textlink="">
      <xdr:nvSpPr>
        <xdr:cNvPr id="3526" name="Text Box 17">
          <a:extLst>
            <a:ext uri="{FF2B5EF4-FFF2-40B4-BE49-F238E27FC236}">
              <a16:creationId xmlns:a16="http://schemas.microsoft.com/office/drawing/2014/main" id="{00000000-0008-0000-0500-0000C60D0000}"/>
            </a:ext>
          </a:extLst>
        </xdr:cNvPr>
        <xdr:cNvSpPr txBox="1">
          <a:spLocks noChangeArrowheads="1"/>
        </xdr:cNvSpPr>
      </xdr:nvSpPr>
      <xdr:spPr bwMode="auto">
        <a:xfrm>
          <a:off x="12540961"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1020762</xdr:colOff>
      <xdr:row>108</xdr:row>
      <xdr:rowOff>15875</xdr:rowOff>
    </xdr:from>
    <xdr:ext cx="95250" cy="171450"/>
    <xdr:sp macro="" textlink="">
      <xdr:nvSpPr>
        <xdr:cNvPr id="3527" name="Text Box 18">
          <a:extLst>
            <a:ext uri="{FF2B5EF4-FFF2-40B4-BE49-F238E27FC236}">
              <a16:creationId xmlns:a16="http://schemas.microsoft.com/office/drawing/2014/main" id="{00000000-0008-0000-0500-0000C70D0000}"/>
            </a:ext>
          </a:extLst>
        </xdr:cNvPr>
        <xdr:cNvSpPr txBox="1">
          <a:spLocks noChangeArrowheads="1"/>
        </xdr:cNvSpPr>
      </xdr:nvSpPr>
      <xdr:spPr bwMode="auto">
        <a:xfrm>
          <a:off x="12485398" y="7116330"/>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108</xdr:row>
      <xdr:rowOff>0</xdr:rowOff>
    </xdr:from>
    <xdr:ext cx="95250" cy="171450"/>
    <xdr:sp macro="" textlink="">
      <xdr:nvSpPr>
        <xdr:cNvPr id="3528" name="Text Box 16">
          <a:extLst>
            <a:ext uri="{FF2B5EF4-FFF2-40B4-BE49-F238E27FC236}">
              <a16:creationId xmlns:a16="http://schemas.microsoft.com/office/drawing/2014/main" id="{00000000-0008-0000-0500-0000C80D0000}"/>
            </a:ext>
          </a:extLst>
        </xdr:cNvPr>
        <xdr:cNvSpPr txBox="1">
          <a:spLocks noChangeArrowheads="1"/>
        </xdr:cNvSpPr>
      </xdr:nvSpPr>
      <xdr:spPr bwMode="auto">
        <a:xfrm>
          <a:off x="15388070"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108</xdr:row>
      <xdr:rowOff>0</xdr:rowOff>
    </xdr:from>
    <xdr:ext cx="95250" cy="171450"/>
    <xdr:sp macro="" textlink="">
      <xdr:nvSpPr>
        <xdr:cNvPr id="3529" name="Text Box 17">
          <a:extLst>
            <a:ext uri="{FF2B5EF4-FFF2-40B4-BE49-F238E27FC236}">
              <a16:creationId xmlns:a16="http://schemas.microsoft.com/office/drawing/2014/main" id="{00000000-0008-0000-0500-0000C90D0000}"/>
            </a:ext>
          </a:extLst>
        </xdr:cNvPr>
        <xdr:cNvSpPr txBox="1">
          <a:spLocks noChangeArrowheads="1"/>
        </xdr:cNvSpPr>
      </xdr:nvSpPr>
      <xdr:spPr bwMode="auto">
        <a:xfrm>
          <a:off x="15388070"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108</xdr:row>
      <xdr:rowOff>0</xdr:rowOff>
    </xdr:from>
    <xdr:ext cx="95250" cy="171450"/>
    <xdr:sp macro="" textlink="">
      <xdr:nvSpPr>
        <xdr:cNvPr id="3530" name="Text Box 18">
          <a:extLst>
            <a:ext uri="{FF2B5EF4-FFF2-40B4-BE49-F238E27FC236}">
              <a16:creationId xmlns:a16="http://schemas.microsoft.com/office/drawing/2014/main" id="{00000000-0008-0000-0500-0000CA0D0000}"/>
            </a:ext>
          </a:extLst>
        </xdr:cNvPr>
        <xdr:cNvSpPr txBox="1">
          <a:spLocks noChangeArrowheads="1"/>
        </xdr:cNvSpPr>
      </xdr:nvSpPr>
      <xdr:spPr bwMode="auto">
        <a:xfrm>
          <a:off x="15388070"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108</xdr:row>
      <xdr:rowOff>0</xdr:rowOff>
    </xdr:from>
    <xdr:ext cx="95250" cy="171450"/>
    <xdr:sp macro="" textlink="">
      <xdr:nvSpPr>
        <xdr:cNvPr id="3531" name="Text Box 19">
          <a:extLst>
            <a:ext uri="{FF2B5EF4-FFF2-40B4-BE49-F238E27FC236}">
              <a16:creationId xmlns:a16="http://schemas.microsoft.com/office/drawing/2014/main" id="{00000000-0008-0000-0500-0000CB0D0000}"/>
            </a:ext>
          </a:extLst>
        </xdr:cNvPr>
        <xdr:cNvSpPr txBox="1">
          <a:spLocks noChangeArrowheads="1"/>
        </xdr:cNvSpPr>
      </xdr:nvSpPr>
      <xdr:spPr bwMode="auto">
        <a:xfrm>
          <a:off x="15388070"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108</xdr:row>
      <xdr:rowOff>0</xdr:rowOff>
    </xdr:from>
    <xdr:ext cx="95250" cy="171450"/>
    <xdr:sp macro="" textlink="">
      <xdr:nvSpPr>
        <xdr:cNvPr id="3532" name="Text Box 16">
          <a:extLst>
            <a:ext uri="{FF2B5EF4-FFF2-40B4-BE49-F238E27FC236}">
              <a16:creationId xmlns:a16="http://schemas.microsoft.com/office/drawing/2014/main" id="{00000000-0008-0000-0500-0000CC0D0000}"/>
            </a:ext>
          </a:extLst>
        </xdr:cNvPr>
        <xdr:cNvSpPr txBox="1">
          <a:spLocks noChangeArrowheads="1"/>
        </xdr:cNvSpPr>
      </xdr:nvSpPr>
      <xdr:spPr bwMode="auto">
        <a:xfrm>
          <a:off x="15388070"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10</xdr:col>
      <xdr:colOff>28575</xdr:colOff>
      <xdr:row>108</xdr:row>
      <xdr:rowOff>170392</xdr:rowOff>
    </xdr:from>
    <xdr:ext cx="95250" cy="213632"/>
    <xdr:sp macro="" textlink="">
      <xdr:nvSpPr>
        <xdr:cNvPr id="3533" name="Text Box 15">
          <a:extLst>
            <a:ext uri="{FF2B5EF4-FFF2-40B4-BE49-F238E27FC236}">
              <a16:creationId xmlns:a16="http://schemas.microsoft.com/office/drawing/2014/main" id="{00000000-0008-0000-0500-0000CD0D0000}"/>
            </a:ext>
          </a:extLst>
        </xdr:cNvPr>
        <xdr:cNvSpPr txBox="1">
          <a:spLocks noChangeArrowheads="1"/>
        </xdr:cNvSpPr>
      </xdr:nvSpPr>
      <xdr:spPr bwMode="auto">
        <a:xfrm>
          <a:off x="12578484" y="7270847"/>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108</xdr:row>
      <xdr:rowOff>504825</xdr:rowOff>
    </xdr:from>
    <xdr:ext cx="95250" cy="448496"/>
    <xdr:sp macro="" textlink="">
      <xdr:nvSpPr>
        <xdr:cNvPr id="3534" name="Text Box 15">
          <a:extLst>
            <a:ext uri="{FF2B5EF4-FFF2-40B4-BE49-F238E27FC236}">
              <a16:creationId xmlns:a16="http://schemas.microsoft.com/office/drawing/2014/main" id="{00000000-0008-0000-0500-0000CE0D0000}"/>
            </a:ext>
          </a:extLst>
        </xdr:cNvPr>
        <xdr:cNvSpPr txBox="1">
          <a:spLocks noChangeArrowheads="1"/>
        </xdr:cNvSpPr>
      </xdr:nvSpPr>
      <xdr:spPr bwMode="auto">
        <a:xfrm>
          <a:off x="4664364" y="5994111"/>
          <a:ext cx="95250" cy="448496"/>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108</xdr:row>
      <xdr:rowOff>504825</xdr:rowOff>
    </xdr:from>
    <xdr:ext cx="95250" cy="442269"/>
    <xdr:sp macro="" textlink="">
      <xdr:nvSpPr>
        <xdr:cNvPr id="3535" name="Text Box 15">
          <a:extLst>
            <a:ext uri="{FF2B5EF4-FFF2-40B4-BE49-F238E27FC236}">
              <a16:creationId xmlns:a16="http://schemas.microsoft.com/office/drawing/2014/main" id="{00000000-0008-0000-0500-0000CF0D0000}"/>
            </a:ext>
          </a:extLst>
        </xdr:cNvPr>
        <xdr:cNvSpPr txBox="1">
          <a:spLocks noChangeArrowheads="1"/>
        </xdr:cNvSpPr>
      </xdr:nvSpPr>
      <xdr:spPr bwMode="auto">
        <a:xfrm>
          <a:off x="12540961" y="5994111"/>
          <a:ext cx="95250" cy="442269"/>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21</xdr:col>
      <xdr:colOff>0</xdr:colOff>
      <xdr:row>108</xdr:row>
      <xdr:rowOff>504825</xdr:rowOff>
    </xdr:from>
    <xdr:ext cx="95250" cy="442269"/>
    <xdr:sp macro="" textlink="">
      <xdr:nvSpPr>
        <xdr:cNvPr id="3536" name="Text Box 15">
          <a:extLst>
            <a:ext uri="{FF2B5EF4-FFF2-40B4-BE49-F238E27FC236}">
              <a16:creationId xmlns:a16="http://schemas.microsoft.com/office/drawing/2014/main" id="{00000000-0008-0000-0500-0000D00D0000}"/>
            </a:ext>
          </a:extLst>
        </xdr:cNvPr>
        <xdr:cNvSpPr txBox="1">
          <a:spLocks noChangeArrowheads="1"/>
        </xdr:cNvSpPr>
      </xdr:nvSpPr>
      <xdr:spPr bwMode="auto">
        <a:xfrm>
          <a:off x="21832455" y="5994111"/>
          <a:ext cx="95250" cy="442269"/>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108</xdr:row>
      <xdr:rowOff>504825</xdr:rowOff>
    </xdr:from>
    <xdr:ext cx="95250" cy="213632"/>
    <xdr:sp macro="" textlink="">
      <xdr:nvSpPr>
        <xdr:cNvPr id="3537" name="Text Box 15">
          <a:extLst>
            <a:ext uri="{FF2B5EF4-FFF2-40B4-BE49-F238E27FC236}">
              <a16:creationId xmlns:a16="http://schemas.microsoft.com/office/drawing/2014/main" id="{00000000-0008-0000-0500-0000D10D0000}"/>
            </a:ext>
          </a:extLst>
        </xdr:cNvPr>
        <xdr:cNvSpPr txBox="1">
          <a:spLocks noChangeArrowheads="1"/>
        </xdr:cNvSpPr>
      </xdr:nvSpPr>
      <xdr:spPr bwMode="auto">
        <a:xfrm>
          <a:off x="4664364" y="5994111"/>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108</xdr:row>
      <xdr:rowOff>504825</xdr:rowOff>
    </xdr:from>
    <xdr:ext cx="95250" cy="444331"/>
    <xdr:sp macro="" textlink="">
      <xdr:nvSpPr>
        <xdr:cNvPr id="3538" name="Text Box 15">
          <a:extLst>
            <a:ext uri="{FF2B5EF4-FFF2-40B4-BE49-F238E27FC236}">
              <a16:creationId xmlns:a16="http://schemas.microsoft.com/office/drawing/2014/main" id="{00000000-0008-0000-0500-0000D20D0000}"/>
            </a:ext>
          </a:extLst>
        </xdr:cNvPr>
        <xdr:cNvSpPr txBox="1">
          <a:spLocks noChangeArrowheads="1"/>
        </xdr:cNvSpPr>
      </xdr:nvSpPr>
      <xdr:spPr bwMode="auto">
        <a:xfrm>
          <a:off x="4664364" y="5994111"/>
          <a:ext cx="95250" cy="444331"/>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10</xdr:col>
      <xdr:colOff>28575</xdr:colOff>
      <xdr:row>108</xdr:row>
      <xdr:rowOff>170392</xdr:rowOff>
    </xdr:from>
    <xdr:ext cx="95250" cy="213632"/>
    <xdr:sp macro="" textlink="">
      <xdr:nvSpPr>
        <xdr:cNvPr id="3539" name="Text Box 15">
          <a:extLst>
            <a:ext uri="{FF2B5EF4-FFF2-40B4-BE49-F238E27FC236}">
              <a16:creationId xmlns:a16="http://schemas.microsoft.com/office/drawing/2014/main" id="{00000000-0008-0000-0500-0000D30D0000}"/>
            </a:ext>
          </a:extLst>
        </xdr:cNvPr>
        <xdr:cNvSpPr txBox="1">
          <a:spLocks noChangeArrowheads="1"/>
        </xdr:cNvSpPr>
      </xdr:nvSpPr>
      <xdr:spPr bwMode="auto">
        <a:xfrm>
          <a:off x="12578484" y="5793028"/>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114</xdr:row>
      <xdr:rowOff>0</xdr:rowOff>
    </xdr:from>
    <xdr:ext cx="95250" cy="171450"/>
    <xdr:sp macro="" textlink="">
      <xdr:nvSpPr>
        <xdr:cNvPr id="3540" name="Text Box 16">
          <a:extLst>
            <a:ext uri="{FF2B5EF4-FFF2-40B4-BE49-F238E27FC236}">
              <a16:creationId xmlns:a16="http://schemas.microsoft.com/office/drawing/2014/main" id="{00000000-0008-0000-0500-0000D40D0000}"/>
            </a:ext>
          </a:extLst>
        </xdr:cNvPr>
        <xdr:cNvSpPr txBox="1">
          <a:spLocks noChangeArrowheads="1"/>
        </xdr:cNvSpPr>
      </xdr:nvSpPr>
      <xdr:spPr bwMode="auto">
        <a:xfrm>
          <a:off x="4664364"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114</xdr:row>
      <xdr:rowOff>0</xdr:rowOff>
    </xdr:from>
    <xdr:ext cx="95250" cy="171450"/>
    <xdr:sp macro="" textlink="">
      <xdr:nvSpPr>
        <xdr:cNvPr id="3541" name="Text Box 17">
          <a:extLst>
            <a:ext uri="{FF2B5EF4-FFF2-40B4-BE49-F238E27FC236}">
              <a16:creationId xmlns:a16="http://schemas.microsoft.com/office/drawing/2014/main" id="{00000000-0008-0000-0500-0000D50D0000}"/>
            </a:ext>
          </a:extLst>
        </xdr:cNvPr>
        <xdr:cNvSpPr txBox="1">
          <a:spLocks noChangeArrowheads="1"/>
        </xdr:cNvSpPr>
      </xdr:nvSpPr>
      <xdr:spPr bwMode="auto">
        <a:xfrm>
          <a:off x="4664364"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114</xdr:row>
      <xdr:rowOff>0</xdr:rowOff>
    </xdr:from>
    <xdr:ext cx="95250" cy="171450"/>
    <xdr:sp macro="" textlink="">
      <xdr:nvSpPr>
        <xdr:cNvPr id="3542" name="Text Box 18">
          <a:extLst>
            <a:ext uri="{FF2B5EF4-FFF2-40B4-BE49-F238E27FC236}">
              <a16:creationId xmlns:a16="http://schemas.microsoft.com/office/drawing/2014/main" id="{00000000-0008-0000-0500-0000D60D0000}"/>
            </a:ext>
          </a:extLst>
        </xdr:cNvPr>
        <xdr:cNvSpPr txBox="1">
          <a:spLocks noChangeArrowheads="1"/>
        </xdr:cNvSpPr>
      </xdr:nvSpPr>
      <xdr:spPr bwMode="auto">
        <a:xfrm>
          <a:off x="4664364"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114</xdr:row>
      <xdr:rowOff>0</xdr:rowOff>
    </xdr:from>
    <xdr:ext cx="95250" cy="171450"/>
    <xdr:sp macro="" textlink="">
      <xdr:nvSpPr>
        <xdr:cNvPr id="3543" name="Text Box 19">
          <a:extLst>
            <a:ext uri="{FF2B5EF4-FFF2-40B4-BE49-F238E27FC236}">
              <a16:creationId xmlns:a16="http://schemas.microsoft.com/office/drawing/2014/main" id="{00000000-0008-0000-0500-0000D70D0000}"/>
            </a:ext>
          </a:extLst>
        </xdr:cNvPr>
        <xdr:cNvSpPr txBox="1">
          <a:spLocks noChangeArrowheads="1"/>
        </xdr:cNvSpPr>
      </xdr:nvSpPr>
      <xdr:spPr bwMode="auto">
        <a:xfrm>
          <a:off x="4664364"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114</xdr:row>
      <xdr:rowOff>0</xdr:rowOff>
    </xdr:from>
    <xdr:ext cx="95250" cy="171450"/>
    <xdr:sp macro="" textlink="">
      <xdr:nvSpPr>
        <xdr:cNvPr id="3544" name="Text Box 16">
          <a:extLst>
            <a:ext uri="{FF2B5EF4-FFF2-40B4-BE49-F238E27FC236}">
              <a16:creationId xmlns:a16="http://schemas.microsoft.com/office/drawing/2014/main" id="{00000000-0008-0000-0500-0000D80D0000}"/>
            </a:ext>
          </a:extLst>
        </xdr:cNvPr>
        <xdr:cNvSpPr txBox="1">
          <a:spLocks noChangeArrowheads="1"/>
        </xdr:cNvSpPr>
      </xdr:nvSpPr>
      <xdr:spPr bwMode="auto">
        <a:xfrm>
          <a:off x="12540961"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114</xdr:row>
      <xdr:rowOff>0</xdr:rowOff>
    </xdr:from>
    <xdr:ext cx="95250" cy="171450"/>
    <xdr:sp macro="" textlink="">
      <xdr:nvSpPr>
        <xdr:cNvPr id="3545" name="Text Box 17">
          <a:extLst>
            <a:ext uri="{FF2B5EF4-FFF2-40B4-BE49-F238E27FC236}">
              <a16:creationId xmlns:a16="http://schemas.microsoft.com/office/drawing/2014/main" id="{00000000-0008-0000-0500-0000D90D0000}"/>
            </a:ext>
          </a:extLst>
        </xdr:cNvPr>
        <xdr:cNvSpPr txBox="1">
          <a:spLocks noChangeArrowheads="1"/>
        </xdr:cNvSpPr>
      </xdr:nvSpPr>
      <xdr:spPr bwMode="auto">
        <a:xfrm>
          <a:off x="12540961"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114</xdr:row>
      <xdr:rowOff>0</xdr:rowOff>
    </xdr:from>
    <xdr:ext cx="95250" cy="171450"/>
    <xdr:sp macro="" textlink="">
      <xdr:nvSpPr>
        <xdr:cNvPr id="3546" name="Text Box 18">
          <a:extLst>
            <a:ext uri="{FF2B5EF4-FFF2-40B4-BE49-F238E27FC236}">
              <a16:creationId xmlns:a16="http://schemas.microsoft.com/office/drawing/2014/main" id="{00000000-0008-0000-0500-0000DA0D0000}"/>
            </a:ext>
          </a:extLst>
        </xdr:cNvPr>
        <xdr:cNvSpPr txBox="1">
          <a:spLocks noChangeArrowheads="1"/>
        </xdr:cNvSpPr>
      </xdr:nvSpPr>
      <xdr:spPr bwMode="auto">
        <a:xfrm>
          <a:off x="12540961"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114</xdr:row>
      <xdr:rowOff>0</xdr:rowOff>
    </xdr:from>
    <xdr:ext cx="95250" cy="171450"/>
    <xdr:sp macro="" textlink="">
      <xdr:nvSpPr>
        <xdr:cNvPr id="3547" name="Text Box 19">
          <a:extLst>
            <a:ext uri="{FF2B5EF4-FFF2-40B4-BE49-F238E27FC236}">
              <a16:creationId xmlns:a16="http://schemas.microsoft.com/office/drawing/2014/main" id="{00000000-0008-0000-0500-0000DB0D0000}"/>
            </a:ext>
          </a:extLst>
        </xdr:cNvPr>
        <xdr:cNvSpPr txBox="1">
          <a:spLocks noChangeArrowheads="1"/>
        </xdr:cNvSpPr>
      </xdr:nvSpPr>
      <xdr:spPr bwMode="auto">
        <a:xfrm>
          <a:off x="12540961"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21</xdr:col>
      <xdr:colOff>0</xdr:colOff>
      <xdr:row>114</xdr:row>
      <xdr:rowOff>0</xdr:rowOff>
    </xdr:from>
    <xdr:ext cx="95250" cy="171450"/>
    <xdr:sp macro="" textlink="">
      <xdr:nvSpPr>
        <xdr:cNvPr id="3548" name="Text Box 16">
          <a:extLst>
            <a:ext uri="{FF2B5EF4-FFF2-40B4-BE49-F238E27FC236}">
              <a16:creationId xmlns:a16="http://schemas.microsoft.com/office/drawing/2014/main" id="{00000000-0008-0000-0500-0000DC0D0000}"/>
            </a:ext>
          </a:extLst>
        </xdr:cNvPr>
        <xdr:cNvSpPr txBox="1">
          <a:spLocks noChangeArrowheads="1"/>
        </xdr:cNvSpPr>
      </xdr:nvSpPr>
      <xdr:spPr bwMode="auto">
        <a:xfrm>
          <a:off x="21832455"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21</xdr:col>
      <xdr:colOff>0</xdr:colOff>
      <xdr:row>114</xdr:row>
      <xdr:rowOff>0</xdr:rowOff>
    </xdr:from>
    <xdr:ext cx="95250" cy="171450"/>
    <xdr:sp macro="" textlink="">
      <xdr:nvSpPr>
        <xdr:cNvPr id="3549" name="Text Box 17">
          <a:extLst>
            <a:ext uri="{FF2B5EF4-FFF2-40B4-BE49-F238E27FC236}">
              <a16:creationId xmlns:a16="http://schemas.microsoft.com/office/drawing/2014/main" id="{00000000-0008-0000-0500-0000DD0D0000}"/>
            </a:ext>
          </a:extLst>
        </xdr:cNvPr>
        <xdr:cNvSpPr txBox="1">
          <a:spLocks noChangeArrowheads="1"/>
        </xdr:cNvSpPr>
      </xdr:nvSpPr>
      <xdr:spPr bwMode="auto">
        <a:xfrm>
          <a:off x="21832455"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21</xdr:col>
      <xdr:colOff>0</xdr:colOff>
      <xdr:row>114</xdr:row>
      <xdr:rowOff>0</xdr:rowOff>
    </xdr:from>
    <xdr:ext cx="95250" cy="171450"/>
    <xdr:sp macro="" textlink="">
      <xdr:nvSpPr>
        <xdr:cNvPr id="3550" name="Text Box 18">
          <a:extLst>
            <a:ext uri="{FF2B5EF4-FFF2-40B4-BE49-F238E27FC236}">
              <a16:creationId xmlns:a16="http://schemas.microsoft.com/office/drawing/2014/main" id="{00000000-0008-0000-0500-0000DE0D0000}"/>
            </a:ext>
          </a:extLst>
        </xdr:cNvPr>
        <xdr:cNvSpPr txBox="1">
          <a:spLocks noChangeArrowheads="1"/>
        </xdr:cNvSpPr>
      </xdr:nvSpPr>
      <xdr:spPr bwMode="auto">
        <a:xfrm>
          <a:off x="21832455"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21</xdr:col>
      <xdr:colOff>0</xdr:colOff>
      <xdr:row>114</xdr:row>
      <xdr:rowOff>0</xdr:rowOff>
    </xdr:from>
    <xdr:ext cx="95250" cy="171450"/>
    <xdr:sp macro="" textlink="">
      <xdr:nvSpPr>
        <xdr:cNvPr id="3551" name="Text Box 19">
          <a:extLst>
            <a:ext uri="{FF2B5EF4-FFF2-40B4-BE49-F238E27FC236}">
              <a16:creationId xmlns:a16="http://schemas.microsoft.com/office/drawing/2014/main" id="{00000000-0008-0000-0500-0000DF0D0000}"/>
            </a:ext>
          </a:extLst>
        </xdr:cNvPr>
        <xdr:cNvSpPr txBox="1">
          <a:spLocks noChangeArrowheads="1"/>
        </xdr:cNvSpPr>
      </xdr:nvSpPr>
      <xdr:spPr bwMode="auto">
        <a:xfrm>
          <a:off x="21832455"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112</xdr:row>
      <xdr:rowOff>504825</xdr:rowOff>
    </xdr:from>
    <xdr:ext cx="95250" cy="444014"/>
    <xdr:sp macro="" textlink="">
      <xdr:nvSpPr>
        <xdr:cNvPr id="3552" name="Text Box 15">
          <a:extLst>
            <a:ext uri="{FF2B5EF4-FFF2-40B4-BE49-F238E27FC236}">
              <a16:creationId xmlns:a16="http://schemas.microsoft.com/office/drawing/2014/main" id="{00000000-0008-0000-0500-0000E00D0000}"/>
            </a:ext>
          </a:extLst>
        </xdr:cNvPr>
        <xdr:cNvSpPr txBox="1">
          <a:spLocks noChangeArrowheads="1"/>
        </xdr:cNvSpPr>
      </xdr:nvSpPr>
      <xdr:spPr bwMode="auto">
        <a:xfrm>
          <a:off x="4664364" y="6733020"/>
          <a:ext cx="95250" cy="444014"/>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114</xdr:row>
      <xdr:rowOff>0</xdr:rowOff>
    </xdr:from>
    <xdr:ext cx="95250" cy="171450"/>
    <xdr:sp macro="" textlink="">
      <xdr:nvSpPr>
        <xdr:cNvPr id="3553" name="Text Box 16">
          <a:extLst>
            <a:ext uri="{FF2B5EF4-FFF2-40B4-BE49-F238E27FC236}">
              <a16:creationId xmlns:a16="http://schemas.microsoft.com/office/drawing/2014/main" id="{00000000-0008-0000-0500-0000E10D0000}"/>
            </a:ext>
          </a:extLst>
        </xdr:cNvPr>
        <xdr:cNvSpPr txBox="1">
          <a:spLocks noChangeArrowheads="1"/>
        </xdr:cNvSpPr>
      </xdr:nvSpPr>
      <xdr:spPr bwMode="auto">
        <a:xfrm>
          <a:off x="4664364"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114</xdr:row>
      <xdr:rowOff>0</xdr:rowOff>
    </xdr:from>
    <xdr:ext cx="95250" cy="171450"/>
    <xdr:sp macro="" textlink="">
      <xdr:nvSpPr>
        <xdr:cNvPr id="3554" name="Text Box 17">
          <a:extLst>
            <a:ext uri="{FF2B5EF4-FFF2-40B4-BE49-F238E27FC236}">
              <a16:creationId xmlns:a16="http://schemas.microsoft.com/office/drawing/2014/main" id="{00000000-0008-0000-0500-0000E20D0000}"/>
            </a:ext>
          </a:extLst>
        </xdr:cNvPr>
        <xdr:cNvSpPr txBox="1">
          <a:spLocks noChangeArrowheads="1"/>
        </xdr:cNvSpPr>
      </xdr:nvSpPr>
      <xdr:spPr bwMode="auto">
        <a:xfrm>
          <a:off x="4664364"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114</xdr:row>
      <xdr:rowOff>0</xdr:rowOff>
    </xdr:from>
    <xdr:ext cx="95250" cy="171450"/>
    <xdr:sp macro="" textlink="">
      <xdr:nvSpPr>
        <xdr:cNvPr id="3555" name="Text Box 18">
          <a:extLst>
            <a:ext uri="{FF2B5EF4-FFF2-40B4-BE49-F238E27FC236}">
              <a16:creationId xmlns:a16="http://schemas.microsoft.com/office/drawing/2014/main" id="{00000000-0008-0000-0500-0000E30D0000}"/>
            </a:ext>
          </a:extLst>
        </xdr:cNvPr>
        <xdr:cNvSpPr txBox="1">
          <a:spLocks noChangeArrowheads="1"/>
        </xdr:cNvSpPr>
      </xdr:nvSpPr>
      <xdr:spPr bwMode="auto">
        <a:xfrm>
          <a:off x="4664364"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114</xdr:row>
      <xdr:rowOff>0</xdr:rowOff>
    </xdr:from>
    <xdr:ext cx="95250" cy="171450"/>
    <xdr:sp macro="" textlink="">
      <xdr:nvSpPr>
        <xdr:cNvPr id="3556" name="Text Box 19">
          <a:extLst>
            <a:ext uri="{FF2B5EF4-FFF2-40B4-BE49-F238E27FC236}">
              <a16:creationId xmlns:a16="http://schemas.microsoft.com/office/drawing/2014/main" id="{00000000-0008-0000-0500-0000E40D0000}"/>
            </a:ext>
          </a:extLst>
        </xdr:cNvPr>
        <xdr:cNvSpPr txBox="1">
          <a:spLocks noChangeArrowheads="1"/>
        </xdr:cNvSpPr>
      </xdr:nvSpPr>
      <xdr:spPr bwMode="auto">
        <a:xfrm>
          <a:off x="4664364"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114</xdr:row>
      <xdr:rowOff>0</xdr:rowOff>
    </xdr:from>
    <xdr:ext cx="95250" cy="171450"/>
    <xdr:sp macro="" textlink="">
      <xdr:nvSpPr>
        <xdr:cNvPr id="3557" name="Text Box 16">
          <a:extLst>
            <a:ext uri="{FF2B5EF4-FFF2-40B4-BE49-F238E27FC236}">
              <a16:creationId xmlns:a16="http://schemas.microsoft.com/office/drawing/2014/main" id="{00000000-0008-0000-0500-0000E50D0000}"/>
            </a:ext>
          </a:extLst>
        </xdr:cNvPr>
        <xdr:cNvSpPr txBox="1">
          <a:spLocks noChangeArrowheads="1"/>
        </xdr:cNvSpPr>
      </xdr:nvSpPr>
      <xdr:spPr bwMode="auto">
        <a:xfrm>
          <a:off x="12540961"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114</xdr:row>
      <xdr:rowOff>0</xdr:rowOff>
    </xdr:from>
    <xdr:ext cx="95250" cy="171450"/>
    <xdr:sp macro="" textlink="">
      <xdr:nvSpPr>
        <xdr:cNvPr id="3558" name="Text Box 17">
          <a:extLst>
            <a:ext uri="{FF2B5EF4-FFF2-40B4-BE49-F238E27FC236}">
              <a16:creationId xmlns:a16="http://schemas.microsoft.com/office/drawing/2014/main" id="{00000000-0008-0000-0500-0000E60D0000}"/>
            </a:ext>
          </a:extLst>
        </xdr:cNvPr>
        <xdr:cNvSpPr txBox="1">
          <a:spLocks noChangeArrowheads="1"/>
        </xdr:cNvSpPr>
      </xdr:nvSpPr>
      <xdr:spPr bwMode="auto">
        <a:xfrm>
          <a:off x="12540961"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114</xdr:row>
      <xdr:rowOff>0</xdr:rowOff>
    </xdr:from>
    <xdr:ext cx="95250" cy="171450"/>
    <xdr:sp macro="" textlink="">
      <xdr:nvSpPr>
        <xdr:cNvPr id="3559" name="Text Box 18">
          <a:extLst>
            <a:ext uri="{FF2B5EF4-FFF2-40B4-BE49-F238E27FC236}">
              <a16:creationId xmlns:a16="http://schemas.microsoft.com/office/drawing/2014/main" id="{00000000-0008-0000-0500-0000E70D0000}"/>
            </a:ext>
          </a:extLst>
        </xdr:cNvPr>
        <xdr:cNvSpPr txBox="1">
          <a:spLocks noChangeArrowheads="1"/>
        </xdr:cNvSpPr>
      </xdr:nvSpPr>
      <xdr:spPr bwMode="auto">
        <a:xfrm>
          <a:off x="12540961"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114</xdr:row>
      <xdr:rowOff>0</xdr:rowOff>
    </xdr:from>
    <xdr:ext cx="95250" cy="171450"/>
    <xdr:sp macro="" textlink="">
      <xdr:nvSpPr>
        <xdr:cNvPr id="3560" name="Text Box 16">
          <a:extLst>
            <a:ext uri="{FF2B5EF4-FFF2-40B4-BE49-F238E27FC236}">
              <a16:creationId xmlns:a16="http://schemas.microsoft.com/office/drawing/2014/main" id="{00000000-0008-0000-0500-0000E80D0000}"/>
            </a:ext>
          </a:extLst>
        </xdr:cNvPr>
        <xdr:cNvSpPr txBox="1">
          <a:spLocks noChangeArrowheads="1"/>
        </xdr:cNvSpPr>
      </xdr:nvSpPr>
      <xdr:spPr bwMode="auto">
        <a:xfrm>
          <a:off x="15388070"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114</xdr:row>
      <xdr:rowOff>0</xdr:rowOff>
    </xdr:from>
    <xdr:ext cx="95250" cy="171450"/>
    <xdr:sp macro="" textlink="">
      <xdr:nvSpPr>
        <xdr:cNvPr id="3561" name="Text Box 17">
          <a:extLst>
            <a:ext uri="{FF2B5EF4-FFF2-40B4-BE49-F238E27FC236}">
              <a16:creationId xmlns:a16="http://schemas.microsoft.com/office/drawing/2014/main" id="{00000000-0008-0000-0500-0000E90D0000}"/>
            </a:ext>
          </a:extLst>
        </xdr:cNvPr>
        <xdr:cNvSpPr txBox="1">
          <a:spLocks noChangeArrowheads="1"/>
        </xdr:cNvSpPr>
      </xdr:nvSpPr>
      <xdr:spPr bwMode="auto">
        <a:xfrm>
          <a:off x="15388070"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114</xdr:row>
      <xdr:rowOff>0</xdr:rowOff>
    </xdr:from>
    <xdr:ext cx="95250" cy="171450"/>
    <xdr:sp macro="" textlink="">
      <xdr:nvSpPr>
        <xdr:cNvPr id="3562" name="Text Box 18">
          <a:extLst>
            <a:ext uri="{FF2B5EF4-FFF2-40B4-BE49-F238E27FC236}">
              <a16:creationId xmlns:a16="http://schemas.microsoft.com/office/drawing/2014/main" id="{00000000-0008-0000-0500-0000EA0D0000}"/>
            </a:ext>
          </a:extLst>
        </xdr:cNvPr>
        <xdr:cNvSpPr txBox="1">
          <a:spLocks noChangeArrowheads="1"/>
        </xdr:cNvSpPr>
      </xdr:nvSpPr>
      <xdr:spPr bwMode="auto">
        <a:xfrm>
          <a:off x="15388070"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114</xdr:row>
      <xdr:rowOff>0</xdr:rowOff>
    </xdr:from>
    <xdr:ext cx="95250" cy="171450"/>
    <xdr:sp macro="" textlink="">
      <xdr:nvSpPr>
        <xdr:cNvPr id="3563" name="Text Box 19">
          <a:extLst>
            <a:ext uri="{FF2B5EF4-FFF2-40B4-BE49-F238E27FC236}">
              <a16:creationId xmlns:a16="http://schemas.microsoft.com/office/drawing/2014/main" id="{00000000-0008-0000-0500-0000EB0D0000}"/>
            </a:ext>
          </a:extLst>
        </xdr:cNvPr>
        <xdr:cNvSpPr txBox="1">
          <a:spLocks noChangeArrowheads="1"/>
        </xdr:cNvSpPr>
      </xdr:nvSpPr>
      <xdr:spPr bwMode="auto">
        <a:xfrm>
          <a:off x="15388070"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114</xdr:row>
      <xdr:rowOff>0</xdr:rowOff>
    </xdr:from>
    <xdr:ext cx="95250" cy="171450"/>
    <xdr:sp macro="" textlink="">
      <xdr:nvSpPr>
        <xdr:cNvPr id="3564" name="Text Box 16">
          <a:extLst>
            <a:ext uri="{FF2B5EF4-FFF2-40B4-BE49-F238E27FC236}">
              <a16:creationId xmlns:a16="http://schemas.microsoft.com/office/drawing/2014/main" id="{00000000-0008-0000-0500-0000EC0D0000}"/>
            </a:ext>
          </a:extLst>
        </xdr:cNvPr>
        <xdr:cNvSpPr txBox="1">
          <a:spLocks noChangeArrowheads="1"/>
        </xdr:cNvSpPr>
      </xdr:nvSpPr>
      <xdr:spPr bwMode="auto">
        <a:xfrm>
          <a:off x="15388070"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114</xdr:row>
      <xdr:rowOff>0</xdr:rowOff>
    </xdr:from>
    <xdr:ext cx="95250" cy="171450"/>
    <xdr:sp macro="" textlink="">
      <xdr:nvSpPr>
        <xdr:cNvPr id="3565" name="Text Box 17">
          <a:extLst>
            <a:ext uri="{FF2B5EF4-FFF2-40B4-BE49-F238E27FC236}">
              <a16:creationId xmlns:a16="http://schemas.microsoft.com/office/drawing/2014/main" id="{00000000-0008-0000-0500-0000ED0D0000}"/>
            </a:ext>
          </a:extLst>
        </xdr:cNvPr>
        <xdr:cNvSpPr txBox="1">
          <a:spLocks noChangeArrowheads="1"/>
        </xdr:cNvSpPr>
      </xdr:nvSpPr>
      <xdr:spPr bwMode="auto">
        <a:xfrm>
          <a:off x="15388070"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114</xdr:row>
      <xdr:rowOff>0</xdr:rowOff>
    </xdr:from>
    <xdr:ext cx="95250" cy="171450"/>
    <xdr:sp macro="" textlink="">
      <xdr:nvSpPr>
        <xdr:cNvPr id="3566" name="Text Box 18">
          <a:extLst>
            <a:ext uri="{FF2B5EF4-FFF2-40B4-BE49-F238E27FC236}">
              <a16:creationId xmlns:a16="http://schemas.microsoft.com/office/drawing/2014/main" id="{00000000-0008-0000-0500-0000EE0D0000}"/>
            </a:ext>
          </a:extLst>
        </xdr:cNvPr>
        <xdr:cNvSpPr txBox="1">
          <a:spLocks noChangeArrowheads="1"/>
        </xdr:cNvSpPr>
      </xdr:nvSpPr>
      <xdr:spPr bwMode="auto">
        <a:xfrm>
          <a:off x="15388070"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114</xdr:row>
      <xdr:rowOff>0</xdr:rowOff>
    </xdr:from>
    <xdr:ext cx="95250" cy="171450"/>
    <xdr:sp macro="" textlink="">
      <xdr:nvSpPr>
        <xdr:cNvPr id="3567" name="Text Box 19">
          <a:extLst>
            <a:ext uri="{FF2B5EF4-FFF2-40B4-BE49-F238E27FC236}">
              <a16:creationId xmlns:a16="http://schemas.microsoft.com/office/drawing/2014/main" id="{00000000-0008-0000-0500-0000EF0D0000}"/>
            </a:ext>
          </a:extLst>
        </xdr:cNvPr>
        <xdr:cNvSpPr txBox="1">
          <a:spLocks noChangeArrowheads="1"/>
        </xdr:cNvSpPr>
      </xdr:nvSpPr>
      <xdr:spPr bwMode="auto">
        <a:xfrm>
          <a:off x="15388070"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108</xdr:row>
      <xdr:rowOff>504825</xdr:rowOff>
    </xdr:from>
    <xdr:ext cx="95250" cy="456743"/>
    <xdr:sp macro="" textlink="">
      <xdr:nvSpPr>
        <xdr:cNvPr id="3568" name="Text Box 15">
          <a:extLst>
            <a:ext uri="{FF2B5EF4-FFF2-40B4-BE49-F238E27FC236}">
              <a16:creationId xmlns:a16="http://schemas.microsoft.com/office/drawing/2014/main" id="{00000000-0008-0000-0500-0000F00D0000}"/>
            </a:ext>
          </a:extLst>
        </xdr:cNvPr>
        <xdr:cNvSpPr txBox="1">
          <a:spLocks noChangeArrowheads="1"/>
        </xdr:cNvSpPr>
      </xdr:nvSpPr>
      <xdr:spPr bwMode="auto">
        <a:xfrm>
          <a:off x="4664364" y="5994111"/>
          <a:ext cx="95250" cy="456743"/>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108</xdr:row>
      <xdr:rowOff>504825</xdr:rowOff>
    </xdr:from>
    <xdr:ext cx="95250" cy="442269"/>
    <xdr:sp macro="" textlink="">
      <xdr:nvSpPr>
        <xdr:cNvPr id="3569" name="Text Box 15">
          <a:extLst>
            <a:ext uri="{FF2B5EF4-FFF2-40B4-BE49-F238E27FC236}">
              <a16:creationId xmlns:a16="http://schemas.microsoft.com/office/drawing/2014/main" id="{00000000-0008-0000-0500-0000F10D0000}"/>
            </a:ext>
          </a:extLst>
        </xdr:cNvPr>
        <xdr:cNvSpPr txBox="1">
          <a:spLocks noChangeArrowheads="1"/>
        </xdr:cNvSpPr>
      </xdr:nvSpPr>
      <xdr:spPr bwMode="auto">
        <a:xfrm>
          <a:off x="12540961" y="5994111"/>
          <a:ext cx="95250" cy="442269"/>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21</xdr:col>
      <xdr:colOff>0</xdr:colOff>
      <xdr:row>108</xdr:row>
      <xdr:rowOff>504825</xdr:rowOff>
    </xdr:from>
    <xdr:ext cx="95250" cy="442269"/>
    <xdr:sp macro="" textlink="">
      <xdr:nvSpPr>
        <xdr:cNvPr id="3570" name="Text Box 15">
          <a:extLst>
            <a:ext uri="{FF2B5EF4-FFF2-40B4-BE49-F238E27FC236}">
              <a16:creationId xmlns:a16="http://schemas.microsoft.com/office/drawing/2014/main" id="{00000000-0008-0000-0500-0000F20D0000}"/>
            </a:ext>
          </a:extLst>
        </xdr:cNvPr>
        <xdr:cNvSpPr txBox="1">
          <a:spLocks noChangeArrowheads="1"/>
        </xdr:cNvSpPr>
      </xdr:nvSpPr>
      <xdr:spPr bwMode="auto">
        <a:xfrm>
          <a:off x="21832455" y="5994111"/>
          <a:ext cx="95250" cy="442269"/>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108</xdr:row>
      <xdr:rowOff>504825</xdr:rowOff>
    </xdr:from>
    <xdr:ext cx="95250" cy="213632"/>
    <xdr:sp macro="" textlink="">
      <xdr:nvSpPr>
        <xdr:cNvPr id="3571" name="Text Box 15">
          <a:extLst>
            <a:ext uri="{FF2B5EF4-FFF2-40B4-BE49-F238E27FC236}">
              <a16:creationId xmlns:a16="http://schemas.microsoft.com/office/drawing/2014/main" id="{00000000-0008-0000-0500-0000F30D0000}"/>
            </a:ext>
          </a:extLst>
        </xdr:cNvPr>
        <xdr:cNvSpPr txBox="1">
          <a:spLocks noChangeArrowheads="1"/>
        </xdr:cNvSpPr>
      </xdr:nvSpPr>
      <xdr:spPr bwMode="auto">
        <a:xfrm>
          <a:off x="4664364" y="5994111"/>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108</xdr:row>
      <xdr:rowOff>504825</xdr:rowOff>
    </xdr:from>
    <xdr:ext cx="95250" cy="444331"/>
    <xdr:sp macro="" textlink="">
      <xdr:nvSpPr>
        <xdr:cNvPr id="3572" name="Text Box 15">
          <a:extLst>
            <a:ext uri="{FF2B5EF4-FFF2-40B4-BE49-F238E27FC236}">
              <a16:creationId xmlns:a16="http://schemas.microsoft.com/office/drawing/2014/main" id="{00000000-0008-0000-0500-0000F40D0000}"/>
            </a:ext>
          </a:extLst>
        </xdr:cNvPr>
        <xdr:cNvSpPr txBox="1">
          <a:spLocks noChangeArrowheads="1"/>
        </xdr:cNvSpPr>
      </xdr:nvSpPr>
      <xdr:spPr bwMode="auto">
        <a:xfrm>
          <a:off x="4664364" y="5994111"/>
          <a:ext cx="95250" cy="444331"/>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108</xdr:row>
      <xdr:rowOff>504825</xdr:rowOff>
    </xdr:from>
    <xdr:ext cx="95250" cy="213632"/>
    <xdr:sp macro="" textlink="">
      <xdr:nvSpPr>
        <xdr:cNvPr id="3573" name="Text Box 15">
          <a:extLst>
            <a:ext uri="{FF2B5EF4-FFF2-40B4-BE49-F238E27FC236}">
              <a16:creationId xmlns:a16="http://schemas.microsoft.com/office/drawing/2014/main" id="{00000000-0008-0000-0500-0000F50D0000}"/>
            </a:ext>
          </a:extLst>
        </xdr:cNvPr>
        <xdr:cNvSpPr txBox="1">
          <a:spLocks noChangeArrowheads="1"/>
        </xdr:cNvSpPr>
      </xdr:nvSpPr>
      <xdr:spPr bwMode="auto">
        <a:xfrm>
          <a:off x="12540961" y="5994111"/>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114</xdr:row>
      <xdr:rowOff>0</xdr:rowOff>
    </xdr:from>
    <xdr:ext cx="95250" cy="171450"/>
    <xdr:sp macro="" textlink="">
      <xdr:nvSpPr>
        <xdr:cNvPr id="3574" name="Text Box 16">
          <a:extLst>
            <a:ext uri="{FF2B5EF4-FFF2-40B4-BE49-F238E27FC236}">
              <a16:creationId xmlns:a16="http://schemas.microsoft.com/office/drawing/2014/main" id="{00000000-0008-0000-0500-0000F60D0000}"/>
            </a:ext>
          </a:extLst>
        </xdr:cNvPr>
        <xdr:cNvSpPr txBox="1">
          <a:spLocks noChangeArrowheads="1"/>
        </xdr:cNvSpPr>
      </xdr:nvSpPr>
      <xdr:spPr bwMode="auto">
        <a:xfrm>
          <a:off x="4664364"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114</xdr:row>
      <xdr:rowOff>0</xdr:rowOff>
    </xdr:from>
    <xdr:ext cx="95250" cy="171450"/>
    <xdr:sp macro="" textlink="">
      <xdr:nvSpPr>
        <xdr:cNvPr id="3575" name="Text Box 17">
          <a:extLst>
            <a:ext uri="{FF2B5EF4-FFF2-40B4-BE49-F238E27FC236}">
              <a16:creationId xmlns:a16="http://schemas.microsoft.com/office/drawing/2014/main" id="{00000000-0008-0000-0500-0000F70D0000}"/>
            </a:ext>
          </a:extLst>
        </xdr:cNvPr>
        <xdr:cNvSpPr txBox="1">
          <a:spLocks noChangeArrowheads="1"/>
        </xdr:cNvSpPr>
      </xdr:nvSpPr>
      <xdr:spPr bwMode="auto">
        <a:xfrm>
          <a:off x="4664364"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114</xdr:row>
      <xdr:rowOff>0</xdr:rowOff>
    </xdr:from>
    <xdr:ext cx="95250" cy="171450"/>
    <xdr:sp macro="" textlink="">
      <xdr:nvSpPr>
        <xdr:cNvPr id="3576" name="Text Box 18">
          <a:extLst>
            <a:ext uri="{FF2B5EF4-FFF2-40B4-BE49-F238E27FC236}">
              <a16:creationId xmlns:a16="http://schemas.microsoft.com/office/drawing/2014/main" id="{00000000-0008-0000-0500-0000F80D0000}"/>
            </a:ext>
          </a:extLst>
        </xdr:cNvPr>
        <xdr:cNvSpPr txBox="1">
          <a:spLocks noChangeArrowheads="1"/>
        </xdr:cNvSpPr>
      </xdr:nvSpPr>
      <xdr:spPr bwMode="auto">
        <a:xfrm>
          <a:off x="4664364"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114</xdr:row>
      <xdr:rowOff>0</xdr:rowOff>
    </xdr:from>
    <xdr:ext cx="95250" cy="171450"/>
    <xdr:sp macro="" textlink="">
      <xdr:nvSpPr>
        <xdr:cNvPr id="3577" name="Text Box 19">
          <a:extLst>
            <a:ext uri="{FF2B5EF4-FFF2-40B4-BE49-F238E27FC236}">
              <a16:creationId xmlns:a16="http://schemas.microsoft.com/office/drawing/2014/main" id="{00000000-0008-0000-0500-0000F90D0000}"/>
            </a:ext>
          </a:extLst>
        </xdr:cNvPr>
        <xdr:cNvSpPr txBox="1">
          <a:spLocks noChangeArrowheads="1"/>
        </xdr:cNvSpPr>
      </xdr:nvSpPr>
      <xdr:spPr bwMode="auto">
        <a:xfrm>
          <a:off x="4664364"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114</xdr:row>
      <xdr:rowOff>0</xdr:rowOff>
    </xdr:from>
    <xdr:ext cx="95250" cy="171450"/>
    <xdr:sp macro="" textlink="">
      <xdr:nvSpPr>
        <xdr:cNvPr id="3578" name="Text Box 16">
          <a:extLst>
            <a:ext uri="{FF2B5EF4-FFF2-40B4-BE49-F238E27FC236}">
              <a16:creationId xmlns:a16="http://schemas.microsoft.com/office/drawing/2014/main" id="{00000000-0008-0000-0500-0000FA0D0000}"/>
            </a:ext>
          </a:extLst>
        </xdr:cNvPr>
        <xdr:cNvSpPr txBox="1">
          <a:spLocks noChangeArrowheads="1"/>
        </xdr:cNvSpPr>
      </xdr:nvSpPr>
      <xdr:spPr bwMode="auto">
        <a:xfrm>
          <a:off x="12540961"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114</xdr:row>
      <xdr:rowOff>0</xdr:rowOff>
    </xdr:from>
    <xdr:ext cx="95250" cy="171450"/>
    <xdr:sp macro="" textlink="">
      <xdr:nvSpPr>
        <xdr:cNvPr id="3579" name="Text Box 17">
          <a:extLst>
            <a:ext uri="{FF2B5EF4-FFF2-40B4-BE49-F238E27FC236}">
              <a16:creationId xmlns:a16="http://schemas.microsoft.com/office/drawing/2014/main" id="{00000000-0008-0000-0500-0000FB0D0000}"/>
            </a:ext>
          </a:extLst>
        </xdr:cNvPr>
        <xdr:cNvSpPr txBox="1">
          <a:spLocks noChangeArrowheads="1"/>
        </xdr:cNvSpPr>
      </xdr:nvSpPr>
      <xdr:spPr bwMode="auto">
        <a:xfrm>
          <a:off x="12540961"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114</xdr:row>
      <xdr:rowOff>0</xdr:rowOff>
    </xdr:from>
    <xdr:ext cx="95250" cy="171450"/>
    <xdr:sp macro="" textlink="">
      <xdr:nvSpPr>
        <xdr:cNvPr id="3580" name="Text Box 18">
          <a:extLst>
            <a:ext uri="{FF2B5EF4-FFF2-40B4-BE49-F238E27FC236}">
              <a16:creationId xmlns:a16="http://schemas.microsoft.com/office/drawing/2014/main" id="{00000000-0008-0000-0500-0000FC0D0000}"/>
            </a:ext>
          </a:extLst>
        </xdr:cNvPr>
        <xdr:cNvSpPr txBox="1">
          <a:spLocks noChangeArrowheads="1"/>
        </xdr:cNvSpPr>
      </xdr:nvSpPr>
      <xdr:spPr bwMode="auto">
        <a:xfrm>
          <a:off x="12540961"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114</xdr:row>
      <xdr:rowOff>0</xdr:rowOff>
    </xdr:from>
    <xdr:ext cx="95250" cy="171450"/>
    <xdr:sp macro="" textlink="">
      <xdr:nvSpPr>
        <xdr:cNvPr id="3581" name="Text Box 19">
          <a:extLst>
            <a:ext uri="{FF2B5EF4-FFF2-40B4-BE49-F238E27FC236}">
              <a16:creationId xmlns:a16="http://schemas.microsoft.com/office/drawing/2014/main" id="{00000000-0008-0000-0500-0000FD0D0000}"/>
            </a:ext>
          </a:extLst>
        </xdr:cNvPr>
        <xdr:cNvSpPr txBox="1">
          <a:spLocks noChangeArrowheads="1"/>
        </xdr:cNvSpPr>
      </xdr:nvSpPr>
      <xdr:spPr bwMode="auto">
        <a:xfrm>
          <a:off x="12540961"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21</xdr:col>
      <xdr:colOff>0</xdr:colOff>
      <xdr:row>114</xdr:row>
      <xdr:rowOff>0</xdr:rowOff>
    </xdr:from>
    <xdr:ext cx="95250" cy="171450"/>
    <xdr:sp macro="" textlink="">
      <xdr:nvSpPr>
        <xdr:cNvPr id="3582" name="Text Box 16">
          <a:extLst>
            <a:ext uri="{FF2B5EF4-FFF2-40B4-BE49-F238E27FC236}">
              <a16:creationId xmlns:a16="http://schemas.microsoft.com/office/drawing/2014/main" id="{00000000-0008-0000-0500-0000FE0D0000}"/>
            </a:ext>
          </a:extLst>
        </xdr:cNvPr>
        <xdr:cNvSpPr txBox="1">
          <a:spLocks noChangeArrowheads="1"/>
        </xdr:cNvSpPr>
      </xdr:nvSpPr>
      <xdr:spPr bwMode="auto">
        <a:xfrm>
          <a:off x="21832455"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21</xdr:col>
      <xdr:colOff>0</xdr:colOff>
      <xdr:row>114</xdr:row>
      <xdr:rowOff>0</xdr:rowOff>
    </xdr:from>
    <xdr:ext cx="95250" cy="171450"/>
    <xdr:sp macro="" textlink="">
      <xdr:nvSpPr>
        <xdr:cNvPr id="3583" name="Text Box 17">
          <a:extLst>
            <a:ext uri="{FF2B5EF4-FFF2-40B4-BE49-F238E27FC236}">
              <a16:creationId xmlns:a16="http://schemas.microsoft.com/office/drawing/2014/main" id="{00000000-0008-0000-0500-0000FF0D0000}"/>
            </a:ext>
          </a:extLst>
        </xdr:cNvPr>
        <xdr:cNvSpPr txBox="1">
          <a:spLocks noChangeArrowheads="1"/>
        </xdr:cNvSpPr>
      </xdr:nvSpPr>
      <xdr:spPr bwMode="auto">
        <a:xfrm>
          <a:off x="21832455"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21</xdr:col>
      <xdr:colOff>0</xdr:colOff>
      <xdr:row>114</xdr:row>
      <xdr:rowOff>0</xdr:rowOff>
    </xdr:from>
    <xdr:ext cx="95250" cy="171450"/>
    <xdr:sp macro="" textlink="">
      <xdr:nvSpPr>
        <xdr:cNvPr id="3584" name="Text Box 18">
          <a:extLst>
            <a:ext uri="{FF2B5EF4-FFF2-40B4-BE49-F238E27FC236}">
              <a16:creationId xmlns:a16="http://schemas.microsoft.com/office/drawing/2014/main" id="{00000000-0008-0000-0500-0000000E0000}"/>
            </a:ext>
          </a:extLst>
        </xdr:cNvPr>
        <xdr:cNvSpPr txBox="1">
          <a:spLocks noChangeArrowheads="1"/>
        </xdr:cNvSpPr>
      </xdr:nvSpPr>
      <xdr:spPr bwMode="auto">
        <a:xfrm>
          <a:off x="21832455"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21</xdr:col>
      <xdr:colOff>0</xdr:colOff>
      <xdr:row>114</xdr:row>
      <xdr:rowOff>0</xdr:rowOff>
    </xdr:from>
    <xdr:ext cx="95250" cy="171450"/>
    <xdr:sp macro="" textlink="">
      <xdr:nvSpPr>
        <xdr:cNvPr id="3585" name="Text Box 19">
          <a:extLst>
            <a:ext uri="{FF2B5EF4-FFF2-40B4-BE49-F238E27FC236}">
              <a16:creationId xmlns:a16="http://schemas.microsoft.com/office/drawing/2014/main" id="{00000000-0008-0000-0500-0000010E0000}"/>
            </a:ext>
          </a:extLst>
        </xdr:cNvPr>
        <xdr:cNvSpPr txBox="1">
          <a:spLocks noChangeArrowheads="1"/>
        </xdr:cNvSpPr>
      </xdr:nvSpPr>
      <xdr:spPr bwMode="auto">
        <a:xfrm>
          <a:off x="21832455"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112</xdr:row>
      <xdr:rowOff>504825</xdr:rowOff>
    </xdr:from>
    <xdr:ext cx="95250" cy="444014"/>
    <xdr:sp macro="" textlink="">
      <xdr:nvSpPr>
        <xdr:cNvPr id="3586" name="Text Box 15">
          <a:extLst>
            <a:ext uri="{FF2B5EF4-FFF2-40B4-BE49-F238E27FC236}">
              <a16:creationId xmlns:a16="http://schemas.microsoft.com/office/drawing/2014/main" id="{00000000-0008-0000-0500-0000020E0000}"/>
            </a:ext>
          </a:extLst>
        </xdr:cNvPr>
        <xdr:cNvSpPr txBox="1">
          <a:spLocks noChangeArrowheads="1"/>
        </xdr:cNvSpPr>
      </xdr:nvSpPr>
      <xdr:spPr bwMode="auto">
        <a:xfrm>
          <a:off x="4664364" y="6733020"/>
          <a:ext cx="95250" cy="444014"/>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114</xdr:row>
      <xdr:rowOff>0</xdr:rowOff>
    </xdr:from>
    <xdr:ext cx="95250" cy="171450"/>
    <xdr:sp macro="" textlink="">
      <xdr:nvSpPr>
        <xdr:cNvPr id="3587" name="Text Box 16">
          <a:extLst>
            <a:ext uri="{FF2B5EF4-FFF2-40B4-BE49-F238E27FC236}">
              <a16:creationId xmlns:a16="http://schemas.microsoft.com/office/drawing/2014/main" id="{00000000-0008-0000-0500-0000030E0000}"/>
            </a:ext>
          </a:extLst>
        </xdr:cNvPr>
        <xdr:cNvSpPr txBox="1">
          <a:spLocks noChangeArrowheads="1"/>
        </xdr:cNvSpPr>
      </xdr:nvSpPr>
      <xdr:spPr bwMode="auto">
        <a:xfrm>
          <a:off x="4664364"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114</xdr:row>
      <xdr:rowOff>0</xdr:rowOff>
    </xdr:from>
    <xdr:ext cx="95250" cy="171450"/>
    <xdr:sp macro="" textlink="">
      <xdr:nvSpPr>
        <xdr:cNvPr id="3588" name="Text Box 17">
          <a:extLst>
            <a:ext uri="{FF2B5EF4-FFF2-40B4-BE49-F238E27FC236}">
              <a16:creationId xmlns:a16="http://schemas.microsoft.com/office/drawing/2014/main" id="{00000000-0008-0000-0500-0000040E0000}"/>
            </a:ext>
          </a:extLst>
        </xdr:cNvPr>
        <xdr:cNvSpPr txBox="1">
          <a:spLocks noChangeArrowheads="1"/>
        </xdr:cNvSpPr>
      </xdr:nvSpPr>
      <xdr:spPr bwMode="auto">
        <a:xfrm>
          <a:off x="4664364"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114</xdr:row>
      <xdr:rowOff>0</xdr:rowOff>
    </xdr:from>
    <xdr:ext cx="95250" cy="171450"/>
    <xdr:sp macro="" textlink="">
      <xdr:nvSpPr>
        <xdr:cNvPr id="3589" name="Text Box 18">
          <a:extLst>
            <a:ext uri="{FF2B5EF4-FFF2-40B4-BE49-F238E27FC236}">
              <a16:creationId xmlns:a16="http://schemas.microsoft.com/office/drawing/2014/main" id="{00000000-0008-0000-0500-0000050E0000}"/>
            </a:ext>
          </a:extLst>
        </xdr:cNvPr>
        <xdr:cNvSpPr txBox="1">
          <a:spLocks noChangeArrowheads="1"/>
        </xdr:cNvSpPr>
      </xdr:nvSpPr>
      <xdr:spPr bwMode="auto">
        <a:xfrm>
          <a:off x="4664364"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114</xdr:row>
      <xdr:rowOff>0</xdr:rowOff>
    </xdr:from>
    <xdr:ext cx="95250" cy="171450"/>
    <xdr:sp macro="" textlink="">
      <xdr:nvSpPr>
        <xdr:cNvPr id="3590" name="Text Box 19">
          <a:extLst>
            <a:ext uri="{FF2B5EF4-FFF2-40B4-BE49-F238E27FC236}">
              <a16:creationId xmlns:a16="http://schemas.microsoft.com/office/drawing/2014/main" id="{00000000-0008-0000-0500-0000060E0000}"/>
            </a:ext>
          </a:extLst>
        </xdr:cNvPr>
        <xdr:cNvSpPr txBox="1">
          <a:spLocks noChangeArrowheads="1"/>
        </xdr:cNvSpPr>
      </xdr:nvSpPr>
      <xdr:spPr bwMode="auto">
        <a:xfrm>
          <a:off x="4664364"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112</xdr:row>
      <xdr:rowOff>504825</xdr:rowOff>
    </xdr:from>
    <xdr:ext cx="95250" cy="442269"/>
    <xdr:sp macro="" textlink="">
      <xdr:nvSpPr>
        <xdr:cNvPr id="3591" name="Text Box 15">
          <a:extLst>
            <a:ext uri="{FF2B5EF4-FFF2-40B4-BE49-F238E27FC236}">
              <a16:creationId xmlns:a16="http://schemas.microsoft.com/office/drawing/2014/main" id="{00000000-0008-0000-0500-0000070E0000}"/>
            </a:ext>
          </a:extLst>
        </xdr:cNvPr>
        <xdr:cNvSpPr txBox="1">
          <a:spLocks noChangeArrowheads="1"/>
        </xdr:cNvSpPr>
      </xdr:nvSpPr>
      <xdr:spPr bwMode="auto">
        <a:xfrm>
          <a:off x="12540961" y="6733020"/>
          <a:ext cx="95250" cy="442269"/>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114</xdr:row>
      <xdr:rowOff>0</xdr:rowOff>
    </xdr:from>
    <xdr:ext cx="95250" cy="171450"/>
    <xdr:sp macro="" textlink="">
      <xdr:nvSpPr>
        <xdr:cNvPr id="3592" name="Text Box 16">
          <a:extLst>
            <a:ext uri="{FF2B5EF4-FFF2-40B4-BE49-F238E27FC236}">
              <a16:creationId xmlns:a16="http://schemas.microsoft.com/office/drawing/2014/main" id="{00000000-0008-0000-0500-0000080E0000}"/>
            </a:ext>
          </a:extLst>
        </xdr:cNvPr>
        <xdr:cNvSpPr txBox="1">
          <a:spLocks noChangeArrowheads="1"/>
        </xdr:cNvSpPr>
      </xdr:nvSpPr>
      <xdr:spPr bwMode="auto">
        <a:xfrm>
          <a:off x="12540961"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114</xdr:row>
      <xdr:rowOff>0</xdr:rowOff>
    </xdr:from>
    <xdr:ext cx="95250" cy="171450"/>
    <xdr:sp macro="" textlink="">
      <xdr:nvSpPr>
        <xdr:cNvPr id="3593" name="Text Box 17">
          <a:extLst>
            <a:ext uri="{FF2B5EF4-FFF2-40B4-BE49-F238E27FC236}">
              <a16:creationId xmlns:a16="http://schemas.microsoft.com/office/drawing/2014/main" id="{00000000-0008-0000-0500-0000090E0000}"/>
            </a:ext>
          </a:extLst>
        </xdr:cNvPr>
        <xdr:cNvSpPr txBox="1">
          <a:spLocks noChangeArrowheads="1"/>
        </xdr:cNvSpPr>
      </xdr:nvSpPr>
      <xdr:spPr bwMode="auto">
        <a:xfrm>
          <a:off x="12540961"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114</xdr:row>
      <xdr:rowOff>0</xdr:rowOff>
    </xdr:from>
    <xdr:ext cx="95250" cy="171450"/>
    <xdr:sp macro="" textlink="">
      <xdr:nvSpPr>
        <xdr:cNvPr id="3594" name="Text Box 18">
          <a:extLst>
            <a:ext uri="{FF2B5EF4-FFF2-40B4-BE49-F238E27FC236}">
              <a16:creationId xmlns:a16="http://schemas.microsoft.com/office/drawing/2014/main" id="{00000000-0008-0000-0500-00000A0E0000}"/>
            </a:ext>
          </a:extLst>
        </xdr:cNvPr>
        <xdr:cNvSpPr txBox="1">
          <a:spLocks noChangeArrowheads="1"/>
        </xdr:cNvSpPr>
      </xdr:nvSpPr>
      <xdr:spPr bwMode="auto">
        <a:xfrm>
          <a:off x="12540961"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114</xdr:row>
      <xdr:rowOff>0</xdr:rowOff>
    </xdr:from>
    <xdr:ext cx="95250" cy="171450"/>
    <xdr:sp macro="" textlink="">
      <xdr:nvSpPr>
        <xdr:cNvPr id="3595" name="Text Box 16">
          <a:extLst>
            <a:ext uri="{FF2B5EF4-FFF2-40B4-BE49-F238E27FC236}">
              <a16:creationId xmlns:a16="http://schemas.microsoft.com/office/drawing/2014/main" id="{00000000-0008-0000-0500-00000B0E0000}"/>
            </a:ext>
          </a:extLst>
        </xdr:cNvPr>
        <xdr:cNvSpPr txBox="1">
          <a:spLocks noChangeArrowheads="1"/>
        </xdr:cNvSpPr>
      </xdr:nvSpPr>
      <xdr:spPr bwMode="auto">
        <a:xfrm>
          <a:off x="15388070"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114</xdr:row>
      <xdr:rowOff>0</xdr:rowOff>
    </xdr:from>
    <xdr:ext cx="95250" cy="171450"/>
    <xdr:sp macro="" textlink="">
      <xdr:nvSpPr>
        <xdr:cNvPr id="3596" name="Text Box 17">
          <a:extLst>
            <a:ext uri="{FF2B5EF4-FFF2-40B4-BE49-F238E27FC236}">
              <a16:creationId xmlns:a16="http://schemas.microsoft.com/office/drawing/2014/main" id="{00000000-0008-0000-0500-00000C0E0000}"/>
            </a:ext>
          </a:extLst>
        </xdr:cNvPr>
        <xdr:cNvSpPr txBox="1">
          <a:spLocks noChangeArrowheads="1"/>
        </xdr:cNvSpPr>
      </xdr:nvSpPr>
      <xdr:spPr bwMode="auto">
        <a:xfrm>
          <a:off x="15388070"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114</xdr:row>
      <xdr:rowOff>0</xdr:rowOff>
    </xdr:from>
    <xdr:ext cx="95250" cy="171450"/>
    <xdr:sp macro="" textlink="">
      <xdr:nvSpPr>
        <xdr:cNvPr id="3597" name="Text Box 18">
          <a:extLst>
            <a:ext uri="{FF2B5EF4-FFF2-40B4-BE49-F238E27FC236}">
              <a16:creationId xmlns:a16="http://schemas.microsoft.com/office/drawing/2014/main" id="{00000000-0008-0000-0500-00000D0E0000}"/>
            </a:ext>
          </a:extLst>
        </xdr:cNvPr>
        <xdr:cNvSpPr txBox="1">
          <a:spLocks noChangeArrowheads="1"/>
        </xdr:cNvSpPr>
      </xdr:nvSpPr>
      <xdr:spPr bwMode="auto">
        <a:xfrm>
          <a:off x="15388070"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114</xdr:row>
      <xdr:rowOff>0</xdr:rowOff>
    </xdr:from>
    <xdr:ext cx="95250" cy="171450"/>
    <xdr:sp macro="" textlink="">
      <xdr:nvSpPr>
        <xdr:cNvPr id="3598" name="Text Box 19">
          <a:extLst>
            <a:ext uri="{FF2B5EF4-FFF2-40B4-BE49-F238E27FC236}">
              <a16:creationId xmlns:a16="http://schemas.microsoft.com/office/drawing/2014/main" id="{00000000-0008-0000-0500-00000E0E0000}"/>
            </a:ext>
          </a:extLst>
        </xdr:cNvPr>
        <xdr:cNvSpPr txBox="1">
          <a:spLocks noChangeArrowheads="1"/>
        </xdr:cNvSpPr>
      </xdr:nvSpPr>
      <xdr:spPr bwMode="auto">
        <a:xfrm>
          <a:off x="15388070"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114</xdr:row>
      <xdr:rowOff>0</xdr:rowOff>
    </xdr:from>
    <xdr:ext cx="95250" cy="171450"/>
    <xdr:sp macro="" textlink="">
      <xdr:nvSpPr>
        <xdr:cNvPr id="3599" name="Text Box 16">
          <a:extLst>
            <a:ext uri="{FF2B5EF4-FFF2-40B4-BE49-F238E27FC236}">
              <a16:creationId xmlns:a16="http://schemas.microsoft.com/office/drawing/2014/main" id="{00000000-0008-0000-0500-00000F0E0000}"/>
            </a:ext>
          </a:extLst>
        </xdr:cNvPr>
        <xdr:cNvSpPr txBox="1">
          <a:spLocks noChangeArrowheads="1"/>
        </xdr:cNvSpPr>
      </xdr:nvSpPr>
      <xdr:spPr bwMode="auto">
        <a:xfrm>
          <a:off x="15388070"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114</xdr:row>
      <xdr:rowOff>0</xdr:rowOff>
    </xdr:from>
    <xdr:ext cx="95250" cy="171450"/>
    <xdr:sp macro="" textlink="">
      <xdr:nvSpPr>
        <xdr:cNvPr id="3600" name="Text Box 17">
          <a:extLst>
            <a:ext uri="{FF2B5EF4-FFF2-40B4-BE49-F238E27FC236}">
              <a16:creationId xmlns:a16="http://schemas.microsoft.com/office/drawing/2014/main" id="{00000000-0008-0000-0500-0000100E0000}"/>
            </a:ext>
          </a:extLst>
        </xdr:cNvPr>
        <xdr:cNvSpPr txBox="1">
          <a:spLocks noChangeArrowheads="1"/>
        </xdr:cNvSpPr>
      </xdr:nvSpPr>
      <xdr:spPr bwMode="auto">
        <a:xfrm>
          <a:off x="15388070"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114</xdr:row>
      <xdr:rowOff>0</xdr:rowOff>
    </xdr:from>
    <xdr:ext cx="95250" cy="171450"/>
    <xdr:sp macro="" textlink="">
      <xdr:nvSpPr>
        <xdr:cNvPr id="3601" name="Text Box 18">
          <a:extLst>
            <a:ext uri="{FF2B5EF4-FFF2-40B4-BE49-F238E27FC236}">
              <a16:creationId xmlns:a16="http://schemas.microsoft.com/office/drawing/2014/main" id="{00000000-0008-0000-0500-0000110E0000}"/>
            </a:ext>
          </a:extLst>
        </xdr:cNvPr>
        <xdr:cNvSpPr txBox="1">
          <a:spLocks noChangeArrowheads="1"/>
        </xdr:cNvSpPr>
      </xdr:nvSpPr>
      <xdr:spPr bwMode="auto">
        <a:xfrm>
          <a:off x="15388070"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10</xdr:col>
      <xdr:colOff>28575</xdr:colOff>
      <xdr:row>114</xdr:row>
      <xdr:rowOff>170392</xdr:rowOff>
    </xdr:from>
    <xdr:ext cx="95250" cy="213632"/>
    <xdr:sp macro="" textlink="">
      <xdr:nvSpPr>
        <xdr:cNvPr id="3602" name="Text Box 15">
          <a:extLst>
            <a:ext uri="{FF2B5EF4-FFF2-40B4-BE49-F238E27FC236}">
              <a16:creationId xmlns:a16="http://schemas.microsoft.com/office/drawing/2014/main" id="{00000000-0008-0000-0500-0000120E0000}"/>
            </a:ext>
          </a:extLst>
        </xdr:cNvPr>
        <xdr:cNvSpPr txBox="1">
          <a:spLocks noChangeArrowheads="1"/>
        </xdr:cNvSpPr>
      </xdr:nvSpPr>
      <xdr:spPr bwMode="auto">
        <a:xfrm>
          <a:off x="12578484" y="7270847"/>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114</xdr:row>
      <xdr:rowOff>0</xdr:rowOff>
    </xdr:from>
    <xdr:ext cx="95250" cy="171450"/>
    <xdr:sp macro="" textlink="">
      <xdr:nvSpPr>
        <xdr:cNvPr id="3603" name="Text Box 16">
          <a:extLst>
            <a:ext uri="{FF2B5EF4-FFF2-40B4-BE49-F238E27FC236}">
              <a16:creationId xmlns:a16="http://schemas.microsoft.com/office/drawing/2014/main" id="{00000000-0008-0000-0500-0000130E0000}"/>
            </a:ext>
          </a:extLst>
        </xdr:cNvPr>
        <xdr:cNvSpPr txBox="1">
          <a:spLocks noChangeArrowheads="1"/>
        </xdr:cNvSpPr>
      </xdr:nvSpPr>
      <xdr:spPr bwMode="auto">
        <a:xfrm>
          <a:off x="4664364"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114</xdr:row>
      <xdr:rowOff>0</xdr:rowOff>
    </xdr:from>
    <xdr:ext cx="95250" cy="171450"/>
    <xdr:sp macro="" textlink="">
      <xdr:nvSpPr>
        <xdr:cNvPr id="3604" name="Text Box 17">
          <a:extLst>
            <a:ext uri="{FF2B5EF4-FFF2-40B4-BE49-F238E27FC236}">
              <a16:creationId xmlns:a16="http://schemas.microsoft.com/office/drawing/2014/main" id="{00000000-0008-0000-0500-0000140E0000}"/>
            </a:ext>
          </a:extLst>
        </xdr:cNvPr>
        <xdr:cNvSpPr txBox="1">
          <a:spLocks noChangeArrowheads="1"/>
        </xdr:cNvSpPr>
      </xdr:nvSpPr>
      <xdr:spPr bwMode="auto">
        <a:xfrm>
          <a:off x="4664364"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114</xdr:row>
      <xdr:rowOff>0</xdr:rowOff>
    </xdr:from>
    <xdr:ext cx="95250" cy="171450"/>
    <xdr:sp macro="" textlink="">
      <xdr:nvSpPr>
        <xdr:cNvPr id="3605" name="Text Box 18">
          <a:extLst>
            <a:ext uri="{FF2B5EF4-FFF2-40B4-BE49-F238E27FC236}">
              <a16:creationId xmlns:a16="http://schemas.microsoft.com/office/drawing/2014/main" id="{00000000-0008-0000-0500-0000150E0000}"/>
            </a:ext>
          </a:extLst>
        </xdr:cNvPr>
        <xdr:cNvSpPr txBox="1">
          <a:spLocks noChangeArrowheads="1"/>
        </xdr:cNvSpPr>
      </xdr:nvSpPr>
      <xdr:spPr bwMode="auto">
        <a:xfrm>
          <a:off x="4664364"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114</xdr:row>
      <xdr:rowOff>0</xdr:rowOff>
    </xdr:from>
    <xdr:ext cx="95250" cy="171450"/>
    <xdr:sp macro="" textlink="">
      <xdr:nvSpPr>
        <xdr:cNvPr id="3606" name="Text Box 19">
          <a:extLst>
            <a:ext uri="{FF2B5EF4-FFF2-40B4-BE49-F238E27FC236}">
              <a16:creationId xmlns:a16="http://schemas.microsoft.com/office/drawing/2014/main" id="{00000000-0008-0000-0500-0000160E0000}"/>
            </a:ext>
          </a:extLst>
        </xdr:cNvPr>
        <xdr:cNvSpPr txBox="1">
          <a:spLocks noChangeArrowheads="1"/>
        </xdr:cNvSpPr>
      </xdr:nvSpPr>
      <xdr:spPr bwMode="auto">
        <a:xfrm>
          <a:off x="4664364"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114</xdr:row>
      <xdr:rowOff>0</xdr:rowOff>
    </xdr:from>
    <xdr:ext cx="95250" cy="171450"/>
    <xdr:sp macro="" textlink="">
      <xdr:nvSpPr>
        <xdr:cNvPr id="3607" name="Text Box 16">
          <a:extLst>
            <a:ext uri="{FF2B5EF4-FFF2-40B4-BE49-F238E27FC236}">
              <a16:creationId xmlns:a16="http://schemas.microsoft.com/office/drawing/2014/main" id="{00000000-0008-0000-0500-0000170E0000}"/>
            </a:ext>
          </a:extLst>
        </xdr:cNvPr>
        <xdr:cNvSpPr txBox="1">
          <a:spLocks noChangeArrowheads="1"/>
        </xdr:cNvSpPr>
      </xdr:nvSpPr>
      <xdr:spPr bwMode="auto">
        <a:xfrm>
          <a:off x="12540961"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114</xdr:row>
      <xdr:rowOff>0</xdr:rowOff>
    </xdr:from>
    <xdr:ext cx="95250" cy="171450"/>
    <xdr:sp macro="" textlink="">
      <xdr:nvSpPr>
        <xdr:cNvPr id="3608" name="Text Box 17">
          <a:extLst>
            <a:ext uri="{FF2B5EF4-FFF2-40B4-BE49-F238E27FC236}">
              <a16:creationId xmlns:a16="http://schemas.microsoft.com/office/drawing/2014/main" id="{00000000-0008-0000-0500-0000180E0000}"/>
            </a:ext>
          </a:extLst>
        </xdr:cNvPr>
        <xdr:cNvSpPr txBox="1">
          <a:spLocks noChangeArrowheads="1"/>
        </xdr:cNvSpPr>
      </xdr:nvSpPr>
      <xdr:spPr bwMode="auto">
        <a:xfrm>
          <a:off x="12540961"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114</xdr:row>
      <xdr:rowOff>0</xdr:rowOff>
    </xdr:from>
    <xdr:ext cx="95250" cy="171450"/>
    <xdr:sp macro="" textlink="">
      <xdr:nvSpPr>
        <xdr:cNvPr id="3609" name="Text Box 18">
          <a:extLst>
            <a:ext uri="{FF2B5EF4-FFF2-40B4-BE49-F238E27FC236}">
              <a16:creationId xmlns:a16="http://schemas.microsoft.com/office/drawing/2014/main" id="{00000000-0008-0000-0500-0000190E0000}"/>
            </a:ext>
          </a:extLst>
        </xdr:cNvPr>
        <xdr:cNvSpPr txBox="1">
          <a:spLocks noChangeArrowheads="1"/>
        </xdr:cNvSpPr>
      </xdr:nvSpPr>
      <xdr:spPr bwMode="auto">
        <a:xfrm>
          <a:off x="12540961"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114</xdr:row>
      <xdr:rowOff>0</xdr:rowOff>
    </xdr:from>
    <xdr:ext cx="95250" cy="171450"/>
    <xdr:sp macro="" textlink="">
      <xdr:nvSpPr>
        <xdr:cNvPr id="3610" name="Text Box 19">
          <a:extLst>
            <a:ext uri="{FF2B5EF4-FFF2-40B4-BE49-F238E27FC236}">
              <a16:creationId xmlns:a16="http://schemas.microsoft.com/office/drawing/2014/main" id="{00000000-0008-0000-0500-00001A0E0000}"/>
            </a:ext>
          </a:extLst>
        </xdr:cNvPr>
        <xdr:cNvSpPr txBox="1">
          <a:spLocks noChangeArrowheads="1"/>
        </xdr:cNvSpPr>
      </xdr:nvSpPr>
      <xdr:spPr bwMode="auto">
        <a:xfrm>
          <a:off x="12540961"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21</xdr:col>
      <xdr:colOff>0</xdr:colOff>
      <xdr:row>109</xdr:row>
      <xdr:rowOff>0</xdr:rowOff>
    </xdr:from>
    <xdr:ext cx="95250" cy="171450"/>
    <xdr:sp macro="" textlink="">
      <xdr:nvSpPr>
        <xdr:cNvPr id="3611" name="Text Box 16">
          <a:extLst>
            <a:ext uri="{FF2B5EF4-FFF2-40B4-BE49-F238E27FC236}">
              <a16:creationId xmlns:a16="http://schemas.microsoft.com/office/drawing/2014/main" id="{00000000-0008-0000-0500-00001B0E0000}"/>
            </a:ext>
          </a:extLst>
        </xdr:cNvPr>
        <xdr:cNvSpPr txBox="1">
          <a:spLocks noChangeArrowheads="1"/>
        </xdr:cNvSpPr>
      </xdr:nvSpPr>
      <xdr:spPr bwMode="auto">
        <a:xfrm>
          <a:off x="21832455" y="5992091"/>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21</xdr:col>
      <xdr:colOff>0</xdr:colOff>
      <xdr:row>109</xdr:row>
      <xdr:rowOff>0</xdr:rowOff>
    </xdr:from>
    <xdr:ext cx="95250" cy="171450"/>
    <xdr:sp macro="" textlink="">
      <xdr:nvSpPr>
        <xdr:cNvPr id="3612" name="Text Box 17">
          <a:extLst>
            <a:ext uri="{FF2B5EF4-FFF2-40B4-BE49-F238E27FC236}">
              <a16:creationId xmlns:a16="http://schemas.microsoft.com/office/drawing/2014/main" id="{00000000-0008-0000-0500-00001C0E0000}"/>
            </a:ext>
          </a:extLst>
        </xdr:cNvPr>
        <xdr:cNvSpPr txBox="1">
          <a:spLocks noChangeArrowheads="1"/>
        </xdr:cNvSpPr>
      </xdr:nvSpPr>
      <xdr:spPr bwMode="auto">
        <a:xfrm>
          <a:off x="21832455" y="5992091"/>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21</xdr:col>
      <xdr:colOff>0</xdr:colOff>
      <xdr:row>109</xdr:row>
      <xdr:rowOff>0</xdr:rowOff>
    </xdr:from>
    <xdr:ext cx="95250" cy="171450"/>
    <xdr:sp macro="" textlink="">
      <xdr:nvSpPr>
        <xdr:cNvPr id="3613" name="Text Box 18">
          <a:extLst>
            <a:ext uri="{FF2B5EF4-FFF2-40B4-BE49-F238E27FC236}">
              <a16:creationId xmlns:a16="http://schemas.microsoft.com/office/drawing/2014/main" id="{00000000-0008-0000-0500-00001D0E0000}"/>
            </a:ext>
          </a:extLst>
        </xdr:cNvPr>
        <xdr:cNvSpPr txBox="1">
          <a:spLocks noChangeArrowheads="1"/>
        </xdr:cNvSpPr>
      </xdr:nvSpPr>
      <xdr:spPr bwMode="auto">
        <a:xfrm>
          <a:off x="21832455" y="5992091"/>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21</xdr:col>
      <xdr:colOff>0</xdr:colOff>
      <xdr:row>109</xdr:row>
      <xdr:rowOff>0</xdr:rowOff>
    </xdr:from>
    <xdr:ext cx="95250" cy="171450"/>
    <xdr:sp macro="" textlink="">
      <xdr:nvSpPr>
        <xdr:cNvPr id="3614" name="Text Box 19">
          <a:extLst>
            <a:ext uri="{FF2B5EF4-FFF2-40B4-BE49-F238E27FC236}">
              <a16:creationId xmlns:a16="http://schemas.microsoft.com/office/drawing/2014/main" id="{00000000-0008-0000-0500-00001E0E0000}"/>
            </a:ext>
          </a:extLst>
        </xdr:cNvPr>
        <xdr:cNvSpPr txBox="1">
          <a:spLocks noChangeArrowheads="1"/>
        </xdr:cNvSpPr>
      </xdr:nvSpPr>
      <xdr:spPr bwMode="auto">
        <a:xfrm>
          <a:off x="21832455" y="5992091"/>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112</xdr:row>
      <xdr:rowOff>504825</xdr:rowOff>
    </xdr:from>
    <xdr:ext cx="95250" cy="444014"/>
    <xdr:sp macro="" textlink="">
      <xdr:nvSpPr>
        <xdr:cNvPr id="3615" name="Text Box 15">
          <a:extLst>
            <a:ext uri="{FF2B5EF4-FFF2-40B4-BE49-F238E27FC236}">
              <a16:creationId xmlns:a16="http://schemas.microsoft.com/office/drawing/2014/main" id="{00000000-0008-0000-0500-00001F0E0000}"/>
            </a:ext>
          </a:extLst>
        </xdr:cNvPr>
        <xdr:cNvSpPr txBox="1">
          <a:spLocks noChangeArrowheads="1"/>
        </xdr:cNvSpPr>
      </xdr:nvSpPr>
      <xdr:spPr bwMode="auto">
        <a:xfrm>
          <a:off x="4664364" y="6733020"/>
          <a:ext cx="95250" cy="444014"/>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114</xdr:row>
      <xdr:rowOff>0</xdr:rowOff>
    </xdr:from>
    <xdr:ext cx="95250" cy="171450"/>
    <xdr:sp macro="" textlink="">
      <xdr:nvSpPr>
        <xdr:cNvPr id="3616" name="Text Box 16">
          <a:extLst>
            <a:ext uri="{FF2B5EF4-FFF2-40B4-BE49-F238E27FC236}">
              <a16:creationId xmlns:a16="http://schemas.microsoft.com/office/drawing/2014/main" id="{00000000-0008-0000-0500-0000200E0000}"/>
            </a:ext>
          </a:extLst>
        </xdr:cNvPr>
        <xdr:cNvSpPr txBox="1">
          <a:spLocks noChangeArrowheads="1"/>
        </xdr:cNvSpPr>
      </xdr:nvSpPr>
      <xdr:spPr bwMode="auto">
        <a:xfrm>
          <a:off x="4664364"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114</xdr:row>
      <xdr:rowOff>0</xdr:rowOff>
    </xdr:from>
    <xdr:ext cx="95250" cy="171450"/>
    <xdr:sp macro="" textlink="">
      <xdr:nvSpPr>
        <xdr:cNvPr id="3617" name="Text Box 17">
          <a:extLst>
            <a:ext uri="{FF2B5EF4-FFF2-40B4-BE49-F238E27FC236}">
              <a16:creationId xmlns:a16="http://schemas.microsoft.com/office/drawing/2014/main" id="{00000000-0008-0000-0500-0000210E0000}"/>
            </a:ext>
          </a:extLst>
        </xdr:cNvPr>
        <xdr:cNvSpPr txBox="1">
          <a:spLocks noChangeArrowheads="1"/>
        </xdr:cNvSpPr>
      </xdr:nvSpPr>
      <xdr:spPr bwMode="auto">
        <a:xfrm>
          <a:off x="4664364"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114</xdr:row>
      <xdr:rowOff>0</xdr:rowOff>
    </xdr:from>
    <xdr:ext cx="95250" cy="171450"/>
    <xdr:sp macro="" textlink="">
      <xdr:nvSpPr>
        <xdr:cNvPr id="3618" name="Text Box 18">
          <a:extLst>
            <a:ext uri="{FF2B5EF4-FFF2-40B4-BE49-F238E27FC236}">
              <a16:creationId xmlns:a16="http://schemas.microsoft.com/office/drawing/2014/main" id="{00000000-0008-0000-0500-0000220E0000}"/>
            </a:ext>
          </a:extLst>
        </xdr:cNvPr>
        <xdr:cNvSpPr txBox="1">
          <a:spLocks noChangeArrowheads="1"/>
        </xdr:cNvSpPr>
      </xdr:nvSpPr>
      <xdr:spPr bwMode="auto">
        <a:xfrm>
          <a:off x="4664364"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114</xdr:row>
      <xdr:rowOff>0</xdr:rowOff>
    </xdr:from>
    <xdr:ext cx="95250" cy="171450"/>
    <xdr:sp macro="" textlink="">
      <xdr:nvSpPr>
        <xdr:cNvPr id="3619" name="Text Box 19">
          <a:extLst>
            <a:ext uri="{FF2B5EF4-FFF2-40B4-BE49-F238E27FC236}">
              <a16:creationId xmlns:a16="http://schemas.microsoft.com/office/drawing/2014/main" id="{00000000-0008-0000-0500-0000230E0000}"/>
            </a:ext>
          </a:extLst>
        </xdr:cNvPr>
        <xdr:cNvSpPr txBox="1">
          <a:spLocks noChangeArrowheads="1"/>
        </xdr:cNvSpPr>
      </xdr:nvSpPr>
      <xdr:spPr bwMode="auto">
        <a:xfrm>
          <a:off x="4664364"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114</xdr:row>
      <xdr:rowOff>0</xdr:rowOff>
    </xdr:from>
    <xdr:ext cx="95250" cy="171450"/>
    <xdr:sp macro="" textlink="">
      <xdr:nvSpPr>
        <xdr:cNvPr id="3620" name="Text Box 16">
          <a:extLst>
            <a:ext uri="{FF2B5EF4-FFF2-40B4-BE49-F238E27FC236}">
              <a16:creationId xmlns:a16="http://schemas.microsoft.com/office/drawing/2014/main" id="{00000000-0008-0000-0500-0000240E0000}"/>
            </a:ext>
          </a:extLst>
        </xdr:cNvPr>
        <xdr:cNvSpPr txBox="1">
          <a:spLocks noChangeArrowheads="1"/>
        </xdr:cNvSpPr>
      </xdr:nvSpPr>
      <xdr:spPr bwMode="auto">
        <a:xfrm>
          <a:off x="12540961"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114</xdr:row>
      <xdr:rowOff>0</xdr:rowOff>
    </xdr:from>
    <xdr:ext cx="95250" cy="171450"/>
    <xdr:sp macro="" textlink="">
      <xdr:nvSpPr>
        <xdr:cNvPr id="3621" name="Text Box 17">
          <a:extLst>
            <a:ext uri="{FF2B5EF4-FFF2-40B4-BE49-F238E27FC236}">
              <a16:creationId xmlns:a16="http://schemas.microsoft.com/office/drawing/2014/main" id="{00000000-0008-0000-0500-0000250E0000}"/>
            </a:ext>
          </a:extLst>
        </xdr:cNvPr>
        <xdr:cNvSpPr txBox="1">
          <a:spLocks noChangeArrowheads="1"/>
        </xdr:cNvSpPr>
      </xdr:nvSpPr>
      <xdr:spPr bwMode="auto">
        <a:xfrm>
          <a:off x="12540961"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1020762</xdr:colOff>
      <xdr:row>114</xdr:row>
      <xdr:rowOff>15875</xdr:rowOff>
    </xdr:from>
    <xdr:ext cx="95250" cy="171450"/>
    <xdr:sp macro="" textlink="">
      <xdr:nvSpPr>
        <xdr:cNvPr id="3622" name="Text Box 18">
          <a:extLst>
            <a:ext uri="{FF2B5EF4-FFF2-40B4-BE49-F238E27FC236}">
              <a16:creationId xmlns:a16="http://schemas.microsoft.com/office/drawing/2014/main" id="{00000000-0008-0000-0500-0000260E0000}"/>
            </a:ext>
          </a:extLst>
        </xdr:cNvPr>
        <xdr:cNvSpPr txBox="1">
          <a:spLocks noChangeArrowheads="1"/>
        </xdr:cNvSpPr>
      </xdr:nvSpPr>
      <xdr:spPr bwMode="auto">
        <a:xfrm>
          <a:off x="12485398" y="7116330"/>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114</xdr:row>
      <xdr:rowOff>0</xdr:rowOff>
    </xdr:from>
    <xdr:ext cx="95250" cy="171450"/>
    <xdr:sp macro="" textlink="">
      <xdr:nvSpPr>
        <xdr:cNvPr id="3623" name="Text Box 16">
          <a:extLst>
            <a:ext uri="{FF2B5EF4-FFF2-40B4-BE49-F238E27FC236}">
              <a16:creationId xmlns:a16="http://schemas.microsoft.com/office/drawing/2014/main" id="{00000000-0008-0000-0500-0000270E0000}"/>
            </a:ext>
          </a:extLst>
        </xdr:cNvPr>
        <xdr:cNvSpPr txBox="1">
          <a:spLocks noChangeArrowheads="1"/>
        </xdr:cNvSpPr>
      </xdr:nvSpPr>
      <xdr:spPr bwMode="auto">
        <a:xfrm>
          <a:off x="15388070"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114</xdr:row>
      <xdr:rowOff>0</xdr:rowOff>
    </xdr:from>
    <xdr:ext cx="95250" cy="171450"/>
    <xdr:sp macro="" textlink="">
      <xdr:nvSpPr>
        <xdr:cNvPr id="3624" name="Text Box 17">
          <a:extLst>
            <a:ext uri="{FF2B5EF4-FFF2-40B4-BE49-F238E27FC236}">
              <a16:creationId xmlns:a16="http://schemas.microsoft.com/office/drawing/2014/main" id="{00000000-0008-0000-0500-0000280E0000}"/>
            </a:ext>
          </a:extLst>
        </xdr:cNvPr>
        <xdr:cNvSpPr txBox="1">
          <a:spLocks noChangeArrowheads="1"/>
        </xdr:cNvSpPr>
      </xdr:nvSpPr>
      <xdr:spPr bwMode="auto">
        <a:xfrm>
          <a:off x="15388070"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114</xdr:row>
      <xdr:rowOff>0</xdr:rowOff>
    </xdr:from>
    <xdr:ext cx="95250" cy="171450"/>
    <xdr:sp macro="" textlink="">
      <xdr:nvSpPr>
        <xdr:cNvPr id="3625" name="Text Box 18">
          <a:extLst>
            <a:ext uri="{FF2B5EF4-FFF2-40B4-BE49-F238E27FC236}">
              <a16:creationId xmlns:a16="http://schemas.microsoft.com/office/drawing/2014/main" id="{00000000-0008-0000-0500-0000290E0000}"/>
            </a:ext>
          </a:extLst>
        </xdr:cNvPr>
        <xdr:cNvSpPr txBox="1">
          <a:spLocks noChangeArrowheads="1"/>
        </xdr:cNvSpPr>
      </xdr:nvSpPr>
      <xdr:spPr bwMode="auto">
        <a:xfrm>
          <a:off x="15388070"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114</xdr:row>
      <xdr:rowOff>0</xdr:rowOff>
    </xdr:from>
    <xdr:ext cx="95250" cy="171450"/>
    <xdr:sp macro="" textlink="">
      <xdr:nvSpPr>
        <xdr:cNvPr id="3626" name="Text Box 19">
          <a:extLst>
            <a:ext uri="{FF2B5EF4-FFF2-40B4-BE49-F238E27FC236}">
              <a16:creationId xmlns:a16="http://schemas.microsoft.com/office/drawing/2014/main" id="{00000000-0008-0000-0500-00002A0E0000}"/>
            </a:ext>
          </a:extLst>
        </xdr:cNvPr>
        <xdr:cNvSpPr txBox="1">
          <a:spLocks noChangeArrowheads="1"/>
        </xdr:cNvSpPr>
      </xdr:nvSpPr>
      <xdr:spPr bwMode="auto">
        <a:xfrm>
          <a:off x="15388070"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114</xdr:row>
      <xdr:rowOff>0</xdr:rowOff>
    </xdr:from>
    <xdr:ext cx="95250" cy="171450"/>
    <xdr:sp macro="" textlink="">
      <xdr:nvSpPr>
        <xdr:cNvPr id="3627" name="Text Box 16">
          <a:extLst>
            <a:ext uri="{FF2B5EF4-FFF2-40B4-BE49-F238E27FC236}">
              <a16:creationId xmlns:a16="http://schemas.microsoft.com/office/drawing/2014/main" id="{00000000-0008-0000-0500-00002B0E0000}"/>
            </a:ext>
          </a:extLst>
        </xdr:cNvPr>
        <xdr:cNvSpPr txBox="1">
          <a:spLocks noChangeArrowheads="1"/>
        </xdr:cNvSpPr>
      </xdr:nvSpPr>
      <xdr:spPr bwMode="auto">
        <a:xfrm>
          <a:off x="15388070"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10</xdr:col>
      <xdr:colOff>28575</xdr:colOff>
      <xdr:row>114</xdr:row>
      <xdr:rowOff>170392</xdr:rowOff>
    </xdr:from>
    <xdr:ext cx="95250" cy="213632"/>
    <xdr:sp macro="" textlink="">
      <xdr:nvSpPr>
        <xdr:cNvPr id="3628" name="Text Box 15">
          <a:extLst>
            <a:ext uri="{FF2B5EF4-FFF2-40B4-BE49-F238E27FC236}">
              <a16:creationId xmlns:a16="http://schemas.microsoft.com/office/drawing/2014/main" id="{00000000-0008-0000-0500-00002C0E0000}"/>
            </a:ext>
          </a:extLst>
        </xdr:cNvPr>
        <xdr:cNvSpPr txBox="1">
          <a:spLocks noChangeArrowheads="1"/>
        </xdr:cNvSpPr>
      </xdr:nvSpPr>
      <xdr:spPr bwMode="auto">
        <a:xfrm>
          <a:off x="12578484" y="7270847"/>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114</xdr:row>
      <xdr:rowOff>504825</xdr:rowOff>
    </xdr:from>
    <xdr:ext cx="95250" cy="448496"/>
    <xdr:sp macro="" textlink="">
      <xdr:nvSpPr>
        <xdr:cNvPr id="3629" name="Text Box 15">
          <a:extLst>
            <a:ext uri="{FF2B5EF4-FFF2-40B4-BE49-F238E27FC236}">
              <a16:creationId xmlns:a16="http://schemas.microsoft.com/office/drawing/2014/main" id="{00000000-0008-0000-0500-00002D0E0000}"/>
            </a:ext>
          </a:extLst>
        </xdr:cNvPr>
        <xdr:cNvSpPr txBox="1">
          <a:spLocks noChangeArrowheads="1"/>
        </xdr:cNvSpPr>
      </xdr:nvSpPr>
      <xdr:spPr bwMode="auto">
        <a:xfrm>
          <a:off x="4664364" y="5994111"/>
          <a:ext cx="95250" cy="448496"/>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114</xdr:row>
      <xdr:rowOff>504825</xdr:rowOff>
    </xdr:from>
    <xdr:ext cx="95250" cy="442269"/>
    <xdr:sp macro="" textlink="">
      <xdr:nvSpPr>
        <xdr:cNvPr id="3630" name="Text Box 15">
          <a:extLst>
            <a:ext uri="{FF2B5EF4-FFF2-40B4-BE49-F238E27FC236}">
              <a16:creationId xmlns:a16="http://schemas.microsoft.com/office/drawing/2014/main" id="{00000000-0008-0000-0500-00002E0E0000}"/>
            </a:ext>
          </a:extLst>
        </xdr:cNvPr>
        <xdr:cNvSpPr txBox="1">
          <a:spLocks noChangeArrowheads="1"/>
        </xdr:cNvSpPr>
      </xdr:nvSpPr>
      <xdr:spPr bwMode="auto">
        <a:xfrm>
          <a:off x="12540961" y="5994111"/>
          <a:ext cx="95250" cy="442269"/>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21</xdr:col>
      <xdr:colOff>0</xdr:colOff>
      <xdr:row>114</xdr:row>
      <xdr:rowOff>504825</xdr:rowOff>
    </xdr:from>
    <xdr:ext cx="95250" cy="442269"/>
    <xdr:sp macro="" textlink="">
      <xdr:nvSpPr>
        <xdr:cNvPr id="3631" name="Text Box 15">
          <a:extLst>
            <a:ext uri="{FF2B5EF4-FFF2-40B4-BE49-F238E27FC236}">
              <a16:creationId xmlns:a16="http://schemas.microsoft.com/office/drawing/2014/main" id="{00000000-0008-0000-0500-00002F0E0000}"/>
            </a:ext>
          </a:extLst>
        </xdr:cNvPr>
        <xdr:cNvSpPr txBox="1">
          <a:spLocks noChangeArrowheads="1"/>
        </xdr:cNvSpPr>
      </xdr:nvSpPr>
      <xdr:spPr bwMode="auto">
        <a:xfrm>
          <a:off x="21832455" y="5994111"/>
          <a:ext cx="95250" cy="442269"/>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114</xdr:row>
      <xdr:rowOff>504825</xdr:rowOff>
    </xdr:from>
    <xdr:ext cx="95250" cy="213632"/>
    <xdr:sp macro="" textlink="">
      <xdr:nvSpPr>
        <xdr:cNvPr id="3632" name="Text Box 15">
          <a:extLst>
            <a:ext uri="{FF2B5EF4-FFF2-40B4-BE49-F238E27FC236}">
              <a16:creationId xmlns:a16="http://schemas.microsoft.com/office/drawing/2014/main" id="{00000000-0008-0000-0500-0000300E0000}"/>
            </a:ext>
          </a:extLst>
        </xdr:cNvPr>
        <xdr:cNvSpPr txBox="1">
          <a:spLocks noChangeArrowheads="1"/>
        </xdr:cNvSpPr>
      </xdr:nvSpPr>
      <xdr:spPr bwMode="auto">
        <a:xfrm>
          <a:off x="4664364" y="5994111"/>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114</xdr:row>
      <xdr:rowOff>504825</xdr:rowOff>
    </xdr:from>
    <xdr:ext cx="95250" cy="444331"/>
    <xdr:sp macro="" textlink="">
      <xdr:nvSpPr>
        <xdr:cNvPr id="3633" name="Text Box 15">
          <a:extLst>
            <a:ext uri="{FF2B5EF4-FFF2-40B4-BE49-F238E27FC236}">
              <a16:creationId xmlns:a16="http://schemas.microsoft.com/office/drawing/2014/main" id="{00000000-0008-0000-0500-0000310E0000}"/>
            </a:ext>
          </a:extLst>
        </xdr:cNvPr>
        <xdr:cNvSpPr txBox="1">
          <a:spLocks noChangeArrowheads="1"/>
        </xdr:cNvSpPr>
      </xdr:nvSpPr>
      <xdr:spPr bwMode="auto">
        <a:xfrm>
          <a:off x="4664364" y="5994111"/>
          <a:ext cx="95250" cy="444331"/>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10</xdr:col>
      <xdr:colOff>28575</xdr:colOff>
      <xdr:row>114</xdr:row>
      <xdr:rowOff>170392</xdr:rowOff>
    </xdr:from>
    <xdr:ext cx="95250" cy="213632"/>
    <xdr:sp macro="" textlink="">
      <xdr:nvSpPr>
        <xdr:cNvPr id="3634" name="Text Box 15">
          <a:extLst>
            <a:ext uri="{FF2B5EF4-FFF2-40B4-BE49-F238E27FC236}">
              <a16:creationId xmlns:a16="http://schemas.microsoft.com/office/drawing/2014/main" id="{00000000-0008-0000-0500-0000320E0000}"/>
            </a:ext>
          </a:extLst>
        </xdr:cNvPr>
        <xdr:cNvSpPr txBox="1">
          <a:spLocks noChangeArrowheads="1"/>
        </xdr:cNvSpPr>
      </xdr:nvSpPr>
      <xdr:spPr bwMode="auto">
        <a:xfrm>
          <a:off x="12578484" y="5793028"/>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120</xdr:row>
      <xdr:rowOff>0</xdr:rowOff>
    </xdr:from>
    <xdr:ext cx="95250" cy="171450"/>
    <xdr:sp macro="" textlink="">
      <xdr:nvSpPr>
        <xdr:cNvPr id="3635" name="Text Box 16">
          <a:extLst>
            <a:ext uri="{FF2B5EF4-FFF2-40B4-BE49-F238E27FC236}">
              <a16:creationId xmlns:a16="http://schemas.microsoft.com/office/drawing/2014/main" id="{00000000-0008-0000-0500-0000330E0000}"/>
            </a:ext>
          </a:extLst>
        </xdr:cNvPr>
        <xdr:cNvSpPr txBox="1">
          <a:spLocks noChangeArrowheads="1"/>
        </xdr:cNvSpPr>
      </xdr:nvSpPr>
      <xdr:spPr bwMode="auto">
        <a:xfrm>
          <a:off x="4664364"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120</xdr:row>
      <xdr:rowOff>0</xdr:rowOff>
    </xdr:from>
    <xdr:ext cx="95250" cy="171450"/>
    <xdr:sp macro="" textlink="">
      <xdr:nvSpPr>
        <xdr:cNvPr id="3636" name="Text Box 17">
          <a:extLst>
            <a:ext uri="{FF2B5EF4-FFF2-40B4-BE49-F238E27FC236}">
              <a16:creationId xmlns:a16="http://schemas.microsoft.com/office/drawing/2014/main" id="{00000000-0008-0000-0500-0000340E0000}"/>
            </a:ext>
          </a:extLst>
        </xdr:cNvPr>
        <xdr:cNvSpPr txBox="1">
          <a:spLocks noChangeArrowheads="1"/>
        </xdr:cNvSpPr>
      </xdr:nvSpPr>
      <xdr:spPr bwMode="auto">
        <a:xfrm>
          <a:off x="4664364"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120</xdr:row>
      <xdr:rowOff>0</xdr:rowOff>
    </xdr:from>
    <xdr:ext cx="95250" cy="171450"/>
    <xdr:sp macro="" textlink="">
      <xdr:nvSpPr>
        <xdr:cNvPr id="3637" name="Text Box 18">
          <a:extLst>
            <a:ext uri="{FF2B5EF4-FFF2-40B4-BE49-F238E27FC236}">
              <a16:creationId xmlns:a16="http://schemas.microsoft.com/office/drawing/2014/main" id="{00000000-0008-0000-0500-0000350E0000}"/>
            </a:ext>
          </a:extLst>
        </xdr:cNvPr>
        <xdr:cNvSpPr txBox="1">
          <a:spLocks noChangeArrowheads="1"/>
        </xdr:cNvSpPr>
      </xdr:nvSpPr>
      <xdr:spPr bwMode="auto">
        <a:xfrm>
          <a:off x="4664364"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120</xdr:row>
      <xdr:rowOff>0</xdr:rowOff>
    </xdr:from>
    <xdr:ext cx="95250" cy="171450"/>
    <xdr:sp macro="" textlink="">
      <xdr:nvSpPr>
        <xdr:cNvPr id="3638" name="Text Box 19">
          <a:extLst>
            <a:ext uri="{FF2B5EF4-FFF2-40B4-BE49-F238E27FC236}">
              <a16:creationId xmlns:a16="http://schemas.microsoft.com/office/drawing/2014/main" id="{00000000-0008-0000-0500-0000360E0000}"/>
            </a:ext>
          </a:extLst>
        </xdr:cNvPr>
        <xdr:cNvSpPr txBox="1">
          <a:spLocks noChangeArrowheads="1"/>
        </xdr:cNvSpPr>
      </xdr:nvSpPr>
      <xdr:spPr bwMode="auto">
        <a:xfrm>
          <a:off x="4664364"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120</xdr:row>
      <xdr:rowOff>0</xdr:rowOff>
    </xdr:from>
    <xdr:ext cx="95250" cy="171450"/>
    <xdr:sp macro="" textlink="">
      <xdr:nvSpPr>
        <xdr:cNvPr id="3639" name="Text Box 16">
          <a:extLst>
            <a:ext uri="{FF2B5EF4-FFF2-40B4-BE49-F238E27FC236}">
              <a16:creationId xmlns:a16="http://schemas.microsoft.com/office/drawing/2014/main" id="{00000000-0008-0000-0500-0000370E0000}"/>
            </a:ext>
          </a:extLst>
        </xdr:cNvPr>
        <xdr:cNvSpPr txBox="1">
          <a:spLocks noChangeArrowheads="1"/>
        </xdr:cNvSpPr>
      </xdr:nvSpPr>
      <xdr:spPr bwMode="auto">
        <a:xfrm>
          <a:off x="12540961"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120</xdr:row>
      <xdr:rowOff>0</xdr:rowOff>
    </xdr:from>
    <xdr:ext cx="95250" cy="171450"/>
    <xdr:sp macro="" textlink="">
      <xdr:nvSpPr>
        <xdr:cNvPr id="3640" name="Text Box 17">
          <a:extLst>
            <a:ext uri="{FF2B5EF4-FFF2-40B4-BE49-F238E27FC236}">
              <a16:creationId xmlns:a16="http://schemas.microsoft.com/office/drawing/2014/main" id="{00000000-0008-0000-0500-0000380E0000}"/>
            </a:ext>
          </a:extLst>
        </xdr:cNvPr>
        <xdr:cNvSpPr txBox="1">
          <a:spLocks noChangeArrowheads="1"/>
        </xdr:cNvSpPr>
      </xdr:nvSpPr>
      <xdr:spPr bwMode="auto">
        <a:xfrm>
          <a:off x="12540961"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120</xdr:row>
      <xdr:rowOff>0</xdr:rowOff>
    </xdr:from>
    <xdr:ext cx="95250" cy="171450"/>
    <xdr:sp macro="" textlink="">
      <xdr:nvSpPr>
        <xdr:cNvPr id="3641" name="Text Box 18">
          <a:extLst>
            <a:ext uri="{FF2B5EF4-FFF2-40B4-BE49-F238E27FC236}">
              <a16:creationId xmlns:a16="http://schemas.microsoft.com/office/drawing/2014/main" id="{00000000-0008-0000-0500-0000390E0000}"/>
            </a:ext>
          </a:extLst>
        </xdr:cNvPr>
        <xdr:cNvSpPr txBox="1">
          <a:spLocks noChangeArrowheads="1"/>
        </xdr:cNvSpPr>
      </xdr:nvSpPr>
      <xdr:spPr bwMode="auto">
        <a:xfrm>
          <a:off x="12540961"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120</xdr:row>
      <xdr:rowOff>0</xdr:rowOff>
    </xdr:from>
    <xdr:ext cx="95250" cy="171450"/>
    <xdr:sp macro="" textlink="">
      <xdr:nvSpPr>
        <xdr:cNvPr id="3642" name="Text Box 19">
          <a:extLst>
            <a:ext uri="{FF2B5EF4-FFF2-40B4-BE49-F238E27FC236}">
              <a16:creationId xmlns:a16="http://schemas.microsoft.com/office/drawing/2014/main" id="{00000000-0008-0000-0500-00003A0E0000}"/>
            </a:ext>
          </a:extLst>
        </xdr:cNvPr>
        <xdr:cNvSpPr txBox="1">
          <a:spLocks noChangeArrowheads="1"/>
        </xdr:cNvSpPr>
      </xdr:nvSpPr>
      <xdr:spPr bwMode="auto">
        <a:xfrm>
          <a:off x="12540961"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21</xdr:col>
      <xdr:colOff>0</xdr:colOff>
      <xdr:row>120</xdr:row>
      <xdr:rowOff>0</xdr:rowOff>
    </xdr:from>
    <xdr:ext cx="95250" cy="171450"/>
    <xdr:sp macro="" textlink="">
      <xdr:nvSpPr>
        <xdr:cNvPr id="3643" name="Text Box 16">
          <a:extLst>
            <a:ext uri="{FF2B5EF4-FFF2-40B4-BE49-F238E27FC236}">
              <a16:creationId xmlns:a16="http://schemas.microsoft.com/office/drawing/2014/main" id="{00000000-0008-0000-0500-00003B0E0000}"/>
            </a:ext>
          </a:extLst>
        </xdr:cNvPr>
        <xdr:cNvSpPr txBox="1">
          <a:spLocks noChangeArrowheads="1"/>
        </xdr:cNvSpPr>
      </xdr:nvSpPr>
      <xdr:spPr bwMode="auto">
        <a:xfrm>
          <a:off x="21832455"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21</xdr:col>
      <xdr:colOff>0</xdr:colOff>
      <xdr:row>120</xdr:row>
      <xdr:rowOff>0</xdr:rowOff>
    </xdr:from>
    <xdr:ext cx="95250" cy="171450"/>
    <xdr:sp macro="" textlink="">
      <xdr:nvSpPr>
        <xdr:cNvPr id="3644" name="Text Box 17">
          <a:extLst>
            <a:ext uri="{FF2B5EF4-FFF2-40B4-BE49-F238E27FC236}">
              <a16:creationId xmlns:a16="http://schemas.microsoft.com/office/drawing/2014/main" id="{00000000-0008-0000-0500-00003C0E0000}"/>
            </a:ext>
          </a:extLst>
        </xdr:cNvPr>
        <xdr:cNvSpPr txBox="1">
          <a:spLocks noChangeArrowheads="1"/>
        </xdr:cNvSpPr>
      </xdr:nvSpPr>
      <xdr:spPr bwMode="auto">
        <a:xfrm>
          <a:off x="21832455"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21</xdr:col>
      <xdr:colOff>0</xdr:colOff>
      <xdr:row>120</xdr:row>
      <xdr:rowOff>0</xdr:rowOff>
    </xdr:from>
    <xdr:ext cx="95250" cy="171450"/>
    <xdr:sp macro="" textlink="">
      <xdr:nvSpPr>
        <xdr:cNvPr id="3645" name="Text Box 18">
          <a:extLst>
            <a:ext uri="{FF2B5EF4-FFF2-40B4-BE49-F238E27FC236}">
              <a16:creationId xmlns:a16="http://schemas.microsoft.com/office/drawing/2014/main" id="{00000000-0008-0000-0500-00003D0E0000}"/>
            </a:ext>
          </a:extLst>
        </xdr:cNvPr>
        <xdr:cNvSpPr txBox="1">
          <a:spLocks noChangeArrowheads="1"/>
        </xdr:cNvSpPr>
      </xdr:nvSpPr>
      <xdr:spPr bwMode="auto">
        <a:xfrm>
          <a:off x="21832455"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21</xdr:col>
      <xdr:colOff>0</xdr:colOff>
      <xdr:row>120</xdr:row>
      <xdr:rowOff>0</xdr:rowOff>
    </xdr:from>
    <xdr:ext cx="95250" cy="171450"/>
    <xdr:sp macro="" textlink="">
      <xdr:nvSpPr>
        <xdr:cNvPr id="3646" name="Text Box 19">
          <a:extLst>
            <a:ext uri="{FF2B5EF4-FFF2-40B4-BE49-F238E27FC236}">
              <a16:creationId xmlns:a16="http://schemas.microsoft.com/office/drawing/2014/main" id="{00000000-0008-0000-0500-00003E0E0000}"/>
            </a:ext>
          </a:extLst>
        </xdr:cNvPr>
        <xdr:cNvSpPr txBox="1">
          <a:spLocks noChangeArrowheads="1"/>
        </xdr:cNvSpPr>
      </xdr:nvSpPr>
      <xdr:spPr bwMode="auto">
        <a:xfrm>
          <a:off x="21832455"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118</xdr:row>
      <xdr:rowOff>504825</xdr:rowOff>
    </xdr:from>
    <xdr:ext cx="95250" cy="444014"/>
    <xdr:sp macro="" textlink="">
      <xdr:nvSpPr>
        <xdr:cNvPr id="3647" name="Text Box 15">
          <a:extLst>
            <a:ext uri="{FF2B5EF4-FFF2-40B4-BE49-F238E27FC236}">
              <a16:creationId xmlns:a16="http://schemas.microsoft.com/office/drawing/2014/main" id="{00000000-0008-0000-0500-00003F0E0000}"/>
            </a:ext>
          </a:extLst>
        </xdr:cNvPr>
        <xdr:cNvSpPr txBox="1">
          <a:spLocks noChangeArrowheads="1"/>
        </xdr:cNvSpPr>
      </xdr:nvSpPr>
      <xdr:spPr bwMode="auto">
        <a:xfrm>
          <a:off x="4664364" y="6733020"/>
          <a:ext cx="95250" cy="444014"/>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120</xdr:row>
      <xdr:rowOff>0</xdr:rowOff>
    </xdr:from>
    <xdr:ext cx="95250" cy="171450"/>
    <xdr:sp macro="" textlink="">
      <xdr:nvSpPr>
        <xdr:cNvPr id="3648" name="Text Box 16">
          <a:extLst>
            <a:ext uri="{FF2B5EF4-FFF2-40B4-BE49-F238E27FC236}">
              <a16:creationId xmlns:a16="http://schemas.microsoft.com/office/drawing/2014/main" id="{00000000-0008-0000-0500-0000400E0000}"/>
            </a:ext>
          </a:extLst>
        </xdr:cNvPr>
        <xdr:cNvSpPr txBox="1">
          <a:spLocks noChangeArrowheads="1"/>
        </xdr:cNvSpPr>
      </xdr:nvSpPr>
      <xdr:spPr bwMode="auto">
        <a:xfrm>
          <a:off x="4664364"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120</xdr:row>
      <xdr:rowOff>0</xdr:rowOff>
    </xdr:from>
    <xdr:ext cx="95250" cy="171450"/>
    <xdr:sp macro="" textlink="">
      <xdr:nvSpPr>
        <xdr:cNvPr id="3649" name="Text Box 17">
          <a:extLst>
            <a:ext uri="{FF2B5EF4-FFF2-40B4-BE49-F238E27FC236}">
              <a16:creationId xmlns:a16="http://schemas.microsoft.com/office/drawing/2014/main" id="{00000000-0008-0000-0500-0000410E0000}"/>
            </a:ext>
          </a:extLst>
        </xdr:cNvPr>
        <xdr:cNvSpPr txBox="1">
          <a:spLocks noChangeArrowheads="1"/>
        </xdr:cNvSpPr>
      </xdr:nvSpPr>
      <xdr:spPr bwMode="auto">
        <a:xfrm>
          <a:off x="4664364"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120</xdr:row>
      <xdr:rowOff>0</xdr:rowOff>
    </xdr:from>
    <xdr:ext cx="95250" cy="171450"/>
    <xdr:sp macro="" textlink="">
      <xdr:nvSpPr>
        <xdr:cNvPr id="3650" name="Text Box 18">
          <a:extLst>
            <a:ext uri="{FF2B5EF4-FFF2-40B4-BE49-F238E27FC236}">
              <a16:creationId xmlns:a16="http://schemas.microsoft.com/office/drawing/2014/main" id="{00000000-0008-0000-0500-0000420E0000}"/>
            </a:ext>
          </a:extLst>
        </xdr:cNvPr>
        <xdr:cNvSpPr txBox="1">
          <a:spLocks noChangeArrowheads="1"/>
        </xdr:cNvSpPr>
      </xdr:nvSpPr>
      <xdr:spPr bwMode="auto">
        <a:xfrm>
          <a:off x="4664364"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120</xdr:row>
      <xdr:rowOff>0</xdr:rowOff>
    </xdr:from>
    <xdr:ext cx="95250" cy="171450"/>
    <xdr:sp macro="" textlink="">
      <xdr:nvSpPr>
        <xdr:cNvPr id="3651" name="Text Box 19">
          <a:extLst>
            <a:ext uri="{FF2B5EF4-FFF2-40B4-BE49-F238E27FC236}">
              <a16:creationId xmlns:a16="http://schemas.microsoft.com/office/drawing/2014/main" id="{00000000-0008-0000-0500-0000430E0000}"/>
            </a:ext>
          </a:extLst>
        </xdr:cNvPr>
        <xdr:cNvSpPr txBox="1">
          <a:spLocks noChangeArrowheads="1"/>
        </xdr:cNvSpPr>
      </xdr:nvSpPr>
      <xdr:spPr bwMode="auto">
        <a:xfrm>
          <a:off x="4664364"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120</xdr:row>
      <xdr:rowOff>0</xdr:rowOff>
    </xdr:from>
    <xdr:ext cx="95250" cy="171450"/>
    <xdr:sp macro="" textlink="">
      <xdr:nvSpPr>
        <xdr:cNvPr id="3652" name="Text Box 16">
          <a:extLst>
            <a:ext uri="{FF2B5EF4-FFF2-40B4-BE49-F238E27FC236}">
              <a16:creationId xmlns:a16="http://schemas.microsoft.com/office/drawing/2014/main" id="{00000000-0008-0000-0500-0000440E0000}"/>
            </a:ext>
          </a:extLst>
        </xdr:cNvPr>
        <xdr:cNvSpPr txBox="1">
          <a:spLocks noChangeArrowheads="1"/>
        </xdr:cNvSpPr>
      </xdr:nvSpPr>
      <xdr:spPr bwMode="auto">
        <a:xfrm>
          <a:off x="12540961"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120</xdr:row>
      <xdr:rowOff>0</xdr:rowOff>
    </xdr:from>
    <xdr:ext cx="95250" cy="171450"/>
    <xdr:sp macro="" textlink="">
      <xdr:nvSpPr>
        <xdr:cNvPr id="3653" name="Text Box 17">
          <a:extLst>
            <a:ext uri="{FF2B5EF4-FFF2-40B4-BE49-F238E27FC236}">
              <a16:creationId xmlns:a16="http://schemas.microsoft.com/office/drawing/2014/main" id="{00000000-0008-0000-0500-0000450E0000}"/>
            </a:ext>
          </a:extLst>
        </xdr:cNvPr>
        <xdr:cNvSpPr txBox="1">
          <a:spLocks noChangeArrowheads="1"/>
        </xdr:cNvSpPr>
      </xdr:nvSpPr>
      <xdr:spPr bwMode="auto">
        <a:xfrm>
          <a:off x="12540961"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120</xdr:row>
      <xdr:rowOff>0</xdr:rowOff>
    </xdr:from>
    <xdr:ext cx="95250" cy="171450"/>
    <xdr:sp macro="" textlink="">
      <xdr:nvSpPr>
        <xdr:cNvPr id="3654" name="Text Box 18">
          <a:extLst>
            <a:ext uri="{FF2B5EF4-FFF2-40B4-BE49-F238E27FC236}">
              <a16:creationId xmlns:a16="http://schemas.microsoft.com/office/drawing/2014/main" id="{00000000-0008-0000-0500-0000460E0000}"/>
            </a:ext>
          </a:extLst>
        </xdr:cNvPr>
        <xdr:cNvSpPr txBox="1">
          <a:spLocks noChangeArrowheads="1"/>
        </xdr:cNvSpPr>
      </xdr:nvSpPr>
      <xdr:spPr bwMode="auto">
        <a:xfrm>
          <a:off x="12540961"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120</xdr:row>
      <xdr:rowOff>0</xdr:rowOff>
    </xdr:from>
    <xdr:ext cx="95250" cy="171450"/>
    <xdr:sp macro="" textlink="">
      <xdr:nvSpPr>
        <xdr:cNvPr id="3655" name="Text Box 16">
          <a:extLst>
            <a:ext uri="{FF2B5EF4-FFF2-40B4-BE49-F238E27FC236}">
              <a16:creationId xmlns:a16="http://schemas.microsoft.com/office/drawing/2014/main" id="{00000000-0008-0000-0500-0000470E0000}"/>
            </a:ext>
          </a:extLst>
        </xdr:cNvPr>
        <xdr:cNvSpPr txBox="1">
          <a:spLocks noChangeArrowheads="1"/>
        </xdr:cNvSpPr>
      </xdr:nvSpPr>
      <xdr:spPr bwMode="auto">
        <a:xfrm>
          <a:off x="15388070"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120</xdr:row>
      <xdr:rowOff>0</xdr:rowOff>
    </xdr:from>
    <xdr:ext cx="95250" cy="171450"/>
    <xdr:sp macro="" textlink="">
      <xdr:nvSpPr>
        <xdr:cNvPr id="3656" name="Text Box 17">
          <a:extLst>
            <a:ext uri="{FF2B5EF4-FFF2-40B4-BE49-F238E27FC236}">
              <a16:creationId xmlns:a16="http://schemas.microsoft.com/office/drawing/2014/main" id="{00000000-0008-0000-0500-0000480E0000}"/>
            </a:ext>
          </a:extLst>
        </xdr:cNvPr>
        <xdr:cNvSpPr txBox="1">
          <a:spLocks noChangeArrowheads="1"/>
        </xdr:cNvSpPr>
      </xdr:nvSpPr>
      <xdr:spPr bwMode="auto">
        <a:xfrm>
          <a:off x="15388070"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120</xdr:row>
      <xdr:rowOff>0</xdr:rowOff>
    </xdr:from>
    <xdr:ext cx="95250" cy="171450"/>
    <xdr:sp macro="" textlink="">
      <xdr:nvSpPr>
        <xdr:cNvPr id="3657" name="Text Box 18">
          <a:extLst>
            <a:ext uri="{FF2B5EF4-FFF2-40B4-BE49-F238E27FC236}">
              <a16:creationId xmlns:a16="http://schemas.microsoft.com/office/drawing/2014/main" id="{00000000-0008-0000-0500-0000490E0000}"/>
            </a:ext>
          </a:extLst>
        </xdr:cNvPr>
        <xdr:cNvSpPr txBox="1">
          <a:spLocks noChangeArrowheads="1"/>
        </xdr:cNvSpPr>
      </xdr:nvSpPr>
      <xdr:spPr bwMode="auto">
        <a:xfrm>
          <a:off x="15388070"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120</xdr:row>
      <xdr:rowOff>0</xdr:rowOff>
    </xdr:from>
    <xdr:ext cx="95250" cy="171450"/>
    <xdr:sp macro="" textlink="">
      <xdr:nvSpPr>
        <xdr:cNvPr id="3658" name="Text Box 19">
          <a:extLst>
            <a:ext uri="{FF2B5EF4-FFF2-40B4-BE49-F238E27FC236}">
              <a16:creationId xmlns:a16="http://schemas.microsoft.com/office/drawing/2014/main" id="{00000000-0008-0000-0500-00004A0E0000}"/>
            </a:ext>
          </a:extLst>
        </xdr:cNvPr>
        <xdr:cNvSpPr txBox="1">
          <a:spLocks noChangeArrowheads="1"/>
        </xdr:cNvSpPr>
      </xdr:nvSpPr>
      <xdr:spPr bwMode="auto">
        <a:xfrm>
          <a:off x="15388070"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120</xdr:row>
      <xdr:rowOff>0</xdr:rowOff>
    </xdr:from>
    <xdr:ext cx="95250" cy="171450"/>
    <xdr:sp macro="" textlink="">
      <xdr:nvSpPr>
        <xdr:cNvPr id="3659" name="Text Box 16">
          <a:extLst>
            <a:ext uri="{FF2B5EF4-FFF2-40B4-BE49-F238E27FC236}">
              <a16:creationId xmlns:a16="http://schemas.microsoft.com/office/drawing/2014/main" id="{00000000-0008-0000-0500-00004B0E0000}"/>
            </a:ext>
          </a:extLst>
        </xdr:cNvPr>
        <xdr:cNvSpPr txBox="1">
          <a:spLocks noChangeArrowheads="1"/>
        </xdr:cNvSpPr>
      </xdr:nvSpPr>
      <xdr:spPr bwMode="auto">
        <a:xfrm>
          <a:off x="15388070"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120</xdr:row>
      <xdr:rowOff>0</xdr:rowOff>
    </xdr:from>
    <xdr:ext cx="95250" cy="171450"/>
    <xdr:sp macro="" textlink="">
      <xdr:nvSpPr>
        <xdr:cNvPr id="3660" name="Text Box 17">
          <a:extLst>
            <a:ext uri="{FF2B5EF4-FFF2-40B4-BE49-F238E27FC236}">
              <a16:creationId xmlns:a16="http://schemas.microsoft.com/office/drawing/2014/main" id="{00000000-0008-0000-0500-00004C0E0000}"/>
            </a:ext>
          </a:extLst>
        </xdr:cNvPr>
        <xdr:cNvSpPr txBox="1">
          <a:spLocks noChangeArrowheads="1"/>
        </xdr:cNvSpPr>
      </xdr:nvSpPr>
      <xdr:spPr bwMode="auto">
        <a:xfrm>
          <a:off x="15388070"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120</xdr:row>
      <xdr:rowOff>0</xdr:rowOff>
    </xdr:from>
    <xdr:ext cx="95250" cy="171450"/>
    <xdr:sp macro="" textlink="">
      <xdr:nvSpPr>
        <xdr:cNvPr id="3661" name="Text Box 18">
          <a:extLst>
            <a:ext uri="{FF2B5EF4-FFF2-40B4-BE49-F238E27FC236}">
              <a16:creationId xmlns:a16="http://schemas.microsoft.com/office/drawing/2014/main" id="{00000000-0008-0000-0500-00004D0E0000}"/>
            </a:ext>
          </a:extLst>
        </xdr:cNvPr>
        <xdr:cNvSpPr txBox="1">
          <a:spLocks noChangeArrowheads="1"/>
        </xdr:cNvSpPr>
      </xdr:nvSpPr>
      <xdr:spPr bwMode="auto">
        <a:xfrm>
          <a:off x="15388070"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120</xdr:row>
      <xdr:rowOff>0</xdr:rowOff>
    </xdr:from>
    <xdr:ext cx="95250" cy="171450"/>
    <xdr:sp macro="" textlink="">
      <xdr:nvSpPr>
        <xdr:cNvPr id="3662" name="Text Box 19">
          <a:extLst>
            <a:ext uri="{FF2B5EF4-FFF2-40B4-BE49-F238E27FC236}">
              <a16:creationId xmlns:a16="http://schemas.microsoft.com/office/drawing/2014/main" id="{00000000-0008-0000-0500-00004E0E0000}"/>
            </a:ext>
          </a:extLst>
        </xdr:cNvPr>
        <xdr:cNvSpPr txBox="1">
          <a:spLocks noChangeArrowheads="1"/>
        </xdr:cNvSpPr>
      </xdr:nvSpPr>
      <xdr:spPr bwMode="auto">
        <a:xfrm>
          <a:off x="15388070"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114</xdr:row>
      <xdr:rowOff>504825</xdr:rowOff>
    </xdr:from>
    <xdr:ext cx="95250" cy="456743"/>
    <xdr:sp macro="" textlink="">
      <xdr:nvSpPr>
        <xdr:cNvPr id="3663" name="Text Box 15">
          <a:extLst>
            <a:ext uri="{FF2B5EF4-FFF2-40B4-BE49-F238E27FC236}">
              <a16:creationId xmlns:a16="http://schemas.microsoft.com/office/drawing/2014/main" id="{00000000-0008-0000-0500-00004F0E0000}"/>
            </a:ext>
          </a:extLst>
        </xdr:cNvPr>
        <xdr:cNvSpPr txBox="1">
          <a:spLocks noChangeArrowheads="1"/>
        </xdr:cNvSpPr>
      </xdr:nvSpPr>
      <xdr:spPr bwMode="auto">
        <a:xfrm>
          <a:off x="4664364" y="5994111"/>
          <a:ext cx="95250" cy="456743"/>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114</xdr:row>
      <xdr:rowOff>504825</xdr:rowOff>
    </xdr:from>
    <xdr:ext cx="95250" cy="442269"/>
    <xdr:sp macro="" textlink="">
      <xdr:nvSpPr>
        <xdr:cNvPr id="3664" name="Text Box 15">
          <a:extLst>
            <a:ext uri="{FF2B5EF4-FFF2-40B4-BE49-F238E27FC236}">
              <a16:creationId xmlns:a16="http://schemas.microsoft.com/office/drawing/2014/main" id="{00000000-0008-0000-0500-0000500E0000}"/>
            </a:ext>
          </a:extLst>
        </xdr:cNvPr>
        <xdr:cNvSpPr txBox="1">
          <a:spLocks noChangeArrowheads="1"/>
        </xdr:cNvSpPr>
      </xdr:nvSpPr>
      <xdr:spPr bwMode="auto">
        <a:xfrm>
          <a:off x="12540961" y="5994111"/>
          <a:ext cx="95250" cy="442269"/>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21</xdr:col>
      <xdr:colOff>0</xdr:colOff>
      <xdr:row>114</xdr:row>
      <xdr:rowOff>504825</xdr:rowOff>
    </xdr:from>
    <xdr:ext cx="95250" cy="442269"/>
    <xdr:sp macro="" textlink="">
      <xdr:nvSpPr>
        <xdr:cNvPr id="3665" name="Text Box 15">
          <a:extLst>
            <a:ext uri="{FF2B5EF4-FFF2-40B4-BE49-F238E27FC236}">
              <a16:creationId xmlns:a16="http://schemas.microsoft.com/office/drawing/2014/main" id="{00000000-0008-0000-0500-0000510E0000}"/>
            </a:ext>
          </a:extLst>
        </xdr:cNvPr>
        <xdr:cNvSpPr txBox="1">
          <a:spLocks noChangeArrowheads="1"/>
        </xdr:cNvSpPr>
      </xdr:nvSpPr>
      <xdr:spPr bwMode="auto">
        <a:xfrm>
          <a:off x="21832455" y="5994111"/>
          <a:ext cx="95250" cy="442269"/>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114</xdr:row>
      <xdr:rowOff>504825</xdr:rowOff>
    </xdr:from>
    <xdr:ext cx="95250" cy="213632"/>
    <xdr:sp macro="" textlink="">
      <xdr:nvSpPr>
        <xdr:cNvPr id="3666" name="Text Box 15">
          <a:extLst>
            <a:ext uri="{FF2B5EF4-FFF2-40B4-BE49-F238E27FC236}">
              <a16:creationId xmlns:a16="http://schemas.microsoft.com/office/drawing/2014/main" id="{00000000-0008-0000-0500-0000520E0000}"/>
            </a:ext>
          </a:extLst>
        </xdr:cNvPr>
        <xdr:cNvSpPr txBox="1">
          <a:spLocks noChangeArrowheads="1"/>
        </xdr:cNvSpPr>
      </xdr:nvSpPr>
      <xdr:spPr bwMode="auto">
        <a:xfrm>
          <a:off x="4664364" y="5994111"/>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114</xdr:row>
      <xdr:rowOff>504825</xdr:rowOff>
    </xdr:from>
    <xdr:ext cx="95250" cy="444331"/>
    <xdr:sp macro="" textlink="">
      <xdr:nvSpPr>
        <xdr:cNvPr id="3667" name="Text Box 15">
          <a:extLst>
            <a:ext uri="{FF2B5EF4-FFF2-40B4-BE49-F238E27FC236}">
              <a16:creationId xmlns:a16="http://schemas.microsoft.com/office/drawing/2014/main" id="{00000000-0008-0000-0500-0000530E0000}"/>
            </a:ext>
          </a:extLst>
        </xdr:cNvPr>
        <xdr:cNvSpPr txBox="1">
          <a:spLocks noChangeArrowheads="1"/>
        </xdr:cNvSpPr>
      </xdr:nvSpPr>
      <xdr:spPr bwMode="auto">
        <a:xfrm>
          <a:off x="4664364" y="5994111"/>
          <a:ext cx="95250" cy="444331"/>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114</xdr:row>
      <xdr:rowOff>504825</xdr:rowOff>
    </xdr:from>
    <xdr:ext cx="95250" cy="213632"/>
    <xdr:sp macro="" textlink="">
      <xdr:nvSpPr>
        <xdr:cNvPr id="3668" name="Text Box 15">
          <a:extLst>
            <a:ext uri="{FF2B5EF4-FFF2-40B4-BE49-F238E27FC236}">
              <a16:creationId xmlns:a16="http://schemas.microsoft.com/office/drawing/2014/main" id="{00000000-0008-0000-0500-0000540E0000}"/>
            </a:ext>
          </a:extLst>
        </xdr:cNvPr>
        <xdr:cNvSpPr txBox="1">
          <a:spLocks noChangeArrowheads="1"/>
        </xdr:cNvSpPr>
      </xdr:nvSpPr>
      <xdr:spPr bwMode="auto">
        <a:xfrm>
          <a:off x="12540961" y="5994111"/>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120</xdr:row>
      <xdr:rowOff>0</xdr:rowOff>
    </xdr:from>
    <xdr:ext cx="95250" cy="171450"/>
    <xdr:sp macro="" textlink="">
      <xdr:nvSpPr>
        <xdr:cNvPr id="3669" name="Text Box 16">
          <a:extLst>
            <a:ext uri="{FF2B5EF4-FFF2-40B4-BE49-F238E27FC236}">
              <a16:creationId xmlns:a16="http://schemas.microsoft.com/office/drawing/2014/main" id="{00000000-0008-0000-0500-0000550E0000}"/>
            </a:ext>
          </a:extLst>
        </xdr:cNvPr>
        <xdr:cNvSpPr txBox="1">
          <a:spLocks noChangeArrowheads="1"/>
        </xdr:cNvSpPr>
      </xdr:nvSpPr>
      <xdr:spPr bwMode="auto">
        <a:xfrm>
          <a:off x="4664364"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120</xdr:row>
      <xdr:rowOff>0</xdr:rowOff>
    </xdr:from>
    <xdr:ext cx="95250" cy="171450"/>
    <xdr:sp macro="" textlink="">
      <xdr:nvSpPr>
        <xdr:cNvPr id="3670" name="Text Box 17">
          <a:extLst>
            <a:ext uri="{FF2B5EF4-FFF2-40B4-BE49-F238E27FC236}">
              <a16:creationId xmlns:a16="http://schemas.microsoft.com/office/drawing/2014/main" id="{00000000-0008-0000-0500-0000560E0000}"/>
            </a:ext>
          </a:extLst>
        </xdr:cNvPr>
        <xdr:cNvSpPr txBox="1">
          <a:spLocks noChangeArrowheads="1"/>
        </xdr:cNvSpPr>
      </xdr:nvSpPr>
      <xdr:spPr bwMode="auto">
        <a:xfrm>
          <a:off x="4664364"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120</xdr:row>
      <xdr:rowOff>0</xdr:rowOff>
    </xdr:from>
    <xdr:ext cx="95250" cy="171450"/>
    <xdr:sp macro="" textlink="">
      <xdr:nvSpPr>
        <xdr:cNvPr id="3671" name="Text Box 18">
          <a:extLst>
            <a:ext uri="{FF2B5EF4-FFF2-40B4-BE49-F238E27FC236}">
              <a16:creationId xmlns:a16="http://schemas.microsoft.com/office/drawing/2014/main" id="{00000000-0008-0000-0500-0000570E0000}"/>
            </a:ext>
          </a:extLst>
        </xdr:cNvPr>
        <xdr:cNvSpPr txBox="1">
          <a:spLocks noChangeArrowheads="1"/>
        </xdr:cNvSpPr>
      </xdr:nvSpPr>
      <xdr:spPr bwMode="auto">
        <a:xfrm>
          <a:off x="4664364"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120</xdr:row>
      <xdr:rowOff>0</xdr:rowOff>
    </xdr:from>
    <xdr:ext cx="95250" cy="171450"/>
    <xdr:sp macro="" textlink="">
      <xdr:nvSpPr>
        <xdr:cNvPr id="3672" name="Text Box 19">
          <a:extLst>
            <a:ext uri="{FF2B5EF4-FFF2-40B4-BE49-F238E27FC236}">
              <a16:creationId xmlns:a16="http://schemas.microsoft.com/office/drawing/2014/main" id="{00000000-0008-0000-0500-0000580E0000}"/>
            </a:ext>
          </a:extLst>
        </xdr:cNvPr>
        <xdr:cNvSpPr txBox="1">
          <a:spLocks noChangeArrowheads="1"/>
        </xdr:cNvSpPr>
      </xdr:nvSpPr>
      <xdr:spPr bwMode="auto">
        <a:xfrm>
          <a:off x="4664364"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120</xdr:row>
      <xdr:rowOff>0</xdr:rowOff>
    </xdr:from>
    <xdr:ext cx="95250" cy="171450"/>
    <xdr:sp macro="" textlink="">
      <xdr:nvSpPr>
        <xdr:cNvPr id="3673" name="Text Box 16">
          <a:extLst>
            <a:ext uri="{FF2B5EF4-FFF2-40B4-BE49-F238E27FC236}">
              <a16:creationId xmlns:a16="http://schemas.microsoft.com/office/drawing/2014/main" id="{00000000-0008-0000-0500-0000590E0000}"/>
            </a:ext>
          </a:extLst>
        </xdr:cNvPr>
        <xdr:cNvSpPr txBox="1">
          <a:spLocks noChangeArrowheads="1"/>
        </xdr:cNvSpPr>
      </xdr:nvSpPr>
      <xdr:spPr bwMode="auto">
        <a:xfrm>
          <a:off x="12540961"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120</xdr:row>
      <xdr:rowOff>0</xdr:rowOff>
    </xdr:from>
    <xdr:ext cx="95250" cy="171450"/>
    <xdr:sp macro="" textlink="">
      <xdr:nvSpPr>
        <xdr:cNvPr id="3674" name="Text Box 17">
          <a:extLst>
            <a:ext uri="{FF2B5EF4-FFF2-40B4-BE49-F238E27FC236}">
              <a16:creationId xmlns:a16="http://schemas.microsoft.com/office/drawing/2014/main" id="{00000000-0008-0000-0500-00005A0E0000}"/>
            </a:ext>
          </a:extLst>
        </xdr:cNvPr>
        <xdr:cNvSpPr txBox="1">
          <a:spLocks noChangeArrowheads="1"/>
        </xdr:cNvSpPr>
      </xdr:nvSpPr>
      <xdr:spPr bwMode="auto">
        <a:xfrm>
          <a:off x="12540961"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120</xdr:row>
      <xdr:rowOff>0</xdr:rowOff>
    </xdr:from>
    <xdr:ext cx="95250" cy="171450"/>
    <xdr:sp macro="" textlink="">
      <xdr:nvSpPr>
        <xdr:cNvPr id="3675" name="Text Box 18">
          <a:extLst>
            <a:ext uri="{FF2B5EF4-FFF2-40B4-BE49-F238E27FC236}">
              <a16:creationId xmlns:a16="http://schemas.microsoft.com/office/drawing/2014/main" id="{00000000-0008-0000-0500-00005B0E0000}"/>
            </a:ext>
          </a:extLst>
        </xdr:cNvPr>
        <xdr:cNvSpPr txBox="1">
          <a:spLocks noChangeArrowheads="1"/>
        </xdr:cNvSpPr>
      </xdr:nvSpPr>
      <xdr:spPr bwMode="auto">
        <a:xfrm>
          <a:off x="12540961"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120</xdr:row>
      <xdr:rowOff>0</xdr:rowOff>
    </xdr:from>
    <xdr:ext cx="95250" cy="171450"/>
    <xdr:sp macro="" textlink="">
      <xdr:nvSpPr>
        <xdr:cNvPr id="3676" name="Text Box 19">
          <a:extLst>
            <a:ext uri="{FF2B5EF4-FFF2-40B4-BE49-F238E27FC236}">
              <a16:creationId xmlns:a16="http://schemas.microsoft.com/office/drawing/2014/main" id="{00000000-0008-0000-0500-00005C0E0000}"/>
            </a:ext>
          </a:extLst>
        </xdr:cNvPr>
        <xdr:cNvSpPr txBox="1">
          <a:spLocks noChangeArrowheads="1"/>
        </xdr:cNvSpPr>
      </xdr:nvSpPr>
      <xdr:spPr bwMode="auto">
        <a:xfrm>
          <a:off x="12540961"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21</xdr:col>
      <xdr:colOff>0</xdr:colOff>
      <xdr:row>120</xdr:row>
      <xdr:rowOff>0</xdr:rowOff>
    </xdr:from>
    <xdr:ext cx="95250" cy="171450"/>
    <xdr:sp macro="" textlink="">
      <xdr:nvSpPr>
        <xdr:cNvPr id="3677" name="Text Box 16">
          <a:extLst>
            <a:ext uri="{FF2B5EF4-FFF2-40B4-BE49-F238E27FC236}">
              <a16:creationId xmlns:a16="http://schemas.microsoft.com/office/drawing/2014/main" id="{00000000-0008-0000-0500-00005D0E0000}"/>
            </a:ext>
          </a:extLst>
        </xdr:cNvPr>
        <xdr:cNvSpPr txBox="1">
          <a:spLocks noChangeArrowheads="1"/>
        </xdr:cNvSpPr>
      </xdr:nvSpPr>
      <xdr:spPr bwMode="auto">
        <a:xfrm>
          <a:off x="21832455"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21</xdr:col>
      <xdr:colOff>0</xdr:colOff>
      <xdr:row>120</xdr:row>
      <xdr:rowOff>0</xdr:rowOff>
    </xdr:from>
    <xdr:ext cx="95250" cy="171450"/>
    <xdr:sp macro="" textlink="">
      <xdr:nvSpPr>
        <xdr:cNvPr id="3678" name="Text Box 17">
          <a:extLst>
            <a:ext uri="{FF2B5EF4-FFF2-40B4-BE49-F238E27FC236}">
              <a16:creationId xmlns:a16="http://schemas.microsoft.com/office/drawing/2014/main" id="{00000000-0008-0000-0500-00005E0E0000}"/>
            </a:ext>
          </a:extLst>
        </xdr:cNvPr>
        <xdr:cNvSpPr txBox="1">
          <a:spLocks noChangeArrowheads="1"/>
        </xdr:cNvSpPr>
      </xdr:nvSpPr>
      <xdr:spPr bwMode="auto">
        <a:xfrm>
          <a:off x="21832455"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21</xdr:col>
      <xdr:colOff>0</xdr:colOff>
      <xdr:row>120</xdr:row>
      <xdr:rowOff>0</xdr:rowOff>
    </xdr:from>
    <xdr:ext cx="95250" cy="171450"/>
    <xdr:sp macro="" textlink="">
      <xdr:nvSpPr>
        <xdr:cNvPr id="3679" name="Text Box 18">
          <a:extLst>
            <a:ext uri="{FF2B5EF4-FFF2-40B4-BE49-F238E27FC236}">
              <a16:creationId xmlns:a16="http://schemas.microsoft.com/office/drawing/2014/main" id="{00000000-0008-0000-0500-00005F0E0000}"/>
            </a:ext>
          </a:extLst>
        </xdr:cNvPr>
        <xdr:cNvSpPr txBox="1">
          <a:spLocks noChangeArrowheads="1"/>
        </xdr:cNvSpPr>
      </xdr:nvSpPr>
      <xdr:spPr bwMode="auto">
        <a:xfrm>
          <a:off x="21832455"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21</xdr:col>
      <xdr:colOff>0</xdr:colOff>
      <xdr:row>120</xdr:row>
      <xdr:rowOff>0</xdr:rowOff>
    </xdr:from>
    <xdr:ext cx="95250" cy="171450"/>
    <xdr:sp macro="" textlink="">
      <xdr:nvSpPr>
        <xdr:cNvPr id="3680" name="Text Box 19">
          <a:extLst>
            <a:ext uri="{FF2B5EF4-FFF2-40B4-BE49-F238E27FC236}">
              <a16:creationId xmlns:a16="http://schemas.microsoft.com/office/drawing/2014/main" id="{00000000-0008-0000-0500-0000600E0000}"/>
            </a:ext>
          </a:extLst>
        </xdr:cNvPr>
        <xdr:cNvSpPr txBox="1">
          <a:spLocks noChangeArrowheads="1"/>
        </xdr:cNvSpPr>
      </xdr:nvSpPr>
      <xdr:spPr bwMode="auto">
        <a:xfrm>
          <a:off x="21832455"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118</xdr:row>
      <xdr:rowOff>504825</xdr:rowOff>
    </xdr:from>
    <xdr:ext cx="95250" cy="444014"/>
    <xdr:sp macro="" textlink="">
      <xdr:nvSpPr>
        <xdr:cNvPr id="3681" name="Text Box 15">
          <a:extLst>
            <a:ext uri="{FF2B5EF4-FFF2-40B4-BE49-F238E27FC236}">
              <a16:creationId xmlns:a16="http://schemas.microsoft.com/office/drawing/2014/main" id="{00000000-0008-0000-0500-0000610E0000}"/>
            </a:ext>
          </a:extLst>
        </xdr:cNvPr>
        <xdr:cNvSpPr txBox="1">
          <a:spLocks noChangeArrowheads="1"/>
        </xdr:cNvSpPr>
      </xdr:nvSpPr>
      <xdr:spPr bwMode="auto">
        <a:xfrm>
          <a:off x="4664364" y="6733020"/>
          <a:ext cx="95250" cy="444014"/>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120</xdr:row>
      <xdr:rowOff>0</xdr:rowOff>
    </xdr:from>
    <xdr:ext cx="95250" cy="171450"/>
    <xdr:sp macro="" textlink="">
      <xdr:nvSpPr>
        <xdr:cNvPr id="3682" name="Text Box 16">
          <a:extLst>
            <a:ext uri="{FF2B5EF4-FFF2-40B4-BE49-F238E27FC236}">
              <a16:creationId xmlns:a16="http://schemas.microsoft.com/office/drawing/2014/main" id="{00000000-0008-0000-0500-0000620E0000}"/>
            </a:ext>
          </a:extLst>
        </xdr:cNvPr>
        <xdr:cNvSpPr txBox="1">
          <a:spLocks noChangeArrowheads="1"/>
        </xdr:cNvSpPr>
      </xdr:nvSpPr>
      <xdr:spPr bwMode="auto">
        <a:xfrm>
          <a:off x="4664364"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120</xdr:row>
      <xdr:rowOff>0</xdr:rowOff>
    </xdr:from>
    <xdr:ext cx="95250" cy="171450"/>
    <xdr:sp macro="" textlink="">
      <xdr:nvSpPr>
        <xdr:cNvPr id="3683" name="Text Box 17">
          <a:extLst>
            <a:ext uri="{FF2B5EF4-FFF2-40B4-BE49-F238E27FC236}">
              <a16:creationId xmlns:a16="http://schemas.microsoft.com/office/drawing/2014/main" id="{00000000-0008-0000-0500-0000630E0000}"/>
            </a:ext>
          </a:extLst>
        </xdr:cNvPr>
        <xdr:cNvSpPr txBox="1">
          <a:spLocks noChangeArrowheads="1"/>
        </xdr:cNvSpPr>
      </xdr:nvSpPr>
      <xdr:spPr bwMode="auto">
        <a:xfrm>
          <a:off x="4664364"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120</xdr:row>
      <xdr:rowOff>0</xdr:rowOff>
    </xdr:from>
    <xdr:ext cx="95250" cy="171450"/>
    <xdr:sp macro="" textlink="">
      <xdr:nvSpPr>
        <xdr:cNvPr id="3684" name="Text Box 18">
          <a:extLst>
            <a:ext uri="{FF2B5EF4-FFF2-40B4-BE49-F238E27FC236}">
              <a16:creationId xmlns:a16="http://schemas.microsoft.com/office/drawing/2014/main" id="{00000000-0008-0000-0500-0000640E0000}"/>
            </a:ext>
          </a:extLst>
        </xdr:cNvPr>
        <xdr:cNvSpPr txBox="1">
          <a:spLocks noChangeArrowheads="1"/>
        </xdr:cNvSpPr>
      </xdr:nvSpPr>
      <xdr:spPr bwMode="auto">
        <a:xfrm>
          <a:off x="4664364"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120</xdr:row>
      <xdr:rowOff>0</xdr:rowOff>
    </xdr:from>
    <xdr:ext cx="95250" cy="171450"/>
    <xdr:sp macro="" textlink="">
      <xdr:nvSpPr>
        <xdr:cNvPr id="3685" name="Text Box 19">
          <a:extLst>
            <a:ext uri="{FF2B5EF4-FFF2-40B4-BE49-F238E27FC236}">
              <a16:creationId xmlns:a16="http://schemas.microsoft.com/office/drawing/2014/main" id="{00000000-0008-0000-0500-0000650E0000}"/>
            </a:ext>
          </a:extLst>
        </xdr:cNvPr>
        <xdr:cNvSpPr txBox="1">
          <a:spLocks noChangeArrowheads="1"/>
        </xdr:cNvSpPr>
      </xdr:nvSpPr>
      <xdr:spPr bwMode="auto">
        <a:xfrm>
          <a:off x="4664364"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118</xdr:row>
      <xdr:rowOff>504825</xdr:rowOff>
    </xdr:from>
    <xdr:ext cx="95250" cy="442269"/>
    <xdr:sp macro="" textlink="">
      <xdr:nvSpPr>
        <xdr:cNvPr id="3686" name="Text Box 15">
          <a:extLst>
            <a:ext uri="{FF2B5EF4-FFF2-40B4-BE49-F238E27FC236}">
              <a16:creationId xmlns:a16="http://schemas.microsoft.com/office/drawing/2014/main" id="{00000000-0008-0000-0500-0000660E0000}"/>
            </a:ext>
          </a:extLst>
        </xdr:cNvPr>
        <xdr:cNvSpPr txBox="1">
          <a:spLocks noChangeArrowheads="1"/>
        </xdr:cNvSpPr>
      </xdr:nvSpPr>
      <xdr:spPr bwMode="auto">
        <a:xfrm>
          <a:off x="12540961" y="6733020"/>
          <a:ext cx="95250" cy="442269"/>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120</xdr:row>
      <xdr:rowOff>0</xdr:rowOff>
    </xdr:from>
    <xdr:ext cx="95250" cy="171450"/>
    <xdr:sp macro="" textlink="">
      <xdr:nvSpPr>
        <xdr:cNvPr id="3687" name="Text Box 16">
          <a:extLst>
            <a:ext uri="{FF2B5EF4-FFF2-40B4-BE49-F238E27FC236}">
              <a16:creationId xmlns:a16="http://schemas.microsoft.com/office/drawing/2014/main" id="{00000000-0008-0000-0500-0000670E0000}"/>
            </a:ext>
          </a:extLst>
        </xdr:cNvPr>
        <xdr:cNvSpPr txBox="1">
          <a:spLocks noChangeArrowheads="1"/>
        </xdr:cNvSpPr>
      </xdr:nvSpPr>
      <xdr:spPr bwMode="auto">
        <a:xfrm>
          <a:off x="12540961"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120</xdr:row>
      <xdr:rowOff>0</xdr:rowOff>
    </xdr:from>
    <xdr:ext cx="95250" cy="171450"/>
    <xdr:sp macro="" textlink="">
      <xdr:nvSpPr>
        <xdr:cNvPr id="3688" name="Text Box 17">
          <a:extLst>
            <a:ext uri="{FF2B5EF4-FFF2-40B4-BE49-F238E27FC236}">
              <a16:creationId xmlns:a16="http://schemas.microsoft.com/office/drawing/2014/main" id="{00000000-0008-0000-0500-0000680E0000}"/>
            </a:ext>
          </a:extLst>
        </xdr:cNvPr>
        <xdr:cNvSpPr txBox="1">
          <a:spLocks noChangeArrowheads="1"/>
        </xdr:cNvSpPr>
      </xdr:nvSpPr>
      <xdr:spPr bwMode="auto">
        <a:xfrm>
          <a:off x="12540961"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120</xdr:row>
      <xdr:rowOff>0</xdr:rowOff>
    </xdr:from>
    <xdr:ext cx="95250" cy="171450"/>
    <xdr:sp macro="" textlink="">
      <xdr:nvSpPr>
        <xdr:cNvPr id="3689" name="Text Box 18">
          <a:extLst>
            <a:ext uri="{FF2B5EF4-FFF2-40B4-BE49-F238E27FC236}">
              <a16:creationId xmlns:a16="http://schemas.microsoft.com/office/drawing/2014/main" id="{00000000-0008-0000-0500-0000690E0000}"/>
            </a:ext>
          </a:extLst>
        </xdr:cNvPr>
        <xdr:cNvSpPr txBox="1">
          <a:spLocks noChangeArrowheads="1"/>
        </xdr:cNvSpPr>
      </xdr:nvSpPr>
      <xdr:spPr bwMode="auto">
        <a:xfrm>
          <a:off x="12540961"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120</xdr:row>
      <xdr:rowOff>0</xdr:rowOff>
    </xdr:from>
    <xdr:ext cx="95250" cy="171450"/>
    <xdr:sp macro="" textlink="">
      <xdr:nvSpPr>
        <xdr:cNvPr id="3690" name="Text Box 16">
          <a:extLst>
            <a:ext uri="{FF2B5EF4-FFF2-40B4-BE49-F238E27FC236}">
              <a16:creationId xmlns:a16="http://schemas.microsoft.com/office/drawing/2014/main" id="{00000000-0008-0000-0500-00006A0E0000}"/>
            </a:ext>
          </a:extLst>
        </xdr:cNvPr>
        <xdr:cNvSpPr txBox="1">
          <a:spLocks noChangeArrowheads="1"/>
        </xdr:cNvSpPr>
      </xdr:nvSpPr>
      <xdr:spPr bwMode="auto">
        <a:xfrm>
          <a:off x="15388070"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120</xdr:row>
      <xdr:rowOff>0</xdr:rowOff>
    </xdr:from>
    <xdr:ext cx="95250" cy="171450"/>
    <xdr:sp macro="" textlink="">
      <xdr:nvSpPr>
        <xdr:cNvPr id="3691" name="Text Box 17">
          <a:extLst>
            <a:ext uri="{FF2B5EF4-FFF2-40B4-BE49-F238E27FC236}">
              <a16:creationId xmlns:a16="http://schemas.microsoft.com/office/drawing/2014/main" id="{00000000-0008-0000-0500-00006B0E0000}"/>
            </a:ext>
          </a:extLst>
        </xdr:cNvPr>
        <xdr:cNvSpPr txBox="1">
          <a:spLocks noChangeArrowheads="1"/>
        </xdr:cNvSpPr>
      </xdr:nvSpPr>
      <xdr:spPr bwMode="auto">
        <a:xfrm>
          <a:off x="15388070"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120</xdr:row>
      <xdr:rowOff>0</xdr:rowOff>
    </xdr:from>
    <xdr:ext cx="95250" cy="171450"/>
    <xdr:sp macro="" textlink="">
      <xdr:nvSpPr>
        <xdr:cNvPr id="3692" name="Text Box 18">
          <a:extLst>
            <a:ext uri="{FF2B5EF4-FFF2-40B4-BE49-F238E27FC236}">
              <a16:creationId xmlns:a16="http://schemas.microsoft.com/office/drawing/2014/main" id="{00000000-0008-0000-0500-00006C0E0000}"/>
            </a:ext>
          </a:extLst>
        </xdr:cNvPr>
        <xdr:cNvSpPr txBox="1">
          <a:spLocks noChangeArrowheads="1"/>
        </xdr:cNvSpPr>
      </xdr:nvSpPr>
      <xdr:spPr bwMode="auto">
        <a:xfrm>
          <a:off x="15388070"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120</xdr:row>
      <xdr:rowOff>0</xdr:rowOff>
    </xdr:from>
    <xdr:ext cx="95250" cy="171450"/>
    <xdr:sp macro="" textlink="">
      <xdr:nvSpPr>
        <xdr:cNvPr id="3693" name="Text Box 19">
          <a:extLst>
            <a:ext uri="{FF2B5EF4-FFF2-40B4-BE49-F238E27FC236}">
              <a16:creationId xmlns:a16="http://schemas.microsoft.com/office/drawing/2014/main" id="{00000000-0008-0000-0500-00006D0E0000}"/>
            </a:ext>
          </a:extLst>
        </xdr:cNvPr>
        <xdr:cNvSpPr txBox="1">
          <a:spLocks noChangeArrowheads="1"/>
        </xdr:cNvSpPr>
      </xdr:nvSpPr>
      <xdr:spPr bwMode="auto">
        <a:xfrm>
          <a:off x="15388070"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120</xdr:row>
      <xdr:rowOff>0</xdr:rowOff>
    </xdr:from>
    <xdr:ext cx="95250" cy="171450"/>
    <xdr:sp macro="" textlink="">
      <xdr:nvSpPr>
        <xdr:cNvPr id="3694" name="Text Box 16">
          <a:extLst>
            <a:ext uri="{FF2B5EF4-FFF2-40B4-BE49-F238E27FC236}">
              <a16:creationId xmlns:a16="http://schemas.microsoft.com/office/drawing/2014/main" id="{00000000-0008-0000-0500-00006E0E0000}"/>
            </a:ext>
          </a:extLst>
        </xdr:cNvPr>
        <xdr:cNvSpPr txBox="1">
          <a:spLocks noChangeArrowheads="1"/>
        </xdr:cNvSpPr>
      </xdr:nvSpPr>
      <xdr:spPr bwMode="auto">
        <a:xfrm>
          <a:off x="15388070"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120</xdr:row>
      <xdr:rowOff>0</xdr:rowOff>
    </xdr:from>
    <xdr:ext cx="95250" cy="171450"/>
    <xdr:sp macro="" textlink="">
      <xdr:nvSpPr>
        <xdr:cNvPr id="3695" name="Text Box 17">
          <a:extLst>
            <a:ext uri="{FF2B5EF4-FFF2-40B4-BE49-F238E27FC236}">
              <a16:creationId xmlns:a16="http://schemas.microsoft.com/office/drawing/2014/main" id="{00000000-0008-0000-0500-00006F0E0000}"/>
            </a:ext>
          </a:extLst>
        </xdr:cNvPr>
        <xdr:cNvSpPr txBox="1">
          <a:spLocks noChangeArrowheads="1"/>
        </xdr:cNvSpPr>
      </xdr:nvSpPr>
      <xdr:spPr bwMode="auto">
        <a:xfrm>
          <a:off x="15388070"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120</xdr:row>
      <xdr:rowOff>0</xdr:rowOff>
    </xdr:from>
    <xdr:ext cx="95250" cy="171450"/>
    <xdr:sp macro="" textlink="">
      <xdr:nvSpPr>
        <xdr:cNvPr id="3696" name="Text Box 18">
          <a:extLst>
            <a:ext uri="{FF2B5EF4-FFF2-40B4-BE49-F238E27FC236}">
              <a16:creationId xmlns:a16="http://schemas.microsoft.com/office/drawing/2014/main" id="{00000000-0008-0000-0500-0000700E0000}"/>
            </a:ext>
          </a:extLst>
        </xdr:cNvPr>
        <xdr:cNvSpPr txBox="1">
          <a:spLocks noChangeArrowheads="1"/>
        </xdr:cNvSpPr>
      </xdr:nvSpPr>
      <xdr:spPr bwMode="auto">
        <a:xfrm>
          <a:off x="15388070"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10</xdr:col>
      <xdr:colOff>28575</xdr:colOff>
      <xdr:row>120</xdr:row>
      <xdr:rowOff>170392</xdr:rowOff>
    </xdr:from>
    <xdr:ext cx="95250" cy="213632"/>
    <xdr:sp macro="" textlink="">
      <xdr:nvSpPr>
        <xdr:cNvPr id="3697" name="Text Box 15">
          <a:extLst>
            <a:ext uri="{FF2B5EF4-FFF2-40B4-BE49-F238E27FC236}">
              <a16:creationId xmlns:a16="http://schemas.microsoft.com/office/drawing/2014/main" id="{00000000-0008-0000-0500-0000710E0000}"/>
            </a:ext>
          </a:extLst>
        </xdr:cNvPr>
        <xdr:cNvSpPr txBox="1">
          <a:spLocks noChangeArrowheads="1"/>
        </xdr:cNvSpPr>
      </xdr:nvSpPr>
      <xdr:spPr bwMode="auto">
        <a:xfrm>
          <a:off x="12578484" y="7270847"/>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120</xdr:row>
      <xdr:rowOff>0</xdr:rowOff>
    </xdr:from>
    <xdr:ext cx="95250" cy="171450"/>
    <xdr:sp macro="" textlink="">
      <xdr:nvSpPr>
        <xdr:cNvPr id="3698" name="Text Box 16">
          <a:extLst>
            <a:ext uri="{FF2B5EF4-FFF2-40B4-BE49-F238E27FC236}">
              <a16:creationId xmlns:a16="http://schemas.microsoft.com/office/drawing/2014/main" id="{00000000-0008-0000-0500-0000720E0000}"/>
            </a:ext>
          </a:extLst>
        </xdr:cNvPr>
        <xdr:cNvSpPr txBox="1">
          <a:spLocks noChangeArrowheads="1"/>
        </xdr:cNvSpPr>
      </xdr:nvSpPr>
      <xdr:spPr bwMode="auto">
        <a:xfrm>
          <a:off x="4664364"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120</xdr:row>
      <xdr:rowOff>0</xdr:rowOff>
    </xdr:from>
    <xdr:ext cx="95250" cy="171450"/>
    <xdr:sp macro="" textlink="">
      <xdr:nvSpPr>
        <xdr:cNvPr id="3699" name="Text Box 17">
          <a:extLst>
            <a:ext uri="{FF2B5EF4-FFF2-40B4-BE49-F238E27FC236}">
              <a16:creationId xmlns:a16="http://schemas.microsoft.com/office/drawing/2014/main" id="{00000000-0008-0000-0500-0000730E0000}"/>
            </a:ext>
          </a:extLst>
        </xdr:cNvPr>
        <xdr:cNvSpPr txBox="1">
          <a:spLocks noChangeArrowheads="1"/>
        </xdr:cNvSpPr>
      </xdr:nvSpPr>
      <xdr:spPr bwMode="auto">
        <a:xfrm>
          <a:off x="4664364"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120</xdr:row>
      <xdr:rowOff>0</xdr:rowOff>
    </xdr:from>
    <xdr:ext cx="95250" cy="171450"/>
    <xdr:sp macro="" textlink="">
      <xdr:nvSpPr>
        <xdr:cNvPr id="3700" name="Text Box 18">
          <a:extLst>
            <a:ext uri="{FF2B5EF4-FFF2-40B4-BE49-F238E27FC236}">
              <a16:creationId xmlns:a16="http://schemas.microsoft.com/office/drawing/2014/main" id="{00000000-0008-0000-0500-0000740E0000}"/>
            </a:ext>
          </a:extLst>
        </xdr:cNvPr>
        <xdr:cNvSpPr txBox="1">
          <a:spLocks noChangeArrowheads="1"/>
        </xdr:cNvSpPr>
      </xdr:nvSpPr>
      <xdr:spPr bwMode="auto">
        <a:xfrm>
          <a:off x="4664364"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120</xdr:row>
      <xdr:rowOff>0</xdr:rowOff>
    </xdr:from>
    <xdr:ext cx="95250" cy="171450"/>
    <xdr:sp macro="" textlink="">
      <xdr:nvSpPr>
        <xdr:cNvPr id="3701" name="Text Box 19">
          <a:extLst>
            <a:ext uri="{FF2B5EF4-FFF2-40B4-BE49-F238E27FC236}">
              <a16:creationId xmlns:a16="http://schemas.microsoft.com/office/drawing/2014/main" id="{00000000-0008-0000-0500-0000750E0000}"/>
            </a:ext>
          </a:extLst>
        </xdr:cNvPr>
        <xdr:cNvSpPr txBox="1">
          <a:spLocks noChangeArrowheads="1"/>
        </xdr:cNvSpPr>
      </xdr:nvSpPr>
      <xdr:spPr bwMode="auto">
        <a:xfrm>
          <a:off x="4664364"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120</xdr:row>
      <xdr:rowOff>0</xdr:rowOff>
    </xdr:from>
    <xdr:ext cx="95250" cy="171450"/>
    <xdr:sp macro="" textlink="">
      <xdr:nvSpPr>
        <xdr:cNvPr id="3702" name="Text Box 16">
          <a:extLst>
            <a:ext uri="{FF2B5EF4-FFF2-40B4-BE49-F238E27FC236}">
              <a16:creationId xmlns:a16="http://schemas.microsoft.com/office/drawing/2014/main" id="{00000000-0008-0000-0500-0000760E0000}"/>
            </a:ext>
          </a:extLst>
        </xdr:cNvPr>
        <xdr:cNvSpPr txBox="1">
          <a:spLocks noChangeArrowheads="1"/>
        </xdr:cNvSpPr>
      </xdr:nvSpPr>
      <xdr:spPr bwMode="auto">
        <a:xfrm>
          <a:off x="12540961"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120</xdr:row>
      <xdr:rowOff>0</xdr:rowOff>
    </xdr:from>
    <xdr:ext cx="95250" cy="171450"/>
    <xdr:sp macro="" textlink="">
      <xdr:nvSpPr>
        <xdr:cNvPr id="3703" name="Text Box 17">
          <a:extLst>
            <a:ext uri="{FF2B5EF4-FFF2-40B4-BE49-F238E27FC236}">
              <a16:creationId xmlns:a16="http://schemas.microsoft.com/office/drawing/2014/main" id="{00000000-0008-0000-0500-0000770E0000}"/>
            </a:ext>
          </a:extLst>
        </xdr:cNvPr>
        <xdr:cNvSpPr txBox="1">
          <a:spLocks noChangeArrowheads="1"/>
        </xdr:cNvSpPr>
      </xdr:nvSpPr>
      <xdr:spPr bwMode="auto">
        <a:xfrm>
          <a:off x="12540961"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120</xdr:row>
      <xdr:rowOff>0</xdr:rowOff>
    </xdr:from>
    <xdr:ext cx="95250" cy="171450"/>
    <xdr:sp macro="" textlink="">
      <xdr:nvSpPr>
        <xdr:cNvPr id="3704" name="Text Box 18">
          <a:extLst>
            <a:ext uri="{FF2B5EF4-FFF2-40B4-BE49-F238E27FC236}">
              <a16:creationId xmlns:a16="http://schemas.microsoft.com/office/drawing/2014/main" id="{00000000-0008-0000-0500-0000780E0000}"/>
            </a:ext>
          </a:extLst>
        </xdr:cNvPr>
        <xdr:cNvSpPr txBox="1">
          <a:spLocks noChangeArrowheads="1"/>
        </xdr:cNvSpPr>
      </xdr:nvSpPr>
      <xdr:spPr bwMode="auto">
        <a:xfrm>
          <a:off x="12540961"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120</xdr:row>
      <xdr:rowOff>0</xdr:rowOff>
    </xdr:from>
    <xdr:ext cx="95250" cy="171450"/>
    <xdr:sp macro="" textlink="">
      <xdr:nvSpPr>
        <xdr:cNvPr id="3705" name="Text Box 19">
          <a:extLst>
            <a:ext uri="{FF2B5EF4-FFF2-40B4-BE49-F238E27FC236}">
              <a16:creationId xmlns:a16="http://schemas.microsoft.com/office/drawing/2014/main" id="{00000000-0008-0000-0500-0000790E0000}"/>
            </a:ext>
          </a:extLst>
        </xdr:cNvPr>
        <xdr:cNvSpPr txBox="1">
          <a:spLocks noChangeArrowheads="1"/>
        </xdr:cNvSpPr>
      </xdr:nvSpPr>
      <xdr:spPr bwMode="auto">
        <a:xfrm>
          <a:off x="12540961"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21</xdr:col>
      <xdr:colOff>0</xdr:colOff>
      <xdr:row>115</xdr:row>
      <xdr:rowOff>0</xdr:rowOff>
    </xdr:from>
    <xdr:ext cx="95250" cy="171450"/>
    <xdr:sp macro="" textlink="">
      <xdr:nvSpPr>
        <xdr:cNvPr id="3706" name="Text Box 16">
          <a:extLst>
            <a:ext uri="{FF2B5EF4-FFF2-40B4-BE49-F238E27FC236}">
              <a16:creationId xmlns:a16="http://schemas.microsoft.com/office/drawing/2014/main" id="{00000000-0008-0000-0500-00007A0E0000}"/>
            </a:ext>
          </a:extLst>
        </xdr:cNvPr>
        <xdr:cNvSpPr txBox="1">
          <a:spLocks noChangeArrowheads="1"/>
        </xdr:cNvSpPr>
      </xdr:nvSpPr>
      <xdr:spPr bwMode="auto">
        <a:xfrm>
          <a:off x="21832455" y="5992091"/>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21</xdr:col>
      <xdr:colOff>0</xdr:colOff>
      <xdr:row>115</xdr:row>
      <xdr:rowOff>0</xdr:rowOff>
    </xdr:from>
    <xdr:ext cx="95250" cy="171450"/>
    <xdr:sp macro="" textlink="">
      <xdr:nvSpPr>
        <xdr:cNvPr id="3707" name="Text Box 17">
          <a:extLst>
            <a:ext uri="{FF2B5EF4-FFF2-40B4-BE49-F238E27FC236}">
              <a16:creationId xmlns:a16="http://schemas.microsoft.com/office/drawing/2014/main" id="{00000000-0008-0000-0500-00007B0E0000}"/>
            </a:ext>
          </a:extLst>
        </xdr:cNvPr>
        <xdr:cNvSpPr txBox="1">
          <a:spLocks noChangeArrowheads="1"/>
        </xdr:cNvSpPr>
      </xdr:nvSpPr>
      <xdr:spPr bwMode="auto">
        <a:xfrm>
          <a:off x="21832455" y="5992091"/>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21</xdr:col>
      <xdr:colOff>0</xdr:colOff>
      <xdr:row>115</xdr:row>
      <xdr:rowOff>0</xdr:rowOff>
    </xdr:from>
    <xdr:ext cx="95250" cy="171450"/>
    <xdr:sp macro="" textlink="">
      <xdr:nvSpPr>
        <xdr:cNvPr id="3708" name="Text Box 18">
          <a:extLst>
            <a:ext uri="{FF2B5EF4-FFF2-40B4-BE49-F238E27FC236}">
              <a16:creationId xmlns:a16="http://schemas.microsoft.com/office/drawing/2014/main" id="{00000000-0008-0000-0500-00007C0E0000}"/>
            </a:ext>
          </a:extLst>
        </xdr:cNvPr>
        <xdr:cNvSpPr txBox="1">
          <a:spLocks noChangeArrowheads="1"/>
        </xdr:cNvSpPr>
      </xdr:nvSpPr>
      <xdr:spPr bwMode="auto">
        <a:xfrm>
          <a:off x="21832455" y="5992091"/>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21</xdr:col>
      <xdr:colOff>0</xdr:colOff>
      <xdr:row>115</xdr:row>
      <xdr:rowOff>0</xdr:rowOff>
    </xdr:from>
    <xdr:ext cx="95250" cy="171450"/>
    <xdr:sp macro="" textlink="">
      <xdr:nvSpPr>
        <xdr:cNvPr id="3709" name="Text Box 19">
          <a:extLst>
            <a:ext uri="{FF2B5EF4-FFF2-40B4-BE49-F238E27FC236}">
              <a16:creationId xmlns:a16="http://schemas.microsoft.com/office/drawing/2014/main" id="{00000000-0008-0000-0500-00007D0E0000}"/>
            </a:ext>
          </a:extLst>
        </xdr:cNvPr>
        <xdr:cNvSpPr txBox="1">
          <a:spLocks noChangeArrowheads="1"/>
        </xdr:cNvSpPr>
      </xdr:nvSpPr>
      <xdr:spPr bwMode="auto">
        <a:xfrm>
          <a:off x="21832455" y="5992091"/>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118</xdr:row>
      <xdr:rowOff>504825</xdr:rowOff>
    </xdr:from>
    <xdr:ext cx="95250" cy="444014"/>
    <xdr:sp macro="" textlink="">
      <xdr:nvSpPr>
        <xdr:cNvPr id="3710" name="Text Box 15">
          <a:extLst>
            <a:ext uri="{FF2B5EF4-FFF2-40B4-BE49-F238E27FC236}">
              <a16:creationId xmlns:a16="http://schemas.microsoft.com/office/drawing/2014/main" id="{00000000-0008-0000-0500-00007E0E0000}"/>
            </a:ext>
          </a:extLst>
        </xdr:cNvPr>
        <xdr:cNvSpPr txBox="1">
          <a:spLocks noChangeArrowheads="1"/>
        </xdr:cNvSpPr>
      </xdr:nvSpPr>
      <xdr:spPr bwMode="auto">
        <a:xfrm>
          <a:off x="4664364" y="6733020"/>
          <a:ext cx="95250" cy="444014"/>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120</xdr:row>
      <xdr:rowOff>0</xdr:rowOff>
    </xdr:from>
    <xdr:ext cx="95250" cy="171450"/>
    <xdr:sp macro="" textlink="">
      <xdr:nvSpPr>
        <xdr:cNvPr id="3711" name="Text Box 16">
          <a:extLst>
            <a:ext uri="{FF2B5EF4-FFF2-40B4-BE49-F238E27FC236}">
              <a16:creationId xmlns:a16="http://schemas.microsoft.com/office/drawing/2014/main" id="{00000000-0008-0000-0500-00007F0E0000}"/>
            </a:ext>
          </a:extLst>
        </xdr:cNvPr>
        <xdr:cNvSpPr txBox="1">
          <a:spLocks noChangeArrowheads="1"/>
        </xdr:cNvSpPr>
      </xdr:nvSpPr>
      <xdr:spPr bwMode="auto">
        <a:xfrm>
          <a:off x="4664364"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120</xdr:row>
      <xdr:rowOff>0</xdr:rowOff>
    </xdr:from>
    <xdr:ext cx="95250" cy="171450"/>
    <xdr:sp macro="" textlink="">
      <xdr:nvSpPr>
        <xdr:cNvPr id="3712" name="Text Box 17">
          <a:extLst>
            <a:ext uri="{FF2B5EF4-FFF2-40B4-BE49-F238E27FC236}">
              <a16:creationId xmlns:a16="http://schemas.microsoft.com/office/drawing/2014/main" id="{00000000-0008-0000-0500-0000800E0000}"/>
            </a:ext>
          </a:extLst>
        </xdr:cNvPr>
        <xdr:cNvSpPr txBox="1">
          <a:spLocks noChangeArrowheads="1"/>
        </xdr:cNvSpPr>
      </xdr:nvSpPr>
      <xdr:spPr bwMode="auto">
        <a:xfrm>
          <a:off x="4664364"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120</xdr:row>
      <xdr:rowOff>0</xdr:rowOff>
    </xdr:from>
    <xdr:ext cx="95250" cy="171450"/>
    <xdr:sp macro="" textlink="">
      <xdr:nvSpPr>
        <xdr:cNvPr id="3713" name="Text Box 18">
          <a:extLst>
            <a:ext uri="{FF2B5EF4-FFF2-40B4-BE49-F238E27FC236}">
              <a16:creationId xmlns:a16="http://schemas.microsoft.com/office/drawing/2014/main" id="{00000000-0008-0000-0500-0000810E0000}"/>
            </a:ext>
          </a:extLst>
        </xdr:cNvPr>
        <xdr:cNvSpPr txBox="1">
          <a:spLocks noChangeArrowheads="1"/>
        </xdr:cNvSpPr>
      </xdr:nvSpPr>
      <xdr:spPr bwMode="auto">
        <a:xfrm>
          <a:off x="4664364"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120</xdr:row>
      <xdr:rowOff>0</xdr:rowOff>
    </xdr:from>
    <xdr:ext cx="95250" cy="171450"/>
    <xdr:sp macro="" textlink="">
      <xdr:nvSpPr>
        <xdr:cNvPr id="3714" name="Text Box 19">
          <a:extLst>
            <a:ext uri="{FF2B5EF4-FFF2-40B4-BE49-F238E27FC236}">
              <a16:creationId xmlns:a16="http://schemas.microsoft.com/office/drawing/2014/main" id="{00000000-0008-0000-0500-0000820E0000}"/>
            </a:ext>
          </a:extLst>
        </xdr:cNvPr>
        <xdr:cNvSpPr txBox="1">
          <a:spLocks noChangeArrowheads="1"/>
        </xdr:cNvSpPr>
      </xdr:nvSpPr>
      <xdr:spPr bwMode="auto">
        <a:xfrm>
          <a:off x="4664364"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120</xdr:row>
      <xdr:rowOff>0</xdr:rowOff>
    </xdr:from>
    <xdr:ext cx="95250" cy="171450"/>
    <xdr:sp macro="" textlink="">
      <xdr:nvSpPr>
        <xdr:cNvPr id="3715" name="Text Box 16">
          <a:extLst>
            <a:ext uri="{FF2B5EF4-FFF2-40B4-BE49-F238E27FC236}">
              <a16:creationId xmlns:a16="http://schemas.microsoft.com/office/drawing/2014/main" id="{00000000-0008-0000-0500-0000830E0000}"/>
            </a:ext>
          </a:extLst>
        </xdr:cNvPr>
        <xdr:cNvSpPr txBox="1">
          <a:spLocks noChangeArrowheads="1"/>
        </xdr:cNvSpPr>
      </xdr:nvSpPr>
      <xdr:spPr bwMode="auto">
        <a:xfrm>
          <a:off x="12540961"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120</xdr:row>
      <xdr:rowOff>0</xdr:rowOff>
    </xdr:from>
    <xdr:ext cx="95250" cy="171450"/>
    <xdr:sp macro="" textlink="">
      <xdr:nvSpPr>
        <xdr:cNvPr id="3716" name="Text Box 17">
          <a:extLst>
            <a:ext uri="{FF2B5EF4-FFF2-40B4-BE49-F238E27FC236}">
              <a16:creationId xmlns:a16="http://schemas.microsoft.com/office/drawing/2014/main" id="{00000000-0008-0000-0500-0000840E0000}"/>
            </a:ext>
          </a:extLst>
        </xdr:cNvPr>
        <xdr:cNvSpPr txBox="1">
          <a:spLocks noChangeArrowheads="1"/>
        </xdr:cNvSpPr>
      </xdr:nvSpPr>
      <xdr:spPr bwMode="auto">
        <a:xfrm>
          <a:off x="12540961"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1020762</xdr:colOff>
      <xdr:row>120</xdr:row>
      <xdr:rowOff>15875</xdr:rowOff>
    </xdr:from>
    <xdr:ext cx="95250" cy="171450"/>
    <xdr:sp macro="" textlink="">
      <xdr:nvSpPr>
        <xdr:cNvPr id="3717" name="Text Box 18">
          <a:extLst>
            <a:ext uri="{FF2B5EF4-FFF2-40B4-BE49-F238E27FC236}">
              <a16:creationId xmlns:a16="http://schemas.microsoft.com/office/drawing/2014/main" id="{00000000-0008-0000-0500-0000850E0000}"/>
            </a:ext>
          </a:extLst>
        </xdr:cNvPr>
        <xdr:cNvSpPr txBox="1">
          <a:spLocks noChangeArrowheads="1"/>
        </xdr:cNvSpPr>
      </xdr:nvSpPr>
      <xdr:spPr bwMode="auto">
        <a:xfrm>
          <a:off x="12485398" y="7116330"/>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120</xdr:row>
      <xdr:rowOff>0</xdr:rowOff>
    </xdr:from>
    <xdr:ext cx="95250" cy="171450"/>
    <xdr:sp macro="" textlink="">
      <xdr:nvSpPr>
        <xdr:cNvPr id="3718" name="Text Box 16">
          <a:extLst>
            <a:ext uri="{FF2B5EF4-FFF2-40B4-BE49-F238E27FC236}">
              <a16:creationId xmlns:a16="http://schemas.microsoft.com/office/drawing/2014/main" id="{00000000-0008-0000-0500-0000860E0000}"/>
            </a:ext>
          </a:extLst>
        </xdr:cNvPr>
        <xdr:cNvSpPr txBox="1">
          <a:spLocks noChangeArrowheads="1"/>
        </xdr:cNvSpPr>
      </xdr:nvSpPr>
      <xdr:spPr bwMode="auto">
        <a:xfrm>
          <a:off x="15388070"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120</xdr:row>
      <xdr:rowOff>0</xdr:rowOff>
    </xdr:from>
    <xdr:ext cx="95250" cy="171450"/>
    <xdr:sp macro="" textlink="">
      <xdr:nvSpPr>
        <xdr:cNvPr id="3719" name="Text Box 17">
          <a:extLst>
            <a:ext uri="{FF2B5EF4-FFF2-40B4-BE49-F238E27FC236}">
              <a16:creationId xmlns:a16="http://schemas.microsoft.com/office/drawing/2014/main" id="{00000000-0008-0000-0500-0000870E0000}"/>
            </a:ext>
          </a:extLst>
        </xdr:cNvPr>
        <xdr:cNvSpPr txBox="1">
          <a:spLocks noChangeArrowheads="1"/>
        </xdr:cNvSpPr>
      </xdr:nvSpPr>
      <xdr:spPr bwMode="auto">
        <a:xfrm>
          <a:off x="15388070"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120</xdr:row>
      <xdr:rowOff>0</xdr:rowOff>
    </xdr:from>
    <xdr:ext cx="95250" cy="171450"/>
    <xdr:sp macro="" textlink="">
      <xdr:nvSpPr>
        <xdr:cNvPr id="3720" name="Text Box 18">
          <a:extLst>
            <a:ext uri="{FF2B5EF4-FFF2-40B4-BE49-F238E27FC236}">
              <a16:creationId xmlns:a16="http://schemas.microsoft.com/office/drawing/2014/main" id="{00000000-0008-0000-0500-0000880E0000}"/>
            </a:ext>
          </a:extLst>
        </xdr:cNvPr>
        <xdr:cNvSpPr txBox="1">
          <a:spLocks noChangeArrowheads="1"/>
        </xdr:cNvSpPr>
      </xdr:nvSpPr>
      <xdr:spPr bwMode="auto">
        <a:xfrm>
          <a:off x="15388070"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120</xdr:row>
      <xdr:rowOff>0</xdr:rowOff>
    </xdr:from>
    <xdr:ext cx="95250" cy="171450"/>
    <xdr:sp macro="" textlink="">
      <xdr:nvSpPr>
        <xdr:cNvPr id="3721" name="Text Box 19">
          <a:extLst>
            <a:ext uri="{FF2B5EF4-FFF2-40B4-BE49-F238E27FC236}">
              <a16:creationId xmlns:a16="http://schemas.microsoft.com/office/drawing/2014/main" id="{00000000-0008-0000-0500-0000890E0000}"/>
            </a:ext>
          </a:extLst>
        </xdr:cNvPr>
        <xdr:cNvSpPr txBox="1">
          <a:spLocks noChangeArrowheads="1"/>
        </xdr:cNvSpPr>
      </xdr:nvSpPr>
      <xdr:spPr bwMode="auto">
        <a:xfrm>
          <a:off x="15388070"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120</xdr:row>
      <xdr:rowOff>0</xdr:rowOff>
    </xdr:from>
    <xdr:ext cx="95250" cy="171450"/>
    <xdr:sp macro="" textlink="">
      <xdr:nvSpPr>
        <xdr:cNvPr id="3722" name="Text Box 16">
          <a:extLst>
            <a:ext uri="{FF2B5EF4-FFF2-40B4-BE49-F238E27FC236}">
              <a16:creationId xmlns:a16="http://schemas.microsoft.com/office/drawing/2014/main" id="{00000000-0008-0000-0500-00008A0E0000}"/>
            </a:ext>
          </a:extLst>
        </xdr:cNvPr>
        <xdr:cNvSpPr txBox="1">
          <a:spLocks noChangeArrowheads="1"/>
        </xdr:cNvSpPr>
      </xdr:nvSpPr>
      <xdr:spPr bwMode="auto">
        <a:xfrm>
          <a:off x="15388070"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10</xdr:col>
      <xdr:colOff>28575</xdr:colOff>
      <xdr:row>120</xdr:row>
      <xdr:rowOff>170392</xdr:rowOff>
    </xdr:from>
    <xdr:ext cx="95250" cy="213632"/>
    <xdr:sp macro="" textlink="">
      <xdr:nvSpPr>
        <xdr:cNvPr id="3723" name="Text Box 15">
          <a:extLst>
            <a:ext uri="{FF2B5EF4-FFF2-40B4-BE49-F238E27FC236}">
              <a16:creationId xmlns:a16="http://schemas.microsoft.com/office/drawing/2014/main" id="{00000000-0008-0000-0500-00008B0E0000}"/>
            </a:ext>
          </a:extLst>
        </xdr:cNvPr>
        <xdr:cNvSpPr txBox="1">
          <a:spLocks noChangeArrowheads="1"/>
        </xdr:cNvSpPr>
      </xdr:nvSpPr>
      <xdr:spPr bwMode="auto">
        <a:xfrm>
          <a:off x="12578484" y="7270847"/>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120</xdr:row>
      <xdr:rowOff>504825</xdr:rowOff>
    </xdr:from>
    <xdr:ext cx="95250" cy="448496"/>
    <xdr:sp macro="" textlink="">
      <xdr:nvSpPr>
        <xdr:cNvPr id="3724" name="Text Box 15">
          <a:extLst>
            <a:ext uri="{FF2B5EF4-FFF2-40B4-BE49-F238E27FC236}">
              <a16:creationId xmlns:a16="http://schemas.microsoft.com/office/drawing/2014/main" id="{00000000-0008-0000-0500-00008C0E0000}"/>
            </a:ext>
          </a:extLst>
        </xdr:cNvPr>
        <xdr:cNvSpPr txBox="1">
          <a:spLocks noChangeArrowheads="1"/>
        </xdr:cNvSpPr>
      </xdr:nvSpPr>
      <xdr:spPr bwMode="auto">
        <a:xfrm>
          <a:off x="4664364" y="5994111"/>
          <a:ext cx="95250" cy="448496"/>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120</xdr:row>
      <xdr:rowOff>504825</xdr:rowOff>
    </xdr:from>
    <xdr:ext cx="95250" cy="442269"/>
    <xdr:sp macro="" textlink="">
      <xdr:nvSpPr>
        <xdr:cNvPr id="3725" name="Text Box 15">
          <a:extLst>
            <a:ext uri="{FF2B5EF4-FFF2-40B4-BE49-F238E27FC236}">
              <a16:creationId xmlns:a16="http://schemas.microsoft.com/office/drawing/2014/main" id="{00000000-0008-0000-0500-00008D0E0000}"/>
            </a:ext>
          </a:extLst>
        </xdr:cNvPr>
        <xdr:cNvSpPr txBox="1">
          <a:spLocks noChangeArrowheads="1"/>
        </xdr:cNvSpPr>
      </xdr:nvSpPr>
      <xdr:spPr bwMode="auto">
        <a:xfrm>
          <a:off x="12540961" y="5994111"/>
          <a:ext cx="95250" cy="442269"/>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21</xdr:col>
      <xdr:colOff>0</xdr:colOff>
      <xdr:row>120</xdr:row>
      <xdr:rowOff>504825</xdr:rowOff>
    </xdr:from>
    <xdr:ext cx="95250" cy="442269"/>
    <xdr:sp macro="" textlink="">
      <xdr:nvSpPr>
        <xdr:cNvPr id="3726" name="Text Box 15">
          <a:extLst>
            <a:ext uri="{FF2B5EF4-FFF2-40B4-BE49-F238E27FC236}">
              <a16:creationId xmlns:a16="http://schemas.microsoft.com/office/drawing/2014/main" id="{00000000-0008-0000-0500-00008E0E0000}"/>
            </a:ext>
          </a:extLst>
        </xdr:cNvPr>
        <xdr:cNvSpPr txBox="1">
          <a:spLocks noChangeArrowheads="1"/>
        </xdr:cNvSpPr>
      </xdr:nvSpPr>
      <xdr:spPr bwMode="auto">
        <a:xfrm>
          <a:off x="21832455" y="5994111"/>
          <a:ext cx="95250" cy="442269"/>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120</xdr:row>
      <xdr:rowOff>504825</xdr:rowOff>
    </xdr:from>
    <xdr:ext cx="95250" cy="213632"/>
    <xdr:sp macro="" textlink="">
      <xdr:nvSpPr>
        <xdr:cNvPr id="3727" name="Text Box 15">
          <a:extLst>
            <a:ext uri="{FF2B5EF4-FFF2-40B4-BE49-F238E27FC236}">
              <a16:creationId xmlns:a16="http://schemas.microsoft.com/office/drawing/2014/main" id="{00000000-0008-0000-0500-00008F0E0000}"/>
            </a:ext>
          </a:extLst>
        </xdr:cNvPr>
        <xdr:cNvSpPr txBox="1">
          <a:spLocks noChangeArrowheads="1"/>
        </xdr:cNvSpPr>
      </xdr:nvSpPr>
      <xdr:spPr bwMode="auto">
        <a:xfrm>
          <a:off x="4664364" y="5994111"/>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120</xdr:row>
      <xdr:rowOff>504825</xdr:rowOff>
    </xdr:from>
    <xdr:ext cx="95250" cy="444331"/>
    <xdr:sp macro="" textlink="">
      <xdr:nvSpPr>
        <xdr:cNvPr id="3728" name="Text Box 15">
          <a:extLst>
            <a:ext uri="{FF2B5EF4-FFF2-40B4-BE49-F238E27FC236}">
              <a16:creationId xmlns:a16="http://schemas.microsoft.com/office/drawing/2014/main" id="{00000000-0008-0000-0500-0000900E0000}"/>
            </a:ext>
          </a:extLst>
        </xdr:cNvPr>
        <xdr:cNvSpPr txBox="1">
          <a:spLocks noChangeArrowheads="1"/>
        </xdr:cNvSpPr>
      </xdr:nvSpPr>
      <xdr:spPr bwMode="auto">
        <a:xfrm>
          <a:off x="4664364" y="5994111"/>
          <a:ext cx="95250" cy="444331"/>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10</xdr:col>
      <xdr:colOff>28575</xdr:colOff>
      <xdr:row>120</xdr:row>
      <xdr:rowOff>170392</xdr:rowOff>
    </xdr:from>
    <xdr:ext cx="95250" cy="213632"/>
    <xdr:sp macro="" textlink="">
      <xdr:nvSpPr>
        <xdr:cNvPr id="3729" name="Text Box 15">
          <a:extLst>
            <a:ext uri="{FF2B5EF4-FFF2-40B4-BE49-F238E27FC236}">
              <a16:creationId xmlns:a16="http://schemas.microsoft.com/office/drawing/2014/main" id="{00000000-0008-0000-0500-0000910E0000}"/>
            </a:ext>
          </a:extLst>
        </xdr:cNvPr>
        <xdr:cNvSpPr txBox="1">
          <a:spLocks noChangeArrowheads="1"/>
        </xdr:cNvSpPr>
      </xdr:nvSpPr>
      <xdr:spPr bwMode="auto">
        <a:xfrm>
          <a:off x="12578484" y="5793028"/>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126</xdr:row>
      <xdr:rowOff>0</xdr:rowOff>
    </xdr:from>
    <xdr:ext cx="95250" cy="171450"/>
    <xdr:sp macro="" textlink="">
      <xdr:nvSpPr>
        <xdr:cNvPr id="3730" name="Text Box 16">
          <a:extLst>
            <a:ext uri="{FF2B5EF4-FFF2-40B4-BE49-F238E27FC236}">
              <a16:creationId xmlns:a16="http://schemas.microsoft.com/office/drawing/2014/main" id="{00000000-0008-0000-0500-0000920E0000}"/>
            </a:ext>
          </a:extLst>
        </xdr:cNvPr>
        <xdr:cNvSpPr txBox="1">
          <a:spLocks noChangeArrowheads="1"/>
        </xdr:cNvSpPr>
      </xdr:nvSpPr>
      <xdr:spPr bwMode="auto">
        <a:xfrm>
          <a:off x="4664364"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126</xdr:row>
      <xdr:rowOff>0</xdr:rowOff>
    </xdr:from>
    <xdr:ext cx="95250" cy="171450"/>
    <xdr:sp macro="" textlink="">
      <xdr:nvSpPr>
        <xdr:cNvPr id="3731" name="Text Box 17">
          <a:extLst>
            <a:ext uri="{FF2B5EF4-FFF2-40B4-BE49-F238E27FC236}">
              <a16:creationId xmlns:a16="http://schemas.microsoft.com/office/drawing/2014/main" id="{00000000-0008-0000-0500-0000930E0000}"/>
            </a:ext>
          </a:extLst>
        </xdr:cNvPr>
        <xdr:cNvSpPr txBox="1">
          <a:spLocks noChangeArrowheads="1"/>
        </xdr:cNvSpPr>
      </xdr:nvSpPr>
      <xdr:spPr bwMode="auto">
        <a:xfrm>
          <a:off x="4664364"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126</xdr:row>
      <xdr:rowOff>0</xdr:rowOff>
    </xdr:from>
    <xdr:ext cx="95250" cy="171450"/>
    <xdr:sp macro="" textlink="">
      <xdr:nvSpPr>
        <xdr:cNvPr id="3732" name="Text Box 18">
          <a:extLst>
            <a:ext uri="{FF2B5EF4-FFF2-40B4-BE49-F238E27FC236}">
              <a16:creationId xmlns:a16="http://schemas.microsoft.com/office/drawing/2014/main" id="{00000000-0008-0000-0500-0000940E0000}"/>
            </a:ext>
          </a:extLst>
        </xdr:cNvPr>
        <xdr:cNvSpPr txBox="1">
          <a:spLocks noChangeArrowheads="1"/>
        </xdr:cNvSpPr>
      </xdr:nvSpPr>
      <xdr:spPr bwMode="auto">
        <a:xfrm>
          <a:off x="4664364"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126</xdr:row>
      <xdr:rowOff>0</xdr:rowOff>
    </xdr:from>
    <xdr:ext cx="95250" cy="171450"/>
    <xdr:sp macro="" textlink="">
      <xdr:nvSpPr>
        <xdr:cNvPr id="3733" name="Text Box 19">
          <a:extLst>
            <a:ext uri="{FF2B5EF4-FFF2-40B4-BE49-F238E27FC236}">
              <a16:creationId xmlns:a16="http://schemas.microsoft.com/office/drawing/2014/main" id="{00000000-0008-0000-0500-0000950E0000}"/>
            </a:ext>
          </a:extLst>
        </xdr:cNvPr>
        <xdr:cNvSpPr txBox="1">
          <a:spLocks noChangeArrowheads="1"/>
        </xdr:cNvSpPr>
      </xdr:nvSpPr>
      <xdr:spPr bwMode="auto">
        <a:xfrm>
          <a:off x="4664364"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126</xdr:row>
      <xdr:rowOff>0</xdr:rowOff>
    </xdr:from>
    <xdr:ext cx="95250" cy="171450"/>
    <xdr:sp macro="" textlink="">
      <xdr:nvSpPr>
        <xdr:cNvPr id="3734" name="Text Box 16">
          <a:extLst>
            <a:ext uri="{FF2B5EF4-FFF2-40B4-BE49-F238E27FC236}">
              <a16:creationId xmlns:a16="http://schemas.microsoft.com/office/drawing/2014/main" id="{00000000-0008-0000-0500-0000960E0000}"/>
            </a:ext>
          </a:extLst>
        </xdr:cNvPr>
        <xdr:cNvSpPr txBox="1">
          <a:spLocks noChangeArrowheads="1"/>
        </xdr:cNvSpPr>
      </xdr:nvSpPr>
      <xdr:spPr bwMode="auto">
        <a:xfrm>
          <a:off x="12540961"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126</xdr:row>
      <xdr:rowOff>0</xdr:rowOff>
    </xdr:from>
    <xdr:ext cx="95250" cy="171450"/>
    <xdr:sp macro="" textlink="">
      <xdr:nvSpPr>
        <xdr:cNvPr id="3735" name="Text Box 17">
          <a:extLst>
            <a:ext uri="{FF2B5EF4-FFF2-40B4-BE49-F238E27FC236}">
              <a16:creationId xmlns:a16="http://schemas.microsoft.com/office/drawing/2014/main" id="{00000000-0008-0000-0500-0000970E0000}"/>
            </a:ext>
          </a:extLst>
        </xdr:cNvPr>
        <xdr:cNvSpPr txBox="1">
          <a:spLocks noChangeArrowheads="1"/>
        </xdr:cNvSpPr>
      </xdr:nvSpPr>
      <xdr:spPr bwMode="auto">
        <a:xfrm>
          <a:off x="12540961"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126</xdr:row>
      <xdr:rowOff>0</xdr:rowOff>
    </xdr:from>
    <xdr:ext cx="95250" cy="171450"/>
    <xdr:sp macro="" textlink="">
      <xdr:nvSpPr>
        <xdr:cNvPr id="3736" name="Text Box 18">
          <a:extLst>
            <a:ext uri="{FF2B5EF4-FFF2-40B4-BE49-F238E27FC236}">
              <a16:creationId xmlns:a16="http://schemas.microsoft.com/office/drawing/2014/main" id="{00000000-0008-0000-0500-0000980E0000}"/>
            </a:ext>
          </a:extLst>
        </xdr:cNvPr>
        <xdr:cNvSpPr txBox="1">
          <a:spLocks noChangeArrowheads="1"/>
        </xdr:cNvSpPr>
      </xdr:nvSpPr>
      <xdr:spPr bwMode="auto">
        <a:xfrm>
          <a:off x="12540961"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126</xdr:row>
      <xdr:rowOff>0</xdr:rowOff>
    </xdr:from>
    <xdr:ext cx="95250" cy="171450"/>
    <xdr:sp macro="" textlink="">
      <xdr:nvSpPr>
        <xdr:cNvPr id="3737" name="Text Box 19">
          <a:extLst>
            <a:ext uri="{FF2B5EF4-FFF2-40B4-BE49-F238E27FC236}">
              <a16:creationId xmlns:a16="http://schemas.microsoft.com/office/drawing/2014/main" id="{00000000-0008-0000-0500-0000990E0000}"/>
            </a:ext>
          </a:extLst>
        </xdr:cNvPr>
        <xdr:cNvSpPr txBox="1">
          <a:spLocks noChangeArrowheads="1"/>
        </xdr:cNvSpPr>
      </xdr:nvSpPr>
      <xdr:spPr bwMode="auto">
        <a:xfrm>
          <a:off x="12540961"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21</xdr:col>
      <xdr:colOff>0</xdr:colOff>
      <xdr:row>126</xdr:row>
      <xdr:rowOff>0</xdr:rowOff>
    </xdr:from>
    <xdr:ext cx="95250" cy="171450"/>
    <xdr:sp macro="" textlink="">
      <xdr:nvSpPr>
        <xdr:cNvPr id="3738" name="Text Box 16">
          <a:extLst>
            <a:ext uri="{FF2B5EF4-FFF2-40B4-BE49-F238E27FC236}">
              <a16:creationId xmlns:a16="http://schemas.microsoft.com/office/drawing/2014/main" id="{00000000-0008-0000-0500-00009A0E0000}"/>
            </a:ext>
          </a:extLst>
        </xdr:cNvPr>
        <xdr:cNvSpPr txBox="1">
          <a:spLocks noChangeArrowheads="1"/>
        </xdr:cNvSpPr>
      </xdr:nvSpPr>
      <xdr:spPr bwMode="auto">
        <a:xfrm>
          <a:off x="21832455"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21</xdr:col>
      <xdr:colOff>0</xdr:colOff>
      <xdr:row>126</xdr:row>
      <xdr:rowOff>0</xdr:rowOff>
    </xdr:from>
    <xdr:ext cx="95250" cy="171450"/>
    <xdr:sp macro="" textlink="">
      <xdr:nvSpPr>
        <xdr:cNvPr id="3739" name="Text Box 17">
          <a:extLst>
            <a:ext uri="{FF2B5EF4-FFF2-40B4-BE49-F238E27FC236}">
              <a16:creationId xmlns:a16="http://schemas.microsoft.com/office/drawing/2014/main" id="{00000000-0008-0000-0500-00009B0E0000}"/>
            </a:ext>
          </a:extLst>
        </xdr:cNvPr>
        <xdr:cNvSpPr txBox="1">
          <a:spLocks noChangeArrowheads="1"/>
        </xdr:cNvSpPr>
      </xdr:nvSpPr>
      <xdr:spPr bwMode="auto">
        <a:xfrm>
          <a:off x="21832455"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21</xdr:col>
      <xdr:colOff>0</xdr:colOff>
      <xdr:row>126</xdr:row>
      <xdr:rowOff>0</xdr:rowOff>
    </xdr:from>
    <xdr:ext cx="95250" cy="171450"/>
    <xdr:sp macro="" textlink="">
      <xdr:nvSpPr>
        <xdr:cNvPr id="3740" name="Text Box 18">
          <a:extLst>
            <a:ext uri="{FF2B5EF4-FFF2-40B4-BE49-F238E27FC236}">
              <a16:creationId xmlns:a16="http://schemas.microsoft.com/office/drawing/2014/main" id="{00000000-0008-0000-0500-00009C0E0000}"/>
            </a:ext>
          </a:extLst>
        </xdr:cNvPr>
        <xdr:cNvSpPr txBox="1">
          <a:spLocks noChangeArrowheads="1"/>
        </xdr:cNvSpPr>
      </xdr:nvSpPr>
      <xdr:spPr bwMode="auto">
        <a:xfrm>
          <a:off x="21832455"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21</xdr:col>
      <xdr:colOff>0</xdr:colOff>
      <xdr:row>126</xdr:row>
      <xdr:rowOff>0</xdr:rowOff>
    </xdr:from>
    <xdr:ext cx="95250" cy="171450"/>
    <xdr:sp macro="" textlink="">
      <xdr:nvSpPr>
        <xdr:cNvPr id="3741" name="Text Box 19">
          <a:extLst>
            <a:ext uri="{FF2B5EF4-FFF2-40B4-BE49-F238E27FC236}">
              <a16:creationId xmlns:a16="http://schemas.microsoft.com/office/drawing/2014/main" id="{00000000-0008-0000-0500-00009D0E0000}"/>
            </a:ext>
          </a:extLst>
        </xdr:cNvPr>
        <xdr:cNvSpPr txBox="1">
          <a:spLocks noChangeArrowheads="1"/>
        </xdr:cNvSpPr>
      </xdr:nvSpPr>
      <xdr:spPr bwMode="auto">
        <a:xfrm>
          <a:off x="21832455"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124</xdr:row>
      <xdr:rowOff>504825</xdr:rowOff>
    </xdr:from>
    <xdr:ext cx="95250" cy="444014"/>
    <xdr:sp macro="" textlink="">
      <xdr:nvSpPr>
        <xdr:cNvPr id="3742" name="Text Box 15">
          <a:extLst>
            <a:ext uri="{FF2B5EF4-FFF2-40B4-BE49-F238E27FC236}">
              <a16:creationId xmlns:a16="http://schemas.microsoft.com/office/drawing/2014/main" id="{00000000-0008-0000-0500-00009E0E0000}"/>
            </a:ext>
          </a:extLst>
        </xdr:cNvPr>
        <xdr:cNvSpPr txBox="1">
          <a:spLocks noChangeArrowheads="1"/>
        </xdr:cNvSpPr>
      </xdr:nvSpPr>
      <xdr:spPr bwMode="auto">
        <a:xfrm>
          <a:off x="4664364" y="6733020"/>
          <a:ext cx="95250" cy="444014"/>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126</xdr:row>
      <xdr:rowOff>0</xdr:rowOff>
    </xdr:from>
    <xdr:ext cx="95250" cy="171450"/>
    <xdr:sp macro="" textlink="">
      <xdr:nvSpPr>
        <xdr:cNvPr id="3743" name="Text Box 16">
          <a:extLst>
            <a:ext uri="{FF2B5EF4-FFF2-40B4-BE49-F238E27FC236}">
              <a16:creationId xmlns:a16="http://schemas.microsoft.com/office/drawing/2014/main" id="{00000000-0008-0000-0500-00009F0E0000}"/>
            </a:ext>
          </a:extLst>
        </xdr:cNvPr>
        <xdr:cNvSpPr txBox="1">
          <a:spLocks noChangeArrowheads="1"/>
        </xdr:cNvSpPr>
      </xdr:nvSpPr>
      <xdr:spPr bwMode="auto">
        <a:xfrm>
          <a:off x="4664364"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126</xdr:row>
      <xdr:rowOff>0</xdr:rowOff>
    </xdr:from>
    <xdr:ext cx="95250" cy="171450"/>
    <xdr:sp macro="" textlink="">
      <xdr:nvSpPr>
        <xdr:cNvPr id="3744" name="Text Box 17">
          <a:extLst>
            <a:ext uri="{FF2B5EF4-FFF2-40B4-BE49-F238E27FC236}">
              <a16:creationId xmlns:a16="http://schemas.microsoft.com/office/drawing/2014/main" id="{00000000-0008-0000-0500-0000A00E0000}"/>
            </a:ext>
          </a:extLst>
        </xdr:cNvPr>
        <xdr:cNvSpPr txBox="1">
          <a:spLocks noChangeArrowheads="1"/>
        </xdr:cNvSpPr>
      </xdr:nvSpPr>
      <xdr:spPr bwMode="auto">
        <a:xfrm>
          <a:off x="4664364"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126</xdr:row>
      <xdr:rowOff>0</xdr:rowOff>
    </xdr:from>
    <xdr:ext cx="95250" cy="171450"/>
    <xdr:sp macro="" textlink="">
      <xdr:nvSpPr>
        <xdr:cNvPr id="3745" name="Text Box 18">
          <a:extLst>
            <a:ext uri="{FF2B5EF4-FFF2-40B4-BE49-F238E27FC236}">
              <a16:creationId xmlns:a16="http://schemas.microsoft.com/office/drawing/2014/main" id="{00000000-0008-0000-0500-0000A10E0000}"/>
            </a:ext>
          </a:extLst>
        </xdr:cNvPr>
        <xdr:cNvSpPr txBox="1">
          <a:spLocks noChangeArrowheads="1"/>
        </xdr:cNvSpPr>
      </xdr:nvSpPr>
      <xdr:spPr bwMode="auto">
        <a:xfrm>
          <a:off x="4664364"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126</xdr:row>
      <xdr:rowOff>0</xdr:rowOff>
    </xdr:from>
    <xdr:ext cx="95250" cy="171450"/>
    <xdr:sp macro="" textlink="">
      <xdr:nvSpPr>
        <xdr:cNvPr id="3746" name="Text Box 19">
          <a:extLst>
            <a:ext uri="{FF2B5EF4-FFF2-40B4-BE49-F238E27FC236}">
              <a16:creationId xmlns:a16="http://schemas.microsoft.com/office/drawing/2014/main" id="{00000000-0008-0000-0500-0000A20E0000}"/>
            </a:ext>
          </a:extLst>
        </xdr:cNvPr>
        <xdr:cNvSpPr txBox="1">
          <a:spLocks noChangeArrowheads="1"/>
        </xdr:cNvSpPr>
      </xdr:nvSpPr>
      <xdr:spPr bwMode="auto">
        <a:xfrm>
          <a:off x="4664364"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126</xdr:row>
      <xdr:rowOff>0</xdr:rowOff>
    </xdr:from>
    <xdr:ext cx="95250" cy="171450"/>
    <xdr:sp macro="" textlink="">
      <xdr:nvSpPr>
        <xdr:cNvPr id="3747" name="Text Box 16">
          <a:extLst>
            <a:ext uri="{FF2B5EF4-FFF2-40B4-BE49-F238E27FC236}">
              <a16:creationId xmlns:a16="http://schemas.microsoft.com/office/drawing/2014/main" id="{00000000-0008-0000-0500-0000A30E0000}"/>
            </a:ext>
          </a:extLst>
        </xdr:cNvPr>
        <xdr:cNvSpPr txBox="1">
          <a:spLocks noChangeArrowheads="1"/>
        </xdr:cNvSpPr>
      </xdr:nvSpPr>
      <xdr:spPr bwMode="auto">
        <a:xfrm>
          <a:off x="12540961"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126</xdr:row>
      <xdr:rowOff>0</xdr:rowOff>
    </xdr:from>
    <xdr:ext cx="95250" cy="171450"/>
    <xdr:sp macro="" textlink="">
      <xdr:nvSpPr>
        <xdr:cNvPr id="3748" name="Text Box 17">
          <a:extLst>
            <a:ext uri="{FF2B5EF4-FFF2-40B4-BE49-F238E27FC236}">
              <a16:creationId xmlns:a16="http://schemas.microsoft.com/office/drawing/2014/main" id="{00000000-0008-0000-0500-0000A40E0000}"/>
            </a:ext>
          </a:extLst>
        </xdr:cNvPr>
        <xdr:cNvSpPr txBox="1">
          <a:spLocks noChangeArrowheads="1"/>
        </xdr:cNvSpPr>
      </xdr:nvSpPr>
      <xdr:spPr bwMode="auto">
        <a:xfrm>
          <a:off x="12540961"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126</xdr:row>
      <xdr:rowOff>0</xdr:rowOff>
    </xdr:from>
    <xdr:ext cx="95250" cy="171450"/>
    <xdr:sp macro="" textlink="">
      <xdr:nvSpPr>
        <xdr:cNvPr id="3749" name="Text Box 18">
          <a:extLst>
            <a:ext uri="{FF2B5EF4-FFF2-40B4-BE49-F238E27FC236}">
              <a16:creationId xmlns:a16="http://schemas.microsoft.com/office/drawing/2014/main" id="{00000000-0008-0000-0500-0000A50E0000}"/>
            </a:ext>
          </a:extLst>
        </xdr:cNvPr>
        <xdr:cNvSpPr txBox="1">
          <a:spLocks noChangeArrowheads="1"/>
        </xdr:cNvSpPr>
      </xdr:nvSpPr>
      <xdr:spPr bwMode="auto">
        <a:xfrm>
          <a:off x="12540961"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126</xdr:row>
      <xdr:rowOff>0</xdr:rowOff>
    </xdr:from>
    <xdr:ext cx="95250" cy="171450"/>
    <xdr:sp macro="" textlink="">
      <xdr:nvSpPr>
        <xdr:cNvPr id="3750" name="Text Box 16">
          <a:extLst>
            <a:ext uri="{FF2B5EF4-FFF2-40B4-BE49-F238E27FC236}">
              <a16:creationId xmlns:a16="http://schemas.microsoft.com/office/drawing/2014/main" id="{00000000-0008-0000-0500-0000A60E0000}"/>
            </a:ext>
          </a:extLst>
        </xdr:cNvPr>
        <xdr:cNvSpPr txBox="1">
          <a:spLocks noChangeArrowheads="1"/>
        </xdr:cNvSpPr>
      </xdr:nvSpPr>
      <xdr:spPr bwMode="auto">
        <a:xfrm>
          <a:off x="15388070"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126</xdr:row>
      <xdr:rowOff>0</xdr:rowOff>
    </xdr:from>
    <xdr:ext cx="95250" cy="171450"/>
    <xdr:sp macro="" textlink="">
      <xdr:nvSpPr>
        <xdr:cNvPr id="3751" name="Text Box 17">
          <a:extLst>
            <a:ext uri="{FF2B5EF4-FFF2-40B4-BE49-F238E27FC236}">
              <a16:creationId xmlns:a16="http://schemas.microsoft.com/office/drawing/2014/main" id="{00000000-0008-0000-0500-0000A70E0000}"/>
            </a:ext>
          </a:extLst>
        </xdr:cNvPr>
        <xdr:cNvSpPr txBox="1">
          <a:spLocks noChangeArrowheads="1"/>
        </xdr:cNvSpPr>
      </xdr:nvSpPr>
      <xdr:spPr bwMode="auto">
        <a:xfrm>
          <a:off x="15388070"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126</xdr:row>
      <xdr:rowOff>0</xdr:rowOff>
    </xdr:from>
    <xdr:ext cx="95250" cy="171450"/>
    <xdr:sp macro="" textlink="">
      <xdr:nvSpPr>
        <xdr:cNvPr id="3752" name="Text Box 18">
          <a:extLst>
            <a:ext uri="{FF2B5EF4-FFF2-40B4-BE49-F238E27FC236}">
              <a16:creationId xmlns:a16="http://schemas.microsoft.com/office/drawing/2014/main" id="{00000000-0008-0000-0500-0000A80E0000}"/>
            </a:ext>
          </a:extLst>
        </xdr:cNvPr>
        <xdr:cNvSpPr txBox="1">
          <a:spLocks noChangeArrowheads="1"/>
        </xdr:cNvSpPr>
      </xdr:nvSpPr>
      <xdr:spPr bwMode="auto">
        <a:xfrm>
          <a:off x="15388070"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126</xdr:row>
      <xdr:rowOff>0</xdr:rowOff>
    </xdr:from>
    <xdr:ext cx="95250" cy="171450"/>
    <xdr:sp macro="" textlink="">
      <xdr:nvSpPr>
        <xdr:cNvPr id="3753" name="Text Box 19">
          <a:extLst>
            <a:ext uri="{FF2B5EF4-FFF2-40B4-BE49-F238E27FC236}">
              <a16:creationId xmlns:a16="http://schemas.microsoft.com/office/drawing/2014/main" id="{00000000-0008-0000-0500-0000A90E0000}"/>
            </a:ext>
          </a:extLst>
        </xdr:cNvPr>
        <xdr:cNvSpPr txBox="1">
          <a:spLocks noChangeArrowheads="1"/>
        </xdr:cNvSpPr>
      </xdr:nvSpPr>
      <xdr:spPr bwMode="auto">
        <a:xfrm>
          <a:off x="15388070"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126</xdr:row>
      <xdr:rowOff>0</xdr:rowOff>
    </xdr:from>
    <xdr:ext cx="95250" cy="171450"/>
    <xdr:sp macro="" textlink="">
      <xdr:nvSpPr>
        <xdr:cNvPr id="3754" name="Text Box 16">
          <a:extLst>
            <a:ext uri="{FF2B5EF4-FFF2-40B4-BE49-F238E27FC236}">
              <a16:creationId xmlns:a16="http://schemas.microsoft.com/office/drawing/2014/main" id="{00000000-0008-0000-0500-0000AA0E0000}"/>
            </a:ext>
          </a:extLst>
        </xdr:cNvPr>
        <xdr:cNvSpPr txBox="1">
          <a:spLocks noChangeArrowheads="1"/>
        </xdr:cNvSpPr>
      </xdr:nvSpPr>
      <xdr:spPr bwMode="auto">
        <a:xfrm>
          <a:off x="15388070"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126</xdr:row>
      <xdr:rowOff>0</xdr:rowOff>
    </xdr:from>
    <xdr:ext cx="95250" cy="171450"/>
    <xdr:sp macro="" textlink="">
      <xdr:nvSpPr>
        <xdr:cNvPr id="3755" name="Text Box 17">
          <a:extLst>
            <a:ext uri="{FF2B5EF4-FFF2-40B4-BE49-F238E27FC236}">
              <a16:creationId xmlns:a16="http://schemas.microsoft.com/office/drawing/2014/main" id="{00000000-0008-0000-0500-0000AB0E0000}"/>
            </a:ext>
          </a:extLst>
        </xdr:cNvPr>
        <xdr:cNvSpPr txBox="1">
          <a:spLocks noChangeArrowheads="1"/>
        </xdr:cNvSpPr>
      </xdr:nvSpPr>
      <xdr:spPr bwMode="auto">
        <a:xfrm>
          <a:off x="15388070"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126</xdr:row>
      <xdr:rowOff>0</xdr:rowOff>
    </xdr:from>
    <xdr:ext cx="95250" cy="171450"/>
    <xdr:sp macro="" textlink="">
      <xdr:nvSpPr>
        <xdr:cNvPr id="3756" name="Text Box 18">
          <a:extLst>
            <a:ext uri="{FF2B5EF4-FFF2-40B4-BE49-F238E27FC236}">
              <a16:creationId xmlns:a16="http://schemas.microsoft.com/office/drawing/2014/main" id="{00000000-0008-0000-0500-0000AC0E0000}"/>
            </a:ext>
          </a:extLst>
        </xdr:cNvPr>
        <xdr:cNvSpPr txBox="1">
          <a:spLocks noChangeArrowheads="1"/>
        </xdr:cNvSpPr>
      </xdr:nvSpPr>
      <xdr:spPr bwMode="auto">
        <a:xfrm>
          <a:off x="15388070"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126</xdr:row>
      <xdr:rowOff>0</xdr:rowOff>
    </xdr:from>
    <xdr:ext cx="95250" cy="171450"/>
    <xdr:sp macro="" textlink="">
      <xdr:nvSpPr>
        <xdr:cNvPr id="3757" name="Text Box 19">
          <a:extLst>
            <a:ext uri="{FF2B5EF4-FFF2-40B4-BE49-F238E27FC236}">
              <a16:creationId xmlns:a16="http://schemas.microsoft.com/office/drawing/2014/main" id="{00000000-0008-0000-0500-0000AD0E0000}"/>
            </a:ext>
          </a:extLst>
        </xdr:cNvPr>
        <xdr:cNvSpPr txBox="1">
          <a:spLocks noChangeArrowheads="1"/>
        </xdr:cNvSpPr>
      </xdr:nvSpPr>
      <xdr:spPr bwMode="auto">
        <a:xfrm>
          <a:off x="15388070"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120</xdr:row>
      <xdr:rowOff>504825</xdr:rowOff>
    </xdr:from>
    <xdr:ext cx="95250" cy="456743"/>
    <xdr:sp macro="" textlink="">
      <xdr:nvSpPr>
        <xdr:cNvPr id="3758" name="Text Box 15">
          <a:extLst>
            <a:ext uri="{FF2B5EF4-FFF2-40B4-BE49-F238E27FC236}">
              <a16:creationId xmlns:a16="http://schemas.microsoft.com/office/drawing/2014/main" id="{00000000-0008-0000-0500-0000AE0E0000}"/>
            </a:ext>
          </a:extLst>
        </xdr:cNvPr>
        <xdr:cNvSpPr txBox="1">
          <a:spLocks noChangeArrowheads="1"/>
        </xdr:cNvSpPr>
      </xdr:nvSpPr>
      <xdr:spPr bwMode="auto">
        <a:xfrm>
          <a:off x="4664364" y="5994111"/>
          <a:ext cx="95250" cy="456743"/>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120</xdr:row>
      <xdr:rowOff>504825</xdr:rowOff>
    </xdr:from>
    <xdr:ext cx="95250" cy="442269"/>
    <xdr:sp macro="" textlink="">
      <xdr:nvSpPr>
        <xdr:cNvPr id="3759" name="Text Box 15">
          <a:extLst>
            <a:ext uri="{FF2B5EF4-FFF2-40B4-BE49-F238E27FC236}">
              <a16:creationId xmlns:a16="http://schemas.microsoft.com/office/drawing/2014/main" id="{00000000-0008-0000-0500-0000AF0E0000}"/>
            </a:ext>
          </a:extLst>
        </xdr:cNvPr>
        <xdr:cNvSpPr txBox="1">
          <a:spLocks noChangeArrowheads="1"/>
        </xdr:cNvSpPr>
      </xdr:nvSpPr>
      <xdr:spPr bwMode="auto">
        <a:xfrm>
          <a:off x="12540961" y="5994111"/>
          <a:ext cx="95250" cy="442269"/>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21</xdr:col>
      <xdr:colOff>0</xdr:colOff>
      <xdr:row>120</xdr:row>
      <xdr:rowOff>504825</xdr:rowOff>
    </xdr:from>
    <xdr:ext cx="95250" cy="442269"/>
    <xdr:sp macro="" textlink="">
      <xdr:nvSpPr>
        <xdr:cNvPr id="3760" name="Text Box 15">
          <a:extLst>
            <a:ext uri="{FF2B5EF4-FFF2-40B4-BE49-F238E27FC236}">
              <a16:creationId xmlns:a16="http://schemas.microsoft.com/office/drawing/2014/main" id="{00000000-0008-0000-0500-0000B00E0000}"/>
            </a:ext>
          </a:extLst>
        </xdr:cNvPr>
        <xdr:cNvSpPr txBox="1">
          <a:spLocks noChangeArrowheads="1"/>
        </xdr:cNvSpPr>
      </xdr:nvSpPr>
      <xdr:spPr bwMode="auto">
        <a:xfrm>
          <a:off x="21832455" y="5994111"/>
          <a:ext cx="95250" cy="442269"/>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120</xdr:row>
      <xdr:rowOff>504825</xdr:rowOff>
    </xdr:from>
    <xdr:ext cx="95250" cy="213632"/>
    <xdr:sp macro="" textlink="">
      <xdr:nvSpPr>
        <xdr:cNvPr id="3761" name="Text Box 15">
          <a:extLst>
            <a:ext uri="{FF2B5EF4-FFF2-40B4-BE49-F238E27FC236}">
              <a16:creationId xmlns:a16="http://schemas.microsoft.com/office/drawing/2014/main" id="{00000000-0008-0000-0500-0000B10E0000}"/>
            </a:ext>
          </a:extLst>
        </xdr:cNvPr>
        <xdr:cNvSpPr txBox="1">
          <a:spLocks noChangeArrowheads="1"/>
        </xdr:cNvSpPr>
      </xdr:nvSpPr>
      <xdr:spPr bwMode="auto">
        <a:xfrm>
          <a:off x="4664364" y="5994111"/>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755650</xdr:colOff>
      <xdr:row>120</xdr:row>
      <xdr:rowOff>346075</xdr:rowOff>
    </xdr:from>
    <xdr:ext cx="95250" cy="444331"/>
    <xdr:sp macro="" textlink="">
      <xdr:nvSpPr>
        <xdr:cNvPr id="3762" name="Text Box 15">
          <a:extLst>
            <a:ext uri="{FF2B5EF4-FFF2-40B4-BE49-F238E27FC236}">
              <a16:creationId xmlns:a16="http://schemas.microsoft.com/office/drawing/2014/main" id="{00000000-0008-0000-0500-0000B20E0000}"/>
            </a:ext>
          </a:extLst>
        </xdr:cNvPr>
        <xdr:cNvSpPr txBox="1">
          <a:spLocks noChangeArrowheads="1"/>
        </xdr:cNvSpPr>
      </xdr:nvSpPr>
      <xdr:spPr bwMode="auto">
        <a:xfrm>
          <a:off x="4927600" y="44764325"/>
          <a:ext cx="95250" cy="444331"/>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120</xdr:row>
      <xdr:rowOff>504825</xdr:rowOff>
    </xdr:from>
    <xdr:ext cx="95250" cy="213632"/>
    <xdr:sp macro="" textlink="">
      <xdr:nvSpPr>
        <xdr:cNvPr id="3763" name="Text Box 15">
          <a:extLst>
            <a:ext uri="{FF2B5EF4-FFF2-40B4-BE49-F238E27FC236}">
              <a16:creationId xmlns:a16="http://schemas.microsoft.com/office/drawing/2014/main" id="{00000000-0008-0000-0500-0000B30E0000}"/>
            </a:ext>
          </a:extLst>
        </xdr:cNvPr>
        <xdr:cNvSpPr txBox="1">
          <a:spLocks noChangeArrowheads="1"/>
        </xdr:cNvSpPr>
      </xdr:nvSpPr>
      <xdr:spPr bwMode="auto">
        <a:xfrm>
          <a:off x="12540961" y="5994111"/>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126</xdr:row>
      <xdr:rowOff>0</xdr:rowOff>
    </xdr:from>
    <xdr:ext cx="95250" cy="171450"/>
    <xdr:sp macro="" textlink="">
      <xdr:nvSpPr>
        <xdr:cNvPr id="3764" name="Text Box 16">
          <a:extLst>
            <a:ext uri="{FF2B5EF4-FFF2-40B4-BE49-F238E27FC236}">
              <a16:creationId xmlns:a16="http://schemas.microsoft.com/office/drawing/2014/main" id="{00000000-0008-0000-0500-0000B40E0000}"/>
            </a:ext>
          </a:extLst>
        </xdr:cNvPr>
        <xdr:cNvSpPr txBox="1">
          <a:spLocks noChangeArrowheads="1"/>
        </xdr:cNvSpPr>
      </xdr:nvSpPr>
      <xdr:spPr bwMode="auto">
        <a:xfrm>
          <a:off x="4664364"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126</xdr:row>
      <xdr:rowOff>0</xdr:rowOff>
    </xdr:from>
    <xdr:ext cx="95250" cy="171450"/>
    <xdr:sp macro="" textlink="">
      <xdr:nvSpPr>
        <xdr:cNvPr id="3765" name="Text Box 17">
          <a:extLst>
            <a:ext uri="{FF2B5EF4-FFF2-40B4-BE49-F238E27FC236}">
              <a16:creationId xmlns:a16="http://schemas.microsoft.com/office/drawing/2014/main" id="{00000000-0008-0000-0500-0000B50E0000}"/>
            </a:ext>
          </a:extLst>
        </xdr:cNvPr>
        <xdr:cNvSpPr txBox="1">
          <a:spLocks noChangeArrowheads="1"/>
        </xdr:cNvSpPr>
      </xdr:nvSpPr>
      <xdr:spPr bwMode="auto">
        <a:xfrm>
          <a:off x="4664364"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126</xdr:row>
      <xdr:rowOff>0</xdr:rowOff>
    </xdr:from>
    <xdr:ext cx="95250" cy="171450"/>
    <xdr:sp macro="" textlink="">
      <xdr:nvSpPr>
        <xdr:cNvPr id="3766" name="Text Box 18">
          <a:extLst>
            <a:ext uri="{FF2B5EF4-FFF2-40B4-BE49-F238E27FC236}">
              <a16:creationId xmlns:a16="http://schemas.microsoft.com/office/drawing/2014/main" id="{00000000-0008-0000-0500-0000B60E0000}"/>
            </a:ext>
          </a:extLst>
        </xdr:cNvPr>
        <xdr:cNvSpPr txBox="1">
          <a:spLocks noChangeArrowheads="1"/>
        </xdr:cNvSpPr>
      </xdr:nvSpPr>
      <xdr:spPr bwMode="auto">
        <a:xfrm>
          <a:off x="4664364"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126</xdr:row>
      <xdr:rowOff>0</xdr:rowOff>
    </xdr:from>
    <xdr:ext cx="95250" cy="171450"/>
    <xdr:sp macro="" textlink="">
      <xdr:nvSpPr>
        <xdr:cNvPr id="3767" name="Text Box 19">
          <a:extLst>
            <a:ext uri="{FF2B5EF4-FFF2-40B4-BE49-F238E27FC236}">
              <a16:creationId xmlns:a16="http://schemas.microsoft.com/office/drawing/2014/main" id="{00000000-0008-0000-0500-0000B70E0000}"/>
            </a:ext>
          </a:extLst>
        </xdr:cNvPr>
        <xdr:cNvSpPr txBox="1">
          <a:spLocks noChangeArrowheads="1"/>
        </xdr:cNvSpPr>
      </xdr:nvSpPr>
      <xdr:spPr bwMode="auto">
        <a:xfrm>
          <a:off x="4664364"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126</xdr:row>
      <xdr:rowOff>0</xdr:rowOff>
    </xdr:from>
    <xdr:ext cx="95250" cy="171450"/>
    <xdr:sp macro="" textlink="">
      <xdr:nvSpPr>
        <xdr:cNvPr id="3768" name="Text Box 16">
          <a:extLst>
            <a:ext uri="{FF2B5EF4-FFF2-40B4-BE49-F238E27FC236}">
              <a16:creationId xmlns:a16="http://schemas.microsoft.com/office/drawing/2014/main" id="{00000000-0008-0000-0500-0000B80E0000}"/>
            </a:ext>
          </a:extLst>
        </xdr:cNvPr>
        <xdr:cNvSpPr txBox="1">
          <a:spLocks noChangeArrowheads="1"/>
        </xdr:cNvSpPr>
      </xdr:nvSpPr>
      <xdr:spPr bwMode="auto">
        <a:xfrm>
          <a:off x="12540961"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126</xdr:row>
      <xdr:rowOff>0</xdr:rowOff>
    </xdr:from>
    <xdr:ext cx="95250" cy="171450"/>
    <xdr:sp macro="" textlink="">
      <xdr:nvSpPr>
        <xdr:cNvPr id="3769" name="Text Box 17">
          <a:extLst>
            <a:ext uri="{FF2B5EF4-FFF2-40B4-BE49-F238E27FC236}">
              <a16:creationId xmlns:a16="http://schemas.microsoft.com/office/drawing/2014/main" id="{00000000-0008-0000-0500-0000B90E0000}"/>
            </a:ext>
          </a:extLst>
        </xdr:cNvPr>
        <xdr:cNvSpPr txBox="1">
          <a:spLocks noChangeArrowheads="1"/>
        </xdr:cNvSpPr>
      </xdr:nvSpPr>
      <xdr:spPr bwMode="auto">
        <a:xfrm>
          <a:off x="12540961"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126</xdr:row>
      <xdr:rowOff>0</xdr:rowOff>
    </xdr:from>
    <xdr:ext cx="95250" cy="171450"/>
    <xdr:sp macro="" textlink="">
      <xdr:nvSpPr>
        <xdr:cNvPr id="3770" name="Text Box 18">
          <a:extLst>
            <a:ext uri="{FF2B5EF4-FFF2-40B4-BE49-F238E27FC236}">
              <a16:creationId xmlns:a16="http://schemas.microsoft.com/office/drawing/2014/main" id="{00000000-0008-0000-0500-0000BA0E0000}"/>
            </a:ext>
          </a:extLst>
        </xdr:cNvPr>
        <xdr:cNvSpPr txBox="1">
          <a:spLocks noChangeArrowheads="1"/>
        </xdr:cNvSpPr>
      </xdr:nvSpPr>
      <xdr:spPr bwMode="auto">
        <a:xfrm>
          <a:off x="12540961"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126</xdr:row>
      <xdr:rowOff>0</xdr:rowOff>
    </xdr:from>
    <xdr:ext cx="95250" cy="171450"/>
    <xdr:sp macro="" textlink="">
      <xdr:nvSpPr>
        <xdr:cNvPr id="3771" name="Text Box 19">
          <a:extLst>
            <a:ext uri="{FF2B5EF4-FFF2-40B4-BE49-F238E27FC236}">
              <a16:creationId xmlns:a16="http://schemas.microsoft.com/office/drawing/2014/main" id="{00000000-0008-0000-0500-0000BB0E0000}"/>
            </a:ext>
          </a:extLst>
        </xdr:cNvPr>
        <xdr:cNvSpPr txBox="1">
          <a:spLocks noChangeArrowheads="1"/>
        </xdr:cNvSpPr>
      </xdr:nvSpPr>
      <xdr:spPr bwMode="auto">
        <a:xfrm>
          <a:off x="12540961"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21</xdr:col>
      <xdr:colOff>0</xdr:colOff>
      <xdr:row>126</xdr:row>
      <xdr:rowOff>0</xdr:rowOff>
    </xdr:from>
    <xdr:ext cx="95250" cy="171450"/>
    <xdr:sp macro="" textlink="">
      <xdr:nvSpPr>
        <xdr:cNvPr id="3772" name="Text Box 16">
          <a:extLst>
            <a:ext uri="{FF2B5EF4-FFF2-40B4-BE49-F238E27FC236}">
              <a16:creationId xmlns:a16="http://schemas.microsoft.com/office/drawing/2014/main" id="{00000000-0008-0000-0500-0000BC0E0000}"/>
            </a:ext>
          </a:extLst>
        </xdr:cNvPr>
        <xdr:cNvSpPr txBox="1">
          <a:spLocks noChangeArrowheads="1"/>
        </xdr:cNvSpPr>
      </xdr:nvSpPr>
      <xdr:spPr bwMode="auto">
        <a:xfrm>
          <a:off x="21832455"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21</xdr:col>
      <xdr:colOff>0</xdr:colOff>
      <xdr:row>126</xdr:row>
      <xdr:rowOff>0</xdr:rowOff>
    </xdr:from>
    <xdr:ext cx="95250" cy="171450"/>
    <xdr:sp macro="" textlink="">
      <xdr:nvSpPr>
        <xdr:cNvPr id="3773" name="Text Box 17">
          <a:extLst>
            <a:ext uri="{FF2B5EF4-FFF2-40B4-BE49-F238E27FC236}">
              <a16:creationId xmlns:a16="http://schemas.microsoft.com/office/drawing/2014/main" id="{00000000-0008-0000-0500-0000BD0E0000}"/>
            </a:ext>
          </a:extLst>
        </xdr:cNvPr>
        <xdr:cNvSpPr txBox="1">
          <a:spLocks noChangeArrowheads="1"/>
        </xdr:cNvSpPr>
      </xdr:nvSpPr>
      <xdr:spPr bwMode="auto">
        <a:xfrm>
          <a:off x="21832455"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21</xdr:col>
      <xdr:colOff>0</xdr:colOff>
      <xdr:row>126</xdr:row>
      <xdr:rowOff>0</xdr:rowOff>
    </xdr:from>
    <xdr:ext cx="95250" cy="171450"/>
    <xdr:sp macro="" textlink="">
      <xdr:nvSpPr>
        <xdr:cNvPr id="3774" name="Text Box 18">
          <a:extLst>
            <a:ext uri="{FF2B5EF4-FFF2-40B4-BE49-F238E27FC236}">
              <a16:creationId xmlns:a16="http://schemas.microsoft.com/office/drawing/2014/main" id="{00000000-0008-0000-0500-0000BE0E0000}"/>
            </a:ext>
          </a:extLst>
        </xdr:cNvPr>
        <xdr:cNvSpPr txBox="1">
          <a:spLocks noChangeArrowheads="1"/>
        </xdr:cNvSpPr>
      </xdr:nvSpPr>
      <xdr:spPr bwMode="auto">
        <a:xfrm>
          <a:off x="21832455"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21</xdr:col>
      <xdr:colOff>0</xdr:colOff>
      <xdr:row>126</xdr:row>
      <xdr:rowOff>0</xdr:rowOff>
    </xdr:from>
    <xdr:ext cx="95250" cy="171450"/>
    <xdr:sp macro="" textlink="">
      <xdr:nvSpPr>
        <xdr:cNvPr id="3775" name="Text Box 19">
          <a:extLst>
            <a:ext uri="{FF2B5EF4-FFF2-40B4-BE49-F238E27FC236}">
              <a16:creationId xmlns:a16="http://schemas.microsoft.com/office/drawing/2014/main" id="{00000000-0008-0000-0500-0000BF0E0000}"/>
            </a:ext>
          </a:extLst>
        </xdr:cNvPr>
        <xdr:cNvSpPr txBox="1">
          <a:spLocks noChangeArrowheads="1"/>
        </xdr:cNvSpPr>
      </xdr:nvSpPr>
      <xdr:spPr bwMode="auto">
        <a:xfrm>
          <a:off x="21832455"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124</xdr:row>
      <xdr:rowOff>504825</xdr:rowOff>
    </xdr:from>
    <xdr:ext cx="95250" cy="444014"/>
    <xdr:sp macro="" textlink="">
      <xdr:nvSpPr>
        <xdr:cNvPr id="3776" name="Text Box 15">
          <a:extLst>
            <a:ext uri="{FF2B5EF4-FFF2-40B4-BE49-F238E27FC236}">
              <a16:creationId xmlns:a16="http://schemas.microsoft.com/office/drawing/2014/main" id="{00000000-0008-0000-0500-0000C00E0000}"/>
            </a:ext>
          </a:extLst>
        </xdr:cNvPr>
        <xdr:cNvSpPr txBox="1">
          <a:spLocks noChangeArrowheads="1"/>
        </xdr:cNvSpPr>
      </xdr:nvSpPr>
      <xdr:spPr bwMode="auto">
        <a:xfrm>
          <a:off x="4664364" y="6733020"/>
          <a:ext cx="95250" cy="444014"/>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126</xdr:row>
      <xdr:rowOff>0</xdr:rowOff>
    </xdr:from>
    <xdr:ext cx="95250" cy="171450"/>
    <xdr:sp macro="" textlink="">
      <xdr:nvSpPr>
        <xdr:cNvPr id="3777" name="Text Box 16">
          <a:extLst>
            <a:ext uri="{FF2B5EF4-FFF2-40B4-BE49-F238E27FC236}">
              <a16:creationId xmlns:a16="http://schemas.microsoft.com/office/drawing/2014/main" id="{00000000-0008-0000-0500-0000C10E0000}"/>
            </a:ext>
          </a:extLst>
        </xdr:cNvPr>
        <xdr:cNvSpPr txBox="1">
          <a:spLocks noChangeArrowheads="1"/>
        </xdr:cNvSpPr>
      </xdr:nvSpPr>
      <xdr:spPr bwMode="auto">
        <a:xfrm>
          <a:off x="4664364"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126</xdr:row>
      <xdr:rowOff>0</xdr:rowOff>
    </xdr:from>
    <xdr:ext cx="95250" cy="171450"/>
    <xdr:sp macro="" textlink="">
      <xdr:nvSpPr>
        <xdr:cNvPr id="3778" name="Text Box 17">
          <a:extLst>
            <a:ext uri="{FF2B5EF4-FFF2-40B4-BE49-F238E27FC236}">
              <a16:creationId xmlns:a16="http://schemas.microsoft.com/office/drawing/2014/main" id="{00000000-0008-0000-0500-0000C20E0000}"/>
            </a:ext>
          </a:extLst>
        </xdr:cNvPr>
        <xdr:cNvSpPr txBox="1">
          <a:spLocks noChangeArrowheads="1"/>
        </xdr:cNvSpPr>
      </xdr:nvSpPr>
      <xdr:spPr bwMode="auto">
        <a:xfrm>
          <a:off x="4664364"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126</xdr:row>
      <xdr:rowOff>0</xdr:rowOff>
    </xdr:from>
    <xdr:ext cx="95250" cy="171450"/>
    <xdr:sp macro="" textlink="">
      <xdr:nvSpPr>
        <xdr:cNvPr id="3779" name="Text Box 18">
          <a:extLst>
            <a:ext uri="{FF2B5EF4-FFF2-40B4-BE49-F238E27FC236}">
              <a16:creationId xmlns:a16="http://schemas.microsoft.com/office/drawing/2014/main" id="{00000000-0008-0000-0500-0000C30E0000}"/>
            </a:ext>
          </a:extLst>
        </xdr:cNvPr>
        <xdr:cNvSpPr txBox="1">
          <a:spLocks noChangeArrowheads="1"/>
        </xdr:cNvSpPr>
      </xdr:nvSpPr>
      <xdr:spPr bwMode="auto">
        <a:xfrm>
          <a:off x="4664364"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126</xdr:row>
      <xdr:rowOff>0</xdr:rowOff>
    </xdr:from>
    <xdr:ext cx="95250" cy="171450"/>
    <xdr:sp macro="" textlink="">
      <xdr:nvSpPr>
        <xdr:cNvPr id="3780" name="Text Box 19">
          <a:extLst>
            <a:ext uri="{FF2B5EF4-FFF2-40B4-BE49-F238E27FC236}">
              <a16:creationId xmlns:a16="http://schemas.microsoft.com/office/drawing/2014/main" id="{00000000-0008-0000-0500-0000C40E0000}"/>
            </a:ext>
          </a:extLst>
        </xdr:cNvPr>
        <xdr:cNvSpPr txBox="1">
          <a:spLocks noChangeArrowheads="1"/>
        </xdr:cNvSpPr>
      </xdr:nvSpPr>
      <xdr:spPr bwMode="auto">
        <a:xfrm>
          <a:off x="4664364"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124</xdr:row>
      <xdr:rowOff>504825</xdr:rowOff>
    </xdr:from>
    <xdr:ext cx="95250" cy="442269"/>
    <xdr:sp macro="" textlink="">
      <xdr:nvSpPr>
        <xdr:cNvPr id="3781" name="Text Box 15">
          <a:extLst>
            <a:ext uri="{FF2B5EF4-FFF2-40B4-BE49-F238E27FC236}">
              <a16:creationId xmlns:a16="http://schemas.microsoft.com/office/drawing/2014/main" id="{00000000-0008-0000-0500-0000C50E0000}"/>
            </a:ext>
          </a:extLst>
        </xdr:cNvPr>
        <xdr:cNvSpPr txBox="1">
          <a:spLocks noChangeArrowheads="1"/>
        </xdr:cNvSpPr>
      </xdr:nvSpPr>
      <xdr:spPr bwMode="auto">
        <a:xfrm>
          <a:off x="12540961" y="6733020"/>
          <a:ext cx="95250" cy="442269"/>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126</xdr:row>
      <xdr:rowOff>0</xdr:rowOff>
    </xdr:from>
    <xdr:ext cx="95250" cy="171450"/>
    <xdr:sp macro="" textlink="">
      <xdr:nvSpPr>
        <xdr:cNvPr id="3782" name="Text Box 16">
          <a:extLst>
            <a:ext uri="{FF2B5EF4-FFF2-40B4-BE49-F238E27FC236}">
              <a16:creationId xmlns:a16="http://schemas.microsoft.com/office/drawing/2014/main" id="{00000000-0008-0000-0500-0000C60E0000}"/>
            </a:ext>
          </a:extLst>
        </xdr:cNvPr>
        <xdr:cNvSpPr txBox="1">
          <a:spLocks noChangeArrowheads="1"/>
        </xdr:cNvSpPr>
      </xdr:nvSpPr>
      <xdr:spPr bwMode="auto">
        <a:xfrm>
          <a:off x="12540961"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126</xdr:row>
      <xdr:rowOff>0</xdr:rowOff>
    </xdr:from>
    <xdr:ext cx="95250" cy="171450"/>
    <xdr:sp macro="" textlink="">
      <xdr:nvSpPr>
        <xdr:cNvPr id="3783" name="Text Box 17">
          <a:extLst>
            <a:ext uri="{FF2B5EF4-FFF2-40B4-BE49-F238E27FC236}">
              <a16:creationId xmlns:a16="http://schemas.microsoft.com/office/drawing/2014/main" id="{00000000-0008-0000-0500-0000C70E0000}"/>
            </a:ext>
          </a:extLst>
        </xdr:cNvPr>
        <xdr:cNvSpPr txBox="1">
          <a:spLocks noChangeArrowheads="1"/>
        </xdr:cNvSpPr>
      </xdr:nvSpPr>
      <xdr:spPr bwMode="auto">
        <a:xfrm>
          <a:off x="12540961"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126</xdr:row>
      <xdr:rowOff>0</xdr:rowOff>
    </xdr:from>
    <xdr:ext cx="95250" cy="171450"/>
    <xdr:sp macro="" textlink="">
      <xdr:nvSpPr>
        <xdr:cNvPr id="3784" name="Text Box 18">
          <a:extLst>
            <a:ext uri="{FF2B5EF4-FFF2-40B4-BE49-F238E27FC236}">
              <a16:creationId xmlns:a16="http://schemas.microsoft.com/office/drawing/2014/main" id="{00000000-0008-0000-0500-0000C80E0000}"/>
            </a:ext>
          </a:extLst>
        </xdr:cNvPr>
        <xdr:cNvSpPr txBox="1">
          <a:spLocks noChangeArrowheads="1"/>
        </xdr:cNvSpPr>
      </xdr:nvSpPr>
      <xdr:spPr bwMode="auto">
        <a:xfrm>
          <a:off x="12540961"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126</xdr:row>
      <xdr:rowOff>0</xdr:rowOff>
    </xdr:from>
    <xdr:ext cx="95250" cy="171450"/>
    <xdr:sp macro="" textlink="">
      <xdr:nvSpPr>
        <xdr:cNvPr id="3785" name="Text Box 16">
          <a:extLst>
            <a:ext uri="{FF2B5EF4-FFF2-40B4-BE49-F238E27FC236}">
              <a16:creationId xmlns:a16="http://schemas.microsoft.com/office/drawing/2014/main" id="{00000000-0008-0000-0500-0000C90E0000}"/>
            </a:ext>
          </a:extLst>
        </xdr:cNvPr>
        <xdr:cNvSpPr txBox="1">
          <a:spLocks noChangeArrowheads="1"/>
        </xdr:cNvSpPr>
      </xdr:nvSpPr>
      <xdr:spPr bwMode="auto">
        <a:xfrm>
          <a:off x="15388070"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126</xdr:row>
      <xdr:rowOff>0</xdr:rowOff>
    </xdr:from>
    <xdr:ext cx="95250" cy="171450"/>
    <xdr:sp macro="" textlink="">
      <xdr:nvSpPr>
        <xdr:cNvPr id="3786" name="Text Box 17">
          <a:extLst>
            <a:ext uri="{FF2B5EF4-FFF2-40B4-BE49-F238E27FC236}">
              <a16:creationId xmlns:a16="http://schemas.microsoft.com/office/drawing/2014/main" id="{00000000-0008-0000-0500-0000CA0E0000}"/>
            </a:ext>
          </a:extLst>
        </xdr:cNvPr>
        <xdr:cNvSpPr txBox="1">
          <a:spLocks noChangeArrowheads="1"/>
        </xdr:cNvSpPr>
      </xdr:nvSpPr>
      <xdr:spPr bwMode="auto">
        <a:xfrm>
          <a:off x="15388070"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126</xdr:row>
      <xdr:rowOff>0</xdr:rowOff>
    </xdr:from>
    <xdr:ext cx="95250" cy="171450"/>
    <xdr:sp macro="" textlink="">
      <xdr:nvSpPr>
        <xdr:cNvPr id="3787" name="Text Box 18">
          <a:extLst>
            <a:ext uri="{FF2B5EF4-FFF2-40B4-BE49-F238E27FC236}">
              <a16:creationId xmlns:a16="http://schemas.microsoft.com/office/drawing/2014/main" id="{00000000-0008-0000-0500-0000CB0E0000}"/>
            </a:ext>
          </a:extLst>
        </xdr:cNvPr>
        <xdr:cNvSpPr txBox="1">
          <a:spLocks noChangeArrowheads="1"/>
        </xdr:cNvSpPr>
      </xdr:nvSpPr>
      <xdr:spPr bwMode="auto">
        <a:xfrm>
          <a:off x="15388070"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126</xdr:row>
      <xdr:rowOff>0</xdr:rowOff>
    </xdr:from>
    <xdr:ext cx="95250" cy="171450"/>
    <xdr:sp macro="" textlink="">
      <xdr:nvSpPr>
        <xdr:cNvPr id="3788" name="Text Box 19">
          <a:extLst>
            <a:ext uri="{FF2B5EF4-FFF2-40B4-BE49-F238E27FC236}">
              <a16:creationId xmlns:a16="http://schemas.microsoft.com/office/drawing/2014/main" id="{00000000-0008-0000-0500-0000CC0E0000}"/>
            </a:ext>
          </a:extLst>
        </xdr:cNvPr>
        <xdr:cNvSpPr txBox="1">
          <a:spLocks noChangeArrowheads="1"/>
        </xdr:cNvSpPr>
      </xdr:nvSpPr>
      <xdr:spPr bwMode="auto">
        <a:xfrm>
          <a:off x="15388070"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126</xdr:row>
      <xdr:rowOff>0</xdr:rowOff>
    </xdr:from>
    <xdr:ext cx="95250" cy="171450"/>
    <xdr:sp macro="" textlink="">
      <xdr:nvSpPr>
        <xdr:cNvPr id="3789" name="Text Box 16">
          <a:extLst>
            <a:ext uri="{FF2B5EF4-FFF2-40B4-BE49-F238E27FC236}">
              <a16:creationId xmlns:a16="http://schemas.microsoft.com/office/drawing/2014/main" id="{00000000-0008-0000-0500-0000CD0E0000}"/>
            </a:ext>
          </a:extLst>
        </xdr:cNvPr>
        <xdr:cNvSpPr txBox="1">
          <a:spLocks noChangeArrowheads="1"/>
        </xdr:cNvSpPr>
      </xdr:nvSpPr>
      <xdr:spPr bwMode="auto">
        <a:xfrm>
          <a:off x="15388070"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126</xdr:row>
      <xdr:rowOff>0</xdr:rowOff>
    </xdr:from>
    <xdr:ext cx="95250" cy="171450"/>
    <xdr:sp macro="" textlink="">
      <xdr:nvSpPr>
        <xdr:cNvPr id="3790" name="Text Box 17">
          <a:extLst>
            <a:ext uri="{FF2B5EF4-FFF2-40B4-BE49-F238E27FC236}">
              <a16:creationId xmlns:a16="http://schemas.microsoft.com/office/drawing/2014/main" id="{00000000-0008-0000-0500-0000CE0E0000}"/>
            </a:ext>
          </a:extLst>
        </xdr:cNvPr>
        <xdr:cNvSpPr txBox="1">
          <a:spLocks noChangeArrowheads="1"/>
        </xdr:cNvSpPr>
      </xdr:nvSpPr>
      <xdr:spPr bwMode="auto">
        <a:xfrm>
          <a:off x="15388070"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126</xdr:row>
      <xdr:rowOff>0</xdr:rowOff>
    </xdr:from>
    <xdr:ext cx="95250" cy="171450"/>
    <xdr:sp macro="" textlink="">
      <xdr:nvSpPr>
        <xdr:cNvPr id="3791" name="Text Box 18">
          <a:extLst>
            <a:ext uri="{FF2B5EF4-FFF2-40B4-BE49-F238E27FC236}">
              <a16:creationId xmlns:a16="http://schemas.microsoft.com/office/drawing/2014/main" id="{00000000-0008-0000-0500-0000CF0E0000}"/>
            </a:ext>
          </a:extLst>
        </xdr:cNvPr>
        <xdr:cNvSpPr txBox="1">
          <a:spLocks noChangeArrowheads="1"/>
        </xdr:cNvSpPr>
      </xdr:nvSpPr>
      <xdr:spPr bwMode="auto">
        <a:xfrm>
          <a:off x="15388070"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10</xdr:col>
      <xdr:colOff>28575</xdr:colOff>
      <xdr:row>126</xdr:row>
      <xdr:rowOff>170392</xdr:rowOff>
    </xdr:from>
    <xdr:ext cx="95250" cy="213632"/>
    <xdr:sp macro="" textlink="">
      <xdr:nvSpPr>
        <xdr:cNvPr id="3792" name="Text Box 15">
          <a:extLst>
            <a:ext uri="{FF2B5EF4-FFF2-40B4-BE49-F238E27FC236}">
              <a16:creationId xmlns:a16="http://schemas.microsoft.com/office/drawing/2014/main" id="{00000000-0008-0000-0500-0000D00E0000}"/>
            </a:ext>
          </a:extLst>
        </xdr:cNvPr>
        <xdr:cNvSpPr txBox="1">
          <a:spLocks noChangeArrowheads="1"/>
        </xdr:cNvSpPr>
      </xdr:nvSpPr>
      <xdr:spPr bwMode="auto">
        <a:xfrm>
          <a:off x="12578484" y="7270847"/>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126</xdr:row>
      <xdr:rowOff>0</xdr:rowOff>
    </xdr:from>
    <xdr:ext cx="95250" cy="171450"/>
    <xdr:sp macro="" textlink="">
      <xdr:nvSpPr>
        <xdr:cNvPr id="3793" name="Text Box 16">
          <a:extLst>
            <a:ext uri="{FF2B5EF4-FFF2-40B4-BE49-F238E27FC236}">
              <a16:creationId xmlns:a16="http://schemas.microsoft.com/office/drawing/2014/main" id="{00000000-0008-0000-0500-0000D10E0000}"/>
            </a:ext>
          </a:extLst>
        </xdr:cNvPr>
        <xdr:cNvSpPr txBox="1">
          <a:spLocks noChangeArrowheads="1"/>
        </xdr:cNvSpPr>
      </xdr:nvSpPr>
      <xdr:spPr bwMode="auto">
        <a:xfrm>
          <a:off x="4664364"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126</xdr:row>
      <xdr:rowOff>0</xdr:rowOff>
    </xdr:from>
    <xdr:ext cx="95250" cy="171450"/>
    <xdr:sp macro="" textlink="">
      <xdr:nvSpPr>
        <xdr:cNvPr id="3794" name="Text Box 17">
          <a:extLst>
            <a:ext uri="{FF2B5EF4-FFF2-40B4-BE49-F238E27FC236}">
              <a16:creationId xmlns:a16="http://schemas.microsoft.com/office/drawing/2014/main" id="{00000000-0008-0000-0500-0000D20E0000}"/>
            </a:ext>
          </a:extLst>
        </xdr:cNvPr>
        <xdr:cNvSpPr txBox="1">
          <a:spLocks noChangeArrowheads="1"/>
        </xdr:cNvSpPr>
      </xdr:nvSpPr>
      <xdr:spPr bwMode="auto">
        <a:xfrm>
          <a:off x="4664364"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126</xdr:row>
      <xdr:rowOff>0</xdr:rowOff>
    </xdr:from>
    <xdr:ext cx="95250" cy="171450"/>
    <xdr:sp macro="" textlink="">
      <xdr:nvSpPr>
        <xdr:cNvPr id="3795" name="Text Box 18">
          <a:extLst>
            <a:ext uri="{FF2B5EF4-FFF2-40B4-BE49-F238E27FC236}">
              <a16:creationId xmlns:a16="http://schemas.microsoft.com/office/drawing/2014/main" id="{00000000-0008-0000-0500-0000D30E0000}"/>
            </a:ext>
          </a:extLst>
        </xdr:cNvPr>
        <xdr:cNvSpPr txBox="1">
          <a:spLocks noChangeArrowheads="1"/>
        </xdr:cNvSpPr>
      </xdr:nvSpPr>
      <xdr:spPr bwMode="auto">
        <a:xfrm>
          <a:off x="4664364"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126</xdr:row>
      <xdr:rowOff>0</xdr:rowOff>
    </xdr:from>
    <xdr:ext cx="95250" cy="171450"/>
    <xdr:sp macro="" textlink="">
      <xdr:nvSpPr>
        <xdr:cNvPr id="3796" name="Text Box 19">
          <a:extLst>
            <a:ext uri="{FF2B5EF4-FFF2-40B4-BE49-F238E27FC236}">
              <a16:creationId xmlns:a16="http://schemas.microsoft.com/office/drawing/2014/main" id="{00000000-0008-0000-0500-0000D40E0000}"/>
            </a:ext>
          </a:extLst>
        </xdr:cNvPr>
        <xdr:cNvSpPr txBox="1">
          <a:spLocks noChangeArrowheads="1"/>
        </xdr:cNvSpPr>
      </xdr:nvSpPr>
      <xdr:spPr bwMode="auto">
        <a:xfrm>
          <a:off x="4664364"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126</xdr:row>
      <xdr:rowOff>0</xdr:rowOff>
    </xdr:from>
    <xdr:ext cx="95250" cy="171450"/>
    <xdr:sp macro="" textlink="">
      <xdr:nvSpPr>
        <xdr:cNvPr id="3797" name="Text Box 16">
          <a:extLst>
            <a:ext uri="{FF2B5EF4-FFF2-40B4-BE49-F238E27FC236}">
              <a16:creationId xmlns:a16="http://schemas.microsoft.com/office/drawing/2014/main" id="{00000000-0008-0000-0500-0000D50E0000}"/>
            </a:ext>
          </a:extLst>
        </xdr:cNvPr>
        <xdr:cNvSpPr txBox="1">
          <a:spLocks noChangeArrowheads="1"/>
        </xdr:cNvSpPr>
      </xdr:nvSpPr>
      <xdr:spPr bwMode="auto">
        <a:xfrm>
          <a:off x="12540961"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126</xdr:row>
      <xdr:rowOff>0</xdr:rowOff>
    </xdr:from>
    <xdr:ext cx="95250" cy="171450"/>
    <xdr:sp macro="" textlink="">
      <xdr:nvSpPr>
        <xdr:cNvPr id="3798" name="Text Box 17">
          <a:extLst>
            <a:ext uri="{FF2B5EF4-FFF2-40B4-BE49-F238E27FC236}">
              <a16:creationId xmlns:a16="http://schemas.microsoft.com/office/drawing/2014/main" id="{00000000-0008-0000-0500-0000D60E0000}"/>
            </a:ext>
          </a:extLst>
        </xdr:cNvPr>
        <xdr:cNvSpPr txBox="1">
          <a:spLocks noChangeArrowheads="1"/>
        </xdr:cNvSpPr>
      </xdr:nvSpPr>
      <xdr:spPr bwMode="auto">
        <a:xfrm>
          <a:off x="12540961"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126</xdr:row>
      <xdr:rowOff>0</xdr:rowOff>
    </xdr:from>
    <xdr:ext cx="95250" cy="171450"/>
    <xdr:sp macro="" textlink="">
      <xdr:nvSpPr>
        <xdr:cNvPr id="3799" name="Text Box 18">
          <a:extLst>
            <a:ext uri="{FF2B5EF4-FFF2-40B4-BE49-F238E27FC236}">
              <a16:creationId xmlns:a16="http://schemas.microsoft.com/office/drawing/2014/main" id="{00000000-0008-0000-0500-0000D70E0000}"/>
            </a:ext>
          </a:extLst>
        </xdr:cNvPr>
        <xdr:cNvSpPr txBox="1">
          <a:spLocks noChangeArrowheads="1"/>
        </xdr:cNvSpPr>
      </xdr:nvSpPr>
      <xdr:spPr bwMode="auto">
        <a:xfrm>
          <a:off x="12540961"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126</xdr:row>
      <xdr:rowOff>0</xdr:rowOff>
    </xdr:from>
    <xdr:ext cx="95250" cy="171450"/>
    <xdr:sp macro="" textlink="">
      <xdr:nvSpPr>
        <xdr:cNvPr id="3800" name="Text Box 19">
          <a:extLst>
            <a:ext uri="{FF2B5EF4-FFF2-40B4-BE49-F238E27FC236}">
              <a16:creationId xmlns:a16="http://schemas.microsoft.com/office/drawing/2014/main" id="{00000000-0008-0000-0500-0000D80E0000}"/>
            </a:ext>
          </a:extLst>
        </xdr:cNvPr>
        <xdr:cNvSpPr txBox="1">
          <a:spLocks noChangeArrowheads="1"/>
        </xdr:cNvSpPr>
      </xdr:nvSpPr>
      <xdr:spPr bwMode="auto">
        <a:xfrm>
          <a:off x="12540961"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21</xdr:col>
      <xdr:colOff>0</xdr:colOff>
      <xdr:row>121</xdr:row>
      <xdr:rowOff>0</xdr:rowOff>
    </xdr:from>
    <xdr:ext cx="95250" cy="171450"/>
    <xdr:sp macro="" textlink="">
      <xdr:nvSpPr>
        <xdr:cNvPr id="3801" name="Text Box 16">
          <a:extLst>
            <a:ext uri="{FF2B5EF4-FFF2-40B4-BE49-F238E27FC236}">
              <a16:creationId xmlns:a16="http://schemas.microsoft.com/office/drawing/2014/main" id="{00000000-0008-0000-0500-0000D90E0000}"/>
            </a:ext>
          </a:extLst>
        </xdr:cNvPr>
        <xdr:cNvSpPr txBox="1">
          <a:spLocks noChangeArrowheads="1"/>
        </xdr:cNvSpPr>
      </xdr:nvSpPr>
      <xdr:spPr bwMode="auto">
        <a:xfrm>
          <a:off x="21832455" y="5992091"/>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21</xdr:col>
      <xdr:colOff>0</xdr:colOff>
      <xdr:row>121</xdr:row>
      <xdr:rowOff>0</xdr:rowOff>
    </xdr:from>
    <xdr:ext cx="95250" cy="171450"/>
    <xdr:sp macro="" textlink="">
      <xdr:nvSpPr>
        <xdr:cNvPr id="3802" name="Text Box 17">
          <a:extLst>
            <a:ext uri="{FF2B5EF4-FFF2-40B4-BE49-F238E27FC236}">
              <a16:creationId xmlns:a16="http://schemas.microsoft.com/office/drawing/2014/main" id="{00000000-0008-0000-0500-0000DA0E0000}"/>
            </a:ext>
          </a:extLst>
        </xdr:cNvPr>
        <xdr:cNvSpPr txBox="1">
          <a:spLocks noChangeArrowheads="1"/>
        </xdr:cNvSpPr>
      </xdr:nvSpPr>
      <xdr:spPr bwMode="auto">
        <a:xfrm>
          <a:off x="21832455" y="5992091"/>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21</xdr:col>
      <xdr:colOff>0</xdr:colOff>
      <xdr:row>121</xdr:row>
      <xdr:rowOff>0</xdr:rowOff>
    </xdr:from>
    <xdr:ext cx="95250" cy="171450"/>
    <xdr:sp macro="" textlink="">
      <xdr:nvSpPr>
        <xdr:cNvPr id="3803" name="Text Box 18">
          <a:extLst>
            <a:ext uri="{FF2B5EF4-FFF2-40B4-BE49-F238E27FC236}">
              <a16:creationId xmlns:a16="http://schemas.microsoft.com/office/drawing/2014/main" id="{00000000-0008-0000-0500-0000DB0E0000}"/>
            </a:ext>
          </a:extLst>
        </xdr:cNvPr>
        <xdr:cNvSpPr txBox="1">
          <a:spLocks noChangeArrowheads="1"/>
        </xdr:cNvSpPr>
      </xdr:nvSpPr>
      <xdr:spPr bwMode="auto">
        <a:xfrm>
          <a:off x="21832455" y="5992091"/>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21</xdr:col>
      <xdr:colOff>0</xdr:colOff>
      <xdr:row>121</xdr:row>
      <xdr:rowOff>0</xdr:rowOff>
    </xdr:from>
    <xdr:ext cx="95250" cy="171450"/>
    <xdr:sp macro="" textlink="">
      <xdr:nvSpPr>
        <xdr:cNvPr id="3804" name="Text Box 19">
          <a:extLst>
            <a:ext uri="{FF2B5EF4-FFF2-40B4-BE49-F238E27FC236}">
              <a16:creationId xmlns:a16="http://schemas.microsoft.com/office/drawing/2014/main" id="{00000000-0008-0000-0500-0000DC0E0000}"/>
            </a:ext>
          </a:extLst>
        </xdr:cNvPr>
        <xdr:cNvSpPr txBox="1">
          <a:spLocks noChangeArrowheads="1"/>
        </xdr:cNvSpPr>
      </xdr:nvSpPr>
      <xdr:spPr bwMode="auto">
        <a:xfrm>
          <a:off x="21832455" y="5992091"/>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124</xdr:row>
      <xdr:rowOff>504825</xdr:rowOff>
    </xdr:from>
    <xdr:ext cx="95250" cy="444014"/>
    <xdr:sp macro="" textlink="">
      <xdr:nvSpPr>
        <xdr:cNvPr id="3805" name="Text Box 15">
          <a:extLst>
            <a:ext uri="{FF2B5EF4-FFF2-40B4-BE49-F238E27FC236}">
              <a16:creationId xmlns:a16="http://schemas.microsoft.com/office/drawing/2014/main" id="{00000000-0008-0000-0500-0000DD0E0000}"/>
            </a:ext>
          </a:extLst>
        </xdr:cNvPr>
        <xdr:cNvSpPr txBox="1">
          <a:spLocks noChangeArrowheads="1"/>
        </xdr:cNvSpPr>
      </xdr:nvSpPr>
      <xdr:spPr bwMode="auto">
        <a:xfrm>
          <a:off x="4664364" y="6733020"/>
          <a:ext cx="95250" cy="444014"/>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126</xdr:row>
      <xdr:rowOff>0</xdr:rowOff>
    </xdr:from>
    <xdr:ext cx="95250" cy="171450"/>
    <xdr:sp macro="" textlink="">
      <xdr:nvSpPr>
        <xdr:cNvPr id="3806" name="Text Box 16">
          <a:extLst>
            <a:ext uri="{FF2B5EF4-FFF2-40B4-BE49-F238E27FC236}">
              <a16:creationId xmlns:a16="http://schemas.microsoft.com/office/drawing/2014/main" id="{00000000-0008-0000-0500-0000DE0E0000}"/>
            </a:ext>
          </a:extLst>
        </xdr:cNvPr>
        <xdr:cNvSpPr txBox="1">
          <a:spLocks noChangeArrowheads="1"/>
        </xdr:cNvSpPr>
      </xdr:nvSpPr>
      <xdr:spPr bwMode="auto">
        <a:xfrm>
          <a:off x="4664364"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126</xdr:row>
      <xdr:rowOff>0</xdr:rowOff>
    </xdr:from>
    <xdr:ext cx="95250" cy="171450"/>
    <xdr:sp macro="" textlink="">
      <xdr:nvSpPr>
        <xdr:cNvPr id="3807" name="Text Box 17">
          <a:extLst>
            <a:ext uri="{FF2B5EF4-FFF2-40B4-BE49-F238E27FC236}">
              <a16:creationId xmlns:a16="http://schemas.microsoft.com/office/drawing/2014/main" id="{00000000-0008-0000-0500-0000DF0E0000}"/>
            </a:ext>
          </a:extLst>
        </xdr:cNvPr>
        <xdr:cNvSpPr txBox="1">
          <a:spLocks noChangeArrowheads="1"/>
        </xdr:cNvSpPr>
      </xdr:nvSpPr>
      <xdr:spPr bwMode="auto">
        <a:xfrm>
          <a:off x="4664364"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126</xdr:row>
      <xdr:rowOff>0</xdr:rowOff>
    </xdr:from>
    <xdr:ext cx="95250" cy="171450"/>
    <xdr:sp macro="" textlink="">
      <xdr:nvSpPr>
        <xdr:cNvPr id="3808" name="Text Box 18">
          <a:extLst>
            <a:ext uri="{FF2B5EF4-FFF2-40B4-BE49-F238E27FC236}">
              <a16:creationId xmlns:a16="http://schemas.microsoft.com/office/drawing/2014/main" id="{00000000-0008-0000-0500-0000E00E0000}"/>
            </a:ext>
          </a:extLst>
        </xdr:cNvPr>
        <xdr:cNvSpPr txBox="1">
          <a:spLocks noChangeArrowheads="1"/>
        </xdr:cNvSpPr>
      </xdr:nvSpPr>
      <xdr:spPr bwMode="auto">
        <a:xfrm>
          <a:off x="4664364"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126</xdr:row>
      <xdr:rowOff>0</xdr:rowOff>
    </xdr:from>
    <xdr:ext cx="95250" cy="171450"/>
    <xdr:sp macro="" textlink="">
      <xdr:nvSpPr>
        <xdr:cNvPr id="3809" name="Text Box 19">
          <a:extLst>
            <a:ext uri="{FF2B5EF4-FFF2-40B4-BE49-F238E27FC236}">
              <a16:creationId xmlns:a16="http://schemas.microsoft.com/office/drawing/2014/main" id="{00000000-0008-0000-0500-0000E10E0000}"/>
            </a:ext>
          </a:extLst>
        </xdr:cNvPr>
        <xdr:cNvSpPr txBox="1">
          <a:spLocks noChangeArrowheads="1"/>
        </xdr:cNvSpPr>
      </xdr:nvSpPr>
      <xdr:spPr bwMode="auto">
        <a:xfrm>
          <a:off x="4664364"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126</xdr:row>
      <xdr:rowOff>0</xdr:rowOff>
    </xdr:from>
    <xdr:ext cx="95250" cy="171450"/>
    <xdr:sp macro="" textlink="">
      <xdr:nvSpPr>
        <xdr:cNvPr id="3810" name="Text Box 16">
          <a:extLst>
            <a:ext uri="{FF2B5EF4-FFF2-40B4-BE49-F238E27FC236}">
              <a16:creationId xmlns:a16="http://schemas.microsoft.com/office/drawing/2014/main" id="{00000000-0008-0000-0500-0000E20E0000}"/>
            </a:ext>
          </a:extLst>
        </xdr:cNvPr>
        <xdr:cNvSpPr txBox="1">
          <a:spLocks noChangeArrowheads="1"/>
        </xdr:cNvSpPr>
      </xdr:nvSpPr>
      <xdr:spPr bwMode="auto">
        <a:xfrm>
          <a:off x="12540961"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1152525</xdr:colOff>
      <xdr:row>126</xdr:row>
      <xdr:rowOff>0</xdr:rowOff>
    </xdr:from>
    <xdr:ext cx="95250" cy="171450"/>
    <xdr:sp macro="" textlink="">
      <xdr:nvSpPr>
        <xdr:cNvPr id="3811" name="Text Box 17">
          <a:extLst>
            <a:ext uri="{FF2B5EF4-FFF2-40B4-BE49-F238E27FC236}">
              <a16:creationId xmlns:a16="http://schemas.microsoft.com/office/drawing/2014/main" id="{00000000-0008-0000-0500-0000E30E0000}"/>
            </a:ext>
          </a:extLst>
        </xdr:cNvPr>
        <xdr:cNvSpPr txBox="1">
          <a:spLocks noChangeArrowheads="1"/>
        </xdr:cNvSpPr>
      </xdr:nvSpPr>
      <xdr:spPr bwMode="auto">
        <a:xfrm>
          <a:off x="12540961"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1020762</xdr:colOff>
      <xdr:row>126</xdr:row>
      <xdr:rowOff>15875</xdr:rowOff>
    </xdr:from>
    <xdr:ext cx="95250" cy="171450"/>
    <xdr:sp macro="" textlink="">
      <xdr:nvSpPr>
        <xdr:cNvPr id="3812" name="Text Box 18">
          <a:extLst>
            <a:ext uri="{FF2B5EF4-FFF2-40B4-BE49-F238E27FC236}">
              <a16:creationId xmlns:a16="http://schemas.microsoft.com/office/drawing/2014/main" id="{00000000-0008-0000-0500-0000E40E0000}"/>
            </a:ext>
          </a:extLst>
        </xdr:cNvPr>
        <xdr:cNvSpPr txBox="1">
          <a:spLocks noChangeArrowheads="1"/>
        </xdr:cNvSpPr>
      </xdr:nvSpPr>
      <xdr:spPr bwMode="auto">
        <a:xfrm>
          <a:off x="12485398" y="7116330"/>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126</xdr:row>
      <xdr:rowOff>0</xdr:rowOff>
    </xdr:from>
    <xdr:ext cx="95250" cy="171450"/>
    <xdr:sp macro="" textlink="">
      <xdr:nvSpPr>
        <xdr:cNvPr id="3813" name="Text Box 16">
          <a:extLst>
            <a:ext uri="{FF2B5EF4-FFF2-40B4-BE49-F238E27FC236}">
              <a16:creationId xmlns:a16="http://schemas.microsoft.com/office/drawing/2014/main" id="{00000000-0008-0000-0500-0000E50E0000}"/>
            </a:ext>
          </a:extLst>
        </xdr:cNvPr>
        <xdr:cNvSpPr txBox="1">
          <a:spLocks noChangeArrowheads="1"/>
        </xdr:cNvSpPr>
      </xdr:nvSpPr>
      <xdr:spPr bwMode="auto">
        <a:xfrm>
          <a:off x="15388070"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126</xdr:row>
      <xdr:rowOff>0</xdr:rowOff>
    </xdr:from>
    <xdr:ext cx="95250" cy="171450"/>
    <xdr:sp macro="" textlink="">
      <xdr:nvSpPr>
        <xdr:cNvPr id="3814" name="Text Box 17">
          <a:extLst>
            <a:ext uri="{FF2B5EF4-FFF2-40B4-BE49-F238E27FC236}">
              <a16:creationId xmlns:a16="http://schemas.microsoft.com/office/drawing/2014/main" id="{00000000-0008-0000-0500-0000E60E0000}"/>
            </a:ext>
          </a:extLst>
        </xdr:cNvPr>
        <xdr:cNvSpPr txBox="1">
          <a:spLocks noChangeArrowheads="1"/>
        </xdr:cNvSpPr>
      </xdr:nvSpPr>
      <xdr:spPr bwMode="auto">
        <a:xfrm>
          <a:off x="15388070"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126</xdr:row>
      <xdr:rowOff>0</xdr:rowOff>
    </xdr:from>
    <xdr:ext cx="95250" cy="171450"/>
    <xdr:sp macro="" textlink="">
      <xdr:nvSpPr>
        <xdr:cNvPr id="3815" name="Text Box 18">
          <a:extLst>
            <a:ext uri="{FF2B5EF4-FFF2-40B4-BE49-F238E27FC236}">
              <a16:creationId xmlns:a16="http://schemas.microsoft.com/office/drawing/2014/main" id="{00000000-0008-0000-0500-0000E70E0000}"/>
            </a:ext>
          </a:extLst>
        </xdr:cNvPr>
        <xdr:cNvSpPr txBox="1">
          <a:spLocks noChangeArrowheads="1"/>
        </xdr:cNvSpPr>
      </xdr:nvSpPr>
      <xdr:spPr bwMode="auto">
        <a:xfrm>
          <a:off x="15388070"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126</xdr:row>
      <xdr:rowOff>0</xdr:rowOff>
    </xdr:from>
    <xdr:ext cx="95250" cy="171450"/>
    <xdr:sp macro="" textlink="">
      <xdr:nvSpPr>
        <xdr:cNvPr id="3816" name="Text Box 19">
          <a:extLst>
            <a:ext uri="{FF2B5EF4-FFF2-40B4-BE49-F238E27FC236}">
              <a16:creationId xmlns:a16="http://schemas.microsoft.com/office/drawing/2014/main" id="{00000000-0008-0000-0500-0000E80E0000}"/>
            </a:ext>
          </a:extLst>
        </xdr:cNvPr>
        <xdr:cNvSpPr txBox="1">
          <a:spLocks noChangeArrowheads="1"/>
        </xdr:cNvSpPr>
      </xdr:nvSpPr>
      <xdr:spPr bwMode="auto">
        <a:xfrm>
          <a:off x="15388070"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1152525</xdr:colOff>
      <xdr:row>126</xdr:row>
      <xdr:rowOff>0</xdr:rowOff>
    </xdr:from>
    <xdr:ext cx="95250" cy="171450"/>
    <xdr:sp macro="" textlink="">
      <xdr:nvSpPr>
        <xdr:cNvPr id="3817" name="Text Box 16">
          <a:extLst>
            <a:ext uri="{FF2B5EF4-FFF2-40B4-BE49-F238E27FC236}">
              <a16:creationId xmlns:a16="http://schemas.microsoft.com/office/drawing/2014/main" id="{00000000-0008-0000-0500-0000E90E0000}"/>
            </a:ext>
          </a:extLst>
        </xdr:cNvPr>
        <xdr:cNvSpPr txBox="1">
          <a:spLocks noChangeArrowheads="1"/>
        </xdr:cNvSpPr>
      </xdr:nvSpPr>
      <xdr:spPr bwMode="auto">
        <a:xfrm>
          <a:off x="15388070" y="7100455"/>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10</xdr:col>
      <xdr:colOff>28575</xdr:colOff>
      <xdr:row>126</xdr:row>
      <xdr:rowOff>170392</xdr:rowOff>
    </xdr:from>
    <xdr:ext cx="95250" cy="213632"/>
    <xdr:sp macro="" textlink="">
      <xdr:nvSpPr>
        <xdr:cNvPr id="3818" name="Text Box 15">
          <a:extLst>
            <a:ext uri="{FF2B5EF4-FFF2-40B4-BE49-F238E27FC236}">
              <a16:creationId xmlns:a16="http://schemas.microsoft.com/office/drawing/2014/main" id="{00000000-0008-0000-0500-0000EA0E0000}"/>
            </a:ext>
          </a:extLst>
        </xdr:cNvPr>
        <xdr:cNvSpPr txBox="1">
          <a:spLocks noChangeArrowheads="1"/>
        </xdr:cNvSpPr>
      </xdr:nvSpPr>
      <xdr:spPr bwMode="auto">
        <a:xfrm>
          <a:off x="12578484" y="7270847"/>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15</xdr:row>
      <xdr:rowOff>504825</xdr:rowOff>
    </xdr:from>
    <xdr:ext cx="95250" cy="467134"/>
    <xdr:sp macro="" textlink="">
      <xdr:nvSpPr>
        <xdr:cNvPr id="3819" name="Text Box 15">
          <a:extLst>
            <a:ext uri="{FF2B5EF4-FFF2-40B4-BE49-F238E27FC236}">
              <a16:creationId xmlns:a16="http://schemas.microsoft.com/office/drawing/2014/main" id="{00000000-0008-0000-0500-0000EB0E0000}"/>
            </a:ext>
          </a:extLst>
        </xdr:cNvPr>
        <xdr:cNvSpPr txBox="1">
          <a:spLocks noChangeArrowheads="1"/>
        </xdr:cNvSpPr>
      </xdr:nvSpPr>
      <xdr:spPr bwMode="auto">
        <a:xfrm>
          <a:off x="4972050" y="5076825"/>
          <a:ext cx="95250" cy="467134"/>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15</xdr:row>
      <xdr:rowOff>504825</xdr:rowOff>
    </xdr:from>
    <xdr:ext cx="95250" cy="213632"/>
    <xdr:sp macro="" textlink="">
      <xdr:nvSpPr>
        <xdr:cNvPr id="3820" name="Text Box 15">
          <a:extLst>
            <a:ext uri="{FF2B5EF4-FFF2-40B4-BE49-F238E27FC236}">
              <a16:creationId xmlns:a16="http://schemas.microsoft.com/office/drawing/2014/main" id="{00000000-0008-0000-0500-0000EC0E0000}"/>
            </a:ext>
          </a:extLst>
        </xdr:cNvPr>
        <xdr:cNvSpPr txBox="1">
          <a:spLocks noChangeArrowheads="1"/>
        </xdr:cNvSpPr>
      </xdr:nvSpPr>
      <xdr:spPr bwMode="auto">
        <a:xfrm>
          <a:off x="4972050" y="50768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15</xdr:row>
      <xdr:rowOff>504825</xdr:rowOff>
    </xdr:from>
    <xdr:ext cx="95250" cy="444331"/>
    <xdr:sp macro="" textlink="">
      <xdr:nvSpPr>
        <xdr:cNvPr id="3821" name="Text Box 15">
          <a:extLst>
            <a:ext uri="{FF2B5EF4-FFF2-40B4-BE49-F238E27FC236}">
              <a16:creationId xmlns:a16="http://schemas.microsoft.com/office/drawing/2014/main" id="{00000000-0008-0000-0500-0000ED0E0000}"/>
            </a:ext>
          </a:extLst>
        </xdr:cNvPr>
        <xdr:cNvSpPr txBox="1">
          <a:spLocks noChangeArrowheads="1"/>
        </xdr:cNvSpPr>
      </xdr:nvSpPr>
      <xdr:spPr bwMode="auto">
        <a:xfrm>
          <a:off x="4972050" y="5076825"/>
          <a:ext cx="95250" cy="444331"/>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17</xdr:row>
      <xdr:rowOff>504825</xdr:rowOff>
    </xdr:from>
    <xdr:ext cx="95250" cy="444014"/>
    <xdr:sp macro="" textlink="">
      <xdr:nvSpPr>
        <xdr:cNvPr id="3822" name="Text Box 15">
          <a:extLst>
            <a:ext uri="{FF2B5EF4-FFF2-40B4-BE49-F238E27FC236}">
              <a16:creationId xmlns:a16="http://schemas.microsoft.com/office/drawing/2014/main" id="{00000000-0008-0000-0500-0000EE0E0000}"/>
            </a:ext>
          </a:extLst>
        </xdr:cNvPr>
        <xdr:cNvSpPr txBox="1">
          <a:spLocks noChangeArrowheads="1"/>
        </xdr:cNvSpPr>
      </xdr:nvSpPr>
      <xdr:spPr bwMode="auto">
        <a:xfrm>
          <a:off x="4972050" y="5826125"/>
          <a:ext cx="95250" cy="444014"/>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17</xdr:row>
      <xdr:rowOff>504825</xdr:rowOff>
    </xdr:from>
    <xdr:ext cx="95250" cy="444014"/>
    <xdr:sp macro="" textlink="">
      <xdr:nvSpPr>
        <xdr:cNvPr id="3823" name="Text Box 15">
          <a:extLst>
            <a:ext uri="{FF2B5EF4-FFF2-40B4-BE49-F238E27FC236}">
              <a16:creationId xmlns:a16="http://schemas.microsoft.com/office/drawing/2014/main" id="{00000000-0008-0000-0500-0000EF0E0000}"/>
            </a:ext>
          </a:extLst>
        </xdr:cNvPr>
        <xdr:cNvSpPr txBox="1">
          <a:spLocks noChangeArrowheads="1"/>
        </xdr:cNvSpPr>
      </xdr:nvSpPr>
      <xdr:spPr bwMode="auto">
        <a:xfrm>
          <a:off x="4972050" y="5826125"/>
          <a:ext cx="95250" cy="444014"/>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20</xdr:row>
      <xdr:rowOff>504825</xdr:rowOff>
    </xdr:from>
    <xdr:ext cx="95250" cy="448496"/>
    <xdr:sp macro="" textlink="">
      <xdr:nvSpPr>
        <xdr:cNvPr id="3824" name="Text Box 15">
          <a:extLst>
            <a:ext uri="{FF2B5EF4-FFF2-40B4-BE49-F238E27FC236}">
              <a16:creationId xmlns:a16="http://schemas.microsoft.com/office/drawing/2014/main" id="{00000000-0008-0000-0500-0000F00E0000}"/>
            </a:ext>
          </a:extLst>
        </xdr:cNvPr>
        <xdr:cNvSpPr txBox="1">
          <a:spLocks noChangeArrowheads="1"/>
        </xdr:cNvSpPr>
      </xdr:nvSpPr>
      <xdr:spPr bwMode="auto">
        <a:xfrm>
          <a:off x="4972050" y="7324725"/>
          <a:ext cx="95250" cy="448496"/>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20</xdr:row>
      <xdr:rowOff>504825</xdr:rowOff>
    </xdr:from>
    <xdr:ext cx="95250" cy="213632"/>
    <xdr:sp macro="" textlink="">
      <xdr:nvSpPr>
        <xdr:cNvPr id="3825" name="Text Box 15">
          <a:extLst>
            <a:ext uri="{FF2B5EF4-FFF2-40B4-BE49-F238E27FC236}">
              <a16:creationId xmlns:a16="http://schemas.microsoft.com/office/drawing/2014/main" id="{00000000-0008-0000-0500-0000F10E0000}"/>
            </a:ext>
          </a:extLst>
        </xdr:cNvPr>
        <xdr:cNvSpPr txBox="1">
          <a:spLocks noChangeArrowheads="1"/>
        </xdr:cNvSpPr>
      </xdr:nvSpPr>
      <xdr:spPr bwMode="auto">
        <a:xfrm>
          <a:off x="4972050" y="73247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20</xdr:row>
      <xdr:rowOff>504825</xdr:rowOff>
    </xdr:from>
    <xdr:ext cx="95250" cy="444331"/>
    <xdr:sp macro="" textlink="">
      <xdr:nvSpPr>
        <xdr:cNvPr id="3826" name="Text Box 15">
          <a:extLst>
            <a:ext uri="{FF2B5EF4-FFF2-40B4-BE49-F238E27FC236}">
              <a16:creationId xmlns:a16="http://schemas.microsoft.com/office/drawing/2014/main" id="{00000000-0008-0000-0500-0000F20E0000}"/>
            </a:ext>
          </a:extLst>
        </xdr:cNvPr>
        <xdr:cNvSpPr txBox="1">
          <a:spLocks noChangeArrowheads="1"/>
        </xdr:cNvSpPr>
      </xdr:nvSpPr>
      <xdr:spPr bwMode="auto">
        <a:xfrm>
          <a:off x="4972050" y="7324725"/>
          <a:ext cx="95250" cy="444331"/>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20</xdr:row>
      <xdr:rowOff>504825</xdr:rowOff>
    </xdr:from>
    <xdr:ext cx="95250" cy="456743"/>
    <xdr:sp macro="" textlink="">
      <xdr:nvSpPr>
        <xdr:cNvPr id="3827" name="Text Box 15">
          <a:extLst>
            <a:ext uri="{FF2B5EF4-FFF2-40B4-BE49-F238E27FC236}">
              <a16:creationId xmlns:a16="http://schemas.microsoft.com/office/drawing/2014/main" id="{00000000-0008-0000-0500-0000F30E0000}"/>
            </a:ext>
          </a:extLst>
        </xdr:cNvPr>
        <xdr:cNvSpPr txBox="1">
          <a:spLocks noChangeArrowheads="1"/>
        </xdr:cNvSpPr>
      </xdr:nvSpPr>
      <xdr:spPr bwMode="auto">
        <a:xfrm>
          <a:off x="4972050" y="7324725"/>
          <a:ext cx="95250" cy="456743"/>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20</xdr:row>
      <xdr:rowOff>504825</xdr:rowOff>
    </xdr:from>
    <xdr:ext cx="95250" cy="213632"/>
    <xdr:sp macro="" textlink="">
      <xdr:nvSpPr>
        <xdr:cNvPr id="3828" name="Text Box 15">
          <a:extLst>
            <a:ext uri="{FF2B5EF4-FFF2-40B4-BE49-F238E27FC236}">
              <a16:creationId xmlns:a16="http://schemas.microsoft.com/office/drawing/2014/main" id="{00000000-0008-0000-0500-0000F40E0000}"/>
            </a:ext>
          </a:extLst>
        </xdr:cNvPr>
        <xdr:cNvSpPr txBox="1">
          <a:spLocks noChangeArrowheads="1"/>
        </xdr:cNvSpPr>
      </xdr:nvSpPr>
      <xdr:spPr bwMode="auto">
        <a:xfrm>
          <a:off x="4972050" y="73247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20</xdr:row>
      <xdr:rowOff>504825</xdr:rowOff>
    </xdr:from>
    <xdr:ext cx="95250" cy="444331"/>
    <xdr:sp macro="" textlink="">
      <xdr:nvSpPr>
        <xdr:cNvPr id="3829" name="Text Box 15">
          <a:extLst>
            <a:ext uri="{FF2B5EF4-FFF2-40B4-BE49-F238E27FC236}">
              <a16:creationId xmlns:a16="http://schemas.microsoft.com/office/drawing/2014/main" id="{00000000-0008-0000-0500-0000F50E0000}"/>
            </a:ext>
          </a:extLst>
        </xdr:cNvPr>
        <xdr:cNvSpPr txBox="1">
          <a:spLocks noChangeArrowheads="1"/>
        </xdr:cNvSpPr>
      </xdr:nvSpPr>
      <xdr:spPr bwMode="auto">
        <a:xfrm>
          <a:off x="4972050" y="7324725"/>
          <a:ext cx="95250" cy="444331"/>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22</xdr:row>
      <xdr:rowOff>504825</xdr:rowOff>
    </xdr:from>
    <xdr:ext cx="95250" cy="448496"/>
    <xdr:sp macro="" textlink="">
      <xdr:nvSpPr>
        <xdr:cNvPr id="3830" name="Text Box 15">
          <a:extLst>
            <a:ext uri="{FF2B5EF4-FFF2-40B4-BE49-F238E27FC236}">
              <a16:creationId xmlns:a16="http://schemas.microsoft.com/office/drawing/2014/main" id="{00000000-0008-0000-0500-0000F60E0000}"/>
            </a:ext>
          </a:extLst>
        </xdr:cNvPr>
        <xdr:cNvSpPr txBox="1">
          <a:spLocks noChangeArrowheads="1"/>
        </xdr:cNvSpPr>
      </xdr:nvSpPr>
      <xdr:spPr bwMode="auto">
        <a:xfrm>
          <a:off x="4972050" y="7324725"/>
          <a:ext cx="95250" cy="448496"/>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22</xdr:row>
      <xdr:rowOff>504825</xdr:rowOff>
    </xdr:from>
    <xdr:ext cx="95250" cy="213632"/>
    <xdr:sp macro="" textlink="">
      <xdr:nvSpPr>
        <xdr:cNvPr id="3831" name="Text Box 15">
          <a:extLst>
            <a:ext uri="{FF2B5EF4-FFF2-40B4-BE49-F238E27FC236}">
              <a16:creationId xmlns:a16="http://schemas.microsoft.com/office/drawing/2014/main" id="{00000000-0008-0000-0500-0000F70E0000}"/>
            </a:ext>
          </a:extLst>
        </xdr:cNvPr>
        <xdr:cNvSpPr txBox="1">
          <a:spLocks noChangeArrowheads="1"/>
        </xdr:cNvSpPr>
      </xdr:nvSpPr>
      <xdr:spPr bwMode="auto">
        <a:xfrm>
          <a:off x="4972050" y="73247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22</xdr:row>
      <xdr:rowOff>504825</xdr:rowOff>
    </xdr:from>
    <xdr:ext cx="95250" cy="444331"/>
    <xdr:sp macro="" textlink="">
      <xdr:nvSpPr>
        <xdr:cNvPr id="3832" name="Text Box 15">
          <a:extLst>
            <a:ext uri="{FF2B5EF4-FFF2-40B4-BE49-F238E27FC236}">
              <a16:creationId xmlns:a16="http://schemas.microsoft.com/office/drawing/2014/main" id="{00000000-0008-0000-0500-0000F80E0000}"/>
            </a:ext>
          </a:extLst>
        </xdr:cNvPr>
        <xdr:cNvSpPr txBox="1">
          <a:spLocks noChangeArrowheads="1"/>
        </xdr:cNvSpPr>
      </xdr:nvSpPr>
      <xdr:spPr bwMode="auto">
        <a:xfrm>
          <a:off x="4972050" y="7324725"/>
          <a:ext cx="95250" cy="444331"/>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22</xdr:row>
      <xdr:rowOff>504825</xdr:rowOff>
    </xdr:from>
    <xdr:ext cx="95250" cy="456743"/>
    <xdr:sp macro="" textlink="">
      <xdr:nvSpPr>
        <xdr:cNvPr id="3833" name="Text Box 15">
          <a:extLst>
            <a:ext uri="{FF2B5EF4-FFF2-40B4-BE49-F238E27FC236}">
              <a16:creationId xmlns:a16="http://schemas.microsoft.com/office/drawing/2014/main" id="{00000000-0008-0000-0500-0000F90E0000}"/>
            </a:ext>
          </a:extLst>
        </xdr:cNvPr>
        <xdr:cNvSpPr txBox="1">
          <a:spLocks noChangeArrowheads="1"/>
        </xdr:cNvSpPr>
      </xdr:nvSpPr>
      <xdr:spPr bwMode="auto">
        <a:xfrm>
          <a:off x="4972050" y="7324725"/>
          <a:ext cx="95250" cy="456743"/>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22</xdr:row>
      <xdr:rowOff>504825</xdr:rowOff>
    </xdr:from>
    <xdr:ext cx="95250" cy="213632"/>
    <xdr:sp macro="" textlink="">
      <xdr:nvSpPr>
        <xdr:cNvPr id="3834" name="Text Box 15">
          <a:extLst>
            <a:ext uri="{FF2B5EF4-FFF2-40B4-BE49-F238E27FC236}">
              <a16:creationId xmlns:a16="http://schemas.microsoft.com/office/drawing/2014/main" id="{00000000-0008-0000-0500-0000FA0E0000}"/>
            </a:ext>
          </a:extLst>
        </xdr:cNvPr>
        <xdr:cNvSpPr txBox="1">
          <a:spLocks noChangeArrowheads="1"/>
        </xdr:cNvSpPr>
      </xdr:nvSpPr>
      <xdr:spPr bwMode="auto">
        <a:xfrm>
          <a:off x="4972050" y="73247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22</xdr:row>
      <xdr:rowOff>504825</xdr:rowOff>
    </xdr:from>
    <xdr:ext cx="95250" cy="444331"/>
    <xdr:sp macro="" textlink="">
      <xdr:nvSpPr>
        <xdr:cNvPr id="3835" name="Text Box 15">
          <a:extLst>
            <a:ext uri="{FF2B5EF4-FFF2-40B4-BE49-F238E27FC236}">
              <a16:creationId xmlns:a16="http://schemas.microsoft.com/office/drawing/2014/main" id="{00000000-0008-0000-0500-0000FB0E0000}"/>
            </a:ext>
          </a:extLst>
        </xdr:cNvPr>
        <xdr:cNvSpPr txBox="1">
          <a:spLocks noChangeArrowheads="1"/>
        </xdr:cNvSpPr>
      </xdr:nvSpPr>
      <xdr:spPr bwMode="auto">
        <a:xfrm>
          <a:off x="4972050" y="7324725"/>
          <a:ext cx="95250" cy="444331"/>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24</xdr:row>
      <xdr:rowOff>504825</xdr:rowOff>
    </xdr:from>
    <xdr:ext cx="95250" cy="213632"/>
    <xdr:sp macro="" textlink="">
      <xdr:nvSpPr>
        <xdr:cNvPr id="3836" name="Text Box 15">
          <a:extLst>
            <a:ext uri="{FF2B5EF4-FFF2-40B4-BE49-F238E27FC236}">
              <a16:creationId xmlns:a16="http://schemas.microsoft.com/office/drawing/2014/main" id="{00000000-0008-0000-0500-0000FC0E0000}"/>
            </a:ext>
          </a:extLst>
        </xdr:cNvPr>
        <xdr:cNvSpPr txBox="1">
          <a:spLocks noChangeArrowheads="1"/>
        </xdr:cNvSpPr>
      </xdr:nvSpPr>
      <xdr:spPr bwMode="auto">
        <a:xfrm>
          <a:off x="4972050" y="80740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24</xdr:row>
      <xdr:rowOff>504825</xdr:rowOff>
    </xdr:from>
    <xdr:ext cx="95250" cy="213632"/>
    <xdr:sp macro="" textlink="">
      <xdr:nvSpPr>
        <xdr:cNvPr id="3837" name="Text Box 15">
          <a:extLst>
            <a:ext uri="{FF2B5EF4-FFF2-40B4-BE49-F238E27FC236}">
              <a16:creationId xmlns:a16="http://schemas.microsoft.com/office/drawing/2014/main" id="{00000000-0008-0000-0500-0000FD0E0000}"/>
            </a:ext>
          </a:extLst>
        </xdr:cNvPr>
        <xdr:cNvSpPr txBox="1">
          <a:spLocks noChangeArrowheads="1"/>
        </xdr:cNvSpPr>
      </xdr:nvSpPr>
      <xdr:spPr bwMode="auto">
        <a:xfrm>
          <a:off x="4972050" y="80740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26</xdr:row>
      <xdr:rowOff>504825</xdr:rowOff>
    </xdr:from>
    <xdr:ext cx="95250" cy="448496"/>
    <xdr:sp macro="" textlink="">
      <xdr:nvSpPr>
        <xdr:cNvPr id="3838" name="Text Box 15">
          <a:extLst>
            <a:ext uri="{FF2B5EF4-FFF2-40B4-BE49-F238E27FC236}">
              <a16:creationId xmlns:a16="http://schemas.microsoft.com/office/drawing/2014/main" id="{00000000-0008-0000-0500-0000FE0E0000}"/>
            </a:ext>
          </a:extLst>
        </xdr:cNvPr>
        <xdr:cNvSpPr txBox="1">
          <a:spLocks noChangeArrowheads="1"/>
        </xdr:cNvSpPr>
      </xdr:nvSpPr>
      <xdr:spPr bwMode="auto">
        <a:xfrm>
          <a:off x="4972050" y="9572625"/>
          <a:ext cx="95250" cy="448496"/>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26</xdr:row>
      <xdr:rowOff>504825</xdr:rowOff>
    </xdr:from>
    <xdr:ext cx="95250" cy="213632"/>
    <xdr:sp macro="" textlink="">
      <xdr:nvSpPr>
        <xdr:cNvPr id="3839" name="Text Box 15">
          <a:extLst>
            <a:ext uri="{FF2B5EF4-FFF2-40B4-BE49-F238E27FC236}">
              <a16:creationId xmlns:a16="http://schemas.microsoft.com/office/drawing/2014/main" id="{00000000-0008-0000-0500-0000FF0E0000}"/>
            </a:ext>
          </a:extLst>
        </xdr:cNvPr>
        <xdr:cNvSpPr txBox="1">
          <a:spLocks noChangeArrowheads="1"/>
        </xdr:cNvSpPr>
      </xdr:nvSpPr>
      <xdr:spPr bwMode="auto">
        <a:xfrm>
          <a:off x="4972050" y="95726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26</xdr:row>
      <xdr:rowOff>504825</xdr:rowOff>
    </xdr:from>
    <xdr:ext cx="95250" cy="444331"/>
    <xdr:sp macro="" textlink="">
      <xdr:nvSpPr>
        <xdr:cNvPr id="3840" name="Text Box 15">
          <a:extLst>
            <a:ext uri="{FF2B5EF4-FFF2-40B4-BE49-F238E27FC236}">
              <a16:creationId xmlns:a16="http://schemas.microsoft.com/office/drawing/2014/main" id="{00000000-0008-0000-0500-0000000F0000}"/>
            </a:ext>
          </a:extLst>
        </xdr:cNvPr>
        <xdr:cNvSpPr txBox="1">
          <a:spLocks noChangeArrowheads="1"/>
        </xdr:cNvSpPr>
      </xdr:nvSpPr>
      <xdr:spPr bwMode="auto">
        <a:xfrm>
          <a:off x="4972050" y="9572625"/>
          <a:ext cx="95250" cy="444331"/>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26</xdr:row>
      <xdr:rowOff>504825</xdr:rowOff>
    </xdr:from>
    <xdr:ext cx="95250" cy="456743"/>
    <xdr:sp macro="" textlink="">
      <xdr:nvSpPr>
        <xdr:cNvPr id="3841" name="Text Box 15">
          <a:extLst>
            <a:ext uri="{FF2B5EF4-FFF2-40B4-BE49-F238E27FC236}">
              <a16:creationId xmlns:a16="http://schemas.microsoft.com/office/drawing/2014/main" id="{00000000-0008-0000-0500-0000010F0000}"/>
            </a:ext>
          </a:extLst>
        </xdr:cNvPr>
        <xdr:cNvSpPr txBox="1">
          <a:spLocks noChangeArrowheads="1"/>
        </xdr:cNvSpPr>
      </xdr:nvSpPr>
      <xdr:spPr bwMode="auto">
        <a:xfrm>
          <a:off x="4972050" y="9572625"/>
          <a:ext cx="95250" cy="456743"/>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26</xdr:row>
      <xdr:rowOff>504825</xdr:rowOff>
    </xdr:from>
    <xdr:ext cx="95250" cy="213632"/>
    <xdr:sp macro="" textlink="">
      <xdr:nvSpPr>
        <xdr:cNvPr id="3842" name="Text Box 15">
          <a:extLst>
            <a:ext uri="{FF2B5EF4-FFF2-40B4-BE49-F238E27FC236}">
              <a16:creationId xmlns:a16="http://schemas.microsoft.com/office/drawing/2014/main" id="{00000000-0008-0000-0500-0000020F0000}"/>
            </a:ext>
          </a:extLst>
        </xdr:cNvPr>
        <xdr:cNvSpPr txBox="1">
          <a:spLocks noChangeArrowheads="1"/>
        </xdr:cNvSpPr>
      </xdr:nvSpPr>
      <xdr:spPr bwMode="auto">
        <a:xfrm>
          <a:off x="4972050" y="95726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26</xdr:row>
      <xdr:rowOff>504825</xdr:rowOff>
    </xdr:from>
    <xdr:ext cx="95250" cy="444331"/>
    <xdr:sp macro="" textlink="">
      <xdr:nvSpPr>
        <xdr:cNvPr id="3843" name="Text Box 15">
          <a:extLst>
            <a:ext uri="{FF2B5EF4-FFF2-40B4-BE49-F238E27FC236}">
              <a16:creationId xmlns:a16="http://schemas.microsoft.com/office/drawing/2014/main" id="{00000000-0008-0000-0500-0000030F0000}"/>
            </a:ext>
          </a:extLst>
        </xdr:cNvPr>
        <xdr:cNvSpPr txBox="1">
          <a:spLocks noChangeArrowheads="1"/>
        </xdr:cNvSpPr>
      </xdr:nvSpPr>
      <xdr:spPr bwMode="auto">
        <a:xfrm>
          <a:off x="4972050" y="9572625"/>
          <a:ext cx="95250" cy="444331"/>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26</xdr:row>
      <xdr:rowOff>504825</xdr:rowOff>
    </xdr:from>
    <xdr:ext cx="95250" cy="213632"/>
    <xdr:sp macro="" textlink="">
      <xdr:nvSpPr>
        <xdr:cNvPr id="3844" name="Text Box 15">
          <a:extLst>
            <a:ext uri="{FF2B5EF4-FFF2-40B4-BE49-F238E27FC236}">
              <a16:creationId xmlns:a16="http://schemas.microsoft.com/office/drawing/2014/main" id="{00000000-0008-0000-0500-0000040F0000}"/>
            </a:ext>
          </a:extLst>
        </xdr:cNvPr>
        <xdr:cNvSpPr txBox="1">
          <a:spLocks noChangeArrowheads="1"/>
        </xdr:cNvSpPr>
      </xdr:nvSpPr>
      <xdr:spPr bwMode="auto">
        <a:xfrm>
          <a:off x="4972050" y="95726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26</xdr:row>
      <xdr:rowOff>504825</xdr:rowOff>
    </xdr:from>
    <xdr:ext cx="95250" cy="213632"/>
    <xdr:sp macro="" textlink="">
      <xdr:nvSpPr>
        <xdr:cNvPr id="3845" name="Text Box 15">
          <a:extLst>
            <a:ext uri="{FF2B5EF4-FFF2-40B4-BE49-F238E27FC236}">
              <a16:creationId xmlns:a16="http://schemas.microsoft.com/office/drawing/2014/main" id="{00000000-0008-0000-0500-0000050F0000}"/>
            </a:ext>
          </a:extLst>
        </xdr:cNvPr>
        <xdr:cNvSpPr txBox="1">
          <a:spLocks noChangeArrowheads="1"/>
        </xdr:cNvSpPr>
      </xdr:nvSpPr>
      <xdr:spPr bwMode="auto">
        <a:xfrm>
          <a:off x="4972050" y="95726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28</xdr:row>
      <xdr:rowOff>504825</xdr:rowOff>
    </xdr:from>
    <xdr:ext cx="95250" cy="448496"/>
    <xdr:sp macro="" textlink="">
      <xdr:nvSpPr>
        <xdr:cNvPr id="3846" name="Text Box 15">
          <a:extLst>
            <a:ext uri="{FF2B5EF4-FFF2-40B4-BE49-F238E27FC236}">
              <a16:creationId xmlns:a16="http://schemas.microsoft.com/office/drawing/2014/main" id="{00000000-0008-0000-0500-0000060F0000}"/>
            </a:ext>
          </a:extLst>
        </xdr:cNvPr>
        <xdr:cNvSpPr txBox="1">
          <a:spLocks noChangeArrowheads="1"/>
        </xdr:cNvSpPr>
      </xdr:nvSpPr>
      <xdr:spPr bwMode="auto">
        <a:xfrm>
          <a:off x="4972050" y="9572625"/>
          <a:ext cx="95250" cy="448496"/>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28</xdr:row>
      <xdr:rowOff>504825</xdr:rowOff>
    </xdr:from>
    <xdr:ext cx="95250" cy="213632"/>
    <xdr:sp macro="" textlink="">
      <xdr:nvSpPr>
        <xdr:cNvPr id="3847" name="Text Box 15">
          <a:extLst>
            <a:ext uri="{FF2B5EF4-FFF2-40B4-BE49-F238E27FC236}">
              <a16:creationId xmlns:a16="http://schemas.microsoft.com/office/drawing/2014/main" id="{00000000-0008-0000-0500-0000070F0000}"/>
            </a:ext>
          </a:extLst>
        </xdr:cNvPr>
        <xdr:cNvSpPr txBox="1">
          <a:spLocks noChangeArrowheads="1"/>
        </xdr:cNvSpPr>
      </xdr:nvSpPr>
      <xdr:spPr bwMode="auto">
        <a:xfrm>
          <a:off x="4972050" y="95726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28</xdr:row>
      <xdr:rowOff>504825</xdr:rowOff>
    </xdr:from>
    <xdr:ext cx="95250" cy="444331"/>
    <xdr:sp macro="" textlink="">
      <xdr:nvSpPr>
        <xdr:cNvPr id="3848" name="Text Box 15">
          <a:extLst>
            <a:ext uri="{FF2B5EF4-FFF2-40B4-BE49-F238E27FC236}">
              <a16:creationId xmlns:a16="http://schemas.microsoft.com/office/drawing/2014/main" id="{00000000-0008-0000-0500-0000080F0000}"/>
            </a:ext>
          </a:extLst>
        </xdr:cNvPr>
        <xdr:cNvSpPr txBox="1">
          <a:spLocks noChangeArrowheads="1"/>
        </xdr:cNvSpPr>
      </xdr:nvSpPr>
      <xdr:spPr bwMode="auto">
        <a:xfrm>
          <a:off x="4972050" y="9572625"/>
          <a:ext cx="95250" cy="444331"/>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28</xdr:row>
      <xdr:rowOff>504825</xdr:rowOff>
    </xdr:from>
    <xdr:ext cx="95250" cy="456743"/>
    <xdr:sp macro="" textlink="">
      <xdr:nvSpPr>
        <xdr:cNvPr id="3849" name="Text Box 15">
          <a:extLst>
            <a:ext uri="{FF2B5EF4-FFF2-40B4-BE49-F238E27FC236}">
              <a16:creationId xmlns:a16="http://schemas.microsoft.com/office/drawing/2014/main" id="{00000000-0008-0000-0500-0000090F0000}"/>
            </a:ext>
          </a:extLst>
        </xdr:cNvPr>
        <xdr:cNvSpPr txBox="1">
          <a:spLocks noChangeArrowheads="1"/>
        </xdr:cNvSpPr>
      </xdr:nvSpPr>
      <xdr:spPr bwMode="auto">
        <a:xfrm>
          <a:off x="4972050" y="9572625"/>
          <a:ext cx="95250" cy="456743"/>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28</xdr:row>
      <xdr:rowOff>504825</xdr:rowOff>
    </xdr:from>
    <xdr:ext cx="95250" cy="213632"/>
    <xdr:sp macro="" textlink="">
      <xdr:nvSpPr>
        <xdr:cNvPr id="3850" name="Text Box 15">
          <a:extLst>
            <a:ext uri="{FF2B5EF4-FFF2-40B4-BE49-F238E27FC236}">
              <a16:creationId xmlns:a16="http://schemas.microsoft.com/office/drawing/2014/main" id="{00000000-0008-0000-0500-00000A0F0000}"/>
            </a:ext>
          </a:extLst>
        </xdr:cNvPr>
        <xdr:cNvSpPr txBox="1">
          <a:spLocks noChangeArrowheads="1"/>
        </xdr:cNvSpPr>
      </xdr:nvSpPr>
      <xdr:spPr bwMode="auto">
        <a:xfrm>
          <a:off x="4972050" y="95726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28</xdr:row>
      <xdr:rowOff>504825</xdr:rowOff>
    </xdr:from>
    <xdr:ext cx="95250" cy="444331"/>
    <xdr:sp macro="" textlink="">
      <xdr:nvSpPr>
        <xdr:cNvPr id="3851" name="Text Box 15">
          <a:extLst>
            <a:ext uri="{FF2B5EF4-FFF2-40B4-BE49-F238E27FC236}">
              <a16:creationId xmlns:a16="http://schemas.microsoft.com/office/drawing/2014/main" id="{00000000-0008-0000-0500-00000B0F0000}"/>
            </a:ext>
          </a:extLst>
        </xdr:cNvPr>
        <xdr:cNvSpPr txBox="1">
          <a:spLocks noChangeArrowheads="1"/>
        </xdr:cNvSpPr>
      </xdr:nvSpPr>
      <xdr:spPr bwMode="auto">
        <a:xfrm>
          <a:off x="4972050" y="9572625"/>
          <a:ext cx="95250" cy="444331"/>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28</xdr:row>
      <xdr:rowOff>504825</xdr:rowOff>
    </xdr:from>
    <xdr:ext cx="95250" cy="213632"/>
    <xdr:sp macro="" textlink="">
      <xdr:nvSpPr>
        <xdr:cNvPr id="3852" name="Text Box 15">
          <a:extLst>
            <a:ext uri="{FF2B5EF4-FFF2-40B4-BE49-F238E27FC236}">
              <a16:creationId xmlns:a16="http://schemas.microsoft.com/office/drawing/2014/main" id="{00000000-0008-0000-0500-00000C0F0000}"/>
            </a:ext>
          </a:extLst>
        </xdr:cNvPr>
        <xdr:cNvSpPr txBox="1">
          <a:spLocks noChangeArrowheads="1"/>
        </xdr:cNvSpPr>
      </xdr:nvSpPr>
      <xdr:spPr bwMode="auto">
        <a:xfrm>
          <a:off x="4972050" y="95726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28</xdr:row>
      <xdr:rowOff>504825</xdr:rowOff>
    </xdr:from>
    <xdr:ext cx="95250" cy="213632"/>
    <xdr:sp macro="" textlink="">
      <xdr:nvSpPr>
        <xdr:cNvPr id="3853" name="Text Box 15">
          <a:extLst>
            <a:ext uri="{FF2B5EF4-FFF2-40B4-BE49-F238E27FC236}">
              <a16:creationId xmlns:a16="http://schemas.microsoft.com/office/drawing/2014/main" id="{00000000-0008-0000-0500-00000D0F0000}"/>
            </a:ext>
          </a:extLst>
        </xdr:cNvPr>
        <xdr:cNvSpPr txBox="1">
          <a:spLocks noChangeArrowheads="1"/>
        </xdr:cNvSpPr>
      </xdr:nvSpPr>
      <xdr:spPr bwMode="auto">
        <a:xfrm>
          <a:off x="4972050" y="95726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30</xdr:row>
      <xdr:rowOff>504825</xdr:rowOff>
    </xdr:from>
    <xdr:ext cx="95250" cy="213632"/>
    <xdr:sp macro="" textlink="">
      <xdr:nvSpPr>
        <xdr:cNvPr id="3854" name="Text Box 15">
          <a:extLst>
            <a:ext uri="{FF2B5EF4-FFF2-40B4-BE49-F238E27FC236}">
              <a16:creationId xmlns:a16="http://schemas.microsoft.com/office/drawing/2014/main" id="{00000000-0008-0000-0500-00000E0F0000}"/>
            </a:ext>
          </a:extLst>
        </xdr:cNvPr>
        <xdr:cNvSpPr txBox="1">
          <a:spLocks noChangeArrowheads="1"/>
        </xdr:cNvSpPr>
      </xdr:nvSpPr>
      <xdr:spPr bwMode="auto">
        <a:xfrm>
          <a:off x="4972050" y="103219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30</xdr:row>
      <xdr:rowOff>504825</xdr:rowOff>
    </xdr:from>
    <xdr:ext cx="95250" cy="213632"/>
    <xdr:sp macro="" textlink="">
      <xdr:nvSpPr>
        <xdr:cNvPr id="3855" name="Text Box 15">
          <a:extLst>
            <a:ext uri="{FF2B5EF4-FFF2-40B4-BE49-F238E27FC236}">
              <a16:creationId xmlns:a16="http://schemas.microsoft.com/office/drawing/2014/main" id="{00000000-0008-0000-0500-00000F0F0000}"/>
            </a:ext>
          </a:extLst>
        </xdr:cNvPr>
        <xdr:cNvSpPr txBox="1">
          <a:spLocks noChangeArrowheads="1"/>
        </xdr:cNvSpPr>
      </xdr:nvSpPr>
      <xdr:spPr bwMode="auto">
        <a:xfrm>
          <a:off x="4972050" y="103219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30</xdr:row>
      <xdr:rowOff>504825</xdr:rowOff>
    </xdr:from>
    <xdr:ext cx="95250" cy="213632"/>
    <xdr:sp macro="" textlink="">
      <xdr:nvSpPr>
        <xdr:cNvPr id="3856" name="Text Box 15">
          <a:extLst>
            <a:ext uri="{FF2B5EF4-FFF2-40B4-BE49-F238E27FC236}">
              <a16:creationId xmlns:a16="http://schemas.microsoft.com/office/drawing/2014/main" id="{00000000-0008-0000-0500-0000100F0000}"/>
            </a:ext>
          </a:extLst>
        </xdr:cNvPr>
        <xdr:cNvSpPr txBox="1">
          <a:spLocks noChangeArrowheads="1"/>
        </xdr:cNvSpPr>
      </xdr:nvSpPr>
      <xdr:spPr bwMode="auto">
        <a:xfrm>
          <a:off x="4972050" y="103219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30</xdr:row>
      <xdr:rowOff>504825</xdr:rowOff>
    </xdr:from>
    <xdr:ext cx="95250" cy="213632"/>
    <xdr:sp macro="" textlink="">
      <xdr:nvSpPr>
        <xdr:cNvPr id="3857" name="Text Box 15">
          <a:extLst>
            <a:ext uri="{FF2B5EF4-FFF2-40B4-BE49-F238E27FC236}">
              <a16:creationId xmlns:a16="http://schemas.microsoft.com/office/drawing/2014/main" id="{00000000-0008-0000-0500-0000110F0000}"/>
            </a:ext>
          </a:extLst>
        </xdr:cNvPr>
        <xdr:cNvSpPr txBox="1">
          <a:spLocks noChangeArrowheads="1"/>
        </xdr:cNvSpPr>
      </xdr:nvSpPr>
      <xdr:spPr bwMode="auto">
        <a:xfrm>
          <a:off x="4972050" y="103219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31</xdr:row>
      <xdr:rowOff>504825</xdr:rowOff>
    </xdr:from>
    <xdr:ext cx="95250" cy="448496"/>
    <xdr:sp macro="" textlink="">
      <xdr:nvSpPr>
        <xdr:cNvPr id="3858" name="Text Box 15">
          <a:extLst>
            <a:ext uri="{FF2B5EF4-FFF2-40B4-BE49-F238E27FC236}">
              <a16:creationId xmlns:a16="http://schemas.microsoft.com/office/drawing/2014/main" id="{00000000-0008-0000-0500-0000120F0000}"/>
            </a:ext>
          </a:extLst>
        </xdr:cNvPr>
        <xdr:cNvSpPr txBox="1">
          <a:spLocks noChangeArrowheads="1"/>
        </xdr:cNvSpPr>
      </xdr:nvSpPr>
      <xdr:spPr bwMode="auto">
        <a:xfrm>
          <a:off x="4972050" y="11820525"/>
          <a:ext cx="95250" cy="448496"/>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31</xdr:row>
      <xdr:rowOff>504825</xdr:rowOff>
    </xdr:from>
    <xdr:ext cx="95250" cy="213632"/>
    <xdr:sp macro="" textlink="">
      <xdr:nvSpPr>
        <xdr:cNvPr id="3859" name="Text Box 15">
          <a:extLst>
            <a:ext uri="{FF2B5EF4-FFF2-40B4-BE49-F238E27FC236}">
              <a16:creationId xmlns:a16="http://schemas.microsoft.com/office/drawing/2014/main" id="{00000000-0008-0000-0500-0000130F0000}"/>
            </a:ext>
          </a:extLst>
        </xdr:cNvPr>
        <xdr:cNvSpPr txBox="1">
          <a:spLocks noChangeArrowheads="1"/>
        </xdr:cNvSpPr>
      </xdr:nvSpPr>
      <xdr:spPr bwMode="auto">
        <a:xfrm>
          <a:off x="4972050" y="118205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31</xdr:row>
      <xdr:rowOff>504825</xdr:rowOff>
    </xdr:from>
    <xdr:ext cx="95250" cy="444331"/>
    <xdr:sp macro="" textlink="">
      <xdr:nvSpPr>
        <xdr:cNvPr id="3860" name="Text Box 15">
          <a:extLst>
            <a:ext uri="{FF2B5EF4-FFF2-40B4-BE49-F238E27FC236}">
              <a16:creationId xmlns:a16="http://schemas.microsoft.com/office/drawing/2014/main" id="{00000000-0008-0000-0500-0000140F0000}"/>
            </a:ext>
          </a:extLst>
        </xdr:cNvPr>
        <xdr:cNvSpPr txBox="1">
          <a:spLocks noChangeArrowheads="1"/>
        </xdr:cNvSpPr>
      </xdr:nvSpPr>
      <xdr:spPr bwMode="auto">
        <a:xfrm>
          <a:off x="4972050" y="11820525"/>
          <a:ext cx="95250" cy="444331"/>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31</xdr:row>
      <xdr:rowOff>504825</xdr:rowOff>
    </xdr:from>
    <xdr:ext cx="95250" cy="448496"/>
    <xdr:sp macro="" textlink="">
      <xdr:nvSpPr>
        <xdr:cNvPr id="3861" name="Text Box 15">
          <a:extLst>
            <a:ext uri="{FF2B5EF4-FFF2-40B4-BE49-F238E27FC236}">
              <a16:creationId xmlns:a16="http://schemas.microsoft.com/office/drawing/2014/main" id="{00000000-0008-0000-0500-0000150F0000}"/>
            </a:ext>
          </a:extLst>
        </xdr:cNvPr>
        <xdr:cNvSpPr txBox="1">
          <a:spLocks noChangeArrowheads="1"/>
        </xdr:cNvSpPr>
      </xdr:nvSpPr>
      <xdr:spPr bwMode="auto">
        <a:xfrm>
          <a:off x="4972050" y="11820525"/>
          <a:ext cx="95250" cy="448496"/>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31</xdr:row>
      <xdr:rowOff>504825</xdr:rowOff>
    </xdr:from>
    <xdr:ext cx="95250" cy="213632"/>
    <xdr:sp macro="" textlink="">
      <xdr:nvSpPr>
        <xdr:cNvPr id="3862" name="Text Box 15">
          <a:extLst>
            <a:ext uri="{FF2B5EF4-FFF2-40B4-BE49-F238E27FC236}">
              <a16:creationId xmlns:a16="http://schemas.microsoft.com/office/drawing/2014/main" id="{00000000-0008-0000-0500-0000160F0000}"/>
            </a:ext>
          </a:extLst>
        </xdr:cNvPr>
        <xdr:cNvSpPr txBox="1">
          <a:spLocks noChangeArrowheads="1"/>
        </xdr:cNvSpPr>
      </xdr:nvSpPr>
      <xdr:spPr bwMode="auto">
        <a:xfrm>
          <a:off x="4972050" y="118205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31</xdr:row>
      <xdr:rowOff>504825</xdr:rowOff>
    </xdr:from>
    <xdr:ext cx="95250" cy="444331"/>
    <xdr:sp macro="" textlink="">
      <xdr:nvSpPr>
        <xdr:cNvPr id="3863" name="Text Box 15">
          <a:extLst>
            <a:ext uri="{FF2B5EF4-FFF2-40B4-BE49-F238E27FC236}">
              <a16:creationId xmlns:a16="http://schemas.microsoft.com/office/drawing/2014/main" id="{00000000-0008-0000-0500-0000170F0000}"/>
            </a:ext>
          </a:extLst>
        </xdr:cNvPr>
        <xdr:cNvSpPr txBox="1">
          <a:spLocks noChangeArrowheads="1"/>
        </xdr:cNvSpPr>
      </xdr:nvSpPr>
      <xdr:spPr bwMode="auto">
        <a:xfrm>
          <a:off x="4972050" y="11820525"/>
          <a:ext cx="95250" cy="444331"/>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31</xdr:row>
      <xdr:rowOff>504825</xdr:rowOff>
    </xdr:from>
    <xdr:ext cx="95250" cy="456743"/>
    <xdr:sp macro="" textlink="">
      <xdr:nvSpPr>
        <xdr:cNvPr id="3864" name="Text Box 15">
          <a:extLst>
            <a:ext uri="{FF2B5EF4-FFF2-40B4-BE49-F238E27FC236}">
              <a16:creationId xmlns:a16="http://schemas.microsoft.com/office/drawing/2014/main" id="{00000000-0008-0000-0500-0000180F0000}"/>
            </a:ext>
          </a:extLst>
        </xdr:cNvPr>
        <xdr:cNvSpPr txBox="1">
          <a:spLocks noChangeArrowheads="1"/>
        </xdr:cNvSpPr>
      </xdr:nvSpPr>
      <xdr:spPr bwMode="auto">
        <a:xfrm>
          <a:off x="4972050" y="11820525"/>
          <a:ext cx="95250" cy="456743"/>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31</xdr:row>
      <xdr:rowOff>504825</xdr:rowOff>
    </xdr:from>
    <xdr:ext cx="95250" cy="213632"/>
    <xdr:sp macro="" textlink="">
      <xdr:nvSpPr>
        <xdr:cNvPr id="3865" name="Text Box 15">
          <a:extLst>
            <a:ext uri="{FF2B5EF4-FFF2-40B4-BE49-F238E27FC236}">
              <a16:creationId xmlns:a16="http://schemas.microsoft.com/office/drawing/2014/main" id="{00000000-0008-0000-0500-0000190F0000}"/>
            </a:ext>
          </a:extLst>
        </xdr:cNvPr>
        <xdr:cNvSpPr txBox="1">
          <a:spLocks noChangeArrowheads="1"/>
        </xdr:cNvSpPr>
      </xdr:nvSpPr>
      <xdr:spPr bwMode="auto">
        <a:xfrm>
          <a:off x="4972050" y="118205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31</xdr:row>
      <xdr:rowOff>504825</xdr:rowOff>
    </xdr:from>
    <xdr:ext cx="95250" cy="444331"/>
    <xdr:sp macro="" textlink="">
      <xdr:nvSpPr>
        <xdr:cNvPr id="3866" name="Text Box 15">
          <a:extLst>
            <a:ext uri="{FF2B5EF4-FFF2-40B4-BE49-F238E27FC236}">
              <a16:creationId xmlns:a16="http://schemas.microsoft.com/office/drawing/2014/main" id="{00000000-0008-0000-0500-00001A0F0000}"/>
            </a:ext>
          </a:extLst>
        </xdr:cNvPr>
        <xdr:cNvSpPr txBox="1">
          <a:spLocks noChangeArrowheads="1"/>
        </xdr:cNvSpPr>
      </xdr:nvSpPr>
      <xdr:spPr bwMode="auto">
        <a:xfrm>
          <a:off x="4972050" y="11820525"/>
          <a:ext cx="95250" cy="444331"/>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31</xdr:row>
      <xdr:rowOff>504825</xdr:rowOff>
    </xdr:from>
    <xdr:ext cx="95250" cy="213632"/>
    <xdr:sp macro="" textlink="">
      <xdr:nvSpPr>
        <xdr:cNvPr id="3867" name="Text Box 15">
          <a:extLst>
            <a:ext uri="{FF2B5EF4-FFF2-40B4-BE49-F238E27FC236}">
              <a16:creationId xmlns:a16="http://schemas.microsoft.com/office/drawing/2014/main" id="{00000000-0008-0000-0500-00001B0F0000}"/>
            </a:ext>
          </a:extLst>
        </xdr:cNvPr>
        <xdr:cNvSpPr txBox="1">
          <a:spLocks noChangeArrowheads="1"/>
        </xdr:cNvSpPr>
      </xdr:nvSpPr>
      <xdr:spPr bwMode="auto">
        <a:xfrm>
          <a:off x="4972050" y="118205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31</xdr:row>
      <xdr:rowOff>504825</xdr:rowOff>
    </xdr:from>
    <xdr:ext cx="95250" cy="213632"/>
    <xdr:sp macro="" textlink="">
      <xdr:nvSpPr>
        <xdr:cNvPr id="3868" name="Text Box 15">
          <a:extLst>
            <a:ext uri="{FF2B5EF4-FFF2-40B4-BE49-F238E27FC236}">
              <a16:creationId xmlns:a16="http://schemas.microsoft.com/office/drawing/2014/main" id="{00000000-0008-0000-0500-00001C0F0000}"/>
            </a:ext>
          </a:extLst>
        </xdr:cNvPr>
        <xdr:cNvSpPr txBox="1">
          <a:spLocks noChangeArrowheads="1"/>
        </xdr:cNvSpPr>
      </xdr:nvSpPr>
      <xdr:spPr bwMode="auto">
        <a:xfrm>
          <a:off x="4972050" y="118205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31</xdr:row>
      <xdr:rowOff>504825</xdr:rowOff>
    </xdr:from>
    <xdr:ext cx="95250" cy="213632"/>
    <xdr:sp macro="" textlink="">
      <xdr:nvSpPr>
        <xdr:cNvPr id="3869" name="Text Box 15">
          <a:extLst>
            <a:ext uri="{FF2B5EF4-FFF2-40B4-BE49-F238E27FC236}">
              <a16:creationId xmlns:a16="http://schemas.microsoft.com/office/drawing/2014/main" id="{00000000-0008-0000-0500-00001D0F0000}"/>
            </a:ext>
          </a:extLst>
        </xdr:cNvPr>
        <xdr:cNvSpPr txBox="1">
          <a:spLocks noChangeArrowheads="1"/>
        </xdr:cNvSpPr>
      </xdr:nvSpPr>
      <xdr:spPr bwMode="auto">
        <a:xfrm>
          <a:off x="4972050" y="118205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31</xdr:row>
      <xdr:rowOff>504825</xdr:rowOff>
    </xdr:from>
    <xdr:ext cx="95250" cy="213632"/>
    <xdr:sp macro="" textlink="">
      <xdr:nvSpPr>
        <xdr:cNvPr id="3870" name="Text Box 15">
          <a:extLst>
            <a:ext uri="{FF2B5EF4-FFF2-40B4-BE49-F238E27FC236}">
              <a16:creationId xmlns:a16="http://schemas.microsoft.com/office/drawing/2014/main" id="{00000000-0008-0000-0500-00001E0F0000}"/>
            </a:ext>
          </a:extLst>
        </xdr:cNvPr>
        <xdr:cNvSpPr txBox="1">
          <a:spLocks noChangeArrowheads="1"/>
        </xdr:cNvSpPr>
      </xdr:nvSpPr>
      <xdr:spPr bwMode="auto">
        <a:xfrm>
          <a:off x="4972050" y="118205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32</xdr:row>
      <xdr:rowOff>504825</xdr:rowOff>
    </xdr:from>
    <xdr:ext cx="95250" cy="448496"/>
    <xdr:sp macro="" textlink="">
      <xdr:nvSpPr>
        <xdr:cNvPr id="3871" name="Text Box 15">
          <a:extLst>
            <a:ext uri="{FF2B5EF4-FFF2-40B4-BE49-F238E27FC236}">
              <a16:creationId xmlns:a16="http://schemas.microsoft.com/office/drawing/2014/main" id="{00000000-0008-0000-0500-00001F0F0000}"/>
            </a:ext>
          </a:extLst>
        </xdr:cNvPr>
        <xdr:cNvSpPr txBox="1">
          <a:spLocks noChangeArrowheads="1"/>
        </xdr:cNvSpPr>
      </xdr:nvSpPr>
      <xdr:spPr bwMode="auto">
        <a:xfrm>
          <a:off x="4972050" y="11820525"/>
          <a:ext cx="95250" cy="448496"/>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32</xdr:row>
      <xdr:rowOff>504825</xdr:rowOff>
    </xdr:from>
    <xdr:ext cx="95250" cy="213632"/>
    <xdr:sp macro="" textlink="">
      <xdr:nvSpPr>
        <xdr:cNvPr id="3872" name="Text Box 15">
          <a:extLst>
            <a:ext uri="{FF2B5EF4-FFF2-40B4-BE49-F238E27FC236}">
              <a16:creationId xmlns:a16="http://schemas.microsoft.com/office/drawing/2014/main" id="{00000000-0008-0000-0500-0000200F0000}"/>
            </a:ext>
          </a:extLst>
        </xdr:cNvPr>
        <xdr:cNvSpPr txBox="1">
          <a:spLocks noChangeArrowheads="1"/>
        </xdr:cNvSpPr>
      </xdr:nvSpPr>
      <xdr:spPr bwMode="auto">
        <a:xfrm>
          <a:off x="4972050" y="118205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32</xdr:row>
      <xdr:rowOff>504825</xdr:rowOff>
    </xdr:from>
    <xdr:ext cx="95250" cy="444331"/>
    <xdr:sp macro="" textlink="">
      <xdr:nvSpPr>
        <xdr:cNvPr id="3873" name="Text Box 15">
          <a:extLst>
            <a:ext uri="{FF2B5EF4-FFF2-40B4-BE49-F238E27FC236}">
              <a16:creationId xmlns:a16="http://schemas.microsoft.com/office/drawing/2014/main" id="{00000000-0008-0000-0500-0000210F0000}"/>
            </a:ext>
          </a:extLst>
        </xdr:cNvPr>
        <xdr:cNvSpPr txBox="1">
          <a:spLocks noChangeArrowheads="1"/>
        </xdr:cNvSpPr>
      </xdr:nvSpPr>
      <xdr:spPr bwMode="auto">
        <a:xfrm>
          <a:off x="4972050" y="11820525"/>
          <a:ext cx="95250" cy="444331"/>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32</xdr:row>
      <xdr:rowOff>504825</xdr:rowOff>
    </xdr:from>
    <xdr:ext cx="95250" cy="448496"/>
    <xdr:sp macro="" textlink="">
      <xdr:nvSpPr>
        <xdr:cNvPr id="3874" name="Text Box 15">
          <a:extLst>
            <a:ext uri="{FF2B5EF4-FFF2-40B4-BE49-F238E27FC236}">
              <a16:creationId xmlns:a16="http://schemas.microsoft.com/office/drawing/2014/main" id="{00000000-0008-0000-0500-0000220F0000}"/>
            </a:ext>
          </a:extLst>
        </xdr:cNvPr>
        <xdr:cNvSpPr txBox="1">
          <a:spLocks noChangeArrowheads="1"/>
        </xdr:cNvSpPr>
      </xdr:nvSpPr>
      <xdr:spPr bwMode="auto">
        <a:xfrm>
          <a:off x="4972050" y="11820525"/>
          <a:ext cx="95250" cy="448496"/>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32</xdr:row>
      <xdr:rowOff>504825</xdr:rowOff>
    </xdr:from>
    <xdr:ext cx="95250" cy="213632"/>
    <xdr:sp macro="" textlink="">
      <xdr:nvSpPr>
        <xdr:cNvPr id="3875" name="Text Box 15">
          <a:extLst>
            <a:ext uri="{FF2B5EF4-FFF2-40B4-BE49-F238E27FC236}">
              <a16:creationId xmlns:a16="http://schemas.microsoft.com/office/drawing/2014/main" id="{00000000-0008-0000-0500-0000230F0000}"/>
            </a:ext>
          </a:extLst>
        </xdr:cNvPr>
        <xdr:cNvSpPr txBox="1">
          <a:spLocks noChangeArrowheads="1"/>
        </xdr:cNvSpPr>
      </xdr:nvSpPr>
      <xdr:spPr bwMode="auto">
        <a:xfrm>
          <a:off x="4972050" y="118205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32</xdr:row>
      <xdr:rowOff>504825</xdr:rowOff>
    </xdr:from>
    <xdr:ext cx="95250" cy="444331"/>
    <xdr:sp macro="" textlink="">
      <xdr:nvSpPr>
        <xdr:cNvPr id="3876" name="Text Box 15">
          <a:extLst>
            <a:ext uri="{FF2B5EF4-FFF2-40B4-BE49-F238E27FC236}">
              <a16:creationId xmlns:a16="http://schemas.microsoft.com/office/drawing/2014/main" id="{00000000-0008-0000-0500-0000240F0000}"/>
            </a:ext>
          </a:extLst>
        </xdr:cNvPr>
        <xdr:cNvSpPr txBox="1">
          <a:spLocks noChangeArrowheads="1"/>
        </xdr:cNvSpPr>
      </xdr:nvSpPr>
      <xdr:spPr bwMode="auto">
        <a:xfrm>
          <a:off x="4972050" y="11820525"/>
          <a:ext cx="95250" cy="444331"/>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32</xdr:row>
      <xdr:rowOff>504825</xdr:rowOff>
    </xdr:from>
    <xdr:ext cx="95250" cy="456743"/>
    <xdr:sp macro="" textlink="">
      <xdr:nvSpPr>
        <xdr:cNvPr id="3877" name="Text Box 15">
          <a:extLst>
            <a:ext uri="{FF2B5EF4-FFF2-40B4-BE49-F238E27FC236}">
              <a16:creationId xmlns:a16="http://schemas.microsoft.com/office/drawing/2014/main" id="{00000000-0008-0000-0500-0000250F0000}"/>
            </a:ext>
          </a:extLst>
        </xdr:cNvPr>
        <xdr:cNvSpPr txBox="1">
          <a:spLocks noChangeArrowheads="1"/>
        </xdr:cNvSpPr>
      </xdr:nvSpPr>
      <xdr:spPr bwMode="auto">
        <a:xfrm>
          <a:off x="4972050" y="11820525"/>
          <a:ext cx="95250" cy="456743"/>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32</xdr:row>
      <xdr:rowOff>504825</xdr:rowOff>
    </xdr:from>
    <xdr:ext cx="95250" cy="213632"/>
    <xdr:sp macro="" textlink="">
      <xdr:nvSpPr>
        <xdr:cNvPr id="3878" name="Text Box 15">
          <a:extLst>
            <a:ext uri="{FF2B5EF4-FFF2-40B4-BE49-F238E27FC236}">
              <a16:creationId xmlns:a16="http://schemas.microsoft.com/office/drawing/2014/main" id="{00000000-0008-0000-0500-0000260F0000}"/>
            </a:ext>
          </a:extLst>
        </xdr:cNvPr>
        <xdr:cNvSpPr txBox="1">
          <a:spLocks noChangeArrowheads="1"/>
        </xdr:cNvSpPr>
      </xdr:nvSpPr>
      <xdr:spPr bwMode="auto">
        <a:xfrm>
          <a:off x="4972050" y="118205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32</xdr:row>
      <xdr:rowOff>504825</xdr:rowOff>
    </xdr:from>
    <xdr:ext cx="95250" cy="444331"/>
    <xdr:sp macro="" textlink="">
      <xdr:nvSpPr>
        <xdr:cNvPr id="3879" name="Text Box 15">
          <a:extLst>
            <a:ext uri="{FF2B5EF4-FFF2-40B4-BE49-F238E27FC236}">
              <a16:creationId xmlns:a16="http://schemas.microsoft.com/office/drawing/2014/main" id="{00000000-0008-0000-0500-0000270F0000}"/>
            </a:ext>
          </a:extLst>
        </xdr:cNvPr>
        <xdr:cNvSpPr txBox="1">
          <a:spLocks noChangeArrowheads="1"/>
        </xdr:cNvSpPr>
      </xdr:nvSpPr>
      <xdr:spPr bwMode="auto">
        <a:xfrm>
          <a:off x="4972050" y="11820525"/>
          <a:ext cx="95250" cy="444331"/>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32</xdr:row>
      <xdr:rowOff>504825</xdr:rowOff>
    </xdr:from>
    <xdr:ext cx="95250" cy="213632"/>
    <xdr:sp macro="" textlink="">
      <xdr:nvSpPr>
        <xdr:cNvPr id="3880" name="Text Box 15">
          <a:extLst>
            <a:ext uri="{FF2B5EF4-FFF2-40B4-BE49-F238E27FC236}">
              <a16:creationId xmlns:a16="http://schemas.microsoft.com/office/drawing/2014/main" id="{00000000-0008-0000-0500-0000280F0000}"/>
            </a:ext>
          </a:extLst>
        </xdr:cNvPr>
        <xdr:cNvSpPr txBox="1">
          <a:spLocks noChangeArrowheads="1"/>
        </xdr:cNvSpPr>
      </xdr:nvSpPr>
      <xdr:spPr bwMode="auto">
        <a:xfrm>
          <a:off x="4972050" y="118205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32</xdr:row>
      <xdr:rowOff>504825</xdr:rowOff>
    </xdr:from>
    <xdr:ext cx="95250" cy="213632"/>
    <xdr:sp macro="" textlink="">
      <xdr:nvSpPr>
        <xdr:cNvPr id="3881" name="Text Box 15">
          <a:extLst>
            <a:ext uri="{FF2B5EF4-FFF2-40B4-BE49-F238E27FC236}">
              <a16:creationId xmlns:a16="http://schemas.microsoft.com/office/drawing/2014/main" id="{00000000-0008-0000-0500-0000290F0000}"/>
            </a:ext>
          </a:extLst>
        </xdr:cNvPr>
        <xdr:cNvSpPr txBox="1">
          <a:spLocks noChangeArrowheads="1"/>
        </xdr:cNvSpPr>
      </xdr:nvSpPr>
      <xdr:spPr bwMode="auto">
        <a:xfrm>
          <a:off x="4972050" y="118205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32</xdr:row>
      <xdr:rowOff>504825</xdr:rowOff>
    </xdr:from>
    <xdr:ext cx="95250" cy="213632"/>
    <xdr:sp macro="" textlink="">
      <xdr:nvSpPr>
        <xdr:cNvPr id="3882" name="Text Box 15">
          <a:extLst>
            <a:ext uri="{FF2B5EF4-FFF2-40B4-BE49-F238E27FC236}">
              <a16:creationId xmlns:a16="http://schemas.microsoft.com/office/drawing/2014/main" id="{00000000-0008-0000-0500-00002A0F0000}"/>
            </a:ext>
          </a:extLst>
        </xdr:cNvPr>
        <xdr:cNvSpPr txBox="1">
          <a:spLocks noChangeArrowheads="1"/>
        </xdr:cNvSpPr>
      </xdr:nvSpPr>
      <xdr:spPr bwMode="auto">
        <a:xfrm>
          <a:off x="4972050" y="118205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32</xdr:row>
      <xdr:rowOff>504825</xdr:rowOff>
    </xdr:from>
    <xdr:ext cx="95250" cy="213632"/>
    <xdr:sp macro="" textlink="">
      <xdr:nvSpPr>
        <xdr:cNvPr id="3883" name="Text Box 15">
          <a:extLst>
            <a:ext uri="{FF2B5EF4-FFF2-40B4-BE49-F238E27FC236}">
              <a16:creationId xmlns:a16="http://schemas.microsoft.com/office/drawing/2014/main" id="{00000000-0008-0000-0500-00002B0F0000}"/>
            </a:ext>
          </a:extLst>
        </xdr:cNvPr>
        <xdr:cNvSpPr txBox="1">
          <a:spLocks noChangeArrowheads="1"/>
        </xdr:cNvSpPr>
      </xdr:nvSpPr>
      <xdr:spPr bwMode="auto">
        <a:xfrm>
          <a:off x="4972050" y="118205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33</xdr:row>
      <xdr:rowOff>504825</xdr:rowOff>
    </xdr:from>
    <xdr:ext cx="95250" cy="213632"/>
    <xdr:sp macro="" textlink="">
      <xdr:nvSpPr>
        <xdr:cNvPr id="3884" name="Text Box 15">
          <a:extLst>
            <a:ext uri="{FF2B5EF4-FFF2-40B4-BE49-F238E27FC236}">
              <a16:creationId xmlns:a16="http://schemas.microsoft.com/office/drawing/2014/main" id="{00000000-0008-0000-0500-00002C0F0000}"/>
            </a:ext>
          </a:extLst>
        </xdr:cNvPr>
        <xdr:cNvSpPr txBox="1">
          <a:spLocks noChangeArrowheads="1"/>
        </xdr:cNvSpPr>
      </xdr:nvSpPr>
      <xdr:spPr bwMode="auto">
        <a:xfrm>
          <a:off x="4972050" y="1219517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33</xdr:row>
      <xdr:rowOff>504825</xdr:rowOff>
    </xdr:from>
    <xdr:ext cx="95250" cy="213632"/>
    <xdr:sp macro="" textlink="">
      <xdr:nvSpPr>
        <xdr:cNvPr id="3885" name="Text Box 15">
          <a:extLst>
            <a:ext uri="{FF2B5EF4-FFF2-40B4-BE49-F238E27FC236}">
              <a16:creationId xmlns:a16="http://schemas.microsoft.com/office/drawing/2014/main" id="{00000000-0008-0000-0500-00002D0F0000}"/>
            </a:ext>
          </a:extLst>
        </xdr:cNvPr>
        <xdr:cNvSpPr txBox="1">
          <a:spLocks noChangeArrowheads="1"/>
        </xdr:cNvSpPr>
      </xdr:nvSpPr>
      <xdr:spPr bwMode="auto">
        <a:xfrm>
          <a:off x="4972050" y="1219517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33</xdr:row>
      <xdr:rowOff>504825</xdr:rowOff>
    </xdr:from>
    <xdr:ext cx="95250" cy="213632"/>
    <xdr:sp macro="" textlink="">
      <xdr:nvSpPr>
        <xdr:cNvPr id="3886" name="Text Box 15">
          <a:extLst>
            <a:ext uri="{FF2B5EF4-FFF2-40B4-BE49-F238E27FC236}">
              <a16:creationId xmlns:a16="http://schemas.microsoft.com/office/drawing/2014/main" id="{00000000-0008-0000-0500-00002E0F0000}"/>
            </a:ext>
          </a:extLst>
        </xdr:cNvPr>
        <xdr:cNvSpPr txBox="1">
          <a:spLocks noChangeArrowheads="1"/>
        </xdr:cNvSpPr>
      </xdr:nvSpPr>
      <xdr:spPr bwMode="auto">
        <a:xfrm>
          <a:off x="4972050" y="1219517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33</xdr:row>
      <xdr:rowOff>504825</xdr:rowOff>
    </xdr:from>
    <xdr:ext cx="95250" cy="213632"/>
    <xdr:sp macro="" textlink="">
      <xdr:nvSpPr>
        <xdr:cNvPr id="3887" name="Text Box 15">
          <a:extLst>
            <a:ext uri="{FF2B5EF4-FFF2-40B4-BE49-F238E27FC236}">
              <a16:creationId xmlns:a16="http://schemas.microsoft.com/office/drawing/2014/main" id="{00000000-0008-0000-0500-00002F0F0000}"/>
            </a:ext>
          </a:extLst>
        </xdr:cNvPr>
        <xdr:cNvSpPr txBox="1">
          <a:spLocks noChangeArrowheads="1"/>
        </xdr:cNvSpPr>
      </xdr:nvSpPr>
      <xdr:spPr bwMode="auto">
        <a:xfrm>
          <a:off x="4972050" y="1219517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33</xdr:row>
      <xdr:rowOff>504825</xdr:rowOff>
    </xdr:from>
    <xdr:ext cx="95250" cy="213632"/>
    <xdr:sp macro="" textlink="">
      <xdr:nvSpPr>
        <xdr:cNvPr id="3888" name="Text Box 15">
          <a:extLst>
            <a:ext uri="{FF2B5EF4-FFF2-40B4-BE49-F238E27FC236}">
              <a16:creationId xmlns:a16="http://schemas.microsoft.com/office/drawing/2014/main" id="{00000000-0008-0000-0500-0000300F0000}"/>
            </a:ext>
          </a:extLst>
        </xdr:cNvPr>
        <xdr:cNvSpPr txBox="1">
          <a:spLocks noChangeArrowheads="1"/>
        </xdr:cNvSpPr>
      </xdr:nvSpPr>
      <xdr:spPr bwMode="auto">
        <a:xfrm>
          <a:off x="4972050" y="1219517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33</xdr:row>
      <xdr:rowOff>504825</xdr:rowOff>
    </xdr:from>
    <xdr:ext cx="95250" cy="213632"/>
    <xdr:sp macro="" textlink="">
      <xdr:nvSpPr>
        <xdr:cNvPr id="3889" name="Text Box 15">
          <a:extLst>
            <a:ext uri="{FF2B5EF4-FFF2-40B4-BE49-F238E27FC236}">
              <a16:creationId xmlns:a16="http://schemas.microsoft.com/office/drawing/2014/main" id="{00000000-0008-0000-0500-0000310F0000}"/>
            </a:ext>
          </a:extLst>
        </xdr:cNvPr>
        <xdr:cNvSpPr txBox="1">
          <a:spLocks noChangeArrowheads="1"/>
        </xdr:cNvSpPr>
      </xdr:nvSpPr>
      <xdr:spPr bwMode="auto">
        <a:xfrm>
          <a:off x="4972050" y="1219517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33</xdr:row>
      <xdr:rowOff>504825</xdr:rowOff>
    </xdr:from>
    <xdr:ext cx="95250" cy="213632"/>
    <xdr:sp macro="" textlink="">
      <xdr:nvSpPr>
        <xdr:cNvPr id="3890" name="Text Box 15">
          <a:extLst>
            <a:ext uri="{FF2B5EF4-FFF2-40B4-BE49-F238E27FC236}">
              <a16:creationId xmlns:a16="http://schemas.microsoft.com/office/drawing/2014/main" id="{00000000-0008-0000-0500-0000320F0000}"/>
            </a:ext>
          </a:extLst>
        </xdr:cNvPr>
        <xdr:cNvSpPr txBox="1">
          <a:spLocks noChangeArrowheads="1"/>
        </xdr:cNvSpPr>
      </xdr:nvSpPr>
      <xdr:spPr bwMode="auto">
        <a:xfrm>
          <a:off x="4972050" y="1219517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33</xdr:row>
      <xdr:rowOff>504825</xdr:rowOff>
    </xdr:from>
    <xdr:ext cx="95250" cy="448496"/>
    <xdr:sp macro="" textlink="">
      <xdr:nvSpPr>
        <xdr:cNvPr id="3891" name="Text Box 15">
          <a:extLst>
            <a:ext uri="{FF2B5EF4-FFF2-40B4-BE49-F238E27FC236}">
              <a16:creationId xmlns:a16="http://schemas.microsoft.com/office/drawing/2014/main" id="{00000000-0008-0000-0500-0000330F0000}"/>
            </a:ext>
          </a:extLst>
        </xdr:cNvPr>
        <xdr:cNvSpPr txBox="1">
          <a:spLocks noChangeArrowheads="1"/>
        </xdr:cNvSpPr>
      </xdr:nvSpPr>
      <xdr:spPr bwMode="auto">
        <a:xfrm>
          <a:off x="4972050" y="11820525"/>
          <a:ext cx="95250" cy="448496"/>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33</xdr:row>
      <xdr:rowOff>504825</xdr:rowOff>
    </xdr:from>
    <xdr:ext cx="95250" cy="213632"/>
    <xdr:sp macro="" textlink="">
      <xdr:nvSpPr>
        <xdr:cNvPr id="3892" name="Text Box 15">
          <a:extLst>
            <a:ext uri="{FF2B5EF4-FFF2-40B4-BE49-F238E27FC236}">
              <a16:creationId xmlns:a16="http://schemas.microsoft.com/office/drawing/2014/main" id="{00000000-0008-0000-0500-0000340F0000}"/>
            </a:ext>
          </a:extLst>
        </xdr:cNvPr>
        <xdr:cNvSpPr txBox="1">
          <a:spLocks noChangeArrowheads="1"/>
        </xdr:cNvSpPr>
      </xdr:nvSpPr>
      <xdr:spPr bwMode="auto">
        <a:xfrm>
          <a:off x="4972050" y="118205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33</xdr:row>
      <xdr:rowOff>504825</xdr:rowOff>
    </xdr:from>
    <xdr:ext cx="95250" cy="444331"/>
    <xdr:sp macro="" textlink="">
      <xdr:nvSpPr>
        <xdr:cNvPr id="3893" name="Text Box 15">
          <a:extLst>
            <a:ext uri="{FF2B5EF4-FFF2-40B4-BE49-F238E27FC236}">
              <a16:creationId xmlns:a16="http://schemas.microsoft.com/office/drawing/2014/main" id="{00000000-0008-0000-0500-0000350F0000}"/>
            </a:ext>
          </a:extLst>
        </xdr:cNvPr>
        <xdr:cNvSpPr txBox="1">
          <a:spLocks noChangeArrowheads="1"/>
        </xdr:cNvSpPr>
      </xdr:nvSpPr>
      <xdr:spPr bwMode="auto">
        <a:xfrm>
          <a:off x="4972050" y="11820525"/>
          <a:ext cx="95250" cy="444331"/>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33</xdr:row>
      <xdr:rowOff>504825</xdr:rowOff>
    </xdr:from>
    <xdr:ext cx="95250" cy="448496"/>
    <xdr:sp macro="" textlink="">
      <xdr:nvSpPr>
        <xdr:cNvPr id="3894" name="Text Box 15">
          <a:extLst>
            <a:ext uri="{FF2B5EF4-FFF2-40B4-BE49-F238E27FC236}">
              <a16:creationId xmlns:a16="http://schemas.microsoft.com/office/drawing/2014/main" id="{00000000-0008-0000-0500-0000360F0000}"/>
            </a:ext>
          </a:extLst>
        </xdr:cNvPr>
        <xdr:cNvSpPr txBox="1">
          <a:spLocks noChangeArrowheads="1"/>
        </xdr:cNvSpPr>
      </xdr:nvSpPr>
      <xdr:spPr bwMode="auto">
        <a:xfrm>
          <a:off x="4972050" y="11820525"/>
          <a:ext cx="95250" cy="448496"/>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33</xdr:row>
      <xdr:rowOff>504825</xdr:rowOff>
    </xdr:from>
    <xdr:ext cx="95250" cy="213632"/>
    <xdr:sp macro="" textlink="">
      <xdr:nvSpPr>
        <xdr:cNvPr id="3895" name="Text Box 15">
          <a:extLst>
            <a:ext uri="{FF2B5EF4-FFF2-40B4-BE49-F238E27FC236}">
              <a16:creationId xmlns:a16="http://schemas.microsoft.com/office/drawing/2014/main" id="{00000000-0008-0000-0500-0000370F0000}"/>
            </a:ext>
          </a:extLst>
        </xdr:cNvPr>
        <xdr:cNvSpPr txBox="1">
          <a:spLocks noChangeArrowheads="1"/>
        </xdr:cNvSpPr>
      </xdr:nvSpPr>
      <xdr:spPr bwMode="auto">
        <a:xfrm>
          <a:off x="4972050" y="118205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33</xdr:row>
      <xdr:rowOff>504825</xdr:rowOff>
    </xdr:from>
    <xdr:ext cx="95250" cy="444331"/>
    <xdr:sp macro="" textlink="">
      <xdr:nvSpPr>
        <xdr:cNvPr id="3896" name="Text Box 15">
          <a:extLst>
            <a:ext uri="{FF2B5EF4-FFF2-40B4-BE49-F238E27FC236}">
              <a16:creationId xmlns:a16="http://schemas.microsoft.com/office/drawing/2014/main" id="{00000000-0008-0000-0500-0000380F0000}"/>
            </a:ext>
          </a:extLst>
        </xdr:cNvPr>
        <xdr:cNvSpPr txBox="1">
          <a:spLocks noChangeArrowheads="1"/>
        </xdr:cNvSpPr>
      </xdr:nvSpPr>
      <xdr:spPr bwMode="auto">
        <a:xfrm>
          <a:off x="4972050" y="11820525"/>
          <a:ext cx="95250" cy="444331"/>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33</xdr:row>
      <xdr:rowOff>504825</xdr:rowOff>
    </xdr:from>
    <xdr:ext cx="95250" cy="456743"/>
    <xdr:sp macro="" textlink="">
      <xdr:nvSpPr>
        <xdr:cNvPr id="3897" name="Text Box 15">
          <a:extLst>
            <a:ext uri="{FF2B5EF4-FFF2-40B4-BE49-F238E27FC236}">
              <a16:creationId xmlns:a16="http://schemas.microsoft.com/office/drawing/2014/main" id="{00000000-0008-0000-0500-0000390F0000}"/>
            </a:ext>
          </a:extLst>
        </xdr:cNvPr>
        <xdr:cNvSpPr txBox="1">
          <a:spLocks noChangeArrowheads="1"/>
        </xdr:cNvSpPr>
      </xdr:nvSpPr>
      <xdr:spPr bwMode="auto">
        <a:xfrm>
          <a:off x="4972050" y="11820525"/>
          <a:ext cx="95250" cy="456743"/>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33</xdr:row>
      <xdr:rowOff>504825</xdr:rowOff>
    </xdr:from>
    <xdr:ext cx="95250" cy="213632"/>
    <xdr:sp macro="" textlink="">
      <xdr:nvSpPr>
        <xdr:cNvPr id="3898" name="Text Box 15">
          <a:extLst>
            <a:ext uri="{FF2B5EF4-FFF2-40B4-BE49-F238E27FC236}">
              <a16:creationId xmlns:a16="http://schemas.microsoft.com/office/drawing/2014/main" id="{00000000-0008-0000-0500-00003A0F0000}"/>
            </a:ext>
          </a:extLst>
        </xdr:cNvPr>
        <xdr:cNvSpPr txBox="1">
          <a:spLocks noChangeArrowheads="1"/>
        </xdr:cNvSpPr>
      </xdr:nvSpPr>
      <xdr:spPr bwMode="auto">
        <a:xfrm>
          <a:off x="4972050" y="118205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33</xdr:row>
      <xdr:rowOff>504825</xdr:rowOff>
    </xdr:from>
    <xdr:ext cx="95250" cy="444331"/>
    <xdr:sp macro="" textlink="">
      <xdr:nvSpPr>
        <xdr:cNvPr id="3899" name="Text Box 15">
          <a:extLst>
            <a:ext uri="{FF2B5EF4-FFF2-40B4-BE49-F238E27FC236}">
              <a16:creationId xmlns:a16="http://schemas.microsoft.com/office/drawing/2014/main" id="{00000000-0008-0000-0500-00003B0F0000}"/>
            </a:ext>
          </a:extLst>
        </xdr:cNvPr>
        <xdr:cNvSpPr txBox="1">
          <a:spLocks noChangeArrowheads="1"/>
        </xdr:cNvSpPr>
      </xdr:nvSpPr>
      <xdr:spPr bwMode="auto">
        <a:xfrm>
          <a:off x="4972050" y="11820525"/>
          <a:ext cx="95250" cy="444331"/>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33</xdr:row>
      <xdr:rowOff>504825</xdr:rowOff>
    </xdr:from>
    <xdr:ext cx="95250" cy="213632"/>
    <xdr:sp macro="" textlink="">
      <xdr:nvSpPr>
        <xdr:cNvPr id="3900" name="Text Box 15">
          <a:extLst>
            <a:ext uri="{FF2B5EF4-FFF2-40B4-BE49-F238E27FC236}">
              <a16:creationId xmlns:a16="http://schemas.microsoft.com/office/drawing/2014/main" id="{00000000-0008-0000-0500-00003C0F0000}"/>
            </a:ext>
          </a:extLst>
        </xdr:cNvPr>
        <xdr:cNvSpPr txBox="1">
          <a:spLocks noChangeArrowheads="1"/>
        </xdr:cNvSpPr>
      </xdr:nvSpPr>
      <xdr:spPr bwMode="auto">
        <a:xfrm>
          <a:off x="4972050" y="118205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33</xdr:row>
      <xdr:rowOff>504825</xdr:rowOff>
    </xdr:from>
    <xdr:ext cx="95250" cy="213632"/>
    <xdr:sp macro="" textlink="">
      <xdr:nvSpPr>
        <xdr:cNvPr id="3901" name="Text Box 15">
          <a:extLst>
            <a:ext uri="{FF2B5EF4-FFF2-40B4-BE49-F238E27FC236}">
              <a16:creationId xmlns:a16="http://schemas.microsoft.com/office/drawing/2014/main" id="{00000000-0008-0000-0500-00003D0F0000}"/>
            </a:ext>
          </a:extLst>
        </xdr:cNvPr>
        <xdr:cNvSpPr txBox="1">
          <a:spLocks noChangeArrowheads="1"/>
        </xdr:cNvSpPr>
      </xdr:nvSpPr>
      <xdr:spPr bwMode="auto">
        <a:xfrm>
          <a:off x="4972050" y="118205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33</xdr:row>
      <xdr:rowOff>504825</xdr:rowOff>
    </xdr:from>
    <xdr:ext cx="95250" cy="213632"/>
    <xdr:sp macro="" textlink="">
      <xdr:nvSpPr>
        <xdr:cNvPr id="3902" name="Text Box 15">
          <a:extLst>
            <a:ext uri="{FF2B5EF4-FFF2-40B4-BE49-F238E27FC236}">
              <a16:creationId xmlns:a16="http://schemas.microsoft.com/office/drawing/2014/main" id="{00000000-0008-0000-0500-00003E0F0000}"/>
            </a:ext>
          </a:extLst>
        </xdr:cNvPr>
        <xdr:cNvSpPr txBox="1">
          <a:spLocks noChangeArrowheads="1"/>
        </xdr:cNvSpPr>
      </xdr:nvSpPr>
      <xdr:spPr bwMode="auto">
        <a:xfrm>
          <a:off x="4972050" y="118205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33</xdr:row>
      <xdr:rowOff>504825</xdr:rowOff>
    </xdr:from>
    <xdr:ext cx="95250" cy="213632"/>
    <xdr:sp macro="" textlink="">
      <xdr:nvSpPr>
        <xdr:cNvPr id="3903" name="Text Box 15">
          <a:extLst>
            <a:ext uri="{FF2B5EF4-FFF2-40B4-BE49-F238E27FC236}">
              <a16:creationId xmlns:a16="http://schemas.microsoft.com/office/drawing/2014/main" id="{00000000-0008-0000-0500-00003F0F0000}"/>
            </a:ext>
          </a:extLst>
        </xdr:cNvPr>
        <xdr:cNvSpPr txBox="1">
          <a:spLocks noChangeArrowheads="1"/>
        </xdr:cNvSpPr>
      </xdr:nvSpPr>
      <xdr:spPr bwMode="auto">
        <a:xfrm>
          <a:off x="4972050" y="118205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34</xdr:row>
      <xdr:rowOff>504825</xdr:rowOff>
    </xdr:from>
    <xdr:ext cx="95250" cy="213632"/>
    <xdr:sp macro="" textlink="">
      <xdr:nvSpPr>
        <xdr:cNvPr id="3904" name="Text Box 15">
          <a:extLst>
            <a:ext uri="{FF2B5EF4-FFF2-40B4-BE49-F238E27FC236}">
              <a16:creationId xmlns:a16="http://schemas.microsoft.com/office/drawing/2014/main" id="{00000000-0008-0000-0500-0000400F0000}"/>
            </a:ext>
          </a:extLst>
        </xdr:cNvPr>
        <xdr:cNvSpPr txBox="1">
          <a:spLocks noChangeArrowheads="1"/>
        </xdr:cNvSpPr>
      </xdr:nvSpPr>
      <xdr:spPr bwMode="auto">
        <a:xfrm>
          <a:off x="4972050" y="1219517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34</xdr:row>
      <xdr:rowOff>504825</xdr:rowOff>
    </xdr:from>
    <xdr:ext cx="95250" cy="213632"/>
    <xdr:sp macro="" textlink="">
      <xdr:nvSpPr>
        <xdr:cNvPr id="3905" name="Text Box 15">
          <a:extLst>
            <a:ext uri="{FF2B5EF4-FFF2-40B4-BE49-F238E27FC236}">
              <a16:creationId xmlns:a16="http://schemas.microsoft.com/office/drawing/2014/main" id="{00000000-0008-0000-0500-0000410F0000}"/>
            </a:ext>
          </a:extLst>
        </xdr:cNvPr>
        <xdr:cNvSpPr txBox="1">
          <a:spLocks noChangeArrowheads="1"/>
        </xdr:cNvSpPr>
      </xdr:nvSpPr>
      <xdr:spPr bwMode="auto">
        <a:xfrm>
          <a:off x="4972050" y="1219517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34</xdr:row>
      <xdr:rowOff>504825</xdr:rowOff>
    </xdr:from>
    <xdr:ext cx="95250" cy="213632"/>
    <xdr:sp macro="" textlink="">
      <xdr:nvSpPr>
        <xdr:cNvPr id="3906" name="Text Box 15">
          <a:extLst>
            <a:ext uri="{FF2B5EF4-FFF2-40B4-BE49-F238E27FC236}">
              <a16:creationId xmlns:a16="http://schemas.microsoft.com/office/drawing/2014/main" id="{00000000-0008-0000-0500-0000420F0000}"/>
            </a:ext>
          </a:extLst>
        </xdr:cNvPr>
        <xdr:cNvSpPr txBox="1">
          <a:spLocks noChangeArrowheads="1"/>
        </xdr:cNvSpPr>
      </xdr:nvSpPr>
      <xdr:spPr bwMode="auto">
        <a:xfrm>
          <a:off x="4972050" y="1219517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34</xdr:row>
      <xdr:rowOff>504825</xdr:rowOff>
    </xdr:from>
    <xdr:ext cx="95250" cy="213632"/>
    <xdr:sp macro="" textlink="">
      <xdr:nvSpPr>
        <xdr:cNvPr id="3907" name="Text Box 15">
          <a:extLst>
            <a:ext uri="{FF2B5EF4-FFF2-40B4-BE49-F238E27FC236}">
              <a16:creationId xmlns:a16="http://schemas.microsoft.com/office/drawing/2014/main" id="{00000000-0008-0000-0500-0000430F0000}"/>
            </a:ext>
          </a:extLst>
        </xdr:cNvPr>
        <xdr:cNvSpPr txBox="1">
          <a:spLocks noChangeArrowheads="1"/>
        </xdr:cNvSpPr>
      </xdr:nvSpPr>
      <xdr:spPr bwMode="auto">
        <a:xfrm>
          <a:off x="4972050" y="1219517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34</xdr:row>
      <xdr:rowOff>504825</xdr:rowOff>
    </xdr:from>
    <xdr:ext cx="95250" cy="213632"/>
    <xdr:sp macro="" textlink="">
      <xdr:nvSpPr>
        <xdr:cNvPr id="3908" name="Text Box 15">
          <a:extLst>
            <a:ext uri="{FF2B5EF4-FFF2-40B4-BE49-F238E27FC236}">
              <a16:creationId xmlns:a16="http://schemas.microsoft.com/office/drawing/2014/main" id="{00000000-0008-0000-0500-0000440F0000}"/>
            </a:ext>
          </a:extLst>
        </xdr:cNvPr>
        <xdr:cNvSpPr txBox="1">
          <a:spLocks noChangeArrowheads="1"/>
        </xdr:cNvSpPr>
      </xdr:nvSpPr>
      <xdr:spPr bwMode="auto">
        <a:xfrm>
          <a:off x="4972050" y="1219517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34</xdr:row>
      <xdr:rowOff>504825</xdr:rowOff>
    </xdr:from>
    <xdr:ext cx="95250" cy="213632"/>
    <xdr:sp macro="" textlink="">
      <xdr:nvSpPr>
        <xdr:cNvPr id="3909" name="Text Box 15">
          <a:extLst>
            <a:ext uri="{FF2B5EF4-FFF2-40B4-BE49-F238E27FC236}">
              <a16:creationId xmlns:a16="http://schemas.microsoft.com/office/drawing/2014/main" id="{00000000-0008-0000-0500-0000450F0000}"/>
            </a:ext>
          </a:extLst>
        </xdr:cNvPr>
        <xdr:cNvSpPr txBox="1">
          <a:spLocks noChangeArrowheads="1"/>
        </xdr:cNvSpPr>
      </xdr:nvSpPr>
      <xdr:spPr bwMode="auto">
        <a:xfrm>
          <a:off x="4972050" y="1219517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34</xdr:row>
      <xdr:rowOff>504825</xdr:rowOff>
    </xdr:from>
    <xdr:ext cx="95250" cy="213632"/>
    <xdr:sp macro="" textlink="">
      <xdr:nvSpPr>
        <xdr:cNvPr id="3910" name="Text Box 15">
          <a:extLst>
            <a:ext uri="{FF2B5EF4-FFF2-40B4-BE49-F238E27FC236}">
              <a16:creationId xmlns:a16="http://schemas.microsoft.com/office/drawing/2014/main" id="{00000000-0008-0000-0500-0000460F0000}"/>
            </a:ext>
          </a:extLst>
        </xdr:cNvPr>
        <xdr:cNvSpPr txBox="1">
          <a:spLocks noChangeArrowheads="1"/>
        </xdr:cNvSpPr>
      </xdr:nvSpPr>
      <xdr:spPr bwMode="auto">
        <a:xfrm>
          <a:off x="4972050" y="1219517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34</xdr:row>
      <xdr:rowOff>504825</xdr:rowOff>
    </xdr:from>
    <xdr:ext cx="95250" cy="448496"/>
    <xdr:sp macro="" textlink="">
      <xdr:nvSpPr>
        <xdr:cNvPr id="3911" name="Text Box 15">
          <a:extLst>
            <a:ext uri="{FF2B5EF4-FFF2-40B4-BE49-F238E27FC236}">
              <a16:creationId xmlns:a16="http://schemas.microsoft.com/office/drawing/2014/main" id="{00000000-0008-0000-0500-0000470F0000}"/>
            </a:ext>
          </a:extLst>
        </xdr:cNvPr>
        <xdr:cNvSpPr txBox="1">
          <a:spLocks noChangeArrowheads="1"/>
        </xdr:cNvSpPr>
      </xdr:nvSpPr>
      <xdr:spPr bwMode="auto">
        <a:xfrm>
          <a:off x="4972050" y="11820525"/>
          <a:ext cx="95250" cy="448496"/>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34</xdr:row>
      <xdr:rowOff>504825</xdr:rowOff>
    </xdr:from>
    <xdr:ext cx="95250" cy="213632"/>
    <xdr:sp macro="" textlink="">
      <xdr:nvSpPr>
        <xdr:cNvPr id="3912" name="Text Box 15">
          <a:extLst>
            <a:ext uri="{FF2B5EF4-FFF2-40B4-BE49-F238E27FC236}">
              <a16:creationId xmlns:a16="http://schemas.microsoft.com/office/drawing/2014/main" id="{00000000-0008-0000-0500-0000480F0000}"/>
            </a:ext>
          </a:extLst>
        </xdr:cNvPr>
        <xdr:cNvSpPr txBox="1">
          <a:spLocks noChangeArrowheads="1"/>
        </xdr:cNvSpPr>
      </xdr:nvSpPr>
      <xdr:spPr bwMode="auto">
        <a:xfrm>
          <a:off x="4972050" y="118205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34</xdr:row>
      <xdr:rowOff>504825</xdr:rowOff>
    </xdr:from>
    <xdr:ext cx="95250" cy="444331"/>
    <xdr:sp macro="" textlink="">
      <xdr:nvSpPr>
        <xdr:cNvPr id="3913" name="Text Box 15">
          <a:extLst>
            <a:ext uri="{FF2B5EF4-FFF2-40B4-BE49-F238E27FC236}">
              <a16:creationId xmlns:a16="http://schemas.microsoft.com/office/drawing/2014/main" id="{00000000-0008-0000-0500-0000490F0000}"/>
            </a:ext>
          </a:extLst>
        </xdr:cNvPr>
        <xdr:cNvSpPr txBox="1">
          <a:spLocks noChangeArrowheads="1"/>
        </xdr:cNvSpPr>
      </xdr:nvSpPr>
      <xdr:spPr bwMode="auto">
        <a:xfrm>
          <a:off x="4972050" y="11820525"/>
          <a:ext cx="95250" cy="444331"/>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34</xdr:row>
      <xdr:rowOff>504825</xdr:rowOff>
    </xdr:from>
    <xdr:ext cx="95250" cy="448496"/>
    <xdr:sp macro="" textlink="">
      <xdr:nvSpPr>
        <xdr:cNvPr id="3914" name="Text Box 15">
          <a:extLst>
            <a:ext uri="{FF2B5EF4-FFF2-40B4-BE49-F238E27FC236}">
              <a16:creationId xmlns:a16="http://schemas.microsoft.com/office/drawing/2014/main" id="{00000000-0008-0000-0500-00004A0F0000}"/>
            </a:ext>
          </a:extLst>
        </xdr:cNvPr>
        <xdr:cNvSpPr txBox="1">
          <a:spLocks noChangeArrowheads="1"/>
        </xdr:cNvSpPr>
      </xdr:nvSpPr>
      <xdr:spPr bwMode="auto">
        <a:xfrm>
          <a:off x="4972050" y="11820525"/>
          <a:ext cx="95250" cy="448496"/>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34</xdr:row>
      <xdr:rowOff>504825</xdr:rowOff>
    </xdr:from>
    <xdr:ext cx="95250" cy="213632"/>
    <xdr:sp macro="" textlink="">
      <xdr:nvSpPr>
        <xdr:cNvPr id="3915" name="Text Box 15">
          <a:extLst>
            <a:ext uri="{FF2B5EF4-FFF2-40B4-BE49-F238E27FC236}">
              <a16:creationId xmlns:a16="http://schemas.microsoft.com/office/drawing/2014/main" id="{00000000-0008-0000-0500-00004B0F0000}"/>
            </a:ext>
          </a:extLst>
        </xdr:cNvPr>
        <xdr:cNvSpPr txBox="1">
          <a:spLocks noChangeArrowheads="1"/>
        </xdr:cNvSpPr>
      </xdr:nvSpPr>
      <xdr:spPr bwMode="auto">
        <a:xfrm>
          <a:off x="4972050" y="118205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34</xdr:row>
      <xdr:rowOff>504825</xdr:rowOff>
    </xdr:from>
    <xdr:ext cx="95250" cy="444331"/>
    <xdr:sp macro="" textlink="">
      <xdr:nvSpPr>
        <xdr:cNvPr id="3916" name="Text Box 15">
          <a:extLst>
            <a:ext uri="{FF2B5EF4-FFF2-40B4-BE49-F238E27FC236}">
              <a16:creationId xmlns:a16="http://schemas.microsoft.com/office/drawing/2014/main" id="{00000000-0008-0000-0500-00004C0F0000}"/>
            </a:ext>
          </a:extLst>
        </xdr:cNvPr>
        <xdr:cNvSpPr txBox="1">
          <a:spLocks noChangeArrowheads="1"/>
        </xdr:cNvSpPr>
      </xdr:nvSpPr>
      <xdr:spPr bwMode="auto">
        <a:xfrm>
          <a:off x="4972050" y="11820525"/>
          <a:ext cx="95250" cy="444331"/>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34</xdr:row>
      <xdr:rowOff>504825</xdr:rowOff>
    </xdr:from>
    <xdr:ext cx="95250" cy="456743"/>
    <xdr:sp macro="" textlink="">
      <xdr:nvSpPr>
        <xdr:cNvPr id="3917" name="Text Box 15">
          <a:extLst>
            <a:ext uri="{FF2B5EF4-FFF2-40B4-BE49-F238E27FC236}">
              <a16:creationId xmlns:a16="http://schemas.microsoft.com/office/drawing/2014/main" id="{00000000-0008-0000-0500-00004D0F0000}"/>
            </a:ext>
          </a:extLst>
        </xdr:cNvPr>
        <xdr:cNvSpPr txBox="1">
          <a:spLocks noChangeArrowheads="1"/>
        </xdr:cNvSpPr>
      </xdr:nvSpPr>
      <xdr:spPr bwMode="auto">
        <a:xfrm>
          <a:off x="4972050" y="11820525"/>
          <a:ext cx="95250" cy="456743"/>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34</xdr:row>
      <xdr:rowOff>504825</xdr:rowOff>
    </xdr:from>
    <xdr:ext cx="95250" cy="213632"/>
    <xdr:sp macro="" textlink="">
      <xdr:nvSpPr>
        <xdr:cNvPr id="3918" name="Text Box 15">
          <a:extLst>
            <a:ext uri="{FF2B5EF4-FFF2-40B4-BE49-F238E27FC236}">
              <a16:creationId xmlns:a16="http://schemas.microsoft.com/office/drawing/2014/main" id="{00000000-0008-0000-0500-00004E0F0000}"/>
            </a:ext>
          </a:extLst>
        </xdr:cNvPr>
        <xdr:cNvSpPr txBox="1">
          <a:spLocks noChangeArrowheads="1"/>
        </xdr:cNvSpPr>
      </xdr:nvSpPr>
      <xdr:spPr bwMode="auto">
        <a:xfrm>
          <a:off x="4972050" y="118205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34</xdr:row>
      <xdr:rowOff>504825</xdr:rowOff>
    </xdr:from>
    <xdr:ext cx="95250" cy="444331"/>
    <xdr:sp macro="" textlink="">
      <xdr:nvSpPr>
        <xdr:cNvPr id="3919" name="Text Box 15">
          <a:extLst>
            <a:ext uri="{FF2B5EF4-FFF2-40B4-BE49-F238E27FC236}">
              <a16:creationId xmlns:a16="http://schemas.microsoft.com/office/drawing/2014/main" id="{00000000-0008-0000-0500-00004F0F0000}"/>
            </a:ext>
          </a:extLst>
        </xdr:cNvPr>
        <xdr:cNvSpPr txBox="1">
          <a:spLocks noChangeArrowheads="1"/>
        </xdr:cNvSpPr>
      </xdr:nvSpPr>
      <xdr:spPr bwMode="auto">
        <a:xfrm>
          <a:off x="4972050" y="11820525"/>
          <a:ext cx="95250" cy="444331"/>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34</xdr:row>
      <xdr:rowOff>504825</xdr:rowOff>
    </xdr:from>
    <xdr:ext cx="95250" cy="213632"/>
    <xdr:sp macro="" textlink="">
      <xdr:nvSpPr>
        <xdr:cNvPr id="3920" name="Text Box 15">
          <a:extLst>
            <a:ext uri="{FF2B5EF4-FFF2-40B4-BE49-F238E27FC236}">
              <a16:creationId xmlns:a16="http://schemas.microsoft.com/office/drawing/2014/main" id="{00000000-0008-0000-0500-0000500F0000}"/>
            </a:ext>
          </a:extLst>
        </xdr:cNvPr>
        <xdr:cNvSpPr txBox="1">
          <a:spLocks noChangeArrowheads="1"/>
        </xdr:cNvSpPr>
      </xdr:nvSpPr>
      <xdr:spPr bwMode="auto">
        <a:xfrm>
          <a:off x="4972050" y="118205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34</xdr:row>
      <xdr:rowOff>504825</xdr:rowOff>
    </xdr:from>
    <xdr:ext cx="95250" cy="213632"/>
    <xdr:sp macro="" textlink="">
      <xdr:nvSpPr>
        <xdr:cNvPr id="3921" name="Text Box 15">
          <a:extLst>
            <a:ext uri="{FF2B5EF4-FFF2-40B4-BE49-F238E27FC236}">
              <a16:creationId xmlns:a16="http://schemas.microsoft.com/office/drawing/2014/main" id="{00000000-0008-0000-0500-0000510F0000}"/>
            </a:ext>
          </a:extLst>
        </xdr:cNvPr>
        <xdr:cNvSpPr txBox="1">
          <a:spLocks noChangeArrowheads="1"/>
        </xdr:cNvSpPr>
      </xdr:nvSpPr>
      <xdr:spPr bwMode="auto">
        <a:xfrm>
          <a:off x="4972050" y="118205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34</xdr:row>
      <xdr:rowOff>504825</xdr:rowOff>
    </xdr:from>
    <xdr:ext cx="95250" cy="213632"/>
    <xdr:sp macro="" textlink="">
      <xdr:nvSpPr>
        <xdr:cNvPr id="3922" name="Text Box 15">
          <a:extLst>
            <a:ext uri="{FF2B5EF4-FFF2-40B4-BE49-F238E27FC236}">
              <a16:creationId xmlns:a16="http://schemas.microsoft.com/office/drawing/2014/main" id="{00000000-0008-0000-0500-0000520F0000}"/>
            </a:ext>
          </a:extLst>
        </xdr:cNvPr>
        <xdr:cNvSpPr txBox="1">
          <a:spLocks noChangeArrowheads="1"/>
        </xdr:cNvSpPr>
      </xdr:nvSpPr>
      <xdr:spPr bwMode="auto">
        <a:xfrm>
          <a:off x="4972050" y="118205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34</xdr:row>
      <xdr:rowOff>504825</xdr:rowOff>
    </xdr:from>
    <xdr:ext cx="95250" cy="213632"/>
    <xdr:sp macro="" textlink="">
      <xdr:nvSpPr>
        <xdr:cNvPr id="3923" name="Text Box 15">
          <a:extLst>
            <a:ext uri="{FF2B5EF4-FFF2-40B4-BE49-F238E27FC236}">
              <a16:creationId xmlns:a16="http://schemas.microsoft.com/office/drawing/2014/main" id="{00000000-0008-0000-0500-0000530F0000}"/>
            </a:ext>
          </a:extLst>
        </xdr:cNvPr>
        <xdr:cNvSpPr txBox="1">
          <a:spLocks noChangeArrowheads="1"/>
        </xdr:cNvSpPr>
      </xdr:nvSpPr>
      <xdr:spPr bwMode="auto">
        <a:xfrm>
          <a:off x="4972050" y="118205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35</xdr:row>
      <xdr:rowOff>504825</xdr:rowOff>
    </xdr:from>
    <xdr:ext cx="95250" cy="213632"/>
    <xdr:sp macro="" textlink="">
      <xdr:nvSpPr>
        <xdr:cNvPr id="3924" name="Text Box 15">
          <a:extLst>
            <a:ext uri="{FF2B5EF4-FFF2-40B4-BE49-F238E27FC236}">
              <a16:creationId xmlns:a16="http://schemas.microsoft.com/office/drawing/2014/main" id="{00000000-0008-0000-0500-0000540F0000}"/>
            </a:ext>
          </a:extLst>
        </xdr:cNvPr>
        <xdr:cNvSpPr txBox="1">
          <a:spLocks noChangeArrowheads="1"/>
        </xdr:cNvSpPr>
      </xdr:nvSpPr>
      <xdr:spPr bwMode="auto">
        <a:xfrm>
          <a:off x="4972050" y="1219517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35</xdr:row>
      <xdr:rowOff>504825</xdr:rowOff>
    </xdr:from>
    <xdr:ext cx="95250" cy="213632"/>
    <xdr:sp macro="" textlink="">
      <xdr:nvSpPr>
        <xdr:cNvPr id="3925" name="Text Box 15">
          <a:extLst>
            <a:ext uri="{FF2B5EF4-FFF2-40B4-BE49-F238E27FC236}">
              <a16:creationId xmlns:a16="http://schemas.microsoft.com/office/drawing/2014/main" id="{00000000-0008-0000-0500-0000550F0000}"/>
            </a:ext>
          </a:extLst>
        </xdr:cNvPr>
        <xdr:cNvSpPr txBox="1">
          <a:spLocks noChangeArrowheads="1"/>
        </xdr:cNvSpPr>
      </xdr:nvSpPr>
      <xdr:spPr bwMode="auto">
        <a:xfrm>
          <a:off x="4972050" y="1219517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35</xdr:row>
      <xdr:rowOff>504825</xdr:rowOff>
    </xdr:from>
    <xdr:ext cx="95250" cy="213632"/>
    <xdr:sp macro="" textlink="">
      <xdr:nvSpPr>
        <xdr:cNvPr id="3926" name="Text Box 15">
          <a:extLst>
            <a:ext uri="{FF2B5EF4-FFF2-40B4-BE49-F238E27FC236}">
              <a16:creationId xmlns:a16="http://schemas.microsoft.com/office/drawing/2014/main" id="{00000000-0008-0000-0500-0000560F0000}"/>
            </a:ext>
          </a:extLst>
        </xdr:cNvPr>
        <xdr:cNvSpPr txBox="1">
          <a:spLocks noChangeArrowheads="1"/>
        </xdr:cNvSpPr>
      </xdr:nvSpPr>
      <xdr:spPr bwMode="auto">
        <a:xfrm>
          <a:off x="4972050" y="1219517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35</xdr:row>
      <xdr:rowOff>504825</xdr:rowOff>
    </xdr:from>
    <xdr:ext cx="95250" cy="213632"/>
    <xdr:sp macro="" textlink="">
      <xdr:nvSpPr>
        <xdr:cNvPr id="3927" name="Text Box 15">
          <a:extLst>
            <a:ext uri="{FF2B5EF4-FFF2-40B4-BE49-F238E27FC236}">
              <a16:creationId xmlns:a16="http://schemas.microsoft.com/office/drawing/2014/main" id="{00000000-0008-0000-0500-0000570F0000}"/>
            </a:ext>
          </a:extLst>
        </xdr:cNvPr>
        <xdr:cNvSpPr txBox="1">
          <a:spLocks noChangeArrowheads="1"/>
        </xdr:cNvSpPr>
      </xdr:nvSpPr>
      <xdr:spPr bwMode="auto">
        <a:xfrm>
          <a:off x="4972050" y="1219517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35</xdr:row>
      <xdr:rowOff>504825</xdr:rowOff>
    </xdr:from>
    <xdr:ext cx="95250" cy="213632"/>
    <xdr:sp macro="" textlink="">
      <xdr:nvSpPr>
        <xdr:cNvPr id="3928" name="Text Box 15">
          <a:extLst>
            <a:ext uri="{FF2B5EF4-FFF2-40B4-BE49-F238E27FC236}">
              <a16:creationId xmlns:a16="http://schemas.microsoft.com/office/drawing/2014/main" id="{00000000-0008-0000-0500-0000580F0000}"/>
            </a:ext>
          </a:extLst>
        </xdr:cNvPr>
        <xdr:cNvSpPr txBox="1">
          <a:spLocks noChangeArrowheads="1"/>
        </xdr:cNvSpPr>
      </xdr:nvSpPr>
      <xdr:spPr bwMode="auto">
        <a:xfrm>
          <a:off x="4972050" y="1219517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35</xdr:row>
      <xdr:rowOff>504825</xdr:rowOff>
    </xdr:from>
    <xdr:ext cx="95250" cy="213632"/>
    <xdr:sp macro="" textlink="">
      <xdr:nvSpPr>
        <xdr:cNvPr id="3929" name="Text Box 15">
          <a:extLst>
            <a:ext uri="{FF2B5EF4-FFF2-40B4-BE49-F238E27FC236}">
              <a16:creationId xmlns:a16="http://schemas.microsoft.com/office/drawing/2014/main" id="{00000000-0008-0000-0500-0000590F0000}"/>
            </a:ext>
          </a:extLst>
        </xdr:cNvPr>
        <xdr:cNvSpPr txBox="1">
          <a:spLocks noChangeArrowheads="1"/>
        </xdr:cNvSpPr>
      </xdr:nvSpPr>
      <xdr:spPr bwMode="auto">
        <a:xfrm>
          <a:off x="4972050" y="1219517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35</xdr:row>
      <xdr:rowOff>504825</xdr:rowOff>
    </xdr:from>
    <xdr:ext cx="95250" cy="213632"/>
    <xdr:sp macro="" textlink="">
      <xdr:nvSpPr>
        <xdr:cNvPr id="3930" name="Text Box 15">
          <a:extLst>
            <a:ext uri="{FF2B5EF4-FFF2-40B4-BE49-F238E27FC236}">
              <a16:creationId xmlns:a16="http://schemas.microsoft.com/office/drawing/2014/main" id="{00000000-0008-0000-0500-00005A0F0000}"/>
            </a:ext>
          </a:extLst>
        </xdr:cNvPr>
        <xdr:cNvSpPr txBox="1">
          <a:spLocks noChangeArrowheads="1"/>
        </xdr:cNvSpPr>
      </xdr:nvSpPr>
      <xdr:spPr bwMode="auto">
        <a:xfrm>
          <a:off x="4972050" y="1219517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35</xdr:row>
      <xdr:rowOff>504825</xdr:rowOff>
    </xdr:from>
    <xdr:ext cx="95250" cy="448496"/>
    <xdr:sp macro="" textlink="">
      <xdr:nvSpPr>
        <xdr:cNvPr id="3931" name="Text Box 15">
          <a:extLst>
            <a:ext uri="{FF2B5EF4-FFF2-40B4-BE49-F238E27FC236}">
              <a16:creationId xmlns:a16="http://schemas.microsoft.com/office/drawing/2014/main" id="{00000000-0008-0000-0500-00005B0F0000}"/>
            </a:ext>
          </a:extLst>
        </xdr:cNvPr>
        <xdr:cNvSpPr txBox="1">
          <a:spLocks noChangeArrowheads="1"/>
        </xdr:cNvSpPr>
      </xdr:nvSpPr>
      <xdr:spPr bwMode="auto">
        <a:xfrm>
          <a:off x="4972050" y="11820525"/>
          <a:ext cx="95250" cy="448496"/>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35</xdr:row>
      <xdr:rowOff>504825</xdr:rowOff>
    </xdr:from>
    <xdr:ext cx="95250" cy="213632"/>
    <xdr:sp macro="" textlink="">
      <xdr:nvSpPr>
        <xdr:cNvPr id="3932" name="Text Box 15">
          <a:extLst>
            <a:ext uri="{FF2B5EF4-FFF2-40B4-BE49-F238E27FC236}">
              <a16:creationId xmlns:a16="http://schemas.microsoft.com/office/drawing/2014/main" id="{00000000-0008-0000-0500-00005C0F0000}"/>
            </a:ext>
          </a:extLst>
        </xdr:cNvPr>
        <xdr:cNvSpPr txBox="1">
          <a:spLocks noChangeArrowheads="1"/>
        </xdr:cNvSpPr>
      </xdr:nvSpPr>
      <xdr:spPr bwMode="auto">
        <a:xfrm>
          <a:off x="4972050" y="118205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35</xdr:row>
      <xdr:rowOff>504825</xdr:rowOff>
    </xdr:from>
    <xdr:ext cx="95250" cy="444331"/>
    <xdr:sp macro="" textlink="">
      <xdr:nvSpPr>
        <xdr:cNvPr id="3933" name="Text Box 15">
          <a:extLst>
            <a:ext uri="{FF2B5EF4-FFF2-40B4-BE49-F238E27FC236}">
              <a16:creationId xmlns:a16="http://schemas.microsoft.com/office/drawing/2014/main" id="{00000000-0008-0000-0500-00005D0F0000}"/>
            </a:ext>
          </a:extLst>
        </xdr:cNvPr>
        <xdr:cNvSpPr txBox="1">
          <a:spLocks noChangeArrowheads="1"/>
        </xdr:cNvSpPr>
      </xdr:nvSpPr>
      <xdr:spPr bwMode="auto">
        <a:xfrm>
          <a:off x="4972050" y="11820525"/>
          <a:ext cx="95250" cy="444331"/>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35</xdr:row>
      <xdr:rowOff>504825</xdr:rowOff>
    </xdr:from>
    <xdr:ext cx="95250" cy="448496"/>
    <xdr:sp macro="" textlink="">
      <xdr:nvSpPr>
        <xdr:cNvPr id="3934" name="Text Box 15">
          <a:extLst>
            <a:ext uri="{FF2B5EF4-FFF2-40B4-BE49-F238E27FC236}">
              <a16:creationId xmlns:a16="http://schemas.microsoft.com/office/drawing/2014/main" id="{00000000-0008-0000-0500-00005E0F0000}"/>
            </a:ext>
          </a:extLst>
        </xdr:cNvPr>
        <xdr:cNvSpPr txBox="1">
          <a:spLocks noChangeArrowheads="1"/>
        </xdr:cNvSpPr>
      </xdr:nvSpPr>
      <xdr:spPr bwMode="auto">
        <a:xfrm>
          <a:off x="4972050" y="11820525"/>
          <a:ext cx="95250" cy="448496"/>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35</xdr:row>
      <xdr:rowOff>504825</xdr:rowOff>
    </xdr:from>
    <xdr:ext cx="95250" cy="213632"/>
    <xdr:sp macro="" textlink="">
      <xdr:nvSpPr>
        <xdr:cNvPr id="3935" name="Text Box 15">
          <a:extLst>
            <a:ext uri="{FF2B5EF4-FFF2-40B4-BE49-F238E27FC236}">
              <a16:creationId xmlns:a16="http://schemas.microsoft.com/office/drawing/2014/main" id="{00000000-0008-0000-0500-00005F0F0000}"/>
            </a:ext>
          </a:extLst>
        </xdr:cNvPr>
        <xdr:cNvSpPr txBox="1">
          <a:spLocks noChangeArrowheads="1"/>
        </xdr:cNvSpPr>
      </xdr:nvSpPr>
      <xdr:spPr bwMode="auto">
        <a:xfrm>
          <a:off x="4972050" y="118205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35</xdr:row>
      <xdr:rowOff>504825</xdr:rowOff>
    </xdr:from>
    <xdr:ext cx="95250" cy="444331"/>
    <xdr:sp macro="" textlink="">
      <xdr:nvSpPr>
        <xdr:cNvPr id="3936" name="Text Box 15">
          <a:extLst>
            <a:ext uri="{FF2B5EF4-FFF2-40B4-BE49-F238E27FC236}">
              <a16:creationId xmlns:a16="http://schemas.microsoft.com/office/drawing/2014/main" id="{00000000-0008-0000-0500-0000600F0000}"/>
            </a:ext>
          </a:extLst>
        </xdr:cNvPr>
        <xdr:cNvSpPr txBox="1">
          <a:spLocks noChangeArrowheads="1"/>
        </xdr:cNvSpPr>
      </xdr:nvSpPr>
      <xdr:spPr bwMode="auto">
        <a:xfrm>
          <a:off x="4972050" y="11820525"/>
          <a:ext cx="95250" cy="444331"/>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35</xdr:row>
      <xdr:rowOff>504825</xdr:rowOff>
    </xdr:from>
    <xdr:ext cx="95250" cy="456743"/>
    <xdr:sp macro="" textlink="">
      <xdr:nvSpPr>
        <xdr:cNvPr id="3937" name="Text Box 15">
          <a:extLst>
            <a:ext uri="{FF2B5EF4-FFF2-40B4-BE49-F238E27FC236}">
              <a16:creationId xmlns:a16="http://schemas.microsoft.com/office/drawing/2014/main" id="{00000000-0008-0000-0500-0000610F0000}"/>
            </a:ext>
          </a:extLst>
        </xdr:cNvPr>
        <xdr:cNvSpPr txBox="1">
          <a:spLocks noChangeArrowheads="1"/>
        </xdr:cNvSpPr>
      </xdr:nvSpPr>
      <xdr:spPr bwMode="auto">
        <a:xfrm>
          <a:off x="4972050" y="11820525"/>
          <a:ext cx="95250" cy="456743"/>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35</xdr:row>
      <xdr:rowOff>504825</xdr:rowOff>
    </xdr:from>
    <xdr:ext cx="95250" cy="213632"/>
    <xdr:sp macro="" textlink="">
      <xdr:nvSpPr>
        <xdr:cNvPr id="3938" name="Text Box 15">
          <a:extLst>
            <a:ext uri="{FF2B5EF4-FFF2-40B4-BE49-F238E27FC236}">
              <a16:creationId xmlns:a16="http://schemas.microsoft.com/office/drawing/2014/main" id="{00000000-0008-0000-0500-0000620F0000}"/>
            </a:ext>
          </a:extLst>
        </xdr:cNvPr>
        <xdr:cNvSpPr txBox="1">
          <a:spLocks noChangeArrowheads="1"/>
        </xdr:cNvSpPr>
      </xdr:nvSpPr>
      <xdr:spPr bwMode="auto">
        <a:xfrm>
          <a:off x="4972050" y="118205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35</xdr:row>
      <xdr:rowOff>504825</xdr:rowOff>
    </xdr:from>
    <xdr:ext cx="95250" cy="444331"/>
    <xdr:sp macro="" textlink="">
      <xdr:nvSpPr>
        <xdr:cNvPr id="3939" name="Text Box 15">
          <a:extLst>
            <a:ext uri="{FF2B5EF4-FFF2-40B4-BE49-F238E27FC236}">
              <a16:creationId xmlns:a16="http://schemas.microsoft.com/office/drawing/2014/main" id="{00000000-0008-0000-0500-0000630F0000}"/>
            </a:ext>
          </a:extLst>
        </xdr:cNvPr>
        <xdr:cNvSpPr txBox="1">
          <a:spLocks noChangeArrowheads="1"/>
        </xdr:cNvSpPr>
      </xdr:nvSpPr>
      <xdr:spPr bwMode="auto">
        <a:xfrm>
          <a:off x="4972050" y="11820525"/>
          <a:ext cx="95250" cy="444331"/>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35</xdr:row>
      <xdr:rowOff>504825</xdr:rowOff>
    </xdr:from>
    <xdr:ext cx="95250" cy="213632"/>
    <xdr:sp macro="" textlink="">
      <xdr:nvSpPr>
        <xdr:cNvPr id="3940" name="Text Box 15">
          <a:extLst>
            <a:ext uri="{FF2B5EF4-FFF2-40B4-BE49-F238E27FC236}">
              <a16:creationId xmlns:a16="http://schemas.microsoft.com/office/drawing/2014/main" id="{00000000-0008-0000-0500-0000640F0000}"/>
            </a:ext>
          </a:extLst>
        </xdr:cNvPr>
        <xdr:cNvSpPr txBox="1">
          <a:spLocks noChangeArrowheads="1"/>
        </xdr:cNvSpPr>
      </xdr:nvSpPr>
      <xdr:spPr bwMode="auto">
        <a:xfrm>
          <a:off x="4972050" y="118205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35</xdr:row>
      <xdr:rowOff>504825</xdr:rowOff>
    </xdr:from>
    <xdr:ext cx="95250" cy="213632"/>
    <xdr:sp macro="" textlink="">
      <xdr:nvSpPr>
        <xdr:cNvPr id="3941" name="Text Box 15">
          <a:extLst>
            <a:ext uri="{FF2B5EF4-FFF2-40B4-BE49-F238E27FC236}">
              <a16:creationId xmlns:a16="http://schemas.microsoft.com/office/drawing/2014/main" id="{00000000-0008-0000-0500-0000650F0000}"/>
            </a:ext>
          </a:extLst>
        </xdr:cNvPr>
        <xdr:cNvSpPr txBox="1">
          <a:spLocks noChangeArrowheads="1"/>
        </xdr:cNvSpPr>
      </xdr:nvSpPr>
      <xdr:spPr bwMode="auto">
        <a:xfrm>
          <a:off x="4972050" y="118205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35</xdr:row>
      <xdr:rowOff>504825</xdr:rowOff>
    </xdr:from>
    <xdr:ext cx="95250" cy="213632"/>
    <xdr:sp macro="" textlink="">
      <xdr:nvSpPr>
        <xdr:cNvPr id="3942" name="Text Box 15">
          <a:extLst>
            <a:ext uri="{FF2B5EF4-FFF2-40B4-BE49-F238E27FC236}">
              <a16:creationId xmlns:a16="http://schemas.microsoft.com/office/drawing/2014/main" id="{00000000-0008-0000-0500-0000660F0000}"/>
            </a:ext>
          </a:extLst>
        </xdr:cNvPr>
        <xdr:cNvSpPr txBox="1">
          <a:spLocks noChangeArrowheads="1"/>
        </xdr:cNvSpPr>
      </xdr:nvSpPr>
      <xdr:spPr bwMode="auto">
        <a:xfrm>
          <a:off x="4972050" y="118205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35</xdr:row>
      <xdr:rowOff>504825</xdr:rowOff>
    </xdr:from>
    <xdr:ext cx="95250" cy="213632"/>
    <xdr:sp macro="" textlink="">
      <xdr:nvSpPr>
        <xdr:cNvPr id="3943" name="Text Box 15">
          <a:extLst>
            <a:ext uri="{FF2B5EF4-FFF2-40B4-BE49-F238E27FC236}">
              <a16:creationId xmlns:a16="http://schemas.microsoft.com/office/drawing/2014/main" id="{00000000-0008-0000-0500-0000670F0000}"/>
            </a:ext>
          </a:extLst>
        </xdr:cNvPr>
        <xdr:cNvSpPr txBox="1">
          <a:spLocks noChangeArrowheads="1"/>
        </xdr:cNvSpPr>
      </xdr:nvSpPr>
      <xdr:spPr bwMode="auto">
        <a:xfrm>
          <a:off x="4972050" y="118205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36</xdr:row>
      <xdr:rowOff>504825</xdr:rowOff>
    </xdr:from>
    <xdr:ext cx="95250" cy="213632"/>
    <xdr:sp macro="" textlink="">
      <xdr:nvSpPr>
        <xdr:cNvPr id="3944" name="Text Box 15">
          <a:extLst>
            <a:ext uri="{FF2B5EF4-FFF2-40B4-BE49-F238E27FC236}">
              <a16:creationId xmlns:a16="http://schemas.microsoft.com/office/drawing/2014/main" id="{00000000-0008-0000-0500-0000680F0000}"/>
            </a:ext>
          </a:extLst>
        </xdr:cNvPr>
        <xdr:cNvSpPr txBox="1">
          <a:spLocks noChangeArrowheads="1"/>
        </xdr:cNvSpPr>
      </xdr:nvSpPr>
      <xdr:spPr bwMode="auto">
        <a:xfrm>
          <a:off x="4972050" y="1219517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36</xdr:row>
      <xdr:rowOff>504825</xdr:rowOff>
    </xdr:from>
    <xdr:ext cx="95250" cy="213632"/>
    <xdr:sp macro="" textlink="">
      <xdr:nvSpPr>
        <xdr:cNvPr id="3945" name="Text Box 15">
          <a:extLst>
            <a:ext uri="{FF2B5EF4-FFF2-40B4-BE49-F238E27FC236}">
              <a16:creationId xmlns:a16="http://schemas.microsoft.com/office/drawing/2014/main" id="{00000000-0008-0000-0500-0000690F0000}"/>
            </a:ext>
          </a:extLst>
        </xdr:cNvPr>
        <xdr:cNvSpPr txBox="1">
          <a:spLocks noChangeArrowheads="1"/>
        </xdr:cNvSpPr>
      </xdr:nvSpPr>
      <xdr:spPr bwMode="auto">
        <a:xfrm>
          <a:off x="4972050" y="1219517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36</xdr:row>
      <xdr:rowOff>504825</xdr:rowOff>
    </xdr:from>
    <xdr:ext cx="95250" cy="213632"/>
    <xdr:sp macro="" textlink="">
      <xdr:nvSpPr>
        <xdr:cNvPr id="3946" name="Text Box 15">
          <a:extLst>
            <a:ext uri="{FF2B5EF4-FFF2-40B4-BE49-F238E27FC236}">
              <a16:creationId xmlns:a16="http://schemas.microsoft.com/office/drawing/2014/main" id="{00000000-0008-0000-0500-00006A0F0000}"/>
            </a:ext>
          </a:extLst>
        </xdr:cNvPr>
        <xdr:cNvSpPr txBox="1">
          <a:spLocks noChangeArrowheads="1"/>
        </xdr:cNvSpPr>
      </xdr:nvSpPr>
      <xdr:spPr bwMode="auto">
        <a:xfrm>
          <a:off x="4972050" y="1219517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36</xdr:row>
      <xdr:rowOff>504825</xdr:rowOff>
    </xdr:from>
    <xdr:ext cx="95250" cy="213632"/>
    <xdr:sp macro="" textlink="">
      <xdr:nvSpPr>
        <xdr:cNvPr id="3947" name="Text Box 15">
          <a:extLst>
            <a:ext uri="{FF2B5EF4-FFF2-40B4-BE49-F238E27FC236}">
              <a16:creationId xmlns:a16="http://schemas.microsoft.com/office/drawing/2014/main" id="{00000000-0008-0000-0500-00006B0F0000}"/>
            </a:ext>
          </a:extLst>
        </xdr:cNvPr>
        <xdr:cNvSpPr txBox="1">
          <a:spLocks noChangeArrowheads="1"/>
        </xdr:cNvSpPr>
      </xdr:nvSpPr>
      <xdr:spPr bwMode="auto">
        <a:xfrm>
          <a:off x="4972050" y="1219517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36</xdr:row>
      <xdr:rowOff>504825</xdr:rowOff>
    </xdr:from>
    <xdr:ext cx="95250" cy="213632"/>
    <xdr:sp macro="" textlink="">
      <xdr:nvSpPr>
        <xdr:cNvPr id="3948" name="Text Box 15">
          <a:extLst>
            <a:ext uri="{FF2B5EF4-FFF2-40B4-BE49-F238E27FC236}">
              <a16:creationId xmlns:a16="http://schemas.microsoft.com/office/drawing/2014/main" id="{00000000-0008-0000-0500-00006C0F0000}"/>
            </a:ext>
          </a:extLst>
        </xdr:cNvPr>
        <xdr:cNvSpPr txBox="1">
          <a:spLocks noChangeArrowheads="1"/>
        </xdr:cNvSpPr>
      </xdr:nvSpPr>
      <xdr:spPr bwMode="auto">
        <a:xfrm>
          <a:off x="4972050" y="1219517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36</xdr:row>
      <xdr:rowOff>504825</xdr:rowOff>
    </xdr:from>
    <xdr:ext cx="95250" cy="213632"/>
    <xdr:sp macro="" textlink="">
      <xdr:nvSpPr>
        <xdr:cNvPr id="3949" name="Text Box 15">
          <a:extLst>
            <a:ext uri="{FF2B5EF4-FFF2-40B4-BE49-F238E27FC236}">
              <a16:creationId xmlns:a16="http://schemas.microsoft.com/office/drawing/2014/main" id="{00000000-0008-0000-0500-00006D0F0000}"/>
            </a:ext>
          </a:extLst>
        </xdr:cNvPr>
        <xdr:cNvSpPr txBox="1">
          <a:spLocks noChangeArrowheads="1"/>
        </xdr:cNvSpPr>
      </xdr:nvSpPr>
      <xdr:spPr bwMode="auto">
        <a:xfrm>
          <a:off x="4972050" y="1219517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36</xdr:row>
      <xdr:rowOff>504825</xdr:rowOff>
    </xdr:from>
    <xdr:ext cx="95250" cy="213632"/>
    <xdr:sp macro="" textlink="">
      <xdr:nvSpPr>
        <xdr:cNvPr id="3950" name="Text Box 15">
          <a:extLst>
            <a:ext uri="{FF2B5EF4-FFF2-40B4-BE49-F238E27FC236}">
              <a16:creationId xmlns:a16="http://schemas.microsoft.com/office/drawing/2014/main" id="{00000000-0008-0000-0500-00006E0F0000}"/>
            </a:ext>
          </a:extLst>
        </xdr:cNvPr>
        <xdr:cNvSpPr txBox="1">
          <a:spLocks noChangeArrowheads="1"/>
        </xdr:cNvSpPr>
      </xdr:nvSpPr>
      <xdr:spPr bwMode="auto">
        <a:xfrm>
          <a:off x="4972050" y="1219517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32</xdr:row>
      <xdr:rowOff>504825</xdr:rowOff>
    </xdr:from>
    <xdr:ext cx="95250" cy="448496"/>
    <xdr:sp macro="" textlink="">
      <xdr:nvSpPr>
        <xdr:cNvPr id="3951" name="Text Box 15">
          <a:extLst>
            <a:ext uri="{FF2B5EF4-FFF2-40B4-BE49-F238E27FC236}">
              <a16:creationId xmlns:a16="http://schemas.microsoft.com/office/drawing/2014/main" id="{00000000-0008-0000-0500-00006F0F0000}"/>
            </a:ext>
          </a:extLst>
        </xdr:cNvPr>
        <xdr:cNvSpPr txBox="1">
          <a:spLocks noChangeArrowheads="1"/>
        </xdr:cNvSpPr>
      </xdr:nvSpPr>
      <xdr:spPr bwMode="auto">
        <a:xfrm>
          <a:off x="4972050" y="11820525"/>
          <a:ext cx="95250" cy="448496"/>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32</xdr:row>
      <xdr:rowOff>504825</xdr:rowOff>
    </xdr:from>
    <xdr:ext cx="95250" cy="213632"/>
    <xdr:sp macro="" textlink="">
      <xdr:nvSpPr>
        <xdr:cNvPr id="3952" name="Text Box 15">
          <a:extLst>
            <a:ext uri="{FF2B5EF4-FFF2-40B4-BE49-F238E27FC236}">
              <a16:creationId xmlns:a16="http://schemas.microsoft.com/office/drawing/2014/main" id="{00000000-0008-0000-0500-0000700F0000}"/>
            </a:ext>
          </a:extLst>
        </xdr:cNvPr>
        <xdr:cNvSpPr txBox="1">
          <a:spLocks noChangeArrowheads="1"/>
        </xdr:cNvSpPr>
      </xdr:nvSpPr>
      <xdr:spPr bwMode="auto">
        <a:xfrm>
          <a:off x="4972050" y="118205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32</xdr:row>
      <xdr:rowOff>504825</xdr:rowOff>
    </xdr:from>
    <xdr:ext cx="95250" cy="444331"/>
    <xdr:sp macro="" textlink="">
      <xdr:nvSpPr>
        <xdr:cNvPr id="3953" name="Text Box 15">
          <a:extLst>
            <a:ext uri="{FF2B5EF4-FFF2-40B4-BE49-F238E27FC236}">
              <a16:creationId xmlns:a16="http://schemas.microsoft.com/office/drawing/2014/main" id="{00000000-0008-0000-0500-0000710F0000}"/>
            </a:ext>
          </a:extLst>
        </xdr:cNvPr>
        <xdr:cNvSpPr txBox="1">
          <a:spLocks noChangeArrowheads="1"/>
        </xdr:cNvSpPr>
      </xdr:nvSpPr>
      <xdr:spPr bwMode="auto">
        <a:xfrm>
          <a:off x="4972050" y="11820525"/>
          <a:ext cx="95250" cy="444331"/>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32</xdr:row>
      <xdr:rowOff>504825</xdr:rowOff>
    </xdr:from>
    <xdr:ext cx="95250" cy="448496"/>
    <xdr:sp macro="" textlink="">
      <xdr:nvSpPr>
        <xdr:cNvPr id="3954" name="Text Box 15">
          <a:extLst>
            <a:ext uri="{FF2B5EF4-FFF2-40B4-BE49-F238E27FC236}">
              <a16:creationId xmlns:a16="http://schemas.microsoft.com/office/drawing/2014/main" id="{00000000-0008-0000-0500-0000720F0000}"/>
            </a:ext>
          </a:extLst>
        </xdr:cNvPr>
        <xdr:cNvSpPr txBox="1">
          <a:spLocks noChangeArrowheads="1"/>
        </xdr:cNvSpPr>
      </xdr:nvSpPr>
      <xdr:spPr bwMode="auto">
        <a:xfrm>
          <a:off x="4972050" y="11820525"/>
          <a:ext cx="95250" cy="448496"/>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32</xdr:row>
      <xdr:rowOff>504825</xdr:rowOff>
    </xdr:from>
    <xdr:ext cx="95250" cy="213632"/>
    <xdr:sp macro="" textlink="">
      <xdr:nvSpPr>
        <xdr:cNvPr id="3955" name="Text Box 15">
          <a:extLst>
            <a:ext uri="{FF2B5EF4-FFF2-40B4-BE49-F238E27FC236}">
              <a16:creationId xmlns:a16="http://schemas.microsoft.com/office/drawing/2014/main" id="{00000000-0008-0000-0500-0000730F0000}"/>
            </a:ext>
          </a:extLst>
        </xdr:cNvPr>
        <xdr:cNvSpPr txBox="1">
          <a:spLocks noChangeArrowheads="1"/>
        </xdr:cNvSpPr>
      </xdr:nvSpPr>
      <xdr:spPr bwMode="auto">
        <a:xfrm>
          <a:off x="4972050" y="118205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32</xdr:row>
      <xdr:rowOff>504825</xdr:rowOff>
    </xdr:from>
    <xdr:ext cx="95250" cy="444331"/>
    <xdr:sp macro="" textlink="">
      <xdr:nvSpPr>
        <xdr:cNvPr id="3956" name="Text Box 15">
          <a:extLst>
            <a:ext uri="{FF2B5EF4-FFF2-40B4-BE49-F238E27FC236}">
              <a16:creationId xmlns:a16="http://schemas.microsoft.com/office/drawing/2014/main" id="{00000000-0008-0000-0500-0000740F0000}"/>
            </a:ext>
          </a:extLst>
        </xdr:cNvPr>
        <xdr:cNvSpPr txBox="1">
          <a:spLocks noChangeArrowheads="1"/>
        </xdr:cNvSpPr>
      </xdr:nvSpPr>
      <xdr:spPr bwMode="auto">
        <a:xfrm>
          <a:off x="4972050" y="11820525"/>
          <a:ext cx="95250" cy="444331"/>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32</xdr:row>
      <xdr:rowOff>504825</xdr:rowOff>
    </xdr:from>
    <xdr:ext cx="95250" cy="456743"/>
    <xdr:sp macro="" textlink="">
      <xdr:nvSpPr>
        <xdr:cNvPr id="3957" name="Text Box 15">
          <a:extLst>
            <a:ext uri="{FF2B5EF4-FFF2-40B4-BE49-F238E27FC236}">
              <a16:creationId xmlns:a16="http://schemas.microsoft.com/office/drawing/2014/main" id="{00000000-0008-0000-0500-0000750F0000}"/>
            </a:ext>
          </a:extLst>
        </xdr:cNvPr>
        <xdr:cNvSpPr txBox="1">
          <a:spLocks noChangeArrowheads="1"/>
        </xdr:cNvSpPr>
      </xdr:nvSpPr>
      <xdr:spPr bwMode="auto">
        <a:xfrm>
          <a:off x="4972050" y="11820525"/>
          <a:ext cx="95250" cy="456743"/>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32</xdr:row>
      <xdr:rowOff>504825</xdr:rowOff>
    </xdr:from>
    <xdr:ext cx="95250" cy="213632"/>
    <xdr:sp macro="" textlink="">
      <xdr:nvSpPr>
        <xdr:cNvPr id="3958" name="Text Box 15">
          <a:extLst>
            <a:ext uri="{FF2B5EF4-FFF2-40B4-BE49-F238E27FC236}">
              <a16:creationId xmlns:a16="http://schemas.microsoft.com/office/drawing/2014/main" id="{00000000-0008-0000-0500-0000760F0000}"/>
            </a:ext>
          </a:extLst>
        </xdr:cNvPr>
        <xdr:cNvSpPr txBox="1">
          <a:spLocks noChangeArrowheads="1"/>
        </xdr:cNvSpPr>
      </xdr:nvSpPr>
      <xdr:spPr bwMode="auto">
        <a:xfrm>
          <a:off x="4972050" y="118205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32</xdr:row>
      <xdr:rowOff>504825</xdr:rowOff>
    </xdr:from>
    <xdr:ext cx="95250" cy="444331"/>
    <xdr:sp macro="" textlink="">
      <xdr:nvSpPr>
        <xdr:cNvPr id="3959" name="Text Box 15">
          <a:extLst>
            <a:ext uri="{FF2B5EF4-FFF2-40B4-BE49-F238E27FC236}">
              <a16:creationId xmlns:a16="http://schemas.microsoft.com/office/drawing/2014/main" id="{00000000-0008-0000-0500-0000770F0000}"/>
            </a:ext>
          </a:extLst>
        </xdr:cNvPr>
        <xdr:cNvSpPr txBox="1">
          <a:spLocks noChangeArrowheads="1"/>
        </xdr:cNvSpPr>
      </xdr:nvSpPr>
      <xdr:spPr bwMode="auto">
        <a:xfrm>
          <a:off x="4972050" y="11820525"/>
          <a:ext cx="95250" cy="444331"/>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32</xdr:row>
      <xdr:rowOff>504825</xdr:rowOff>
    </xdr:from>
    <xdr:ext cx="95250" cy="213632"/>
    <xdr:sp macro="" textlink="">
      <xdr:nvSpPr>
        <xdr:cNvPr id="3960" name="Text Box 15">
          <a:extLst>
            <a:ext uri="{FF2B5EF4-FFF2-40B4-BE49-F238E27FC236}">
              <a16:creationId xmlns:a16="http://schemas.microsoft.com/office/drawing/2014/main" id="{00000000-0008-0000-0500-0000780F0000}"/>
            </a:ext>
          </a:extLst>
        </xdr:cNvPr>
        <xdr:cNvSpPr txBox="1">
          <a:spLocks noChangeArrowheads="1"/>
        </xdr:cNvSpPr>
      </xdr:nvSpPr>
      <xdr:spPr bwMode="auto">
        <a:xfrm>
          <a:off x="4972050" y="118205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32</xdr:row>
      <xdr:rowOff>504825</xdr:rowOff>
    </xdr:from>
    <xdr:ext cx="95250" cy="213632"/>
    <xdr:sp macro="" textlink="">
      <xdr:nvSpPr>
        <xdr:cNvPr id="3961" name="Text Box 15">
          <a:extLst>
            <a:ext uri="{FF2B5EF4-FFF2-40B4-BE49-F238E27FC236}">
              <a16:creationId xmlns:a16="http://schemas.microsoft.com/office/drawing/2014/main" id="{00000000-0008-0000-0500-0000790F0000}"/>
            </a:ext>
          </a:extLst>
        </xdr:cNvPr>
        <xdr:cNvSpPr txBox="1">
          <a:spLocks noChangeArrowheads="1"/>
        </xdr:cNvSpPr>
      </xdr:nvSpPr>
      <xdr:spPr bwMode="auto">
        <a:xfrm>
          <a:off x="4972050" y="118205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32</xdr:row>
      <xdr:rowOff>504825</xdr:rowOff>
    </xdr:from>
    <xdr:ext cx="95250" cy="213632"/>
    <xdr:sp macro="" textlink="">
      <xdr:nvSpPr>
        <xdr:cNvPr id="3962" name="Text Box 15">
          <a:extLst>
            <a:ext uri="{FF2B5EF4-FFF2-40B4-BE49-F238E27FC236}">
              <a16:creationId xmlns:a16="http://schemas.microsoft.com/office/drawing/2014/main" id="{00000000-0008-0000-0500-00007A0F0000}"/>
            </a:ext>
          </a:extLst>
        </xdr:cNvPr>
        <xdr:cNvSpPr txBox="1">
          <a:spLocks noChangeArrowheads="1"/>
        </xdr:cNvSpPr>
      </xdr:nvSpPr>
      <xdr:spPr bwMode="auto">
        <a:xfrm>
          <a:off x="4972050" y="118205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32</xdr:row>
      <xdr:rowOff>504825</xdr:rowOff>
    </xdr:from>
    <xdr:ext cx="95250" cy="213632"/>
    <xdr:sp macro="" textlink="">
      <xdr:nvSpPr>
        <xdr:cNvPr id="3963" name="Text Box 15">
          <a:extLst>
            <a:ext uri="{FF2B5EF4-FFF2-40B4-BE49-F238E27FC236}">
              <a16:creationId xmlns:a16="http://schemas.microsoft.com/office/drawing/2014/main" id="{00000000-0008-0000-0500-00007B0F0000}"/>
            </a:ext>
          </a:extLst>
        </xdr:cNvPr>
        <xdr:cNvSpPr txBox="1">
          <a:spLocks noChangeArrowheads="1"/>
        </xdr:cNvSpPr>
      </xdr:nvSpPr>
      <xdr:spPr bwMode="auto">
        <a:xfrm>
          <a:off x="4972050" y="118205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33</xdr:row>
      <xdr:rowOff>504825</xdr:rowOff>
    </xdr:from>
    <xdr:ext cx="95250" cy="448496"/>
    <xdr:sp macro="" textlink="">
      <xdr:nvSpPr>
        <xdr:cNvPr id="3964" name="Text Box 15">
          <a:extLst>
            <a:ext uri="{FF2B5EF4-FFF2-40B4-BE49-F238E27FC236}">
              <a16:creationId xmlns:a16="http://schemas.microsoft.com/office/drawing/2014/main" id="{00000000-0008-0000-0500-00007C0F0000}"/>
            </a:ext>
          </a:extLst>
        </xdr:cNvPr>
        <xdr:cNvSpPr txBox="1">
          <a:spLocks noChangeArrowheads="1"/>
        </xdr:cNvSpPr>
      </xdr:nvSpPr>
      <xdr:spPr bwMode="auto">
        <a:xfrm>
          <a:off x="4972050" y="12195175"/>
          <a:ext cx="95250" cy="448496"/>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33</xdr:row>
      <xdr:rowOff>504825</xdr:rowOff>
    </xdr:from>
    <xdr:ext cx="95250" cy="213632"/>
    <xdr:sp macro="" textlink="">
      <xdr:nvSpPr>
        <xdr:cNvPr id="3965" name="Text Box 15">
          <a:extLst>
            <a:ext uri="{FF2B5EF4-FFF2-40B4-BE49-F238E27FC236}">
              <a16:creationId xmlns:a16="http://schemas.microsoft.com/office/drawing/2014/main" id="{00000000-0008-0000-0500-00007D0F0000}"/>
            </a:ext>
          </a:extLst>
        </xdr:cNvPr>
        <xdr:cNvSpPr txBox="1">
          <a:spLocks noChangeArrowheads="1"/>
        </xdr:cNvSpPr>
      </xdr:nvSpPr>
      <xdr:spPr bwMode="auto">
        <a:xfrm>
          <a:off x="4972050" y="1219517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33</xdr:row>
      <xdr:rowOff>504825</xdr:rowOff>
    </xdr:from>
    <xdr:ext cx="95250" cy="444331"/>
    <xdr:sp macro="" textlink="">
      <xdr:nvSpPr>
        <xdr:cNvPr id="3966" name="Text Box 15">
          <a:extLst>
            <a:ext uri="{FF2B5EF4-FFF2-40B4-BE49-F238E27FC236}">
              <a16:creationId xmlns:a16="http://schemas.microsoft.com/office/drawing/2014/main" id="{00000000-0008-0000-0500-00007E0F0000}"/>
            </a:ext>
          </a:extLst>
        </xdr:cNvPr>
        <xdr:cNvSpPr txBox="1">
          <a:spLocks noChangeArrowheads="1"/>
        </xdr:cNvSpPr>
      </xdr:nvSpPr>
      <xdr:spPr bwMode="auto">
        <a:xfrm>
          <a:off x="4972050" y="12195175"/>
          <a:ext cx="95250" cy="444331"/>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33</xdr:row>
      <xdr:rowOff>504825</xdr:rowOff>
    </xdr:from>
    <xdr:ext cx="95250" cy="448496"/>
    <xdr:sp macro="" textlink="">
      <xdr:nvSpPr>
        <xdr:cNvPr id="3967" name="Text Box 15">
          <a:extLst>
            <a:ext uri="{FF2B5EF4-FFF2-40B4-BE49-F238E27FC236}">
              <a16:creationId xmlns:a16="http://schemas.microsoft.com/office/drawing/2014/main" id="{00000000-0008-0000-0500-00007F0F0000}"/>
            </a:ext>
          </a:extLst>
        </xdr:cNvPr>
        <xdr:cNvSpPr txBox="1">
          <a:spLocks noChangeArrowheads="1"/>
        </xdr:cNvSpPr>
      </xdr:nvSpPr>
      <xdr:spPr bwMode="auto">
        <a:xfrm>
          <a:off x="4972050" y="12195175"/>
          <a:ext cx="95250" cy="448496"/>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33</xdr:row>
      <xdr:rowOff>504825</xdr:rowOff>
    </xdr:from>
    <xdr:ext cx="95250" cy="213632"/>
    <xdr:sp macro="" textlink="">
      <xdr:nvSpPr>
        <xdr:cNvPr id="3968" name="Text Box 15">
          <a:extLst>
            <a:ext uri="{FF2B5EF4-FFF2-40B4-BE49-F238E27FC236}">
              <a16:creationId xmlns:a16="http://schemas.microsoft.com/office/drawing/2014/main" id="{00000000-0008-0000-0500-0000800F0000}"/>
            </a:ext>
          </a:extLst>
        </xdr:cNvPr>
        <xdr:cNvSpPr txBox="1">
          <a:spLocks noChangeArrowheads="1"/>
        </xdr:cNvSpPr>
      </xdr:nvSpPr>
      <xdr:spPr bwMode="auto">
        <a:xfrm>
          <a:off x="4972050" y="1219517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33</xdr:row>
      <xdr:rowOff>504825</xdr:rowOff>
    </xdr:from>
    <xdr:ext cx="95250" cy="444331"/>
    <xdr:sp macro="" textlink="">
      <xdr:nvSpPr>
        <xdr:cNvPr id="3969" name="Text Box 15">
          <a:extLst>
            <a:ext uri="{FF2B5EF4-FFF2-40B4-BE49-F238E27FC236}">
              <a16:creationId xmlns:a16="http://schemas.microsoft.com/office/drawing/2014/main" id="{00000000-0008-0000-0500-0000810F0000}"/>
            </a:ext>
          </a:extLst>
        </xdr:cNvPr>
        <xdr:cNvSpPr txBox="1">
          <a:spLocks noChangeArrowheads="1"/>
        </xdr:cNvSpPr>
      </xdr:nvSpPr>
      <xdr:spPr bwMode="auto">
        <a:xfrm>
          <a:off x="4972050" y="12195175"/>
          <a:ext cx="95250" cy="444331"/>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33</xdr:row>
      <xdr:rowOff>504825</xdr:rowOff>
    </xdr:from>
    <xdr:ext cx="95250" cy="456743"/>
    <xdr:sp macro="" textlink="">
      <xdr:nvSpPr>
        <xdr:cNvPr id="3970" name="Text Box 15">
          <a:extLst>
            <a:ext uri="{FF2B5EF4-FFF2-40B4-BE49-F238E27FC236}">
              <a16:creationId xmlns:a16="http://schemas.microsoft.com/office/drawing/2014/main" id="{00000000-0008-0000-0500-0000820F0000}"/>
            </a:ext>
          </a:extLst>
        </xdr:cNvPr>
        <xdr:cNvSpPr txBox="1">
          <a:spLocks noChangeArrowheads="1"/>
        </xdr:cNvSpPr>
      </xdr:nvSpPr>
      <xdr:spPr bwMode="auto">
        <a:xfrm>
          <a:off x="4972050" y="12195175"/>
          <a:ext cx="95250" cy="456743"/>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33</xdr:row>
      <xdr:rowOff>504825</xdr:rowOff>
    </xdr:from>
    <xdr:ext cx="95250" cy="213632"/>
    <xdr:sp macro="" textlink="">
      <xdr:nvSpPr>
        <xdr:cNvPr id="3971" name="Text Box 15">
          <a:extLst>
            <a:ext uri="{FF2B5EF4-FFF2-40B4-BE49-F238E27FC236}">
              <a16:creationId xmlns:a16="http://schemas.microsoft.com/office/drawing/2014/main" id="{00000000-0008-0000-0500-0000830F0000}"/>
            </a:ext>
          </a:extLst>
        </xdr:cNvPr>
        <xdr:cNvSpPr txBox="1">
          <a:spLocks noChangeArrowheads="1"/>
        </xdr:cNvSpPr>
      </xdr:nvSpPr>
      <xdr:spPr bwMode="auto">
        <a:xfrm>
          <a:off x="4972050" y="1219517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33</xdr:row>
      <xdr:rowOff>504825</xdr:rowOff>
    </xdr:from>
    <xdr:ext cx="95250" cy="444331"/>
    <xdr:sp macro="" textlink="">
      <xdr:nvSpPr>
        <xdr:cNvPr id="3972" name="Text Box 15">
          <a:extLst>
            <a:ext uri="{FF2B5EF4-FFF2-40B4-BE49-F238E27FC236}">
              <a16:creationId xmlns:a16="http://schemas.microsoft.com/office/drawing/2014/main" id="{00000000-0008-0000-0500-0000840F0000}"/>
            </a:ext>
          </a:extLst>
        </xdr:cNvPr>
        <xdr:cNvSpPr txBox="1">
          <a:spLocks noChangeArrowheads="1"/>
        </xdr:cNvSpPr>
      </xdr:nvSpPr>
      <xdr:spPr bwMode="auto">
        <a:xfrm>
          <a:off x="4972050" y="12195175"/>
          <a:ext cx="95250" cy="444331"/>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33</xdr:row>
      <xdr:rowOff>504825</xdr:rowOff>
    </xdr:from>
    <xdr:ext cx="95250" cy="213632"/>
    <xdr:sp macro="" textlink="">
      <xdr:nvSpPr>
        <xdr:cNvPr id="3973" name="Text Box 15">
          <a:extLst>
            <a:ext uri="{FF2B5EF4-FFF2-40B4-BE49-F238E27FC236}">
              <a16:creationId xmlns:a16="http://schemas.microsoft.com/office/drawing/2014/main" id="{00000000-0008-0000-0500-0000850F0000}"/>
            </a:ext>
          </a:extLst>
        </xdr:cNvPr>
        <xdr:cNvSpPr txBox="1">
          <a:spLocks noChangeArrowheads="1"/>
        </xdr:cNvSpPr>
      </xdr:nvSpPr>
      <xdr:spPr bwMode="auto">
        <a:xfrm>
          <a:off x="4972050" y="1219517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33</xdr:row>
      <xdr:rowOff>504825</xdr:rowOff>
    </xdr:from>
    <xdr:ext cx="95250" cy="213632"/>
    <xdr:sp macro="" textlink="">
      <xdr:nvSpPr>
        <xdr:cNvPr id="3974" name="Text Box 15">
          <a:extLst>
            <a:ext uri="{FF2B5EF4-FFF2-40B4-BE49-F238E27FC236}">
              <a16:creationId xmlns:a16="http://schemas.microsoft.com/office/drawing/2014/main" id="{00000000-0008-0000-0500-0000860F0000}"/>
            </a:ext>
          </a:extLst>
        </xdr:cNvPr>
        <xdr:cNvSpPr txBox="1">
          <a:spLocks noChangeArrowheads="1"/>
        </xdr:cNvSpPr>
      </xdr:nvSpPr>
      <xdr:spPr bwMode="auto">
        <a:xfrm>
          <a:off x="4972050" y="1219517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33</xdr:row>
      <xdr:rowOff>504825</xdr:rowOff>
    </xdr:from>
    <xdr:ext cx="95250" cy="213632"/>
    <xdr:sp macro="" textlink="">
      <xdr:nvSpPr>
        <xdr:cNvPr id="3975" name="Text Box 15">
          <a:extLst>
            <a:ext uri="{FF2B5EF4-FFF2-40B4-BE49-F238E27FC236}">
              <a16:creationId xmlns:a16="http://schemas.microsoft.com/office/drawing/2014/main" id="{00000000-0008-0000-0500-0000870F0000}"/>
            </a:ext>
          </a:extLst>
        </xdr:cNvPr>
        <xdr:cNvSpPr txBox="1">
          <a:spLocks noChangeArrowheads="1"/>
        </xdr:cNvSpPr>
      </xdr:nvSpPr>
      <xdr:spPr bwMode="auto">
        <a:xfrm>
          <a:off x="4972050" y="1219517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33</xdr:row>
      <xdr:rowOff>504825</xdr:rowOff>
    </xdr:from>
    <xdr:ext cx="95250" cy="213632"/>
    <xdr:sp macro="" textlink="">
      <xdr:nvSpPr>
        <xdr:cNvPr id="3976" name="Text Box 15">
          <a:extLst>
            <a:ext uri="{FF2B5EF4-FFF2-40B4-BE49-F238E27FC236}">
              <a16:creationId xmlns:a16="http://schemas.microsoft.com/office/drawing/2014/main" id="{00000000-0008-0000-0500-0000880F0000}"/>
            </a:ext>
          </a:extLst>
        </xdr:cNvPr>
        <xdr:cNvSpPr txBox="1">
          <a:spLocks noChangeArrowheads="1"/>
        </xdr:cNvSpPr>
      </xdr:nvSpPr>
      <xdr:spPr bwMode="auto">
        <a:xfrm>
          <a:off x="4972050" y="1219517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34</xdr:row>
      <xdr:rowOff>504825</xdr:rowOff>
    </xdr:from>
    <xdr:ext cx="95250" cy="213632"/>
    <xdr:sp macro="" textlink="">
      <xdr:nvSpPr>
        <xdr:cNvPr id="3977" name="Text Box 15">
          <a:extLst>
            <a:ext uri="{FF2B5EF4-FFF2-40B4-BE49-F238E27FC236}">
              <a16:creationId xmlns:a16="http://schemas.microsoft.com/office/drawing/2014/main" id="{00000000-0008-0000-0500-0000890F0000}"/>
            </a:ext>
          </a:extLst>
        </xdr:cNvPr>
        <xdr:cNvSpPr txBox="1">
          <a:spLocks noChangeArrowheads="1"/>
        </xdr:cNvSpPr>
      </xdr:nvSpPr>
      <xdr:spPr bwMode="auto">
        <a:xfrm>
          <a:off x="4972050" y="125698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34</xdr:row>
      <xdr:rowOff>504825</xdr:rowOff>
    </xdr:from>
    <xdr:ext cx="95250" cy="213632"/>
    <xdr:sp macro="" textlink="">
      <xdr:nvSpPr>
        <xdr:cNvPr id="3978" name="Text Box 15">
          <a:extLst>
            <a:ext uri="{FF2B5EF4-FFF2-40B4-BE49-F238E27FC236}">
              <a16:creationId xmlns:a16="http://schemas.microsoft.com/office/drawing/2014/main" id="{00000000-0008-0000-0500-00008A0F0000}"/>
            </a:ext>
          </a:extLst>
        </xdr:cNvPr>
        <xdr:cNvSpPr txBox="1">
          <a:spLocks noChangeArrowheads="1"/>
        </xdr:cNvSpPr>
      </xdr:nvSpPr>
      <xdr:spPr bwMode="auto">
        <a:xfrm>
          <a:off x="4972050" y="125698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34</xdr:row>
      <xdr:rowOff>504825</xdr:rowOff>
    </xdr:from>
    <xdr:ext cx="95250" cy="213632"/>
    <xdr:sp macro="" textlink="">
      <xdr:nvSpPr>
        <xdr:cNvPr id="3979" name="Text Box 15">
          <a:extLst>
            <a:ext uri="{FF2B5EF4-FFF2-40B4-BE49-F238E27FC236}">
              <a16:creationId xmlns:a16="http://schemas.microsoft.com/office/drawing/2014/main" id="{00000000-0008-0000-0500-00008B0F0000}"/>
            </a:ext>
          </a:extLst>
        </xdr:cNvPr>
        <xdr:cNvSpPr txBox="1">
          <a:spLocks noChangeArrowheads="1"/>
        </xdr:cNvSpPr>
      </xdr:nvSpPr>
      <xdr:spPr bwMode="auto">
        <a:xfrm>
          <a:off x="4972050" y="125698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34</xdr:row>
      <xdr:rowOff>504825</xdr:rowOff>
    </xdr:from>
    <xdr:ext cx="95250" cy="213632"/>
    <xdr:sp macro="" textlink="">
      <xdr:nvSpPr>
        <xdr:cNvPr id="3980" name="Text Box 15">
          <a:extLst>
            <a:ext uri="{FF2B5EF4-FFF2-40B4-BE49-F238E27FC236}">
              <a16:creationId xmlns:a16="http://schemas.microsoft.com/office/drawing/2014/main" id="{00000000-0008-0000-0500-00008C0F0000}"/>
            </a:ext>
          </a:extLst>
        </xdr:cNvPr>
        <xdr:cNvSpPr txBox="1">
          <a:spLocks noChangeArrowheads="1"/>
        </xdr:cNvSpPr>
      </xdr:nvSpPr>
      <xdr:spPr bwMode="auto">
        <a:xfrm>
          <a:off x="4972050" y="125698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34</xdr:row>
      <xdr:rowOff>504825</xdr:rowOff>
    </xdr:from>
    <xdr:ext cx="95250" cy="213632"/>
    <xdr:sp macro="" textlink="">
      <xdr:nvSpPr>
        <xdr:cNvPr id="3981" name="Text Box 15">
          <a:extLst>
            <a:ext uri="{FF2B5EF4-FFF2-40B4-BE49-F238E27FC236}">
              <a16:creationId xmlns:a16="http://schemas.microsoft.com/office/drawing/2014/main" id="{00000000-0008-0000-0500-00008D0F0000}"/>
            </a:ext>
          </a:extLst>
        </xdr:cNvPr>
        <xdr:cNvSpPr txBox="1">
          <a:spLocks noChangeArrowheads="1"/>
        </xdr:cNvSpPr>
      </xdr:nvSpPr>
      <xdr:spPr bwMode="auto">
        <a:xfrm>
          <a:off x="4972050" y="125698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34</xdr:row>
      <xdr:rowOff>504825</xdr:rowOff>
    </xdr:from>
    <xdr:ext cx="95250" cy="213632"/>
    <xdr:sp macro="" textlink="">
      <xdr:nvSpPr>
        <xdr:cNvPr id="3982" name="Text Box 15">
          <a:extLst>
            <a:ext uri="{FF2B5EF4-FFF2-40B4-BE49-F238E27FC236}">
              <a16:creationId xmlns:a16="http://schemas.microsoft.com/office/drawing/2014/main" id="{00000000-0008-0000-0500-00008E0F0000}"/>
            </a:ext>
          </a:extLst>
        </xdr:cNvPr>
        <xdr:cNvSpPr txBox="1">
          <a:spLocks noChangeArrowheads="1"/>
        </xdr:cNvSpPr>
      </xdr:nvSpPr>
      <xdr:spPr bwMode="auto">
        <a:xfrm>
          <a:off x="4972050" y="125698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34</xdr:row>
      <xdr:rowOff>504825</xdr:rowOff>
    </xdr:from>
    <xdr:ext cx="95250" cy="213632"/>
    <xdr:sp macro="" textlink="">
      <xdr:nvSpPr>
        <xdr:cNvPr id="3983" name="Text Box 15">
          <a:extLst>
            <a:ext uri="{FF2B5EF4-FFF2-40B4-BE49-F238E27FC236}">
              <a16:creationId xmlns:a16="http://schemas.microsoft.com/office/drawing/2014/main" id="{00000000-0008-0000-0500-00008F0F0000}"/>
            </a:ext>
          </a:extLst>
        </xdr:cNvPr>
        <xdr:cNvSpPr txBox="1">
          <a:spLocks noChangeArrowheads="1"/>
        </xdr:cNvSpPr>
      </xdr:nvSpPr>
      <xdr:spPr bwMode="auto">
        <a:xfrm>
          <a:off x="4972050" y="125698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34</xdr:row>
      <xdr:rowOff>504825</xdr:rowOff>
    </xdr:from>
    <xdr:ext cx="95250" cy="448496"/>
    <xdr:sp macro="" textlink="">
      <xdr:nvSpPr>
        <xdr:cNvPr id="3984" name="Text Box 15">
          <a:extLst>
            <a:ext uri="{FF2B5EF4-FFF2-40B4-BE49-F238E27FC236}">
              <a16:creationId xmlns:a16="http://schemas.microsoft.com/office/drawing/2014/main" id="{00000000-0008-0000-0500-0000900F0000}"/>
            </a:ext>
          </a:extLst>
        </xdr:cNvPr>
        <xdr:cNvSpPr txBox="1">
          <a:spLocks noChangeArrowheads="1"/>
        </xdr:cNvSpPr>
      </xdr:nvSpPr>
      <xdr:spPr bwMode="auto">
        <a:xfrm>
          <a:off x="4972050" y="11820525"/>
          <a:ext cx="95250" cy="448496"/>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34</xdr:row>
      <xdr:rowOff>504825</xdr:rowOff>
    </xdr:from>
    <xdr:ext cx="95250" cy="213632"/>
    <xdr:sp macro="" textlink="">
      <xdr:nvSpPr>
        <xdr:cNvPr id="3985" name="Text Box 15">
          <a:extLst>
            <a:ext uri="{FF2B5EF4-FFF2-40B4-BE49-F238E27FC236}">
              <a16:creationId xmlns:a16="http://schemas.microsoft.com/office/drawing/2014/main" id="{00000000-0008-0000-0500-0000910F0000}"/>
            </a:ext>
          </a:extLst>
        </xdr:cNvPr>
        <xdr:cNvSpPr txBox="1">
          <a:spLocks noChangeArrowheads="1"/>
        </xdr:cNvSpPr>
      </xdr:nvSpPr>
      <xdr:spPr bwMode="auto">
        <a:xfrm>
          <a:off x="4972050" y="118205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34</xdr:row>
      <xdr:rowOff>504825</xdr:rowOff>
    </xdr:from>
    <xdr:ext cx="95250" cy="444331"/>
    <xdr:sp macro="" textlink="">
      <xdr:nvSpPr>
        <xdr:cNvPr id="3986" name="Text Box 15">
          <a:extLst>
            <a:ext uri="{FF2B5EF4-FFF2-40B4-BE49-F238E27FC236}">
              <a16:creationId xmlns:a16="http://schemas.microsoft.com/office/drawing/2014/main" id="{00000000-0008-0000-0500-0000920F0000}"/>
            </a:ext>
          </a:extLst>
        </xdr:cNvPr>
        <xdr:cNvSpPr txBox="1">
          <a:spLocks noChangeArrowheads="1"/>
        </xdr:cNvSpPr>
      </xdr:nvSpPr>
      <xdr:spPr bwMode="auto">
        <a:xfrm>
          <a:off x="4972050" y="11820525"/>
          <a:ext cx="95250" cy="444331"/>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34</xdr:row>
      <xdr:rowOff>504825</xdr:rowOff>
    </xdr:from>
    <xdr:ext cx="95250" cy="448496"/>
    <xdr:sp macro="" textlink="">
      <xdr:nvSpPr>
        <xdr:cNvPr id="3987" name="Text Box 15">
          <a:extLst>
            <a:ext uri="{FF2B5EF4-FFF2-40B4-BE49-F238E27FC236}">
              <a16:creationId xmlns:a16="http://schemas.microsoft.com/office/drawing/2014/main" id="{00000000-0008-0000-0500-0000930F0000}"/>
            </a:ext>
          </a:extLst>
        </xdr:cNvPr>
        <xdr:cNvSpPr txBox="1">
          <a:spLocks noChangeArrowheads="1"/>
        </xdr:cNvSpPr>
      </xdr:nvSpPr>
      <xdr:spPr bwMode="auto">
        <a:xfrm>
          <a:off x="4972050" y="11820525"/>
          <a:ext cx="95250" cy="448496"/>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34</xdr:row>
      <xdr:rowOff>504825</xdr:rowOff>
    </xdr:from>
    <xdr:ext cx="95250" cy="213632"/>
    <xdr:sp macro="" textlink="">
      <xdr:nvSpPr>
        <xdr:cNvPr id="3988" name="Text Box 15">
          <a:extLst>
            <a:ext uri="{FF2B5EF4-FFF2-40B4-BE49-F238E27FC236}">
              <a16:creationId xmlns:a16="http://schemas.microsoft.com/office/drawing/2014/main" id="{00000000-0008-0000-0500-0000940F0000}"/>
            </a:ext>
          </a:extLst>
        </xdr:cNvPr>
        <xdr:cNvSpPr txBox="1">
          <a:spLocks noChangeArrowheads="1"/>
        </xdr:cNvSpPr>
      </xdr:nvSpPr>
      <xdr:spPr bwMode="auto">
        <a:xfrm>
          <a:off x="4972050" y="118205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34</xdr:row>
      <xdr:rowOff>504825</xdr:rowOff>
    </xdr:from>
    <xdr:ext cx="95250" cy="444331"/>
    <xdr:sp macro="" textlink="">
      <xdr:nvSpPr>
        <xdr:cNvPr id="3989" name="Text Box 15">
          <a:extLst>
            <a:ext uri="{FF2B5EF4-FFF2-40B4-BE49-F238E27FC236}">
              <a16:creationId xmlns:a16="http://schemas.microsoft.com/office/drawing/2014/main" id="{00000000-0008-0000-0500-0000950F0000}"/>
            </a:ext>
          </a:extLst>
        </xdr:cNvPr>
        <xdr:cNvSpPr txBox="1">
          <a:spLocks noChangeArrowheads="1"/>
        </xdr:cNvSpPr>
      </xdr:nvSpPr>
      <xdr:spPr bwMode="auto">
        <a:xfrm>
          <a:off x="4972050" y="11820525"/>
          <a:ext cx="95250" cy="444331"/>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34</xdr:row>
      <xdr:rowOff>504825</xdr:rowOff>
    </xdr:from>
    <xdr:ext cx="95250" cy="456743"/>
    <xdr:sp macro="" textlink="">
      <xdr:nvSpPr>
        <xdr:cNvPr id="3990" name="Text Box 15">
          <a:extLst>
            <a:ext uri="{FF2B5EF4-FFF2-40B4-BE49-F238E27FC236}">
              <a16:creationId xmlns:a16="http://schemas.microsoft.com/office/drawing/2014/main" id="{00000000-0008-0000-0500-0000960F0000}"/>
            </a:ext>
          </a:extLst>
        </xdr:cNvPr>
        <xdr:cNvSpPr txBox="1">
          <a:spLocks noChangeArrowheads="1"/>
        </xdr:cNvSpPr>
      </xdr:nvSpPr>
      <xdr:spPr bwMode="auto">
        <a:xfrm>
          <a:off x="4972050" y="11820525"/>
          <a:ext cx="95250" cy="456743"/>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34</xdr:row>
      <xdr:rowOff>504825</xdr:rowOff>
    </xdr:from>
    <xdr:ext cx="95250" cy="213632"/>
    <xdr:sp macro="" textlink="">
      <xdr:nvSpPr>
        <xdr:cNvPr id="3991" name="Text Box 15">
          <a:extLst>
            <a:ext uri="{FF2B5EF4-FFF2-40B4-BE49-F238E27FC236}">
              <a16:creationId xmlns:a16="http://schemas.microsoft.com/office/drawing/2014/main" id="{00000000-0008-0000-0500-0000970F0000}"/>
            </a:ext>
          </a:extLst>
        </xdr:cNvPr>
        <xdr:cNvSpPr txBox="1">
          <a:spLocks noChangeArrowheads="1"/>
        </xdr:cNvSpPr>
      </xdr:nvSpPr>
      <xdr:spPr bwMode="auto">
        <a:xfrm>
          <a:off x="4972050" y="118205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34</xdr:row>
      <xdr:rowOff>504825</xdr:rowOff>
    </xdr:from>
    <xdr:ext cx="95250" cy="444331"/>
    <xdr:sp macro="" textlink="">
      <xdr:nvSpPr>
        <xdr:cNvPr id="3992" name="Text Box 15">
          <a:extLst>
            <a:ext uri="{FF2B5EF4-FFF2-40B4-BE49-F238E27FC236}">
              <a16:creationId xmlns:a16="http://schemas.microsoft.com/office/drawing/2014/main" id="{00000000-0008-0000-0500-0000980F0000}"/>
            </a:ext>
          </a:extLst>
        </xdr:cNvPr>
        <xdr:cNvSpPr txBox="1">
          <a:spLocks noChangeArrowheads="1"/>
        </xdr:cNvSpPr>
      </xdr:nvSpPr>
      <xdr:spPr bwMode="auto">
        <a:xfrm>
          <a:off x="4972050" y="11820525"/>
          <a:ext cx="95250" cy="444331"/>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34</xdr:row>
      <xdr:rowOff>504825</xdr:rowOff>
    </xdr:from>
    <xdr:ext cx="95250" cy="213632"/>
    <xdr:sp macro="" textlink="">
      <xdr:nvSpPr>
        <xdr:cNvPr id="3993" name="Text Box 15">
          <a:extLst>
            <a:ext uri="{FF2B5EF4-FFF2-40B4-BE49-F238E27FC236}">
              <a16:creationId xmlns:a16="http://schemas.microsoft.com/office/drawing/2014/main" id="{00000000-0008-0000-0500-0000990F0000}"/>
            </a:ext>
          </a:extLst>
        </xdr:cNvPr>
        <xdr:cNvSpPr txBox="1">
          <a:spLocks noChangeArrowheads="1"/>
        </xdr:cNvSpPr>
      </xdr:nvSpPr>
      <xdr:spPr bwMode="auto">
        <a:xfrm>
          <a:off x="4972050" y="118205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34</xdr:row>
      <xdr:rowOff>504825</xdr:rowOff>
    </xdr:from>
    <xdr:ext cx="95250" cy="213632"/>
    <xdr:sp macro="" textlink="">
      <xdr:nvSpPr>
        <xdr:cNvPr id="3994" name="Text Box 15">
          <a:extLst>
            <a:ext uri="{FF2B5EF4-FFF2-40B4-BE49-F238E27FC236}">
              <a16:creationId xmlns:a16="http://schemas.microsoft.com/office/drawing/2014/main" id="{00000000-0008-0000-0500-00009A0F0000}"/>
            </a:ext>
          </a:extLst>
        </xdr:cNvPr>
        <xdr:cNvSpPr txBox="1">
          <a:spLocks noChangeArrowheads="1"/>
        </xdr:cNvSpPr>
      </xdr:nvSpPr>
      <xdr:spPr bwMode="auto">
        <a:xfrm>
          <a:off x="4972050" y="118205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34</xdr:row>
      <xdr:rowOff>504825</xdr:rowOff>
    </xdr:from>
    <xdr:ext cx="95250" cy="213632"/>
    <xdr:sp macro="" textlink="">
      <xdr:nvSpPr>
        <xdr:cNvPr id="3995" name="Text Box 15">
          <a:extLst>
            <a:ext uri="{FF2B5EF4-FFF2-40B4-BE49-F238E27FC236}">
              <a16:creationId xmlns:a16="http://schemas.microsoft.com/office/drawing/2014/main" id="{00000000-0008-0000-0500-00009B0F0000}"/>
            </a:ext>
          </a:extLst>
        </xdr:cNvPr>
        <xdr:cNvSpPr txBox="1">
          <a:spLocks noChangeArrowheads="1"/>
        </xdr:cNvSpPr>
      </xdr:nvSpPr>
      <xdr:spPr bwMode="auto">
        <a:xfrm>
          <a:off x="4972050" y="118205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34</xdr:row>
      <xdr:rowOff>504825</xdr:rowOff>
    </xdr:from>
    <xdr:ext cx="95250" cy="213632"/>
    <xdr:sp macro="" textlink="">
      <xdr:nvSpPr>
        <xdr:cNvPr id="3996" name="Text Box 15">
          <a:extLst>
            <a:ext uri="{FF2B5EF4-FFF2-40B4-BE49-F238E27FC236}">
              <a16:creationId xmlns:a16="http://schemas.microsoft.com/office/drawing/2014/main" id="{00000000-0008-0000-0500-00009C0F0000}"/>
            </a:ext>
          </a:extLst>
        </xdr:cNvPr>
        <xdr:cNvSpPr txBox="1">
          <a:spLocks noChangeArrowheads="1"/>
        </xdr:cNvSpPr>
      </xdr:nvSpPr>
      <xdr:spPr bwMode="auto">
        <a:xfrm>
          <a:off x="4972050" y="118205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35</xdr:row>
      <xdr:rowOff>504825</xdr:rowOff>
    </xdr:from>
    <xdr:ext cx="95250" cy="448496"/>
    <xdr:sp macro="" textlink="">
      <xdr:nvSpPr>
        <xdr:cNvPr id="3997" name="Text Box 15">
          <a:extLst>
            <a:ext uri="{FF2B5EF4-FFF2-40B4-BE49-F238E27FC236}">
              <a16:creationId xmlns:a16="http://schemas.microsoft.com/office/drawing/2014/main" id="{00000000-0008-0000-0500-00009D0F0000}"/>
            </a:ext>
          </a:extLst>
        </xdr:cNvPr>
        <xdr:cNvSpPr txBox="1">
          <a:spLocks noChangeArrowheads="1"/>
        </xdr:cNvSpPr>
      </xdr:nvSpPr>
      <xdr:spPr bwMode="auto">
        <a:xfrm>
          <a:off x="4972050" y="12195175"/>
          <a:ext cx="95250" cy="448496"/>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35</xdr:row>
      <xdr:rowOff>504825</xdr:rowOff>
    </xdr:from>
    <xdr:ext cx="95250" cy="213632"/>
    <xdr:sp macro="" textlink="">
      <xdr:nvSpPr>
        <xdr:cNvPr id="3998" name="Text Box 15">
          <a:extLst>
            <a:ext uri="{FF2B5EF4-FFF2-40B4-BE49-F238E27FC236}">
              <a16:creationId xmlns:a16="http://schemas.microsoft.com/office/drawing/2014/main" id="{00000000-0008-0000-0500-00009E0F0000}"/>
            </a:ext>
          </a:extLst>
        </xdr:cNvPr>
        <xdr:cNvSpPr txBox="1">
          <a:spLocks noChangeArrowheads="1"/>
        </xdr:cNvSpPr>
      </xdr:nvSpPr>
      <xdr:spPr bwMode="auto">
        <a:xfrm>
          <a:off x="4972050" y="1219517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35</xdr:row>
      <xdr:rowOff>504825</xdr:rowOff>
    </xdr:from>
    <xdr:ext cx="95250" cy="444331"/>
    <xdr:sp macro="" textlink="">
      <xdr:nvSpPr>
        <xdr:cNvPr id="3999" name="Text Box 15">
          <a:extLst>
            <a:ext uri="{FF2B5EF4-FFF2-40B4-BE49-F238E27FC236}">
              <a16:creationId xmlns:a16="http://schemas.microsoft.com/office/drawing/2014/main" id="{00000000-0008-0000-0500-00009F0F0000}"/>
            </a:ext>
          </a:extLst>
        </xdr:cNvPr>
        <xdr:cNvSpPr txBox="1">
          <a:spLocks noChangeArrowheads="1"/>
        </xdr:cNvSpPr>
      </xdr:nvSpPr>
      <xdr:spPr bwMode="auto">
        <a:xfrm>
          <a:off x="4972050" y="12195175"/>
          <a:ext cx="95250" cy="444331"/>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35</xdr:row>
      <xdr:rowOff>504825</xdr:rowOff>
    </xdr:from>
    <xdr:ext cx="95250" cy="448496"/>
    <xdr:sp macro="" textlink="">
      <xdr:nvSpPr>
        <xdr:cNvPr id="4000" name="Text Box 15">
          <a:extLst>
            <a:ext uri="{FF2B5EF4-FFF2-40B4-BE49-F238E27FC236}">
              <a16:creationId xmlns:a16="http://schemas.microsoft.com/office/drawing/2014/main" id="{00000000-0008-0000-0500-0000A00F0000}"/>
            </a:ext>
          </a:extLst>
        </xdr:cNvPr>
        <xdr:cNvSpPr txBox="1">
          <a:spLocks noChangeArrowheads="1"/>
        </xdr:cNvSpPr>
      </xdr:nvSpPr>
      <xdr:spPr bwMode="auto">
        <a:xfrm>
          <a:off x="4972050" y="12195175"/>
          <a:ext cx="95250" cy="448496"/>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35</xdr:row>
      <xdr:rowOff>504825</xdr:rowOff>
    </xdr:from>
    <xdr:ext cx="95250" cy="213632"/>
    <xdr:sp macro="" textlink="">
      <xdr:nvSpPr>
        <xdr:cNvPr id="4001" name="Text Box 15">
          <a:extLst>
            <a:ext uri="{FF2B5EF4-FFF2-40B4-BE49-F238E27FC236}">
              <a16:creationId xmlns:a16="http://schemas.microsoft.com/office/drawing/2014/main" id="{00000000-0008-0000-0500-0000A10F0000}"/>
            </a:ext>
          </a:extLst>
        </xdr:cNvPr>
        <xdr:cNvSpPr txBox="1">
          <a:spLocks noChangeArrowheads="1"/>
        </xdr:cNvSpPr>
      </xdr:nvSpPr>
      <xdr:spPr bwMode="auto">
        <a:xfrm>
          <a:off x="4972050" y="1219517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35</xdr:row>
      <xdr:rowOff>504825</xdr:rowOff>
    </xdr:from>
    <xdr:ext cx="95250" cy="444331"/>
    <xdr:sp macro="" textlink="">
      <xdr:nvSpPr>
        <xdr:cNvPr id="4002" name="Text Box 15">
          <a:extLst>
            <a:ext uri="{FF2B5EF4-FFF2-40B4-BE49-F238E27FC236}">
              <a16:creationId xmlns:a16="http://schemas.microsoft.com/office/drawing/2014/main" id="{00000000-0008-0000-0500-0000A20F0000}"/>
            </a:ext>
          </a:extLst>
        </xdr:cNvPr>
        <xdr:cNvSpPr txBox="1">
          <a:spLocks noChangeArrowheads="1"/>
        </xdr:cNvSpPr>
      </xdr:nvSpPr>
      <xdr:spPr bwMode="auto">
        <a:xfrm>
          <a:off x="4972050" y="12195175"/>
          <a:ext cx="95250" cy="444331"/>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35</xdr:row>
      <xdr:rowOff>504825</xdr:rowOff>
    </xdr:from>
    <xdr:ext cx="95250" cy="456743"/>
    <xdr:sp macro="" textlink="">
      <xdr:nvSpPr>
        <xdr:cNvPr id="4003" name="Text Box 15">
          <a:extLst>
            <a:ext uri="{FF2B5EF4-FFF2-40B4-BE49-F238E27FC236}">
              <a16:creationId xmlns:a16="http://schemas.microsoft.com/office/drawing/2014/main" id="{00000000-0008-0000-0500-0000A30F0000}"/>
            </a:ext>
          </a:extLst>
        </xdr:cNvPr>
        <xdr:cNvSpPr txBox="1">
          <a:spLocks noChangeArrowheads="1"/>
        </xdr:cNvSpPr>
      </xdr:nvSpPr>
      <xdr:spPr bwMode="auto">
        <a:xfrm>
          <a:off x="4972050" y="12195175"/>
          <a:ext cx="95250" cy="456743"/>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35</xdr:row>
      <xdr:rowOff>504825</xdr:rowOff>
    </xdr:from>
    <xdr:ext cx="95250" cy="213632"/>
    <xdr:sp macro="" textlink="">
      <xdr:nvSpPr>
        <xdr:cNvPr id="4004" name="Text Box 15">
          <a:extLst>
            <a:ext uri="{FF2B5EF4-FFF2-40B4-BE49-F238E27FC236}">
              <a16:creationId xmlns:a16="http://schemas.microsoft.com/office/drawing/2014/main" id="{00000000-0008-0000-0500-0000A40F0000}"/>
            </a:ext>
          </a:extLst>
        </xdr:cNvPr>
        <xdr:cNvSpPr txBox="1">
          <a:spLocks noChangeArrowheads="1"/>
        </xdr:cNvSpPr>
      </xdr:nvSpPr>
      <xdr:spPr bwMode="auto">
        <a:xfrm>
          <a:off x="4972050" y="1219517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35</xdr:row>
      <xdr:rowOff>504825</xdr:rowOff>
    </xdr:from>
    <xdr:ext cx="95250" cy="444331"/>
    <xdr:sp macro="" textlink="">
      <xdr:nvSpPr>
        <xdr:cNvPr id="4005" name="Text Box 15">
          <a:extLst>
            <a:ext uri="{FF2B5EF4-FFF2-40B4-BE49-F238E27FC236}">
              <a16:creationId xmlns:a16="http://schemas.microsoft.com/office/drawing/2014/main" id="{00000000-0008-0000-0500-0000A50F0000}"/>
            </a:ext>
          </a:extLst>
        </xdr:cNvPr>
        <xdr:cNvSpPr txBox="1">
          <a:spLocks noChangeArrowheads="1"/>
        </xdr:cNvSpPr>
      </xdr:nvSpPr>
      <xdr:spPr bwMode="auto">
        <a:xfrm>
          <a:off x="4972050" y="12195175"/>
          <a:ext cx="95250" cy="444331"/>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35</xdr:row>
      <xdr:rowOff>504825</xdr:rowOff>
    </xdr:from>
    <xdr:ext cx="95250" cy="213632"/>
    <xdr:sp macro="" textlink="">
      <xdr:nvSpPr>
        <xdr:cNvPr id="4006" name="Text Box 15">
          <a:extLst>
            <a:ext uri="{FF2B5EF4-FFF2-40B4-BE49-F238E27FC236}">
              <a16:creationId xmlns:a16="http://schemas.microsoft.com/office/drawing/2014/main" id="{00000000-0008-0000-0500-0000A60F0000}"/>
            </a:ext>
          </a:extLst>
        </xdr:cNvPr>
        <xdr:cNvSpPr txBox="1">
          <a:spLocks noChangeArrowheads="1"/>
        </xdr:cNvSpPr>
      </xdr:nvSpPr>
      <xdr:spPr bwMode="auto">
        <a:xfrm>
          <a:off x="4972050" y="1219517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35</xdr:row>
      <xdr:rowOff>504825</xdr:rowOff>
    </xdr:from>
    <xdr:ext cx="95250" cy="213632"/>
    <xdr:sp macro="" textlink="">
      <xdr:nvSpPr>
        <xdr:cNvPr id="4007" name="Text Box 15">
          <a:extLst>
            <a:ext uri="{FF2B5EF4-FFF2-40B4-BE49-F238E27FC236}">
              <a16:creationId xmlns:a16="http://schemas.microsoft.com/office/drawing/2014/main" id="{00000000-0008-0000-0500-0000A70F0000}"/>
            </a:ext>
          </a:extLst>
        </xdr:cNvPr>
        <xdr:cNvSpPr txBox="1">
          <a:spLocks noChangeArrowheads="1"/>
        </xdr:cNvSpPr>
      </xdr:nvSpPr>
      <xdr:spPr bwMode="auto">
        <a:xfrm>
          <a:off x="4972050" y="1219517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35</xdr:row>
      <xdr:rowOff>504825</xdr:rowOff>
    </xdr:from>
    <xdr:ext cx="95250" cy="213632"/>
    <xdr:sp macro="" textlink="">
      <xdr:nvSpPr>
        <xdr:cNvPr id="4008" name="Text Box 15">
          <a:extLst>
            <a:ext uri="{FF2B5EF4-FFF2-40B4-BE49-F238E27FC236}">
              <a16:creationId xmlns:a16="http://schemas.microsoft.com/office/drawing/2014/main" id="{00000000-0008-0000-0500-0000A80F0000}"/>
            </a:ext>
          </a:extLst>
        </xdr:cNvPr>
        <xdr:cNvSpPr txBox="1">
          <a:spLocks noChangeArrowheads="1"/>
        </xdr:cNvSpPr>
      </xdr:nvSpPr>
      <xdr:spPr bwMode="auto">
        <a:xfrm>
          <a:off x="4972050" y="1219517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35</xdr:row>
      <xdr:rowOff>504825</xdr:rowOff>
    </xdr:from>
    <xdr:ext cx="95250" cy="213632"/>
    <xdr:sp macro="" textlink="">
      <xdr:nvSpPr>
        <xdr:cNvPr id="4009" name="Text Box 15">
          <a:extLst>
            <a:ext uri="{FF2B5EF4-FFF2-40B4-BE49-F238E27FC236}">
              <a16:creationId xmlns:a16="http://schemas.microsoft.com/office/drawing/2014/main" id="{00000000-0008-0000-0500-0000A90F0000}"/>
            </a:ext>
          </a:extLst>
        </xdr:cNvPr>
        <xdr:cNvSpPr txBox="1">
          <a:spLocks noChangeArrowheads="1"/>
        </xdr:cNvSpPr>
      </xdr:nvSpPr>
      <xdr:spPr bwMode="auto">
        <a:xfrm>
          <a:off x="4972050" y="1219517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36</xdr:row>
      <xdr:rowOff>504825</xdr:rowOff>
    </xdr:from>
    <xdr:ext cx="95250" cy="213632"/>
    <xdr:sp macro="" textlink="">
      <xdr:nvSpPr>
        <xdr:cNvPr id="4010" name="Text Box 15">
          <a:extLst>
            <a:ext uri="{FF2B5EF4-FFF2-40B4-BE49-F238E27FC236}">
              <a16:creationId xmlns:a16="http://schemas.microsoft.com/office/drawing/2014/main" id="{00000000-0008-0000-0500-0000AA0F0000}"/>
            </a:ext>
          </a:extLst>
        </xdr:cNvPr>
        <xdr:cNvSpPr txBox="1">
          <a:spLocks noChangeArrowheads="1"/>
        </xdr:cNvSpPr>
      </xdr:nvSpPr>
      <xdr:spPr bwMode="auto">
        <a:xfrm>
          <a:off x="4972050" y="125698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36</xdr:row>
      <xdr:rowOff>504825</xdr:rowOff>
    </xdr:from>
    <xdr:ext cx="95250" cy="213632"/>
    <xdr:sp macro="" textlink="">
      <xdr:nvSpPr>
        <xdr:cNvPr id="4011" name="Text Box 15">
          <a:extLst>
            <a:ext uri="{FF2B5EF4-FFF2-40B4-BE49-F238E27FC236}">
              <a16:creationId xmlns:a16="http://schemas.microsoft.com/office/drawing/2014/main" id="{00000000-0008-0000-0500-0000AB0F0000}"/>
            </a:ext>
          </a:extLst>
        </xdr:cNvPr>
        <xdr:cNvSpPr txBox="1">
          <a:spLocks noChangeArrowheads="1"/>
        </xdr:cNvSpPr>
      </xdr:nvSpPr>
      <xdr:spPr bwMode="auto">
        <a:xfrm>
          <a:off x="4972050" y="125698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36</xdr:row>
      <xdr:rowOff>504825</xdr:rowOff>
    </xdr:from>
    <xdr:ext cx="95250" cy="213632"/>
    <xdr:sp macro="" textlink="">
      <xdr:nvSpPr>
        <xdr:cNvPr id="4012" name="Text Box 15">
          <a:extLst>
            <a:ext uri="{FF2B5EF4-FFF2-40B4-BE49-F238E27FC236}">
              <a16:creationId xmlns:a16="http://schemas.microsoft.com/office/drawing/2014/main" id="{00000000-0008-0000-0500-0000AC0F0000}"/>
            </a:ext>
          </a:extLst>
        </xdr:cNvPr>
        <xdr:cNvSpPr txBox="1">
          <a:spLocks noChangeArrowheads="1"/>
        </xdr:cNvSpPr>
      </xdr:nvSpPr>
      <xdr:spPr bwMode="auto">
        <a:xfrm>
          <a:off x="4972050" y="125698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36</xdr:row>
      <xdr:rowOff>504825</xdr:rowOff>
    </xdr:from>
    <xdr:ext cx="95250" cy="213632"/>
    <xdr:sp macro="" textlink="">
      <xdr:nvSpPr>
        <xdr:cNvPr id="4013" name="Text Box 15">
          <a:extLst>
            <a:ext uri="{FF2B5EF4-FFF2-40B4-BE49-F238E27FC236}">
              <a16:creationId xmlns:a16="http://schemas.microsoft.com/office/drawing/2014/main" id="{00000000-0008-0000-0500-0000AD0F0000}"/>
            </a:ext>
          </a:extLst>
        </xdr:cNvPr>
        <xdr:cNvSpPr txBox="1">
          <a:spLocks noChangeArrowheads="1"/>
        </xdr:cNvSpPr>
      </xdr:nvSpPr>
      <xdr:spPr bwMode="auto">
        <a:xfrm>
          <a:off x="4972050" y="125698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36</xdr:row>
      <xdr:rowOff>504825</xdr:rowOff>
    </xdr:from>
    <xdr:ext cx="95250" cy="213632"/>
    <xdr:sp macro="" textlink="">
      <xdr:nvSpPr>
        <xdr:cNvPr id="4014" name="Text Box 15">
          <a:extLst>
            <a:ext uri="{FF2B5EF4-FFF2-40B4-BE49-F238E27FC236}">
              <a16:creationId xmlns:a16="http://schemas.microsoft.com/office/drawing/2014/main" id="{00000000-0008-0000-0500-0000AE0F0000}"/>
            </a:ext>
          </a:extLst>
        </xdr:cNvPr>
        <xdr:cNvSpPr txBox="1">
          <a:spLocks noChangeArrowheads="1"/>
        </xdr:cNvSpPr>
      </xdr:nvSpPr>
      <xdr:spPr bwMode="auto">
        <a:xfrm>
          <a:off x="4972050" y="125698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36</xdr:row>
      <xdr:rowOff>504825</xdr:rowOff>
    </xdr:from>
    <xdr:ext cx="95250" cy="213632"/>
    <xdr:sp macro="" textlink="">
      <xdr:nvSpPr>
        <xdr:cNvPr id="4015" name="Text Box 15">
          <a:extLst>
            <a:ext uri="{FF2B5EF4-FFF2-40B4-BE49-F238E27FC236}">
              <a16:creationId xmlns:a16="http://schemas.microsoft.com/office/drawing/2014/main" id="{00000000-0008-0000-0500-0000AF0F0000}"/>
            </a:ext>
          </a:extLst>
        </xdr:cNvPr>
        <xdr:cNvSpPr txBox="1">
          <a:spLocks noChangeArrowheads="1"/>
        </xdr:cNvSpPr>
      </xdr:nvSpPr>
      <xdr:spPr bwMode="auto">
        <a:xfrm>
          <a:off x="4972050" y="125698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36</xdr:row>
      <xdr:rowOff>504825</xdr:rowOff>
    </xdr:from>
    <xdr:ext cx="95250" cy="213632"/>
    <xdr:sp macro="" textlink="">
      <xdr:nvSpPr>
        <xdr:cNvPr id="4016" name="Text Box 15">
          <a:extLst>
            <a:ext uri="{FF2B5EF4-FFF2-40B4-BE49-F238E27FC236}">
              <a16:creationId xmlns:a16="http://schemas.microsoft.com/office/drawing/2014/main" id="{00000000-0008-0000-0500-0000B00F0000}"/>
            </a:ext>
          </a:extLst>
        </xdr:cNvPr>
        <xdr:cNvSpPr txBox="1">
          <a:spLocks noChangeArrowheads="1"/>
        </xdr:cNvSpPr>
      </xdr:nvSpPr>
      <xdr:spPr bwMode="auto">
        <a:xfrm>
          <a:off x="4972050" y="125698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36</xdr:row>
      <xdr:rowOff>504825</xdr:rowOff>
    </xdr:from>
    <xdr:ext cx="95250" cy="213632"/>
    <xdr:sp macro="" textlink="">
      <xdr:nvSpPr>
        <xdr:cNvPr id="4017" name="Text Box 15">
          <a:extLst>
            <a:ext uri="{FF2B5EF4-FFF2-40B4-BE49-F238E27FC236}">
              <a16:creationId xmlns:a16="http://schemas.microsoft.com/office/drawing/2014/main" id="{00000000-0008-0000-0500-0000B10F0000}"/>
            </a:ext>
          </a:extLst>
        </xdr:cNvPr>
        <xdr:cNvSpPr txBox="1">
          <a:spLocks noChangeArrowheads="1"/>
        </xdr:cNvSpPr>
      </xdr:nvSpPr>
      <xdr:spPr bwMode="auto">
        <a:xfrm>
          <a:off x="4972050" y="125698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36</xdr:row>
      <xdr:rowOff>504825</xdr:rowOff>
    </xdr:from>
    <xdr:ext cx="95250" cy="213632"/>
    <xdr:sp macro="" textlink="">
      <xdr:nvSpPr>
        <xdr:cNvPr id="4018" name="Text Box 15">
          <a:extLst>
            <a:ext uri="{FF2B5EF4-FFF2-40B4-BE49-F238E27FC236}">
              <a16:creationId xmlns:a16="http://schemas.microsoft.com/office/drawing/2014/main" id="{00000000-0008-0000-0500-0000B20F0000}"/>
            </a:ext>
          </a:extLst>
        </xdr:cNvPr>
        <xdr:cNvSpPr txBox="1">
          <a:spLocks noChangeArrowheads="1"/>
        </xdr:cNvSpPr>
      </xdr:nvSpPr>
      <xdr:spPr bwMode="auto">
        <a:xfrm>
          <a:off x="4972050" y="125698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36</xdr:row>
      <xdr:rowOff>504825</xdr:rowOff>
    </xdr:from>
    <xdr:ext cx="95250" cy="213632"/>
    <xdr:sp macro="" textlink="">
      <xdr:nvSpPr>
        <xdr:cNvPr id="4019" name="Text Box 15">
          <a:extLst>
            <a:ext uri="{FF2B5EF4-FFF2-40B4-BE49-F238E27FC236}">
              <a16:creationId xmlns:a16="http://schemas.microsoft.com/office/drawing/2014/main" id="{00000000-0008-0000-0500-0000B30F0000}"/>
            </a:ext>
          </a:extLst>
        </xdr:cNvPr>
        <xdr:cNvSpPr txBox="1">
          <a:spLocks noChangeArrowheads="1"/>
        </xdr:cNvSpPr>
      </xdr:nvSpPr>
      <xdr:spPr bwMode="auto">
        <a:xfrm>
          <a:off x="4972050" y="125698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36</xdr:row>
      <xdr:rowOff>504825</xdr:rowOff>
    </xdr:from>
    <xdr:ext cx="95250" cy="213632"/>
    <xdr:sp macro="" textlink="">
      <xdr:nvSpPr>
        <xdr:cNvPr id="4020" name="Text Box 15">
          <a:extLst>
            <a:ext uri="{FF2B5EF4-FFF2-40B4-BE49-F238E27FC236}">
              <a16:creationId xmlns:a16="http://schemas.microsoft.com/office/drawing/2014/main" id="{00000000-0008-0000-0500-0000B40F0000}"/>
            </a:ext>
          </a:extLst>
        </xdr:cNvPr>
        <xdr:cNvSpPr txBox="1">
          <a:spLocks noChangeArrowheads="1"/>
        </xdr:cNvSpPr>
      </xdr:nvSpPr>
      <xdr:spPr bwMode="auto">
        <a:xfrm>
          <a:off x="4972050" y="125698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36</xdr:row>
      <xdr:rowOff>504825</xdr:rowOff>
    </xdr:from>
    <xdr:ext cx="95250" cy="213632"/>
    <xdr:sp macro="" textlink="">
      <xdr:nvSpPr>
        <xdr:cNvPr id="4021" name="Text Box 15">
          <a:extLst>
            <a:ext uri="{FF2B5EF4-FFF2-40B4-BE49-F238E27FC236}">
              <a16:creationId xmlns:a16="http://schemas.microsoft.com/office/drawing/2014/main" id="{00000000-0008-0000-0500-0000B50F0000}"/>
            </a:ext>
          </a:extLst>
        </xdr:cNvPr>
        <xdr:cNvSpPr txBox="1">
          <a:spLocks noChangeArrowheads="1"/>
        </xdr:cNvSpPr>
      </xdr:nvSpPr>
      <xdr:spPr bwMode="auto">
        <a:xfrm>
          <a:off x="4972050" y="125698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36</xdr:row>
      <xdr:rowOff>504825</xdr:rowOff>
    </xdr:from>
    <xdr:ext cx="95250" cy="213632"/>
    <xdr:sp macro="" textlink="">
      <xdr:nvSpPr>
        <xdr:cNvPr id="4022" name="Text Box 15">
          <a:extLst>
            <a:ext uri="{FF2B5EF4-FFF2-40B4-BE49-F238E27FC236}">
              <a16:creationId xmlns:a16="http://schemas.microsoft.com/office/drawing/2014/main" id="{00000000-0008-0000-0500-0000B60F0000}"/>
            </a:ext>
          </a:extLst>
        </xdr:cNvPr>
        <xdr:cNvSpPr txBox="1">
          <a:spLocks noChangeArrowheads="1"/>
        </xdr:cNvSpPr>
      </xdr:nvSpPr>
      <xdr:spPr bwMode="auto">
        <a:xfrm>
          <a:off x="4972050" y="125698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36</xdr:row>
      <xdr:rowOff>504825</xdr:rowOff>
    </xdr:from>
    <xdr:ext cx="95250" cy="213632"/>
    <xdr:sp macro="" textlink="">
      <xdr:nvSpPr>
        <xdr:cNvPr id="4023" name="Text Box 15">
          <a:extLst>
            <a:ext uri="{FF2B5EF4-FFF2-40B4-BE49-F238E27FC236}">
              <a16:creationId xmlns:a16="http://schemas.microsoft.com/office/drawing/2014/main" id="{00000000-0008-0000-0500-0000B70F0000}"/>
            </a:ext>
          </a:extLst>
        </xdr:cNvPr>
        <xdr:cNvSpPr txBox="1">
          <a:spLocks noChangeArrowheads="1"/>
        </xdr:cNvSpPr>
      </xdr:nvSpPr>
      <xdr:spPr bwMode="auto">
        <a:xfrm>
          <a:off x="4972050" y="125698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44</xdr:row>
      <xdr:rowOff>504825</xdr:rowOff>
    </xdr:from>
    <xdr:ext cx="95250" cy="448496"/>
    <xdr:sp macro="" textlink="">
      <xdr:nvSpPr>
        <xdr:cNvPr id="4024" name="Text Box 15">
          <a:extLst>
            <a:ext uri="{FF2B5EF4-FFF2-40B4-BE49-F238E27FC236}">
              <a16:creationId xmlns:a16="http://schemas.microsoft.com/office/drawing/2014/main" id="{00000000-0008-0000-0500-0000B80F0000}"/>
            </a:ext>
          </a:extLst>
        </xdr:cNvPr>
        <xdr:cNvSpPr txBox="1">
          <a:spLocks noChangeArrowheads="1"/>
        </xdr:cNvSpPr>
      </xdr:nvSpPr>
      <xdr:spPr bwMode="auto">
        <a:xfrm>
          <a:off x="4972050" y="15567025"/>
          <a:ext cx="95250" cy="448496"/>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44</xdr:row>
      <xdr:rowOff>504825</xdr:rowOff>
    </xdr:from>
    <xdr:ext cx="95250" cy="213632"/>
    <xdr:sp macro="" textlink="">
      <xdr:nvSpPr>
        <xdr:cNvPr id="4025" name="Text Box 15">
          <a:extLst>
            <a:ext uri="{FF2B5EF4-FFF2-40B4-BE49-F238E27FC236}">
              <a16:creationId xmlns:a16="http://schemas.microsoft.com/office/drawing/2014/main" id="{00000000-0008-0000-0500-0000B90F0000}"/>
            </a:ext>
          </a:extLst>
        </xdr:cNvPr>
        <xdr:cNvSpPr txBox="1">
          <a:spLocks noChangeArrowheads="1"/>
        </xdr:cNvSpPr>
      </xdr:nvSpPr>
      <xdr:spPr bwMode="auto">
        <a:xfrm>
          <a:off x="4972050" y="155670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44</xdr:row>
      <xdr:rowOff>504825</xdr:rowOff>
    </xdr:from>
    <xdr:ext cx="95250" cy="444331"/>
    <xdr:sp macro="" textlink="">
      <xdr:nvSpPr>
        <xdr:cNvPr id="4026" name="Text Box 15">
          <a:extLst>
            <a:ext uri="{FF2B5EF4-FFF2-40B4-BE49-F238E27FC236}">
              <a16:creationId xmlns:a16="http://schemas.microsoft.com/office/drawing/2014/main" id="{00000000-0008-0000-0500-0000BA0F0000}"/>
            </a:ext>
          </a:extLst>
        </xdr:cNvPr>
        <xdr:cNvSpPr txBox="1">
          <a:spLocks noChangeArrowheads="1"/>
        </xdr:cNvSpPr>
      </xdr:nvSpPr>
      <xdr:spPr bwMode="auto">
        <a:xfrm>
          <a:off x="4972050" y="15567025"/>
          <a:ext cx="95250" cy="444331"/>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44</xdr:row>
      <xdr:rowOff>504825</xdr:rowOff>
    </xdr:from>
    <xdr:ext cx="95250" cy="456743"/>
    <xdr:sp macro="" textlink="">
      <xdr:nvSpPr>
        <xdr:cNvPr id="4027" name="Text Box 15">
          <a:extLst>
            <a:ext uri="{FF2B5EF4-FFF2-40B4-BE49-F238E27FC236}">
              <a16:creationId xmlns:a16="http://schemas.microsoft.com/office/drawing/2014/main" id="{00000000-0008-0000-0500-0000BB0F0000}"/>
            </a:ext>
          </a:extLst>
        </xdr:cNvPr>
        <xdr:cNvSpPr txBox="1">
          <a:spLocks noChangeArrowheads="1"/>
        </xdr:cNvSpPr>
      </xdr:nvSpPr>
      <xdr:spPr bwMode="auto">
        <a:xfrm>
          <a:off x="4972050" y="15567025"/>
          <a:ext cx="95250" cy="456743"/>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44</xdr:row>
      <xdr:rowOff>504825</xdr:rowOff>
    </xdr:from>
    <xdr:ext cx="95250" cy="213632"/>
    <xdr:sp macro="" textlink="">
      <xdr:nvSpPr>
        <xdr:cNvPr id="4028" name="Text Box 15">
          <a:extLst>
            <a:ext uri="{FF2B5EF4-FFF2-40B4-BE49-F238E27FC236}">
              <a16:creationId xmlns:a16="http://schemas.microsoft.com/office/drawing/2014/main" id="{00000000-0008-0000-0500-0000BC0F0000}"/>
            </a:ext>
          </a:extLst>
        </xdr:cNvPr>
        <xdr:cNvSpPr txBox="1">
          <a:spLocks noChangeArrowheads="1"/>
        </xdr:cNvSpPr>
      </xdr:nvSpPr>
      <xdr:spPr bwMode="auto">
        <a:xfrm>
          <a:off x="4972050" y="155670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44</xdr:row>
      <xdr:rowOff>504825</xdr:rowOff>
    </xdr:from>
    <xdr:ext cx="95250" cy="444331"/>
    <xdr:sp macro="" textlink="">
      <xdr:nvSpPr>
        <xdr:cNvPr id="4029" name="Text Box 15">
          <a:extLst>
            <a:ext uri="{FF2B5EF4-FFF2-40B4-BE49-F238E27FC236}">
              <a16:creationId xmlns:a16="http://schemas.microsoft.com/office/drawing/2014/main" id="{00000000-0008-0000-0500-0000BD0F0000}"/>
            </a:ext>
          </a:extLst>
        </xdr:cNvPr>
        <xdr:cNvSpPr txBox="1">
          <a:spLocks noChangeArrowheads="1"/>
        </xdr:cNvSpPr>
      </xdr:nvSpPr>
      <xdr:spPr bwMode="auto">
        <a:xfrm>
          <a:off x="4972050" y="15567025"/>
          <a:ext cx="95250" cy="444331"/>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46</xdr:row>
      <xdr:rowOff>504825</xdr:rowOff>
    </xdr:from>
    <xdr:ext cx="95250" cy="448496"/>
    <xdr:sp macro="" textlink="">
      <xdr:nvSpPr>
        <xdr:cNvPr id="4030" name="Text Box 15">
          <a:extLst>
            <a:ext uri="{FF2B5EF4-FFF2-40B4-BE49-F238E27FC236}">
              <a16:creationId xmlns:a16="http://schemas.microsoft.com/office/drawing/2014/main" id="{00000000-0008-0000-0500-0000BE0F0000}"/>
            </a:ext>
          </a:extLst>
        </xdr:cNvPr>
        <xdr:cNvSpPr txBox="1">
          <a:spLocks noChangeArrowheads="1"/>
        </xdr:cNvSpPr>
      </xdr:nvSpPr>
      <xdr:spPr bwMode="auto">
        <a:xfrm>
          <a:off x="4972050" y="15567025"/>
          <a:ext cx="95250" cy="448496"/>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46</xdr:row>
      <xdr:rowOff>504825</xdr:rowOff>
    </xdr:from>
    <xdr:ext cx="95250" cy="213632"/>
    <xdr:sp macro="" textlink="">
      <xdr:nvSpPr>
        <xdr:cNvPr id="4031" name="Text Box 15">
          <a:extLst>
            <a:ext uri="{FF2B5EF4-FFF2-40B4-BE49-F238E27FC236}">
              <a16:creationId xmlns:a16="http://schemas.microsoft.com/office/drawing/2014/main" id="{00000000-0008-0000-0500-0000BF0F0000}"/>
            </a:ext>
          </a:extLst>
        </xdr:cNvPr>
        <xdr:cNvSpPr txBox="1">
          <a:spLocks noChangeArrowheads="1"/>
        </xdr:cNvSpPr>
      </xdr:nvSpPr>
      <xdr:spPr bwMode="auto">
        <a:xfrm>
          <a:off x="4972050" y="155670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46</xdr:row>
      <xdr:rowOff>504825</xdr:rowOff>
    </xdr:from>
    <xdr:ext cx="95250" cy="444331"/>
    <xdr:sp macro="" textlink="">
      <xdr:nvSpPr>
        <xdr:cNvPr id="4032" name="Text Box 15">
          <a:extLst>
            <a:ext uri="{FF2B5EF4-FFF2-40B4-BE49-F238E27FC236}">
              <a16:creationId xmlns:a16="http://schemas.microsoft.com/office/drawing/2014/main" id="{00000000-0008-0000-0500-0000C00F0000}"/>
            </a:ext>
          </a:extLst>
        </xdr:cNvPr>
        <xdr:cNvSpPr txBox="1">
          <a:spLocks noChangeArrowheads="1"/>
        </xdr:cNvSpPr>
      </xdr:nvSpPr>
      <xdr:spPr bwMode="auto">
        <a:xfrm>
          <a:off x="4972050" y="15567025"/>
          <a:ext cx="95250" cy="444331"/>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46</xdr:row>
      <xdr:rowOff>504825</xdr:rowOff>
    </xdr:from>
    <xdr:ext cx="95250" cy="456743"/>
    <xdr:sp macro="" textlink="">
      <xdr:nvSpPr>
        <xdr:cNvPr id="4033" name="Text Box 15">
          <a:extLst>
            <a:ext uri="{FF2B5EF4-FFF2-40B4-BE49-F238E27FC236}">
              <a16:creationId xmlns:a16="http://schemas.microsoft.com/office/drawing/2014/main" id="{00000000-0008-0000-0500-0000C10F0000}"/>
            </a:ext>
          </a:extLst>
        </xdr:cNvPr>
        <xdr:cNvSpPr txBox="1">
          <a:spLocks noChangeArrowheads="1"/>
        </xdr:cNvSpPr>
      </xdr:nvSpPr>
      <xdr:spPr bwMode="auto">
        <a:xfrm>
          <a:off x="4972050" y="15567025"/>
          <a:ext cx="95250" cy="456743"/>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46</xdr:row>
      <xdr:rowOff>504825</xdr:rowOff>
    </xdr:from>
    <xdr:ext cx="95250" cy="213632"/>
    <xdr:sp macro="" textlink="">
      <xdr:nvSpPr>
        <xdr:cNvPr id="4034" name="Text Box 15">
          <a:extLst>
            <a:ext uri="{FF2B5EF4-FFF2-40B4-BE49-F238E27FC236}">
              <a16:creationId xmlns:a16="http://schemas.microsoft.com/office/drawing/2014/main" id="{00000000-0008-0000-0500-0000C20F0000}"/>
            </a:ext>
          </a:extLst>
        </xdr:cNvPr>
        <xdr:cNvSpPr txBox="1">
          <a:spLocks noChangeArrowheads="1"/>
        </xdr:cNvSpPr>
      </xdr:nvSpPr>
      <xdr:spPr bwMode="auto">
        <a:xfrm>
          <a:off x="4972050" y="155670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46</xdr:row>
      <xdr:rowOff>504825</xdr:rowOff>
    </xdr:from>
    <xdr:ext cx="95250" cy="444331"/>
    <xdr:sp macro="" textlink="">
      <xdr:nvSpPr>
        <xdr:cNvPr id="4035" name="Text Box 15">
          <a:extLst>
            <a:ext uri="{FF2B5EF4-FFF2-40B4-BE49-F238E27FC236}">
              <a16:creationId xmlns:a16="http://schemas.microsoft.com/office/drawing/2014/main" id="{00000000-0008-0000-0500-0000C30F0000}"/>
            </a:ext>
          </a:extLst>
        </xdr:cNvPr>
        <xdr:cNvSpPr txBox="1">
          <a:spLocks noChangeArrowheads="1"/>
        </xdr:cNvSpPr>
      </xdr:nvSpPr>
      <xdr:spPr bwMode="auto">
        <a:xfrm>
          <a:off x="4972050" y="15567025"/>
          <a:ext cx="95250" cy="444331"/>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48</xdr:row>
      <xdr:rowOff>504825</xdr:rowOff>
    </xdr:from>
    <xdr:ext cx="95250" cy="213632"/>
    <xdr:sp macro="" textlink="">
      <xdr:nvSpPr>
        <xdr:cNvPr id="4036" name="Text Box 15">
          <a:extLst>
            <a:ext uri="{FF2B5EF4-FFF2-40B4-BE49-F238E27FC236}">
              <a16:creationId xmlns:a16="http://schemas.microsoft.com/office/drawing/2014/main" id="{00000000-0008-0000-0500-0000C40F0000}"/>
            </a:ext>
          </a:extLst>
        </xdr:cNvPr>
        <xdr:cNvSpPr txBox="1">
          <a:spLocks noChangeArrowheads="1"/>
        </xdr:cNvSpPr>
      </xdr:nvSpPr>
      <xdr:spPr bwMode="auto">
        <a:xfrm>
          <a:off x="4972050" y="163163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48</xdr:row>
      <xdr:rowOff>504825</xdr:rowOff>
    </xdr:from>
    <xdr:ext cx="95250" cy="213632"/>
    <xdr:sp macro="" textlink="">
      <xdr:nvSpPr>
        <xdr:cNvPr id="4037" name="Text Box 15">
          <a:extLst>
            <a:ext uri="{FF2B5EF4-FFF2-40B4-BE49-F238E27FC236}">
              <a16:creationId xmlns:a16="http://schemas.microsoft.com/office/drawing/2014/main" id="{00000000-0008-0000-0500-0000C50F0000}"/>
            </a:ext>
          </a:extLst>
        </xdr:cNvPr>
        <xdr:cNvSpPr txBox="1">
          <a:spLocks noChangeArrowheads="1"/>
        </xdr:cNvSpPr>
      </xdr:nvSpPr>
      <xdr:spPr bwMode="auto">
        <a:xfrm>
          <a:off x="4972050" y="163163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50</xdr:row>
      <xdr:rowOff>504825</xdr:rowOff>
    </xdr:from>
    <xdr:ext cx="95250" cy="461691"/>
    <xdr:sp macro="" textlink="">
      <xdr:nvSpPr>
        <xdr:cNvPr id="4038" name="Text Box 15">
          <a:extLst>
            <a:ext uri="{FF2B5EF4-FFF2-40B4-BE49-F238E27FC236}">
              <a16:creationId xmlns:a16="http://schemas.microsoft.com/office/drawing/2014/main" id="{00000000-0008-0000-0500-0000C60F0000}"/>
            </a:ext>
          </a:extLst>
        </xdr:cNvPr>
        <xdr:cNvSpPr txBox="1">
          <a:spLocks noChangeArrowheads="1"/>
        </xdr:cNvSpPr>
      </xdr:nvSpPr>
      <xdr:spPr bwMode="auto">
        <a:xfrm>
          <a:off x="4972050" y="17814925"/>
          <a:ext cx="95250" cy="461691"/>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50</xdr:row>
      <xdr:rowOff>504825</xdr:rowOff>
    </xdr:from>
    <xdr:ext cx="95250" cy="213632"/>
    <xdr:sp macro="" textlink="">
      <xdr:nvSpPr>
        <xdr:cNvPr id="4039" name="Text Box 15">
          <a:extLst>
            <a:ext uri="{FF2B5EF4-FFF2-40B4-BE49-F238E27FC236}">
              <a16:creationId xmlns:a16="http://schemas.microsoft.com/office/drawing/2014/main" id="{00000000-0008-0000-0500-0000C70F0000}"/>
            </a:ext>
          </a:extLst>
        </xdr:cNvPr>
        <xdr:cNvSpPr txBox="1">
          <a:spLocks noChangeArrowheads="1"/>
        </xdr:cNvSpPr>
      </xdr:nvSpPr>
      <xdr:spPr bwMode="auto">
        <a:xfrm>
          <a:off x="4972050" y="178149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50</xdr:row>
      <xdr:rowOff>504825</xdr:rowOff>
    </xdr:from>
    <xdr:ext cx="95250" cy="444331"/>
    <xdr:sp macro="" textlink="">
      <xdr:nvSpPr>
        <xdr:cNvPr id="4040" name="Text Box 15">
          <a:extLst>
            <a:ext uri="{FF2B5EF4-FFF2-40B4-BE49-F238E27FC236}">
              <a16:creationId xmlns:a16="http://schemas.microsoft.com/office/drawing/2014/main" id="{00000000-0008-0000-0500-0000C80F0000}"/>
            </a:ext>
          </a:extLst>
        </xdr:cNvPr>
        <xdr:cNvSpPr txBox="1">
          <a:spLocks noChangeArrowheads="1"/>
        </xdr:cNvSpPr>
      </xdr:nvSpPr>
      <xdr:spPr bwMode="auto">
        <a:xfrm>
          <a:off x="4972050" y="17814925"/>
          <a:ext cx="95250" cy="444331"/>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50</xdr:row>
      <xdr:rowOff>504825</xdr:rowOff>
    </xdr:from>
    <xdr:ext cx="95250" cy="448496"/>
    <xdr:sp macro="" textlink="">
      <xdr:nvSpPr>
        <xdr:cNvPr id="4041" name="Text Box 15">
          <a:extLst>
            <a:ext uri="{FF2B5EF4-FFF2-40B4-BE49-F238E27FC236}">
              <a16:creationId xmlns:a16="http://schemas.microsoft.com/office/drawing/2014/main" id="{00000000-0008-0000-0500-0000C90F0000}"/>
            </a:ext>
          </a:extLst>
        </xdr:cNvPr>
        <xdr:cNvSpPr txBox="1">
          <a:spLocks noChangeArrowheads="1"/>
        </xdr:cNvSpPr>
      </xdr:nvSpPr>
      <xdr:spPr bwMode="auto">
        <a:xfrm>
          <a:off x="4972050" y="17814925"/>
          <a:ext cx="95250" cy="448496"/>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50</xdr:row>
      <xdr:rowOff>504825</xdr:rowOff>
    </xdr:from>
    <xdr:ext cx="95250" cy="213632"/>
    <xdr:sp macro="" textlink="">
      <xdr:nvSpPr>
        <xdr:cNvPr id="4042" name="Text Box 15">
          <a:extLst>
            <a:ext uri="{FF2B5EF4-FFF2-40B4-BE49-F238E27FC236}">
              <a16:creationId xmlns:a16="http://schemas.microsoft.com/office/drawing/2014/main" id="{00000000-0008-0000-0500-0000CA0F0000}"/>
            </a:ext>
          </a:extLst>
        </xdr:cNvPr>
        <xdr:cNvSpPr txBox="1">
          <a:spLocks noChangeArrowheads="1"/>
        </xdr:cNvSpPr>
      </xdr:nvSpPr>
      <xdr:spPr bwMode="auto">
        <a:xfrm>
          <a:off x="4972050" y="178149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50</xdr:row>
      <xdr:rowOff>504825</xdr:rowOff>
    </xdr:from>
    <xdr:ext cx="95250" cy="444331"/>
    <xdr:sp macro="" textlink="">
      <xdr:nvSpPr>
        <xdr:cNvPr id="4043" name="Text Box 15">
          <a:extLst>
            <a:ext uri="{FF2B5EF4-FFF2-40B4-BE49-F238E27FC236}">
              <a16:creationId xmlns:a16="http://schemas.microsoft.com/office/drawing/2014/main" id="{00000000-0008-0000-0500-0000CB0F0000}"/>
            </a:ext>
          </a:extLst>
        </xdr:cNvPr>
        <xdr:cNvSpPr txBox="1">
          <a:spLocks noChangeArrowheads="1"/>
        </xdr:cNvSpPr>
      </xdr:nvSpPr>
      <xdr:spPr bwMode="auto">
        <a:xfrm>
          <a:off x="4972050" y="17814925"/>
          <a:ext cx="95250" cy="444331"/>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50</xdr:row>
      <xdr:rowOff>504825</xdr:rowOff>
    </xdr:from>
    <xdr:ext cx="95250" cy="456743"/>
    <xdr:sp macro="" textlink="">
      <xdr:nvSpPr>
        <xdr:cNvPr id="4044" name="Text Box 15">
          <a:extLst>
            <a:ext uri="{FF2B5EF4-FFF2-40B4-BE49-F238E27FC236}">
              <a16:creationId xmlns:a16="http://schemas.microsoft.com/office/drawing/2014/main" id="{00000000-0008-0000-0500-0000CC0F0000}"/>
            </a:ext>
          </a:extLst>
        </xdr:cNvPr>
        <xdr:cNvSpPr txBox="1">
          <a:spLocks noChangeArrowheads="1"/>
        </xdr:cNvSpPr>
      </xdr:nvSpPr>
      <xdr:spPr bwMode="auto">
        <a:xfrm>
          <a:off x="4972050" y="17814925"/>
          <a:ext cx="95250" cy="456743"/>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50</xdr:row>
      <xdr:rowOff>504825</xdr:rowOff>
    </xdr:from>
    <xdr:ext cx="95250" cy="213632"/>
    <xdr:sp macro="" textlink="">
      <xdr:nvSpPr>
        <xdr:cNvPr id="4045" name="Text Box 15">
          <a:extLst>
            <a:ext uri="{FF2B5EF4-FFF2-40B4-BE49-F238E27FC236}">
              <a16:creationId xmlns:a16="http://schemas.microsoft.com/office/drawing/2014/main" id="{00000000-0008-0000-0500-0000CD0F0000}"/>
            </a:ext>
          </a:extLst>
        </xdr:cNvPr>
        <xdr:cNvSpPr txBox="1">
          <a:spLocks noChangeArrowheads="1"/>
        </xdr:cNvSpPr>
      </xdr:nvSpPr>
      <xdr:spPr bwMode="auto">
        <a:xfrm>
          <a:off x="4972050" y="178149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50</xdr:row>
      <xdr:rowOff>504825</xdr:rowOff>
    </xdr:from>
    <xdr:ext cx="95250" cy="444331"/>
    <xdr:sp macro="" textlink="">
      <xdr:nvSpPr>
        <xdr:cNvPr id="4046" name="Text Box 15">
          <a:extLst>
            <a:ext uri="{FF2B5EF4-FFF2-40B4-BE49-F238E27FC236}">
              <a16:creationId xmlns:a16="http://schemas.microsoft.com/office/drawing/2014/main" id="{00000000-0008-0000-0500-0000CE0F0000}"/>
            </a:ext>
          </a:extLst>
        </xdr:cNvPr>
        <xdr:cNvSpPr txBox="1">
          <a:spLocks noChangeArrowheads="1"/>
        </xdr:cNvSpPr>
      </xdr:nvSpPr>
      <xdr:spPr bwMode="auto">
        <a:xfrm>
          <a:off x="4972050" y="17814925"/>
          <a:ext cx="95250" cy="444331"/>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50</xdr:row>
      <xdr:rowOff>504825</xdr:rowOff>
    </xdr:from>
    <xdr:ext cx="95250" cy="213632"/>
    <xdr:sp macro="" textlink="">
      <xdr:nvSpPr>
        <xdr:cNvPr id="4047" name="Text Box 15">
          <a:extLst>
            <a:ext uri="{FF2B5EF4-FFF2-40B4-BE49-F238E27FC236}">
              <a16:creationId xmlns:a16="http://schemas.microsoft.com/office/drawing/2014/main" id="{00000000-0008-0000-0500-0000CF0F0000}"/>
            </a:ext>
          </a:extLst>
        </xdr:cNvPr>
        <xdr:cNvSpPr txBox="1">
          <a:spLocks noChangeArrowheads="1"/>
        </xdr:cNvSpPr>
      </xdr:nvSpPr>
      <xdr:spPr bwMode="auto">
        <a:xfrm>
          <a:off x="4972050" y="178149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50</xdr:row>
      <xdr:rowOff>504825</xdr:rowOff>
    </xdr:from>
    <xdr:ext cx="95250" cy="213632"/>
    <xdr:sp macro="" textlink="">
      <xdr:nvSpPr>
        <xdr:cNvPr id="4048" name="Text Box 15">
          <a:extLst>
            <a:ext uri="{FF2B5EF4-FFF2-40B4-BE49-F238E27FC236}">
              <a16:creationId xmlns:a16="http://schemas.microsoft.com/office/drawing/2014/main" id="{00000000-0008-0000-0500-0000D00F0000}"/>
            </a:ext>
          </a:extLst>
        </xdr:cNvPr>
        <xdr:cNvSpPr txBox="1">
          <a:spLocks noChangeArrowheads="1"/>
        </xdr:cNvSpPr>
      </xdr:nvSpPr>
      <xdr:spPr bwMode="auto">
        <a:xfrm>
          <a:off x="4972050" y="178149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52</xdr:row>
      <xdr:rowOff>504825</xdr:rowOff>
    </xdr:from>
    <xdr:ext cx="95250" cy="461691"/>
    <xdr:sp macro="" textlink="">
      <xdr:nvSpPr>
        <xdr:cNvPr id="4049" name="Text Box 15">
          <a:extLst>
            <a:ext uri="{FF2B5EF4-FFF2-40B4-BE49-F238E27FC236}">
              <a16:creationId xmlns:a16="http://schemas.microsoft.com/office/drawing/2014/main" id="{00000000-0008-0000-0500-0000D10F0000}"/>
            </a:ext>
          </a:extLst>
        </xdr:cNvPr>
        <xdr:cNvSpPr txBox="1">
          <a:spLocks noChangeArrowheads="1"/>
        </xdr:cNvSpPr>
      </xdr:nvSpPr>
      <xdr:spPr bwMode="auto">
        <a:xfrm>
          <a:off x="4972050" y="17814925"/>
          <a:ext cx="95250" cy="461691"/>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52</xdr:row>
      <xdr:rowOff>504825</xdr:rowOff>
    </xdr:from>
    <xdr:ext cx="95250" cy="213632"/>
    <xdr:sp macro="" textlink="">
      <xdr:nvSpPr>
        <xdr:cNvPr id="4050" name="Text Box 15">
          <a:extLst>
            <a:ext uri="{FF2B5EF4-FFF2-40B4-BE49-F238E27FC236}">
              <a16:creationId xmlns:a16="http://schemas.microsoft.com/office/drawing/2014/main" id="{00000000-0008-0000-0500-0000D20F0000}"/>
            </a:ext>
          </a:extLst>
        </xdr:cNvPr>
        <xdr:cNvSpPr txBox="1">
          <a:spLocks noChangeArrowheads="1"/>
        </xdr:cNvSpPr>
      </xdr:nvSpPr>
      <xdr:spPr bwMode="auto">
        <a:xfrm>
          <a:off x="4972050" y="178149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52</xdr:row>
      <xdr:rowOff>504825</xdr:rowOff>
    </xdr:from>
    <xdr:ext cx="95250" cy="444331"/>
    <xdr:sp macro="" textlink="">
      <xdr:nvSpPr>
        <xdr:cNvPr id="4051" name="Text Box 15">
          <a:extLst>
            <a:ext uri="{FF2B5EF4-FFF2-40B4-BE49-F238E27FC236}">
              <a16:creationId xmlns:a16="http://schemas.microsoft.com/office/drawing/2014/main" id="{00000000-0008-0000-0500-0000D30F0000}"/>
            </a:ext>
          </a:extLst>
        </xdr:cNvPr>
        <xdr:cNvSpPr txBox="1">
          <a:spLocks noChangeArrowheads="1"/>
        </xdr:cNvSpPr>
      </xdr:nvSpPr>
      <xdr:spPr bwMode="auto">
        <a:xfrm>
          <a:off x="4972050" y="17814925"/>
          <a:ext cx="95250" cy="444331"/>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52</xdr:row>
      <xdr:rowOff>504825</xdr:rowOff>
    </xdr:from>
    <xdr:ext cx="95250" cy="448496"/>
    <xdr:sp macro="" textlink="">
      <xdr:nvSpPr>
        <xdr:cNvPr id="4052" name="Text Box 15">
          <a:extLst>
            <a:ext uri="{FF2B5EF4-FFF2-40B4-BE49-F238E27FC236}">
              <a16:creationId xmlns:a16="http://schemas.microsoft.com/office/drawing/2014/main" id="{00000000-0008-0000-0500-0000D40F0000}"/>
            </a:ext>
          </a:extLst>
        </xdr:cNvPr>
        <xdr:cNvSpPr txBox="1">
          <a:spLocks noChangeArrowheads="1"/>
        </xdr:cNvSpPr>
      </xdr:nvSpPr>
      <xdr:spPr bwMode="auto">
        <a:xfrm>
          <a:off x="4972050" y="17814925"/>
          <a:ext cx="95250" cy="448496"/>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52</xdr:row>
      <xdr:rowOff>504825</xdr:rowOff>
    </xdr:from>
    <xdr:ext cx="95250" cy="213632"/>
    <xdr:sp macro="" textlink="">
      <xdr:nvSpPr>
        <xdr:cNvPr id="4053" name="Text Box 15">
          <a:extLst>
            <a:ext uri="{FF2B5EF4-FFF2-40B4-BE49-F238E27FC236}">
              <a16:creationId xmlns:a16="http://schemas.microsoft.com/office/drawing/2014/main" id="{00000000-0008-0000-0500-0000D50F0000}"/>
            </a:ext>
          </a:extLst>
        </xdr:cNvPr>
        <xdr:cNvSpPr txBox="1">
          <a:spLocks noChangeArrowheads="1"/>
        </xdr:cNvSpPr>
      </xdr:nvSpPr>
      <xdr:spPr bwMode="auto">
        <a:xfrm>
          <a:off x="4972050" y="178149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52</xdr:row>
      <xdr:rowOff>504825</xdr:rowOff>
    </xdr:from>
    <xdr:ext cx="95250" cy="444331"/>
    <xdr:sp macro="" textlink="">
      <xdr:nvSpPr>
        <xdr:cNvPr id="4054" name="Text Box 15">
          <a:extLst>
            <a:ext uri="{FF2B5EF4-FFF2-40B4-BE49-F238E27FC236}">
              <a16:creationId xmlns:a16="http://schemas.microsoft.com/office/drawing/2014/main" id="{00000000-0008-0000-0500-0000D60F0000}"/>
            </a:ext>
          </a:extLst>
        </xdr:cNvPr>
        <xdr:cNvSpPr txBox="1">
          <a:spLocks noChangeArrowheads="1"/>
        </xdr:cNvSpPr>
      </xdr:nvSpPr>
      <xdr:spPr bwMode="auto">
        <a:xfrm>
          <a:off x="4972050" y="17814925"/>
          <a:ext cx="95250" cy="444331"/>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52</xdr:row>
      <xdr:rowOff>504825</xdr:rowOff>
    </xdr:from>
    <xdr:ext cx="95250" cy="456743"/>
    <xdr:sp macro="" textlink="">
      <xdr:nvSpPr>
        <xdr:cNvPr id="4055" name="Text Box 15">
          <a:extLst>
            <a:ext uri="{FF2B5EF4-FFF2-40B4-BE49-F238E27FC236}">
              <a16:creationId xmlns:a16="http://schemas.microsoft.com/office/drawing/2014/main" id="{00000000-0008-0000-0500-0000D70F0000}"/>
            </a:ext>
          </a:extLst>
        </xdr:cNvPr>
        <xdr:cNvSpPr txBox="1">
          <a:spLocks noChangeArrowheads="1"/>
        </xdr:cNvSpPr>
      </xdr:nvSpPr>
      <xdr:spPr bwMode="auto">
        <a:xfrm>
          <a:off x="4972050" y="17814925"/>
          <a:ext cx="95250" cy="456743"/>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52</xdr:row>
      <xdr:rowOff>504825</xdr:rowOff>
    </xdr:from>
    <xdr:ext cx="95250" cy="213632"/>
    <xdr:sp macro="" textlink="">
      <xdr:nvSpPr>
        <xdr:cNvPr id="4056" name="Text Box 15">
          <a:extLst>
            <a:ext uri="{FF2B5EF4-FFF2-40B4-BE49-F238E27FC236}">
              <a16:creationId xmlns:a16="http://schemas.microsoft.com/office/drawing/2014/main" id="{00000000-0008-0000-0500-0000D80F0000}"/>
            </a:ext>
          </a:extLst>
        </xdr:cNvPr>
        <xdr:cNvSpPr txBox="1">
          <a:spLocks noChangeArrowheads="1"/>
        </xdr:cNvSpPr>
      </xdr:nvSpPr>
      <xdr:spPr bwMode="auto">
        <a:xfrm>
          <a:off x="4972050" y="178149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52</xdr:row>
      <xdr:rowOff>504825</xdr:rowOff>
    </xdr:from>
    <xdr:ext cx="95250" cy="444331"/>
    <xdr:sp macro="" textlink="">
      <xdr:nvSpPr>
        <xdr:cNvPr id="4057" name="Text Box 15">
          <a:extLst>
            <a:ext uri="{FF2B5EF4-FFF2-40B4-BE49-F238E27FC236}">
              <a16:creationId xmlns:a16="http://schemas.microsoft.com/office/drawing/2014/main" id="{00000000-0008-0000-0500-0000D90F0000}"/>
            </a:ext>
          </a:extLst>
        </xdr:cNvPr>
        <xdr:cNvSpPr txBox="1">
          <a:spLocks noChangeArrowheads="1"/>
        </xdr:cNvSpPr>
      </xdr:nvSpPr>
      <xdr:spPr bwMode="auto">
        <a:xfrm>
          <a:off x="4972050" y="17814925"/>
          <a:ext cx="95250" cy="444331"/>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52</xdr:row>
      <xdr:rowOff>504825</xdr:rowOff>
    </xdr:from>
    <xdr:ext cx="95250" cy="213632"/>
    <xdr:sp macro="" textlink="">
      <xdr:nvSpPr>
        <xdr:cNvPr id="4058" name="Text Box 15">
          <a:extLst>
            <a:ext uri="{FF2B5EF4-FFF2-40B4-BE49-F238E27FC236}">
              <a16:creationId xmlns:a16="http://schemas.microsoft.com/office/drawing/2014/main" id="{00000000-0008-0000-0500-0000DA0F0000}"/>
            </a:ext>
          </a:extLst>
        </xdr:cNvPr>
        <xdr:cNvSpPr txBox="1">
          <a:spLocks noChangeArrowheads="1"/>
        </xdr:cNvSpPr>
      </xdr:nvSpPr>
      <xdr:spPr bwMode="auto">
        <a:xfrm>
          <a:off x="4972050" y="178149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52</xdr:row>
      <xdr:rowOff>504825</xdr:rowOff>
    </xdr:from>
    <xdr:ext cx="95250" cy="213632"/>
    <xdr:sp macro="" textlink="">
      <xdr:nvSpPr>
        <xdr:cNvPr id="4059" name="Text Box 15">
          <a:extLst>
            <a:ext uri="{FF2B5EF4-FFF2-40B4-BE49-F238E27FC236}">
              <a16:creationId xmlns:a16="http://schemas.microsoft.com/office/drawing/2014/main" id="{00000000-0008-0000-0500-0000DB0F0000}"/>
            </a:ext>
          </a:extLst>
        </xdr:cNvPr>
        <xdr:cNvSpPr txBox="1">
          <a:spLocks noChangeArrowheads="1"/>
        </xdr:cNvSpPr>
      </xdr:nvSpPr>
      <xdr:spPr bwMode="auto">
        <a:xfrm>
          <a:off x="4972050" y="178149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54</xdr:row>
      <xdr:rowOff>504825</xdr:rowOff>
    </xdr:from>
    <xdr:ext cx="95250" cy="213632"/>
    <xdr:sp macro="" textlink="">
      <xdr:nvSpPr>
        <xdr:cNvPr id="4060" name="Text Box 15">
          <a:extLst>
            <a:ext uri="{FF2B5EF4-FFF2-40B4-BE49-F238E27FC236}">
              <a16:creationId xmlns:a16="http://schemas.microsoft.com/office/drawing/2014/main" id="{00000000-0008-0000-0500-0000DC0F0000}"/>
            </a:ext>
          </a:extLst>
        </xdr:cNvPr>
        <xdr:cNvSpPr txBox="1">
          <a:spLocks noChangeArrowheads="1"/>
        </xdr:cNvSpPr>
      </xdr:nvSpPr>
      <xdr:spPr bwMode="auto">
        <a:xfrm>
          <a:off x="4972050" y="185642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54</xdr:row>
      <xdr:rowOff>504825</xdr:rowOff>
    </xdr:from>
    <xdr:ext cx="95250" cy="213632"/>
    <xdr:sp macro="" textlink="">
      <xdr:nvSpPr>
        <xdr:cNvPr id="4061" name="Text Box 15">
          <a:extLst>
            <a:ext uri="{FF2B5EF4-FFF2-40B4-BE49-F238E27FC236}">
              <a16:creationId xmlns:a16="http://schemas.microsoft.com/office/drawing/2014/main" id="{00000000-0008-0000-0500-0000DD0F0000}"/>
            </a:ext>
          </a:extLst>
        </xdr:cNvPr>
        <xdr:cNvSpPr txBox="1">
          <a:spLocks noChangeArrowheads="1"/>
        </xdr:cNvSpPr>
      </xdr:nvSpPr>
      <xdr:spPr bwMode="auto">
        <a:xfrm>
          <a:off x="4972050" y="185642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54</xdr:row>
      <xdr:rowOff>504825</xdr:rowOff>
    </xdr:from>
    <xdr:ext cx="95250" cy="213632"/>
    <xdr:sp macro="" textlink="">
      <xdr:nvSpPr>
        <xdr:cNvPr id="4062" name="Text Box 15">
          <a:extLst>
            <a:ext uri="{FF2B5EF4-FFF2-40B4-BE49-F238E27FC236}">
              <a16:creationId xmlns:a16="http://schemas.microsoft.com/office/drawing/2014/main" id="{00000000-0008-0000-0500-0000DE0F0000}"/>
            </a:ext>
          </a:extLst>
        </xdr:cNvPr>
        <xdr:cNvSpPr txBox="1">
          <a:spLocks noChangeArrowheads="1"/>
        </xdr:cNvSpPr>
      </xdr:nvSpPr>
      <xdr:spPr bwMode="auto">
        <a:xfrm>
          <a:off x="4972050" y="185642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54</xdr:row>
      <xdr:rowOff>504825</xdr:rowOff>
    </xdr:from>
    <xdr:ext cx="95250" cy="213632"/>
    <xdr:sp macro="" textlink="">
      <xdr:nvSpPr>
        <xdr:cNvPr id="4063" name="Text Box 15">
          <a:extLst>
            <a:ext uri="{FF2B5EF4-FFF2-40B4-BE49-F238E27FC236}">
              <a16:creationId xmlns:a16="http://schemas.microsoft.com/office/drawing/2014/main" id="{00000000-0008-0000-0500-0000DF0F0000}"/>
            </a:ext>
          </a:extLst>
        </xdr:cNvPr>
        <xdr:cNvSpPr txBox="1">
          <a:spLocks noChangeArrowheads="1"/>
        </xdr:cNvSpPr>
      </xdr:nvSpPr>
      <xdr:spPr bwMode="auto">
        <a:xfrm>
          <a:off x="4972050" y="185642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54</xdr:row>
      <xdr:rowOff>504825</xdr:rowOff>
    </xdr:from>
    <xdr:ext cx="95250" cy="213632"/>
    <xdr:sp macro="" textlink="">
      <xdr:nvSpPr>
        <xdr:cNvPr id="4064" name="Text Box 15">
          <a:extLst>
            <a:ext uri="{FF2B5EF4-FFF2-40B4-BE49-F238E27FC236}">
              <a16:creationId xmlns:a16="http://schemas.microsoft.com/office/drawing/2014/main" id="{00000000-0008-0000-0500-0000E00F0000}"/>
            </a:ext>
          </a:extLst>
        </xdr:cNvPr>
        <xdr:cNvSpPr txBox="1">
          <a:spLocks noChangeArrowheads="1"/>
        </xdr:cNvSpPr>
      </xdr:nvSpPr>
      <xdr:spPr bwMode="auto">
        <a:xfrm>
          <a:off x="4972050" y="185642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56</xdr:row>
      <xdr:rowOff>504825</xdr:rowOff>
    </xdr:from>
    <xdr:ext cx="95250" cy="448496"/>
    <xdr:sp macro="" textlink="">
      <xdr:nvSpPr>
        <xdr:cNvPr id="4065" name="Text Box 15">
          <a:extLst>
            <a:ext uri="{FF2B5EF4-FFF2-40B4-BE49-F238E27FC236}">
              <a16:creationId xmlns:a16="http://schemas.microsoft.com/office/drawing/2014/main" id="{00000000-0008-0000-0500-0000E10F0000}"/>
            </a:ext>
          </a:extLst>
        </xdr:cNvPr>
        <xdr:cNvSpPr txBox="1">
          <a:spLocks noChangeArrowheads="1"/>
        </xdr:cNvSpPr>
      </xdr:nvSpPr>
      <xdr:spPr bwMode="auto">
        <a:xfrm>
          <a:off x="4972050" y="20062825"/>
          <a:ext cx="95250" cy="448496"/>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56</xdr:row>
      <xdr:rowOff>504825</xdr:rowOff>
    </xdr:from>
    <xdr:ext cx="95250" cy="213632"/>
    <xdr:sp macro="" textlink="">
      <xdr:nvSpPr>
        <xdr:cNvPr id="4066" name="Text Box 15">
          <a:extLst>
            <a:ext uri="{FF2B5EF4-FFF2-40B4-BE49-F238E27FC236}">
              <a16:creationId xmlns:a16="http://schemas.microsoft.com/office/drawing/2014/main" id="{00000000-0008-0000-0500-0000E20F0000}"/>
            </a:ext>
          </a:extLst>
        </xdr:cNvPr>
        <xdr:cNvSpPr txBox="1">
          <a:spLocks noChangeArrowheads="1"/>
        </xdr:cNvSpPr>
      </xdr:nvSpPr>
      <xdr:spPr bwMode="auto">
        <a:xfrm>
          <a:off x="4972050" y="200628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56</xdr:row>
      <xdr:rowOff>504825</xdr:rowOff>
    </xdr:from>
    <xdr:ext cx="95250" cy="444331"/>
    <xdr:sp macro="" textlink="">
      <xdr:nvSpPr>
        <xdr:cNvPr id="4067" name="Text Box 15">
          <a:extLst>
            <a:ext uri="{FF2B5EF4-FFF2-40B4-BE49-F238E27FC236}">
              <a16:creationId xmlns:a16="http://schemas.microsoft.com/office/drawing/2014/main" id="{00000000-0008-0000-0500-0000E30F0000}"/>
            </a:ext>
          </a:extLst>
        </xdr:cNvPr>
        <xdr:cNvSpPr txBox="1">
          <a:spLocks noChangeArrowheads="1"/>
        </xdr:cNvSpPr>
      </xdr:nvSpPr>
      <xdr:spPr bwMode="auto">
        <a:xfrm>
          <a:off x="4972050" y="20062825"/>
          <a:ext cx="95250" cy="444331"/>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56</xdr:row>
      <xdr:rowOff>504825</xdr:rowOff>
    </xdr:from>
    <xdr:ext cx="95250" cy="448496"/>
    <xdr:sp macro="" textlink="">
      <xdr:nvSpPr>
        <xdr:cNvPr id="4068" name="Text Box 15">
          <a:extLst>
            <a:ext uri="{FF2B5EF4-FFF2-40B4-BE49-F238E27FC236}">
              <a16:creationId xmlns:a16="http://schemas.microsoft.com/office/drawing/2014/main" id="{00000000-0008-0000-0500-0000E40F0000}"/>
            </a:ext>
          </a:extLst>
        </xdr:cNvPr>
        <xdr:cNvSpPr txBox="1">
          <a:spLocks noChangeArrowheads="1"/>
        </xdr:cNvSpPr>
      </xdr:nvSpPr>
      <xdr:spPr bwMode="auto">
        <a:xfrm>
          <a:off x="4972050" y="20062825"/>
          <a:ext cx="95250" cy="448496"/>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56</xdr:row>
      <xdr:rowOff>504825</xdr:rowOff>
    </xdr:from>
    <xdr:ext cx="95250" cy="213632"/>
    <xdr:sp macro="" textlink="">
      <xdr:nvSpPr>
        <xdr:cNvPr id="4069" name="Text Box 15">
          <a:extLst>
            <a:ext uri="{FF2B5EF4-FFF2-40B4-BE49-F238E27FC236}">
              <a16:creationId xmlns:a16="http://schemas.microsoft.com/office/drawing/2014/main" id="{00000000-0008-0000-0500-0000E50F0000}"/>
            </a:ext>
          </a:extLst>
        </xdr:cNvPr>
        <xdr:cNvSpPr txBox="1">
          <a:spLocks noChangeArrowheads="1"/>
        </xdr:cNvSpPr>
      </xdr:nvSpPr>
      <xdr:spPr bwMode="auto">
        <a:xfrm>
          <a:off x="4972050" y="200628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56</xdr:row>
      <xdr:rowOff>504825</xdr:rowOff>
    </xdr:from>
    <xdr:ext cx="95250" cy="444331"/>
    <xdr:sp macro="" textlink="">
      <xdr:nvSpPr>
        <xdr:cNvPr id="4070" name="Text Box 15">
          <a:extLst>
            <a:ext uri="{FF2B5EF4-FFF2-40B4-BE49-F238E27FC236}">
              <a16:creationId xmlns:a16="http://schemas.microsoft.com/office/drawing/2014/main" id="{00000000-0008-0000-0500-0000E60F0000}"/>
            </a:ext>
          </a:extLst>
        </xdr:cNvPr>
        <xdr:cNvSpPr txBox="1">
          <a:spLocks noChangeArrowheads="1"/>
        </xdr:cNvSpPr>
      </xdr:nvSpPr>
      <xdr:spPr bwMode="auto">
        <a:xfrm>
          <a:off x="4972050" y="20062825"/>
          <a:ext cx="95250" cy="444331"/>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56</xdr:row>
      <xdr:rowOff>504825</xdr:rowOff>
    </xdr:from>
    <xdr:ext cx="95250" cy="456743"/>
    <xdr:sp macro="" textlink="">
      <xdr:nvSpPr>
        <xdr:cNvPr id="4071" name="Text Box 15">
          <a:extLst>
            <a:ext uri="{FF2B5EF4-FFF2-40B4-BE49-F238E27FC236}">
              <a16:creationId xmlns:a16="http://schemas.microsoft.com/office/drawing/2014/main" id="{00000000-0008-0000-0500-0000E70F0000}"/>
            </a:ext>
          </a:extLst>
        </xdr:cNvPr>
        <xdr:cNvSpPr txBox="1">
          <a:spLocks noChangeArrowheads="1"/>
        </xdr:cNvSpPr>
      </xdr:nvSpPr>
      <xdr:spPr bwMode="auto">
        <a:xfrm>
          <a:off x="4972050" y="20062825"/>
          <a:ext cx="95250" cy="456743"/>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56</xdr:row>
      <xdr:rowOff>504825</xdr:rowOff>
    </xdr:from>
    <xdr:ext cx="95250" cy="213632"/>
    <xdr:sp macro="" textlink="">
      <xdr:nvSpPr>
        <xdr:cNvPr id="4072" name="Text Box 15">
          <a:extLst>
            <a:ext uri="{FF2B5EF4-FFF2-40B4-BE49-F238E27FC236}">
              <a16:creationId xmlns:a16="http://schemas.microsoft.com/office/drawing/2014/main" id="{00000000-0008-0000-0500-0000E80F0000}"/>
            </a:ext>
          </a:extLst>
        </xdr:cNvPr>
        <xdr:cNvSpPr txBox="1">
          <a:spLocks noChangeArrowheads="1"/>
        </xdr:cNvSpPr>
      </xdr:nvSpPr>
      <xdr:spPr bwMode="auto">
        <a:xfrm>
          <a:off x="4972050" y="200628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56</xdr:row>
      <xdr:rowOff>504825</xdr:rowOff>
    </xdr:from>
    <xdr:ext cx="95250" cy="444331"/>
    <xdr:sp macro="" textlink="">
      <xdr:nvSpPr>
        <xdr:cNvPr id="4073" name="Text Box 15">
          <a:extLst>
            <a:ext uri="{FF2B5EF4-FFF2-40B4-BE49-F238E27FC236}">
              <a16:creationId xmlns:a16="http://schemas.microsoft.com/office/drawing/2014/main" id="{00000000-0008-0000-0500-0000E90F0000}"/>
            </a:ext>
          </a:extLst>
        </xdr:cNvPr>
        <xdr:cNvSpPr txBox="1">
          <a:spLocks noChangeArrowheads="1"/>
        </xdr:cNvSpPr>
      </xdr:nvSpPr>
      <xdr:spPr bwMode="auto">
        <a:xfrm>
          <a:off x="4972050" y="20062825"/>
          <a:ext cx="95250" cy="444331"/>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56</xdr:row>
      <xdr:rowOff>504825</xdr:rowOff>
    </xdr:from>
    <xdr:ext cx="95250" cy="213632"/>
    <xdr:sp macro="" textlink="">
      <xdr:nvSpPr>
        <xdr:cNvPr id="4074" name="Text Box 15">
          <a:extLst>
            <a:ext uri="{FF2B5EF4-FFF2-40B4-BE49-F238E27FC236}">
              <a16:creationId xmlns:a16="http://schemas.microsoft.com/office/drawing/2014/main" id="{00000000-0008-0000-0500-0000EA0F0000}"/>
            </a:ext>
          </a:extLst>
        </xdr:cNvPr>
        <xdr:cNvSpPr txBox="1">
          <a:spLocks noChangeArrowheads="1"/>
        </xdr:cNvSpPr>
      </xdr:nvSpPr>
      <xdr:spPr bwMode="auto">
        <a:xfrm>
          <a:off x="4972050" y="200628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56</xdr:row>
      <xdr:rowOff>504825</xdr:rowOff>
    </xdr:from>
    <xdr:ext cx="95250" cy="213632"/>
    <xdr:sp macro="" textlink="">
      <xdr:nvSpPr>
        <xdr:cNvPr id="4075" name="Text Box 15">
          <a:extLst>
            <a:ext uri="{FF2B5EF4-FFF2-40B4-BE49-F238E27FC236}">
              <a16:creationId xmlns:a16="http://schemas.microsoft.com/office/drawing/2014/main" id="{00000000-0008-0000-0500-0000EB0F0000}"/>
            </a:ext>
          </a:extLst>
        </xdr:cNvPr>
        <xdr:cNvSpPr txBox="1">
          <a:spLocks noChangeArrowheads="1"/>
        </xdr:cNvSpPr>
      </xdr:nvSpPr>
      <xdr:spPr bwMode="auto">
        <a:xfrm>
          <a:off x="4972050" y="200628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56</xdr:row>
      <xdr:rowOff>504825</xdr:rowOff>
    </xdr:from>
    <xdr:ext cx="95250" cy="213632"/>
    <xdr:sp macro="" textlink="">
      <xdr:nvSpPr>
        <xdr:cNvPr id="4076" name="Text Box 15">
          <a:extLst>
            <a:ext uri="{FF2B5EF4-FFF2-40B4-BE49-F238E27FC236}">
              <a16:creationId xmlns:a16="http://schemas.microsoft.com/office/drawing/2014/main" id="{00000000-0008-0000-0500-0000EC0F0000}"/>
            </a:ext>
          </a:extLst>
        </xdr:cNvPr>
        <xdr:cNvSpPr txBox="1">
          <a:spLocks noChangeArrowheads="1"/>
        </xdr:cNvSpPr>
      </xdr:nvSpPr>
      <xdr:spPr bwMode="auto">
        <a:xfrm>
          <a:off x="4972050" y="200628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56</xdr:row>
      <xdr:rowOff>504825</xdr:rowOff>
    </xdr:from>
    <xdr:ext cx="95250" cy="213632"/>
    <xdr:sp macro="" textlink="">
      <xdr:nvSpPr>
        <xdr:cNvPr id="4077" name="Text Box 15">
          <a:extLst>
            <a:ext uri="{FF2B5EF4-FFF2-40B4-BE49-F238E27FC236}">
              <a16:creationId xmlns:a16="http://schemas.microsoft.com/office/drawing/2014/main" id="{00000000-0008-0000-0500-0000ED0F0000}"/>
            </a:ext>
          </a:extLst>
        </xdr:cNvPr>
        <xdr:cNvSpPr txBox="1">
          <a:spLocks noChangeArrowheads="1"/>
        </xdr:cNvSpPr>
      </xdr:nvSpPr>
      <xdr:spPr bwMode="auto">
        <a:xfrm>
          <a:off x="4972050" y="200628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56</xdr:row>
      <xdr:rowOff>504825</xdr:rowOff>
    </xdr:from>
    <xdr:ext cx="95250" cy="213632"/>
    <xdr:sp macro="" textlink="">
      <xdr:nvSpPr>
        <xdr:cNvPr id="4078" name="Text Box 15">
          <a:extLst>
            <a:ext uri="{FF2B5EF4-FFF2-40B4-BE49-F238E27FC236}">
              <a16:creationId xmlns:a16="http://schemas.microsoft.com/office/drawing/2014/main" id="{00000000-0008-0000-0500-0000EE0F0000}"/>
            </a:ext>
          </a:extLst>
        </xdr:cNvPr>
        <xdr:cNvSpPr txBox="1">
          <a:spLocks noChangeArrowheads="1"/>
        </xdr:cNvSpPr>
      </xdr:nvSpPr>
      <xdr:spPr bwMode="auto">
        <a:xfrm>
          <a:off x="4972050" y="200628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58</xdr:row>
      <xdr:rowOff>504825</xdr:rowOff>
    </xdr:from>
    <xdr:ext cx="95250" cy="448496"/>
    <xdr:sp macro="" textlink="">
      <xdr:nvSpPr>
        <xdr:cNvPr id="4079" name="Text Box 15">
          <a:extLst>
            <a:ext uri="{FF2B5EF4-FFF2-40B4-BE49-F238E27FC236}">
              <a16:creationId xmlns:a16="http://schemas.microsoft.com/office/drawing/2014/main" id="{00000000-0008-0000-0500-0000EF0F0000}"/>
            </a:ext>
          </a:extLst>
        </xdr:cNvPr>
        <xdr:cNvSpPr txBox="1">
          <a:spLocks noChangeArrowheads="1"/>
        </xdr:cNvSpPr>
      </xdr:nvSpPr>
      <xdr:spPr bwMode="auto">
        <a:xfrm>
          <a:off x="4972050" y="20062825"/>
          <a:ext cx="95250" cy="448496"/>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58</xdr:row>
      <xdr:rowOff>504825</xdr:rowOff>
    </xdr:from>
    <xdr:ext cx="95250" cy="213632"/>
    <xdr:sp macro="" textlink="">
      <xdr:nvSpPr>
        <xdr:cNvPr id="4080" name="Text Box 15">
          <a:extLst>
            <a:ext uri="{FF2B5EF4-FFF2-40B4-BE49-F238E27FC236}">
              <a16:creationId xmlns:a16="http://schemas.microsoft.com/office/drawing/2014/main" id="{00000000-0008-0000-0500-0000F00F0000}"/>
            </a:ext>
          </a:extLst>
        </xdr:cNvPr>
        <xdr:cNvSpPr txBox="1">
          <a:spLocks noChangeArrowheads="1"/>
        </xdr:cNvSpPr>
      </xdr:nvSpPr>
      <xdr:spPr bwMode="auto">
        <a:xfrm>
          <a:off x="4972050" y="200628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58</xdr:row>
      <xdr:rowOff>504825</xdr:rowOff>
    </xdr:from>
    <xdr:ext cx="95250" cy="444331"/>
    <xdr:sp macro="" textlink="">
      <xdr:nvSpPr>
        <xdr:cNvPr id="4081" name="Text Box 15">
          <a:extLst>
            <a:ext uri="{FF2B5EF4-FFF2-40B4-BE49-F238E27FC236}">
              <a16:creationId xmlns:a16="http://schemas.microsoft.com/office/drawing/2014/main" id="{00000000-0008-0000-0500-0000F10F0000}"/>
            </a:ext>
          </a:extLst>
        </xdr:cNvPr>
        <xdr:cNvSpPr txBox="1">
          <a:spLocks noChangeArrowheads="1"/>
        </xdr:cNvSpPr>
      </xdr:nvSpPr>
      <xdr:spPr bwMode="auto">
        <a:xfrm>
          <a:off x="4972050" y="20062825"/>
          <a:ext cx="95250" cy="444331"/>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58</xdr:row>
      <xdr:rowOff>504825</xdr:rowOff>
    </xdr:from>
    <xdr:ext cx="95250" cy="448496"/>
    <xdr:sp macro="" textlink="">
      <xdr:nvSpPr>
        <xdr:cNvPr id="4082" name="Text Box 15">
          <a:extLst>
            <a:ext uri="{FF2B5EF4-FFF2-40B4-BE49-F238E27FC236}">
              <a16:creationId xmlns:a16="http://schemas.microsoft.com/office/drawing/2014/main" id="{00000000-0008-0000-0500-0000F20F0000}"/>
            </a:ext>
          </a:extLst>
        </xdr:cNvPr>
        <xdr:cNvSpPr txBox="1">
          <a:spLocks noChangeArrowheads="1"/>
        </xdr:cNvSpPr>
      </xdr:nvSpPr>
      <xdr:spPr bwMode="auto">
        <a:xfrm>
          <a:off x="4972050" y="20062825"/>
          <a:ext cx="95250" cy="448496"/>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58</xdr:row>
      <xdr:rowOff>504825</xdr:rowOff>
    </xdr:from>
    <xdr:ext cx="95250" cy="213632"/>
    <xdr:sp macro="" textlink="">
      <xdr:nvSpPr>
        <xdr:cNvPr id="4083" name="Text Box 15">
          <a:extLst>
            <a:ext uri="{FF2B5EF4-FFF2-40B4-BE49-F238E27FC236}">
              <a16:creationId xmlns:a16="http://schemas.microsoft.com/office/drawing/2014/main" id="{00000000-0008-0000-0500-0000F30F0000}"/>
            </a:ext>
          </a:extLst>
        </xdr:cNvPr>
        <xdr:cNvSpPr txBox="1">
          <a:spLocks noChangeArrowheads="1"/>
        </xdr:cNvSpPr>
      </xdr:nvSpPr>
      <xdr:spPr bwMode="auto">
        <a:xfrm>
          <a:off x="4972050" y="200628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58</xdr:row>
      <xdr:rowOff>504825</xdr:rowOff>
    </xdr:from>
    <xdr:ext cx="95250" cy="444331"/>
    <xdr:sp macro="" textlink="">
      <xdr:nvSpPr>
        <xdr:cNvPr id="4084" name="Text Box 15">
          <a:extLst>
            <a:ext uri="{FF2B5EF4-FFF2-40B4-BE49-F238E27FC236}">
              <a16:creationId xmlns:a16="http://schemas.microsoft.com/office/drawing/2014/main" id="{00000000-0008-0000-0500-0000F40F0000}"/>
            </a:ext>
          </a:extLst>
        </xdr:cNvPr>
        <xdr:cNvSpPr txBox="1">
          <a:spLocks noChangeArrowheads="1"/>
        </xdr:cNvSpPr>
      </xdr:nvSpPr>
      <xdr:spPr bwMode="auto">
        <a:xfrm>
          <a:off x="4972050" y="20062825"/>
          <a:ext cx="95250" cy="444331"/>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58</xdr:row>
      <xdr:rowOff>504825</xdr:rowOff>
    </xdr:from>
    <xdr:ext cx="95250" cy="456743"/>
    <xdr:sp macro="" textlink="">
      <xdr:nvSpPr>
        <xdr:cNvPr id="4085" name="Text Box 15">
          <a:extLst>
            <a:ext uri="{FF2B5EF4-FFF2-40B4-BE49-F238E27FC236}">
              <a16:creationId xmlns:a16="http://schemas.microsoft.com/office/drawing/2014/main" id="{00000000-0008-0000-0500-0000F50F0000}"/>
            </a:ext>
          </a:extLst>
        </xdr:cNvPr>
        <xdr:cNvSpPr txBox="1">
          <a:spLocks noChangeArrowheads="1"/>
        </xdr:cNvSpPr>
      </xdr:nvSpPr>
      <xdr:spPr bwMode="auto">
        <a:xfrm>
          <a:off x="4972050" y="20062825"/>
          <a:ext cx="95250" cy="456743"/>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58</xdr:row>
      <xdr:rowOff>504825</xdr:rowOff>
    </xdr:from>
    <xdr:ext cx="95250" cy="213632"/>
    <xdr:sp macro="" textlink="">
      <xdr:nvSpPr>
        <xdr:cNvPr id="4086" name="Text Box 15">
          <a:extLst>
            <a:ext uri="{FF2B5EF4-FFF2-40B4-BE49-F238E27FC236}">
              <a16:creationId xmlns:a16="http://schemas.microsoft.com/office/drawing/2014/main" id="{00000000-0008-0000-0500-0000F60F0000}"/>
            </a:ext>
          </a:extLst>
        </xdr:cNvPr>
        <xdr:cNvSpPr txBox="1">
          <a:spLocks noChangeArrowheads="1"/>
        </xdr:cNvSpPr>
      </xdr:nvSpPr>
      <xdr:spPr bwMode="auto">
        <a:xfrm>
          <a:off x="4972050" y="200628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58</xdr:row>
      <xdr:rowOff>504825</xdr:rowOff>
    </xdr:from>
    <xdr:ext cx="95250" cy="444331"/>
    <xdr:sp macro="" textlink="">
      <xdr:nvSpPr>
        <xdr:cNvPr id="4087" name="Text Box 15">
          <a:extLst>
            <a:ext uri="{FF2B5EF4-FFF2-40B4-BE49-F238E27FC236}">
              <a16:creationId xmlns:a16="http://schemas.microsoft.com/office/drawing/2014/main" id="{00000000-0008-0000-0500-0000F70F0000}"/>
            </a:ext>
          </a:extLst>
        </xdr:cNvPr>
        <xdr:cNvSpPr txBox="1">
          <a:spLocks noChangeArrowheads="1"/>
        </xdr:cNvSpPr>
      </xdr:nvSpPr>
      <xdr:spPr bwMode="auto">
        <a:xfrm>
          <a:off x="4972050" y="20062825"/>
          <a:ext cx="95250" cy="444331"/>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58</xdr:row>
      <xdr:rowOff>504825</xdr:rowOff>
    </xdr:from>
    <xdr:ext cx="95250" cy="213632"/>
    <xdr:sp macro="" textlink="">
      <xdr:nvSpPr>
        <xdr:cNvPr id="4088" name="Text Box 15">
          <a:extLst>
            <a:ext uri="{FF2B5EF4-FFF2-40B4-BE49-F238E27FC236}">
              <a16:creationId xmlns:a16="http://schemas.microsoft.com/office/drawing/2014/main" id="{00000000-0008-0000-0500-0000F80F0000}"/>
            </a:ext>
          </a:extLst>
        </xdr:cNvPr>
        <xdr:cNvSpPr txBox="1">
          <a:spLocks noChangeArrowheads="1"/>
        </xdr:cNvSpPr>
      </xdr:nvSpPr>
      <xdr:spPr bwMode="auto">
        <a:xfrm>
          <a:off x="4972050" y="200628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58</xdr:row>
      <xdr:rowOff>504825</xdr:rowOff>
    </xdr:from>
    <xdr:ext cx="95250" cy="213632"/>
    <xdr:sp macro="" textlink="">
      <xdr:nvSpPr>
        <xdr:cNvPr id="4089" name="Text Box 15">
          <a:extLst>
            <a:ext uri="{FF2B5EF4-FFF2-40B4-BE49-F238E27FC236}">
              <a16:creationId xmlns:a16="http://schemas.microsoft.com/office/drawing/2014/main" id="{00000000-0008-0000-0500-0000F90F0000}"/>
            </a:ext>
          </a:extLst>
        </xdr:cNvPr>
        <xdr:cNvSpPr txBox="1">
          <a:spLocks noChangeArrowheads="1"/>
        </xdr:cNvSpPr>
      </xdr:nvSpPr>
      <xdr:spPr bwMode="auto">
        <a:xfrm>
          <a:off x="4972050" y="200628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58</xdr:row>
      <xdr:rowOff>504825</xdr:rowOff>
    </xdr:from>
    <xdr:ext cx="95250" cy="213632"/>
    <xdr:sp macro="" textlink="">
      <xdr:nvSpPr>
        <xdr:cNvPr id="4090" name="Text Box 15">
          <a:extLst>
            <a:ext uri="{FF2B5EF4-FFF2-40B4-BE49-F238E27FC236}">
              <a16:creationId xmlns:a16="http://schemas.microsoft.com/office/drawing/2014/main" id="{00000000-0008-0000-0500-0000FA0F0000}"/>
            </a:ext>
          </a:extLst>
        </xdr:cNvPr>
        <xdr:cNvSpPr txBox="1">
          <a:spLocks noChangeArrowheads="1"/>
        </xdr:cNvSpPr>
      </xdr:nvSpPr>
      <xdr:spPr bwMode="auto">
        <a:xfrm>
          <a:off x="4972050" y="200628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58</xdr:row>
      <xdr:rowOff>504825</xdr:rowOff>
    </xdr:from>
    <xdr:ext cx="95250" cy="213632"/>
    <xdr:sp macro="" textlink="">
      <xdr:nvSpPr>
        <xdr:cNvPr id="4091" name="Text Box 15">
          <a:extLst>
            <a:ext uri="{FF2B5EF4-FFF2-40B4-BE49-F238E27FC236}">
              <a16:creationId xmlns:a16="http://schemas.microsoft.com/office/drawing/2014/main" id="{00000000-0008-0000-0500-0000FB0F0000}"/>
            </a:ext>
          </a:extLst>
        </xdr:cNvPr>
        <xdr:cNvSpPr txBox="1">
          <a:spLocks noChangeArrowheads="1"/>
        </xdr:cNvSpPr>
      </xdr:nvSpPr>
      <xdr:spPr bwMode="auto">
        <a:xfrm>
          <a:off x="4972050" y="200628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58</xdr:row>
      <xdr:rowOff>504825</xdr:rowOff>
    </xdr:from>
    <xdr:ext cx="95250" cy="213632"/>
    <xdr:sp macro="" textlink="">
      <xdr:nvSpPr>
        <xdr:cNvPr id="4092" name="Text Box 15">
          <a:extLst>
            <a:ext uri="{FF2B5EF4-FFF2-40B4-BE49-F238E27FC236}">
              <a16:creationId xmlns:a16="http://schemas.microsoft.com/office/drawing/2014/main" id="{00000000-0008-0000-0500-0000FC0F0000}"/>
            </a:ext>
          </a:extLst>
        </xdr:cNvPr>
        <xdr:cNvSpPr txBox="1">
          <a:spLocks noChangeArrowheads="1"/>
        </xdr:cNvSpPr>
      </xdr:nvSpPr>
      <xdr:spPr bwMode="auto">
        <a:xfrm>
          <a:off x="4972050" y="200628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60</xdr:row>
      <xdr:rowOff>504825</xdr:rowOff>
    </xdr:from>
    <xdr:ext cx="95250" cy="213632"/>
    <xdr:sp macro="" textlink="">
      <xdr:nvSpPr>
        <xdr:cNvPr id="4093" name="Text Box 15">
          <a:extLst>
            <a:ext uri="{FF2B5EF4-FFF2-40B4-BE49-F238E27FC236}">
              <a16:creationId xmlns:a16="http://schemas.microsoft.com/office/drawing/2014/main" id="{00000000-0008-0000-0500-0000FD0F0000}"/>
            </a:ext>
          </a:extLst>
        </xdr:cNvPr>
        <xdr:cNvSpPr txBox="1">
          <a:spLocks noChangeArrowheads="1"/>
        </xdr:cNvSpPr>
      </xdr:nvSpPr>
      <xdr:spPr bwMode="auto">
        <a:xfrm>
          <a:off x="4972050" y="208121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60</xdr:row>
      <xdr:rowOff>504825</xdr:rowOff>
    </xdr:from>
    <xdr:ext cx="95250" cy="213632"/>
    <xdr:sp macro="" textlink="">
      <xdr:nvSpPr>
        <xdr:cNvPr id="4094" name="Text Box 15">
          <a:extLst>
            <a:ext uri="{FF2B5EF4-FFF2-40B4-BE49-F238E27FC236}">
              <a16:creationId xmlns:a16="http://schemas.microsoft.com/office/drawing/2014/main" id="{00000000-0008-0000-0500-0000FE0F0000}"/>
            </a:ext>
          </a:extLst>
        </xdr:cNvPr>
        <xdr:cNvSpPr txBox="1">
          <a:spLocks noChangeArrowheads="1"/>
        </xdr:cNvSpPr>
      </xdr:nvSpPr>
      <xdr:spPr bwMode="auto">
        <a:xfrm>
          <a:off x="4972050" y="208121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60</xdr:row>
      <xdr:rowOff>504825</xdr:rowOff>
    </xdr:from>
    <xdr:ext cx="95250" cy="213632"/>
    <xdr:sp macro="" textlink="">
      <xdr:nvSpPr>
        <xdr:cNvPr id="4095" name="Text Box 15">
          <a:extLst>
            <a:ext uri="{FF2B5EF4-FFF2-40B4-BE49-F238E27FC236}">
              <a16:creationId xmlns:a16="http://schemas.microsoft.com/office/drawing/2014/main" id="{00000000-0008-0000-0500-0000FF0F0000}"/>
            </a:ext>
          </a:extLst>
        </xdr:cNvPr>
        <xdr:cNvSpPr txBox="1">
          <a:spLocks noChangeArrowheads="1"/>
        </xdr:cNvSpPr>
      </xdr:nvSpPr>
      <xdr:spPr bwMode="auto">
        <a:xfrm>
          <a:off x="4972050" y="208121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60</xdr:row>
      <xdr:rowOff>504825</xdr:rowOff>
    </xdr:from>
    <xdr:ext cx="95250" cy="213632"/>
    <xdr:sp macro="" textlink="">
      <xdr:nvSpPr>
        <xdr:cNvPr id="4096" name="Text Box 15">
          <a:extLst>
            <a:ext uri="{FF2B5EF4-FFF2-40B4-BE49-F238E27FC236}">
              <a16:creationId xmlns:a16="http://schemas.microsoft.com/office/drawing/2014/main" id="{00000000-0008-0000-0500-000000100000}"/>
            </a:ext>
          </a:extLst>
        </xdr:cNvPr>
        <xdr:cNvSpPr txBox="1">
          <a:spLocks noChangeArrowheads="1"/>
        </xdr:cNvSpPr>
      </xdr:nvSpPr>
      <xdr:spPr bwMode="auto">
        <a:xfrm>
          <a:off x="4972050" y="208121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60</xdr:row>
      <xdr:rowOff>504825</xdr:rowOff>
    </xdr:from>
    <xdr:ext cx="95250" cy="213632"/>
    <xdr:sp macro="" textlink="">
      <xdr:nvSpPr>
        <xdr:cNvPr id="4097" name="Text Box 15">
          <a:extLst>
            <a:ext uri="{FF2B5EF4-FFF2-40B4-BE49-F238E27FC236}">
              <a16:creationId xmlns:a16="http://schemas.microsoft.com/office/drawing/2014/main" id="{00000000-0008-0000-0500-000001100000}"/>
            </a:ext>
          </a:extLst>
        </xdr:cNvPr>
        <xdr:cNvSpPr txBox="1">
          <a:spLocks noChangeArrowheads="1"/>
        </xdr:cNvSpPr>
      </xdr:nvSpPr>
      <xdr:spPr bwMode="auto">
        <a:xfrm>
          <a:off x="4972050" y="208121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60</xdr:row>
      <xdr:rowOff>504825</xdr:rowOff>
    </xdr:from>
    <xdr:ext cx="95250" cy="213632"/>
    <xdr:sp macro="" textlink="">
      <xdr:nvSpPr>
        <xdr:cNvPr id="4098" name="Text Box 15">
          <a:extLst>
            <a:ext uri="{FF2B5EF4-FFF2-40B4-BE49-F238E27FC236}">
              <a16:creationId xmlns:a16="http://schemas.microsoft.com/office/drawing/2014/main" id="{00000000-0008-0000-0500-000002100000}"/>
            </a:ext>
          </a:extLst>
        </xdr:cNvPr>
        <xdr:cNvSpPr txBox="1">
          <a:spLocks noChangeArrowheads="1"/>
        </xdr:cNvSpPr>
      </xdr:nvSpPr>
      <xdr:spPr bwMode="auto">
        <a:xfrm>
          <a:off x="4972050" y="208121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60</xdr:row>
      <xdr:rowOff>504825</xdr:rowOff>
    </xdr:from>
    <xdr:ext cx="95250" cy="213632"/>
    <xdr:sp macro="" textlink="">
      <xdr:nvSpPr>
        <xdr:cNvPr id="4099" name="Text Box 15">
          <a:extLst>
            <a:ext uri="{FF2B5EF4-FFF2-40B4-BE49-F238E27FC236}">
              <a16:creationId xmlns:a16="http://schemas.microsoft.com/office/drawing/2014/main" id="{00000000-0008-0000-0500-000003100000}"/>
            </a:ext>
          </a:extLst>
        </xdr:cNvPr>
        <xdr:cNvSpPr txBox="1">
          <a:spLocks noChangeArrowheads="1"/>
        </xdr:cNvSpPr>
      </xdr:nvSpPr>
      <xdr:spPr bwMode="auto">
        <a:xfrm>
          <a:off x="4972050" y="208121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60</xdr:row>
      <xdr:rowOff>504825</xdr:rowOff>
    </xdr:from>
    <xdr:ext cx="95250" cy="213632"/>
    <xdr:sp macro="" textlink="">
      <xdr:nvSpPr>
        <xdr:cNvPr id="4100" name="Text Box 15">
          <a:extLst>
            <a:ext uri="{FF2B5EF4-FFF2-40B4-BE49-F238E27FC236}">
              <a16:creationId xmlns:a16="http://schemas.microsoft.com/office/drawing/2014/main" id="{00000000-0008-0000-0500-000004100000}"/>
            </a:ext>
          </a:extLst>
        </xdr:cNvPr>
        <xdr:cNvSpPr txBox="1">
          <a:spLocks noChangeArrowheads="1"/>
        </xdr:cNvSpPr>
      </xdr:nvSpPr>
      <xdr:spPr bwMode="auto">
        <a:xfrm>
          <a:off x="4972050" y="208121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62</xdr:row>
      <xdr:rowOff>504825</xdr:rowOff>
    </xdr:from>
    <xdr:ext cx="95250" cy="448496"/>
    <xdr:sp macro="" textlink="">
      <xdr:nvSpPr>
        <xdr:cNvPr id="4101" name="Text Box 15">
          <a:extLst>
            <a:ext uri="{FF2B5EF4-FFF2-40B4-BE49-F238E27FC236}">
              <a16:creationId xmlns:a16="http://schemas.microsoft.com/office/drawing/2014/main" id="{00000000-0008-0000-0500-000005100000}"/>
            </a:ext>
          </a:extLst>
        </xdr:cNvPr>
        <xdr:cNvSpPr txBox="1">
          <a:spLocks noChangeArrowheads="1"/>
        </xdr:cNvSpPr>
      </xdr:nvSpPr>
      <xdr:spPr bwMode="auto">
        <a:xfrm>
          <a:off x="4972050" y="22310725"/>
          <a:ext cx="95250" cy="448496"/>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62</xdr:row>
      <xdr:rowOff>504825</xdr:rowOff>
    </xdr:from>
    <xdr:ext cx="95250" cy="213632"/>
    <xdr:sp macro="" textlink="">
      <xdr:nvSpPr>
        <xdr:cNvPr id="4102" name="Text Box 15">
          <a:extLst>
            <a:ext uri="{FF2B5EF4-FFF2-40B4-BE49-F238E27FC236}">
              <a16:creationId xmlns:a16="http://schemas.microsoft.com/office/drawing/2014/main" id="{00000000-0008-0000-0500-000006100000}"/>
            </a:ext>
          </a:extLst>
        </xdr:cNvPr>
        <xdr:cNvSpPr txBox="1">
          <a:spLocks noChangeArrowheads="1"/>
        </xdr:cNvSpPr>
      </xdr:nvSpPr>
      <xdr:spPr bwMode="auto">
        <a:xfrm>
          <a:off x="4972050" y="223107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62</xdr:row>
      <xdr:rowOff>504825</xdr:rowOff>
    </xdr:from>
    <xdr:ext cx="95250" cy="444331"/>
    <xdr:sp macro="" textlink="">
      <xdr:nvSpPr>
        <xdr:cNvPr id="4103" name="Text Box 15">
          <a:extLst>
            <a:ext uri="{FF2B5EF4-FFF2-40B4-BE49-F238E27FC236}">
              <a16:creationId xmlns:a16="http://schemas.microsoft.com/office/drawing/2014/main" id="{00000000-0008-0000-0500-000007100000}"/>
            </a:ext>
          </a:extLst>
        </xdr:cNvPr>
        <xdr:cNvSpPr txBox="1">
          <a:spLocks noChangeArrowheads="1"/>
        </xdr:cNvSpPr>
      </xdr:nvSpPr>
      <xdr:spPr bwMode="auto">
        <a:xfrm>
          <a:off x="4972050" y="22310725"/>
          <a:ext cx="95250" cy="444331"/>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62</xdr:row>
      <xdr:rowOff>504825</xdr:rowOff>
    </xdr:from>
    <xdr:ext cx="95250" cy="456743"/>
    <xdr:sp macro="" textlink="">
      <xdr:nvSpPr>
        <xdr:cNvPr id="4104" name="Text Box 15">
          <a:extLst>
            <a:ext uri="{FF2B5EF4-FFF2-40B4-BE49-F238E27FC236}">
              <a16:creationId xmlns:a16="http://schemas.microsoft.com/office/drawing/2014/main" id="{00000000-0008-0000-0500-000008100000}"/>
            </a:ext>
          </a:extLst>
        </xdr:cNvPr>
        <xdr:cNvSpPr txBox="1">
          <a:spLocks noChangeArrowheads="1"/>
        </xdr:cNvSpPr>
      </xdr:nvSpPr>
      <xdr:spPr bwMode="auto">
        <a:xfrm>
          <a:off x="4972050" y="22310725"/>
          <a:ext cx="95250" cy="456743"/>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62</xdr:row>
      <xdr:rowOff>504825</xdr:rowOff>
    </xdr:from>
    <xdr:ext cx="95250" cy="213632"/>
    <xdr:sp macro="" textlink="">
      <xdr:nvSpPr>
        <xdr:cNvPr id="4105" name="Text Box 15">
          <a:extLst>
            <a:ext uri="{FF2B5EF4-FFF2-40B4-BE49-F238E27FC236}">
              <a16:creationId xmlns:a16="http://schemas.microsoft.com/office/drawing/2014/main" id="{00000000-0008-0000-0500-000009100000}"/>
            </a:ext>
          </a:extLst>
        </xdr:cNvPr>
        <xdr:cNvSpPr txBox="1">
          <a:spLocks noChangeArrowheads="1"/>
        </xdr:cNvSpPr>
      </xdr:nvSpPr>
      <xdr:spPr bwMode="auto">
        <a:xfrm>
          <a:off x="4972050" y="223107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62</xdr:row>
      <xdr:rowOff>504825</xdr:rowOff>
    </xdr:from>
    <xdr:ext cx="95250" cy="444331"/>
    <xdr:sp macro="" textlink="">
      <xdr:nvSpPr>
        <xdr:cNvPr id="4106" name="Text Box 15">
          <a:extLst>
            <a:ext uri="{FF2B5EF4-FFF2-40B4-BE49-F238E27FC236}">
              <a16:creationId xmlns:a16="http://schemas.microsoft.com/office/drawing/2014/main" id="{00000000-0008-0000-0500-00000A100000}"/>
            </a:ext>
          </a:extLst>
        </xdr:cNvPr>
        <xdr:cNvSpPr txBox="1">
          <a:spLocks noChangeArrowheads="1"/>
        </xdr:cNvSpPr>
      </xdr:nvSpPr>
      <xdr:spPr bwMode="auto">
        <a:xfrm>
          <a:off x="4972050" y="22310725"/>
          <a:ext cx="95250" cy="444331"/>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62</xdr:row>
      <xdr:rowOff>504825</xdr:rowOff>
    </xdr:from>
    <xdr:ext cx="95250" cy="213632"/>
    <xdr:sp macro="" textlink="">
      <xdr:nvSpPr>
        <xdr:cNvPr id="4107" name="Text Box 15">
          <a:extLst>
            <a:ext uri="{FF2B5EF4-FFF2-40B4-BE49-F238E27FC236}">
              <a16:creationId xmlns:a16="http://schemas.microsoft.com/office/drawing/2014/main" id="{00000000-0008-0000-0500-00000B100000}"/>
            </a:ext>
          </a:extLst>
        </xdr:cNvPr>
        <xdr:cNvSpPr txBox="1">
          <a:spLocks noChangeArrowheads="1"/>
        </xdr:cNvSpPr>
      </xdr:nvSpPr>
      <xdr:spPr bwMode="auto">
        <a:xfrm>
          <a:off x="4972050" y="223107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62</xdr:row>
      <xdr:rowOff>504825</xdr:rowOff>
    </xdr:from>
    <xdr:ext cx="95250" cy="213632"/>
    <xdr:sp macro="" textlink="">
      <xdr:nvSpPr>
        <xdr:cNvPr id="4108" name="Text Box 15">
          <a:extLst>
            <a:ext uri="{FF2B5EF4-FFF2-40B4-BE49-F238E27FC236}">
              <a16:creationId xmlns:a16="http://schemas.microsoft.com/office/drawing/2014/main" id="{00000000-0008-0000-0500-00000C100000}"/>
            </a:ext>
          </a:extLst>
        </xdr:cNvPr>
        <xdr:cNvSpPr txBox="1">
          <a:spLocks noChangeArrowheads="1"/>
        </xdr:cNvSpPr>
      </xdr:nvSpPr>
      <xdr:spPr bwMode="auto">
        <a:xfrm>
          <a:off x="4972050" y="223107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62</xdr:row>
      <xdr:rowOff>504825</xdr:rowOff>
    </xdr:from>
    <xdr:ext cx="95250" cy="213632"/>
    <xdr:sp macro="" textlink="">
      <xdr:nvSpPr>
        <xdr:cNvPr id="4109" name="Text Box 15">
          <a:extLst>
            <a:ext uri="{FF2B5EF4-FFF2-40B4-BE49-F238E27FC236}">
              <a16:creationId xmlns:a16="http://schemas.microsoft.com/office/drawing/2014/main" id="{00000000-0008-0000-0500-00000D100000}"/>
            </a:ext>
          </a:extLst>
        </xdr:cNvPr>
        <xdr:cNvSpPr txBox="1">
          <a:spLocks noChangeArrowheads="1"/>
        </xdr:cNvSpPr>
      </xdr:nvSpPr>
      <xdr:spPr bwMode="auto">
        <a:xfrm>
          <a:off x="4972050" y="223107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62</xdr:row>
      <xdr:rowOff>504825</xdr:rowOff>
    </xdr:from>
    <xdr:ext cx="95250" cy="213632"/>
    <xdr:sp macro="" textlink="">
      <xdr:nvSpPr>
        <xdr:cNvPr id="4110" name="Text Box 15">
          <a:extLst>
            <a:ext uri="{FF2B5EF4-FFF2-40B4-BE49-F238E27FC236}">
              <a16:creationId xmlns:a16="http://schemas.microsoft.com/office/drawing/2014/main" id="{00000000-0008-0000-0500-00000E100000}"/>
            </a:ext>
          </a:extLst>
        </xdr:cNvPr>
        <xdr:cNvSpPr txBox="1">
          <a:spLocks noChangeArrowheads="1"/>
        </xdr:cNvSpPr>
      </xdr:nvSpPr>
      <xdr:spPr bwMode="auto">
        <a:xfrm>
          <a:off x="4972050" y="223107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62</xdr:row>
      <xdr:rowOff>504825</xdr:rowOff>
    </xdr:from>
    <xdr:ext cx="95250" cy="213632"/>
    <xdr:sp macro="" textlink="">
      <xdr:nvSpPr>
        <xdr:cNvPr id="4111" name="Text Box 15">
          <a:extLst>
            <a:ext uri="{FF2B5EF4-FFF2-40B4-BE49-F238E27FC236}">
              <a16:creationId xmlns:a16="http://schemas.microsoft.com/office/drawing/2014/main" id="{00000000-0008-0000-0500-00000F100000}"/>
            </a:ext>
          </a:extLst>
        </xdr:cNvPr>
        <xdr:cNvSpPr txBox="1">
          <a:spLocks noChangeArrowheads="1"/>
        </xdr:cNvSpPr>
      </xdr:nvSpPr>
      <xdr:spPr bwMode="auto">
        <a:xfrm>
          <a:off x="4972050" y="223107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62</xdr:row>
      <xdr:rowOff>504825</xdr:rowOff>
    </xdr:from>
    <xdr:ext cx="95250" cy="213632"/>
    <xdr:sp macro="" textlink="">
      <xdr:nvSpPr>
        <xdr:cNvPr id="4112" name="Text Box 15">
          <a:extLst>
            <a:ext uri="{FF2B5EF4-FFF2-40B4-BE49-F238E27FC236}">
              <a16:creationId xmlns:a16="http://schemas.microsoft.com/office/drawing/2014/main" id="{00000000-0008-0000-0500-000010100000}"/>
            </a:ext>
          </a:extLst>
        </xdr:cNvPr>
        <xdr:cNvSpPr txBox="1">
          <a:spLocks noChangeArrowheads="1"/>
        </xdr:cNvSpPr>
      </xdr:nvSpPr>
      <xdr:spPr bwMode="auto">
        <a:xfrm>
          <a:off x="4972050" y="223107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62</xdr:row>
      <xdr:rowOff>504825</xdr:rowOff>
    </xdr:from>
    <xdr:ext cx="95250" cy="213632"/>
    <xdr:sp macro="" textlink="">
      <xdr:nvSpPr>
        <xdr:cNvPr id="4113" name="Text Box 15">
          <a:extLst>
            <a:ext uri="{FF2B5EF4-FFF2-40B4-BE49-F238E27FC236}">
              <a16:creationId xmlns:a16="http://schemas.microsoft.com/office/drawing/2014/main" id="{00000000-0008-0000-0500-000011100000}"/>
            </a:ext>
          </a:extLst>
        </xdr:cNvPr>
        <xdr:cNvSpPr txBox="1">
          <a:spLocks noChangeArrowheads="1"/>
        </xdr:cNvSpPr>
      </xdr:nvSpPr>
      <xdr:spPr bwMode="auto">
        <a:xfrm>
          <a:off x="4972050" y="223107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62</xdr:row>
      <xdr:rowOff>504825</xdr:rowOff>
    </xdr:from>
    <xdr:ext cx="95250" cy="213632"/>
    <xdr:sp macro="" textlink="">
      <xdr:nvSpPr>
        <xdr:cNvPr id="4114" name="Text Box 15">
          <a:extLst>
            <a:ext uri="{FF2B5EF4-FFF2-40B4-BE49-F238E27FC236}">
              <a16:creationId xmlns:a16="http://schemas.microsoft.com/office/drawing/2014/main" id="{00000000-0008-0000-0500-000012100000}"/>
            </a:ext>
          </a:extLst>
        </xdr:cNvPr>
        <xdr:cNvSpPr txBox="1">
          <a:spLocks noChangeArrowheads="1"/>
        </xdr:cNvSpPr>
      </xdr:nvSpPr>
      <xdr:spPr bwMode="auto">
        <a:xfrm>
          <a:off x="4972050" y="223107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64</xdr:row>
      <xdr:rowOff>504825</xdr:rowOff>
    </xdr:from>
    <xdr:ext cx="95250" cy="448496"/>
    <xdr:sp macro="" textlink="">
      <xdr:nvSpPr>
        <xdr:cNvPr id="4115" name="Text Box 15">
          <a:extLst>
            <a:ext uri="{FF2B5EF4-FFF2-40B4-BE49-F238E27FC236}">
              <a16:creationId xmlns:a16="http://schemas.microsoft.com/office/drawing/2014/main" id="{00000000-0008-0000-0500-000013100000}"/>
            </a:ext>
          </a:extLst>
        </xdr:cNvPr>
        <xdr:cNvSpPr txBox="1">
          <a:spLocks noChangeArrowheads="1"/>
        </xdr:cNvSpPr>
      </xdr:nvSpPr>
      <xdr:spPr bwMode="auto">
        <a:xfrm>
          <a:off x="4972050" y="22310725"/>
          <a:ext cx="95250" cy="448496"/>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64</xdr:row>
      <xdr:rowOff>504825</xdr:rowOff>
    </xdr:from>
    <xdr:ext cx="95250" cy="213632"/>
    <xdr:sp macro="" textlink="">
      <xdr:nvSpPr>
        <xdr:cNvPr id="4116" name="Text Box 15">
          <a:extLst>
            <a:ext uri="{FF2B5EF4-FFF2-40B4-BE49-F238E27FC236}">
              <a16:creationId xmlns:a16="http://schemas.microsoft.com/office/drawing/2014/main" id="{00000000-0008-0000-0500-000014100000}"/>
            </a:ext>
          </a:extLst>
        </xdr:cNvPr>
        <xdr:cNvSpPr txBox="1">
          <a:spLocks noChangeArrowheads="1"/>
        </xdr:cNvSpPr>
      </xdr:nvSpPr>
      <xdr:spPr bwMode="auto">
        <a:xfrm>
          <a:off x="4972050" y="223107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64</xdr:row>
      <xdr:rowOff>504825</xdr:rowOff>
    </xdr:from>
    <xdr:ext cx="95250" cy="444331"/>
    <xdr:sp macro="" textlink="">
      <xdr:nvSpPr>
        <xdr:cNvPr id="4117" name="Text Box 15">
          <a:extLst>
            <a:ext uri="{FF2B5EF4-FFF2-40B4-BE49-F238E27FC236}">
              <a16:creationId xmlns:a16="http://schemas.microsoft.com/office/drawing/2014/main" id="{00000000-0008-0000-0500-000015100000}"/>
            </a:ext>
          </a:extLst>
        </xdr:cNvPr>
        <xdr:cNvSpPr txBox="1">
          <a:spLocks noChangeArrowheads="1"/>
        </xdr:cNvSpPr>
      </xdr:nvSpPr>
      <xdr:spPr bwMode="auto">
        <a:xfrm>
          <a:off x="4972050" y="22310725"/>
          <a:ext cx="95250" cy="444331"/>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64</xdr:row>
      <xdr:rowOff>504825</xdr:rowOff>
    </xdr:from>
    <xdr:ext cx="95250" cy="456743"/>
    <xdr:sp macro="" textlink="">
      <xdr:nvSpPr>
        <xdr:cNvPr id="4118" name="Text Box 15">
          <a:extLst>
            <a:ext uri="{FF2B5EF4-FFF2-40B4-BE49-F238E27FC236}">
              <a16:creationId xmlns:a16="http://schemas.microsoft.com/office/drawing/2014/main" id="{00000000-0008-0000-0500-000016100000}"/>
            </a:ext>
          </a:extLst>
        </xdr:cNvPr>
        <xdr:cNvSpPr txBox="1">
          <a:spLocks noChangeArrowheads="1"/>
        </xdr:cNvSpPr>
      </xdr:nvSpPr>
      <xdr:spPr bwMode="auto">
        <a:xfrm>
          <a:off x="4972050" y="22310725"/>
          <a:ext cx="95250" cy="456743"/>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64</xdr:row>
      <xdr:rowOff>504825</xdr:rowOff>
    </xdr:from>
    <xdr:ext cx="95250" cy="213632"/>
    <xdr:sp macro="" textlink="">
      <xdr:nvSpPr>
        <xdr:cNvPr id="4119" name="Text Box 15">
          <a:extLst>
            <a:ext uri="{FF2B5EF4-FFF2-40B4-BE49-F238E27FC236}">
              <a16:creationId xmlns:a16="http://schemas.microsoft.com/office/drawing/2014/main" id="{00000000-0008-0000-0500-000017100000}"/>
            </a:ext>
          </a:extLst>
        </xdr:cNvPr>
        <xdr:cNvSpPr txBox="1">
          <a:spLocks noChangeArrowheads="1"/>
        </xdr:cNvSpPr>
      </xdr:nvSpPr>
      <xdr:spPr bwMode="auto">
        <a:xfrm>
          <a:off x="4972050" y="223107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64</xdr:row>
      <xdr:rowOff>504825</xdr:rowOff>
    </xdr:from>
    <xdr:ext cx="95250" cy="444331"/>
    <xdr:sp macro="" textlink="">
      <xdr:nvSpPr>
        <xdr:cNvPr id="4120" name="Text Box 15">
          <a:extLst>
            <a:ext uri="{FF2B5EF4-FFF2-40B4-BE49-F238E27FC236}">
              <a16:creationId xmlns:a16="http://schemas.microsoft.com/office/drawing/2014/main" id="{00000000-0008-0000-0500-000018100000}"/>
            </a:ext>
          </a:extLst>
        </xdr:cNvPr>
        <xdr:cNvSpPr txBox="1">
          <a:spLocks noChangeArrowheads="1"/>
        </xdr:cNvSpPr>
      </xdr:nvSpPr>
      <xdr:spPr bwMode="auto">
        <a:xfrm>
          <a:off x="4972050" y="22310725"/>
          <a:ext cx="95250" cy="444331"/>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64</xdr:row>
      <xdr:rowOff>504825</xdr:rowOff>
    </xdr:from>
    <xdr:ext cx="95250" cy="213632"/>
    <xdr:sp macro="" textlink="">
      <xdr:nvSpPr>
        <xdr:cNvPr id="4121" name="Text Box 15">
          <a:extLst>
            <a:ext uri="{FF2B5EF4-FFF2-40B4-BE49-F238E27FC236}">
              <a16:creationId xmlns:a16="http://schemas.microsoft.com/office/drawing/2014/main" id="{00000000-0008-0000-0500-000019100000}"/>
            </a:ext>
          </a:extLst>
        </xdr:cNvPr>
        <xdr:cNvSpPr txBox="1">
          <a:spLocks noChangeArrowheads="1"/>
        </xdr:cNvSpPr>
      </xdr:nvSpPr>
      <xdr:spPr bwMode="auto">
        <a:xfrm>
          <a:off x="4972050" y="223107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64</xdr:row>
      <xdr:rowOff>504825</xdr:rowOff>
    </xdr:from>
    <xdr:ext cx="95250" cy="213632"/>
    <xdr:sp macro="" textlink="">
      <xdr:nvSpPr>
        <xdr:cNvPr id="4122" name="Text Box 15">
          <a:extLst>
            <a:ext uri="{FF2B5EF4-FFF2-40B4-BE49-F238E27FC236}">
              <a16:creationId xmlns:a16="http://schemas.microsoft.com/office/drawing/2014/main" id="{00000000-0008-0000-0500-00001A100000}"/>
            </a:ext>
          </a:extLst>
        </xdr:cNvPr>
        <xdr:cNvSpPr txBox="1">
          <a:spLocks noChangeArrowheads="1"/>
        </xdr:cNvSpPr>
      </xdr:nvSpPr>
      <xdr:spPr bwMode="auto">
        <a:xfrm>
          <a:off x="4972050" y="223107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64</xdr:row>
      <xdr:rowOff>504825</xdr:rowOff>
    </xdr:from>
    <xdr:ext cx="95250" cy="213632"/>
    <xdr:sp macro="" textlink="">
      <xdr:nvSpPr>
        <xdr:cNvPr id="4123" name="Text Box 15">
          <a:extLst>
            <a:ext uri="{FF2B5EF4-FFF2-40B4-BE49-F238E27FC236}">
              <a16:creationId xmlns:a16="http://schemas.microsoft.com/office/drawing/2014/main" id="{00000000-0008-0000-0500-00001B100000}"/>
            </a:ext>
          </a:extLst>
        </xdr:cNvPr>
        <xdr:cNvSpPr txBox="1">
          <a:spLocks noChangeArrowheads="1"/>
        </xdr:cNvSpPr>
      </xdr:nvSpPr>
      <xdr:spPr bwMode="auto">
        <a:xfrm>
          <a:off x="4972050" y="223107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64</xdr:row>
      <xdr:rowOff>504825</xdr:rowOff>
    </xdr:from>
    <xdr:ext cx="95250" cy="213632"/>
    <xdr:sp macro="" textlink="">
      <xdr:nvSpPr>
        <xdr:cNvPr id="4124" name="Text Box 15">
          <a:extLst>
            <a:ext uri="{FF2B5EF4-FFF2-40B4-BE49-F238E27FC236}">
              <a16:creationId xmlns:a16="http://schemas.microsoft.com/office/drawing/2014/main" id="{00000000-0008-0000-0500-00001C100000}"/>
            </a:ext>
          </a:extLst>
        </xdr:cNvPr>
        <xdr:cNvSpPr txBox="1">
          <a:spLocks noChangeArrowheads="1"/>
        </xdr:cNvSpPr>
      </xdr:nvSpPr>
      <xdr:spPr bwMode="auto">
        <a:xfrm>
          <a:off x="4972050" y="223107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64</xdr:row>
      <xdr:rowOff>504825</xdr:rowOff>
    </xdr:from>
    <xdr:ext cx="95250" cy="213632"/>
    <xdr:sp macro="" textlink="">
      <xdr:nvSpPr>
        <xdr:cNvPr id="4125" name="Text Box 15">
          <a:extLst>
            <a:ext uri="{FF2B5EF4-FFF2-40B4-BE49-F238E27FC236}">
              <a16:creationId xmlns:a16="http://schemas.microsoft.com/office/drawing/2014/main" id="{00000000-0008-0000-0500-00001D100000}"/>
            </a:ext>
          </a:extLst>
        </xdr:cNvPr>
        <xdr:cNvSpPr txBox="1">
          <a:spLocks noChangeArrowheads="1"/>
        </xdr:cNvSpPr>
      </xdr:nvSpPr>
      <xdr:spPr bwMode="auto">
        <a:xfrm>
          <a:off x="4972050" y="223107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64</xdr:row>
      <xdr:rowOff>504825</xdr:rowOff>
    </xdr:from>
    <xdr:ext cx="95250" cy="213632"/>
    <xdr:sp macro="" textlink="">
      <xdr:nvSpPr>
        <xdr:cNvPr id="4126" name="Text Box 15">
          <a:extLst>
            <a:ext uri="{FF2B5EF4-FFF2-40B4-BE49-F238E27FC236}">
              <a16:creationId xmlns:a16="http://schemas.microsoft.com/office/drawing/2014/main" id="{00000000-0008-0000-0500-00001E100000}"/>
            </a:ext>
          </a:extLst>
        </xdr:cNvPr>
        <xdr:cNvSpPr txBox="1">
          <a:spLocks noChangeArrowheads="1"/>
        </xdr:cNvSpPr>
      </xdr:nvSpPr>
      <xdr:spPr bwMode="auto">
        <a:xfrm>
          <a:off x="4972050" y="223107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64</xdr:row>
      <xdr:rowOff>504825</xdr:rowOff>
    </xdr:from>
    <xdr:ext cx="95250" cy="213632"/>
    <xdr:sp macro="" textlink="">
      <xdr:nvSpPr>
        <xdr:cNvPr id="4127" name="Text Box 15">
          <a:extLst>
            <a:ext uri="{FF2B5EF4-FFF2-40B4-BE49-F238E27FC236}">
              <a16:creationId xmlns:a16="http://schemas.microsoft.com/office/drawing/2014/main" id="{00000000-0008-0000-0500-00001F100000}"/>
            </a:ext>
          </a:extLst>
        </xdr:cNvPr>
        <xdr:cNvSpPr txBox="1">
          <a:spLocks noChangeArrowheads="1"/>
        </xdr:cNvSpPr>
      </xdr:nvSpPr>
      <xdr:spPr bwMode="auto">
        <a:xfrm>
          <a:off x="4972050" y="223107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64</xdr:row>
      <xdr:rowOff>504825</xdr:rowOff>
    </xdr:from>
    <xdr:ext cx="95250" cy="213632"/>
    <xdr:sp macro="" textlink="">
      <xdr:nvSpPr>
        <xdr:cNvPr id="4128" name="Text Box 15">
          <a:extLst>
            <a:ext uri="{FF2B5EF4-FFF2-40B4-BE49-F238E27FC236}">
              <a16:creationId xmlns:a16="http://schemas.microsoft.com/office/drawing/2014/main" id="{00000000-0008-0000-0500-000020100000}"/>
            </a:ext>
          </a:extLst>
        </xdr:cNvPr>
        <xdr:cNvSpPr txBox="1">
          <a:spLocks noChangeArrowheads="1"/>
        </xdr:cNvSpPr>
      </xdr:nvSpPr>
      <xdr:spPr bwMode="auto">
        <a:xfrm>
          <a:off x="4972050" y="223107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66</xdr:row>
      <xdr:rowOff>504825</xdr:rowOff>
    </xdr:from>
    <xdr:ext cx="95250" cy="213632"/>
    <xdr:sp macro="" textlink="">
      <xdr:nvSpPr>
        <xdr:cNvPr id="4129" name="Text Box 15">
          <a:extLst>
            <a:ext uri="{FF2B5EF4-FFF2-40B4-BE49-F238E27FC236}">
              <a16:creationId xmlns:a16="http://schemas.microsoft.com/office/drawing/2014/main" id="{00000000-0008-0000-0500-000021100000}"/>
            </a:ext>
          </a:extLst>
        </xdr:cNvPr>
        <xdr:cNvSpPr txBox="1">
          <a:spLocks noChangeArrowheads="1"/>
        </xdr:cNvSpPr>
      </xdr:nvSpPr>
      <xdr:spPr bwMode="auto">
        <a:xfrm>
          <a:off x="4972050" y="230600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66</xdr:row>
      <xdr:rowOff>504825</xdr:rowOff>
    </xdr:from>
    <xdr:ext cx="95250" cy="213632"/>
    <xdr:sp macro="" textlink="">
      <xdr:nvSpPr>
        <xdr:cNvPr id="4130" name="Text Box 15">
          <a:extLst>
            <a:ext uri="{FF2B5EF4-FFF2-40B4-BE49-F238E27FC236}">
              <a16:creationId xmlns:a16="http://schemas.microsoft.com/office/drawing/2014/main" id="{00000000-0008-0000-0500-000022100000}"/>
            </a:ext>
          </a:extLst>
        </xdr:cNvPr>
        <xdr:cNvSpPr txBox="1">
          <a:spLocks noChangeArrowheads="1"/>
        </xdr:cNvSpPr>
      </xdr:nvSpPr>
      <xdr:spPr bwMode="auto">
        <a:xfrm>
          <a:off x="4972050" y="230600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66</xdr:row>
      <xdr:rowOff>504825</xdr:rowOff>
    </xdr:from>
    <xdr:ext cx="95250" cy="213632"/>
    <xdr:sp macro="" textlink="">
      <xdr:nvSpPr>
        <xdr:cNvPr id="4131" name="Text Box 15">
          <a:extLst>
            <a:ext uri="{FF2B5EF4-FFF2-40B4-BE49-F238E27FC236}">
              <a16:creationId xmlns:a16="http://schemas.microsoft.com/office/drawing/2014/main" id="{00000000-0008-0000-0500-000023100000}"/>
            </a:ext>
          </a:extLst>
        </xdr:cNvPr>
        <xdr:cNvSpPr txBox="1">
          <a:spLocks noChangeArrowheads="1"/>
        </xdr:cNvSpPr>
      </xdr:nvSpPr>
      <xdr:spPr bwMode="auto">
        <a:xfrm>
          <a:off x="4972050" y="230600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66</xdr:row>
      <xdr:rowOff>504825</xdr:rowOff>
    </xdr:from>
    <xdr:ext cx="95250" cy="213632"/>
    <xdr:sp macro="" textlink="">
      <xdr:nvSpPr>
        <xdr:cNvPr id="4132" name="Text Box 15">
          <a:extLst>
            <a:ext uri="{FF2B5EF4-FFF2-40B4-BE49-F238E27FC236}">
              <a16:creationId xmlns:a16="http://schemas.microsoft.com/office/drawing/2014/main" id="{00000000-0008-0000-0500-000024100000}"/>
            </a:ext>
          </a:extLst>
        </xdr:cNvPr>
        <xdr:cNvSpPr txBox="1">
          <a:spLocks noChangeArrowheads="1"/>
        </xdr:cNvSpPr>
      </xdr:nvSpPr>
      <xdr:spPr bwMode="auto">
        <a:xfrm>
          <a:off x="4972050" y="230600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66</xdr:row>
      <xdr:rowOff>504825</xdr:rowOff>
    </xdr:from>
    <xdr:ext cx="95250" cy="213632"/>
    <xdr:sp macro="" textlink="">
      <xdr:nvSpPr>
        <xdr:cNvPr id="4133" name="Text Box 15">
          <a:extLst>
            <a:ext uri="{FF2B5EF4-FFF2-40B4-BE49-F238E27FC236}">
              <a16:creationId xmlns:a16="http://schemas.microsoft.com/office/drawing/2014/main" id="{00000000-0008-0000-0500-000025100000}"/>
            </a:ext>
          </a:extLst>
        </xdr:cNvPr>
        <xdr:cNvSpPr txBox="1">
          <a:spLocks noChangeArrowheads="1"/>
        </xdr:cNvSpPr>
      </xdr:nvSpPr>
      <xdr:spPr bwMode="auto">
        <a:xfrm>
          <a:off x="4972050" y="230600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66</xdr:row>
      <xdr:rowOff>504825</xdr:rowOff>
    </xdr:from>
    <xdr:ext cx="95250" cy="213632"/>
    <xdr:sp macro="" textlink="">
      <xdr:nvSpPr>
        <xdr:cNvPr id="4134" name="Text Box 15">
          <a:extLst>
            <a:ext uri="{FF2B5EF4-FFF2-40B4-BE49-F238E27FC236}">
              <a16:creationId xmlns:a16="http://schemas.microsoft.com/office/drawing/2014/main" id="{00000000-0008-0000-0500-000026100000}"/>
            </a:ext>
          </a:extLst>
        </xdr:cNvPr>
        <xdr:cNvSpPr txBox="1">
          <a:spLocks noChangeArrowheads="1"/>
        </xdr:cNvSpPr>
      </xdr:nvSpPr>
      <xdr:spPr bwMode="auto">
        <a:xfrm>
          <a:off x="4972050" y="230600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66</xdr:row>
      <xdr:rowOff>504825</xdr:rowOff>
    </xdr:from>
    <xdr:ext cx="95250" cy="213632"/>
    <xdr:sp macro="" textlink="">
      <xdr:nvSpPr>
        <xdr:cNvPr id="4135" name="Text Box 15">
          <a:extLst>
            <a:ext uri="{FF2B5EF4-FFF2-40B4-BE49-F238E27FC236}">
              <a16:creationId xmlns:a16="http://schemas.microsoft.com/office/drawing/2014/main" id="{00000000-0008-0000-0500-000027100000}"/>
            </a:ext>
          </a:extLst>
        </xdr:cNvPr>
        <xdr:cNvSpPr txBox="1">
          <a:spLocks noChangeArrowheads="1"/>
        </xdr:cNvSpPr>
      </xdr:nvSpPr>
      <xdr:spPr bwMode="auto">
        <a:xfrm>
          <a:off x="4972050" y="230600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66</xdr:row>
      <xdr:rowOff>504825</xdr:rowOff>
    </xdr:from>
    <xdr:ext cx="95250" cy="213632"/>
    <xdr:sp macro="" textlink="">
      <xdr:nvSpPr>
        <xdr:cNvPr id="4136" name="Text Box 15">
          <a:extLst>
            <a:ext uri="{FF2B5EF4-FFF2-40B4-BE49-F238E27FC236}">
              <a16:creationId xmlns:a16="http://schemas.microsoft.com/office/drawing/2014/main" id="{00000000-0008-0000-0500-000028100000}"/>
            </a:ext>
          </a:extLst>
        </xdr:cNvPr>
        <xdr:cNvSpPr txBox="1">
          <a:spLocks noChangeArrowheads="1"/>
        </xdr:cNvSpPr>
      </xdr:nvSpPr>
      <xdr:spPr bwMode="auto">
        <a:xfrm>
          <a:off x="4972050" y="230600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66</xdr:row>
      <xdr:rowOff>504825</xdr:rowOff>
    </xdr:from>
    <xdr:ext cx="95250" cy="213632"/>
    <xdr:sp macro="" textlink="">
      <xdr:nvSpPr>
        <xdr:cNvPr id="4137" name="Text Box 15">
          <a:extLst>
            <a:ext uri="{FF2B5EF4-FFF2-40B4-BE49-F238E27FC236}">
              <a16:creationId xmlns:a16="http://schemas.microsoft.com/office/drawing/2014/main" id="{00000000-0008-0000-0500-000029100000}"/>
            </a:ext>
          </a:extLst>
        </xdr:cNvPr>
        <xdr:cNvSpPr txBox="1">
          <a:spLocks noChangeArrowheads="1"/>
        </xdr:cNvSpPr>
      </xdr:nvSpPr>
      <xdr:spPr bwMode="auto">
        <a:xfrm>
          <a:off x="4972050" y="230600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66</xdr:row>
      <xdr:rowOff>504825</xdr:rowOff>
    </xdr:from>
    <xdr:ext cx="95250" cy="213632"/>
    <xdr:sp macro="" textlink="">
      <xdr:nvSpPr>
        <xdr:cNvPr id="4138" name="Text Box 15">
          <a:extLst>
            <a:ext uri="{FF2B5EF4-FFF2-40B4-BE49-F238E27FC236}">
              <a16:creationId xmlns:a16="http://schemas.microsoft.com/office/drawing/2014/main" id="{00000000-0008-0000-0500-00002A100000}"/>
            </a:ext>
          </a:extLst>
        </xdr:cNvPr>
        <xdr:cNvSpPr txBox="1">
          <a:spLocks noChangeArrowheads="1"/>
        </xdr:cNvSpPr>
      </xdr:nvSpPr>
      <xdr:spPr bwMode="auto">
        <a:xfrm>
          <a:off x="4972050" y="230600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68</xdr:row>
      <xdr:rowOff>504825</xdr:rowOff>
    </xdr:from>
    <xdr:ext cx="95250" cy="448496"/>
    <xdr:sp macro="" textlink="">
      <xdr:nvSpPr>
        <xdr:cNvPr id="4139" name="Text Box 15">
          <a:extLst>
            <a:ext uri="{FF2B5EF4-FFF2-40B4-BE49-F238E27FC236}">
              <a16:creationId xmlns:a16="http://schemas.microsoft.com/office/drawing/2014/main" id="{00000000-0008-0000-0500-00002B100000}"/>
            </a:ext>
          </a:extLst>
        </xdr:cNvPr>
        <xdr:cNvSpPr txBox="1">
          <a:spLocks noChangeArrowheads="1"/>
        </xdr:cNvSpPr>
      </xdr:nvSpPr>
      <xdr:spPr bwMode="auto">
        <a:xfrm>
          <a:off x="4972050" y="24558625"/>
          <a:ext cx="95250" cy="448496"/>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68</xdr:row>
      <xdr:rowOff>504825</xdr:rowOff>
    </xdr:from>
    <xdr:ext cx="95250" cy="213632"/>
    <xdr:sp macro="" textlink="">
      <xdr:nvSpPr>
        <xdr:cNvPr id="4140" name="Text Box 15">
          <a:extLst>
            <a:ext uri="{FF2B5EF4-FFF2-40B4-BE49-F238E27FC236}">
              <a16:creationId xmlns:a16="http://schemas.microsoft.com/office/drawing/2014/main" id="{00000000-0008-0000-0500-00002C100000}"/>
            </a:ext>
          </a:extLst>
        </xdr:cNvPr>
        <xdr:cNvSpPr txBox="1">
          <a:spLocks noChangeArrowheads="1"/>
        </xdr:cNvSpPr>
      </xdr:nvSpPr>
      <xdr:spPr bwMode="auto">
        <a:xfrm>
          <a:off x="4972050" y="245586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68</xdr:row>
      <xdr:rowOff>504825</xdr:rowOff>
    </xdr:from>
    <xdr:ext cx="95250" cy="444331"/>
    <xdr:sp macro="" textlink="">
      <xdr:nvSpPr>
        <xdr:cNvPr id="4141" name="Text Box 15">
          <a:extLst>
            <a:ext uri="{FF2B5EF4-FFF2-40B4-BE49-F238E27FC236}">
              <a16:creationId xmlns:a16="http://schemas.microsoft.com/office/drawing/2014/main" id="{00000000-0008-0000-0500-00002D100000}"/>
            </a:ext>
          </a:extLst>
        </xdr:cNvPr>
        <xdr:cNvSpPr txBox="1">
          <a:spLocks noChangeArrowheads="1"/>
        </xdr:cNvSpPr>
      </xdr:nvSpPr>
      <xdr:spPr bwMode="auto">
        <a:xfrm>
          <a:off x="4972050" y="24558625"/>
          <a:ext cx="95250" cy="444331"/>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68</xdr:row>
      <xdr:rowOff>504825</xdr:rowOff>
    </xdr:from>
    <xdr:ext cx="95250" cy="448496"/>
    <xdr:sp macro="" textlink="">
      <xdr:nvSpPr>
        <xdr:cNvPr id="4142" name="Text Box 15">
          <a:extLst>
            <a:ext uri="{FF2B5EF4-FFF2-40B4-BE49-F238E27FC236}">
              <a16:creationId xmlns:a16="http://schemas.microsoft.com/office/drawing/2014/main" id="{00000000-0008-0000-0500-00002E100000}"/>
            </a:ext>
          </a:extLst>
        </xdr:cNvPr>
        <xdr:cNvSpPr txBox="1">
          <a:spLocks noChangeArrowheads="1"/>
        </xdr:cNvSpPr>
      </xdr:nvSpPr>
      <xdr:spPr bwMode="auto">
        <a:xfrm>
          <a:off x="4972050" y="24558625"/>
          <a:ext cx="95250" cy="448496"/>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68</xdr:row>
      <xdr:rowOff>504825</xdr:rowOff>
    </xdr:from>
    <xdr:ext cx="95250" cy="213632"/>
    <xdr:sp macro="" textlink="">
      <xdr:nvSpPr>
        <xdr:cNvPr id="4143" name="Text Box 15">
          <a:extLst>
            <a:ext uri="{FF2B5EF4-FFF2-40B4-BE49-F238E27FC236}">
              <a16:creationId xmlns:a16="http://schemas.microsoft.com/office/drawing/2014/main" id="{00000000-0008-0000-0500-00002F100000}"/>
            </a:ext>
          </a:extLst>
        </xdr:cNvPr>
        <xdr:cNvSpPr txBox="1">
          <a:spLocks noChangeArrowheads="1"/>
        </xdr:cNvSpPr>
      </xdr:nvSpPr>
      <xdr:spPr bwMode="auto">
        <a:xfrm>
          <a:off x="4972050" y="245586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68</xdr:row>
      <xdr:rowOff>504825</xdr:rowOff>
    </xdr:from>
    <xdr:ext cx="95250" cy="444331"/>
    <xdr:sp macro="" textlink="">
      <xdr:nvSpPr>
        <xdr:cNvPr id="4144" name="Text Box 15">
          <a:extLst>
            <a:ext uri="{FF2B5EF4-FFF2-40B4-BE49-F238E27FC236}">
              <a16:creationId xmlns:a16="http://schemas.microsoft.com/office/drawing/2014/main" id="{00000000-0008-0000-0500-000030100000}"/>
            </a:ext>
          </a:extLst>
        </xdr:cNvPr>
        <xdr:cNvSpPr txBox="1">
          <a:spLocks noChangeArrowheads="1"/>
        </xdr:cNvSpPr>
      </xdr:nvSpPr>
      <xdr:spPr bwMode="auto">
        <a:xfrm>
          <a:off x="4972050" y="24558625"/>
          <a:ext cx="95250" cy="444331"/>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68</xdr:row>
      <xdr:rowOff>504825</xdr:rowOff>
    </xdr:from>
    <xdr:ext cx="95250" cy="456743"/>
    <xdr:sp macro="" textlink="">
      <xdr:nvSpPr>
        <xdr:cNvPr id="4145" name="Text Box 15">
          <a:extLst>
            <a:ext uri="{FF2B5EF4-FFF2-40B4-BE49-F238E27FC236}">
              <a16:creationId xmlns:a16="http://schemas.microsoft.com/office/drawing/2014/main" id="{00000000-0008-0000-0500-000031100000}"/>
            </a:ext>
          </a:extLst>
        </xdr:cNvPr>
        <xdr:cNvSpPr txBox="1">
          <a:spLocks noChangeArrowheads="1"/>
        </xdr:cNvSpPr>
      </xdr:nvSpPr>
      <xdr:spPr bwMode="auto">
        <a:xfrm>
          <a:off x="4972050" y="24558625"/>
          <a:ext cx="95250" cy="456743"/>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68</xdr:row>
      <xdr:rowOff>504825</xdr:rowOff>
    </xdr:from>
    <xdr:ext cx="95250" cy="213632"/>
    <xdr:sp macro="" textlink="">
      <xdr:nvSpPr>
        <xdr:cNvPr id="4146" name="Text Box 15">
          <a:extLst>
            <a:ext uri="{FF2B5EF4-FFF2-40B4-BE49-F238E27FC236}">
              <a16:creationId xmlns:a16="http://schemas.microsoft.com/office/drawing/2014/main" id="{00000000-0008-0000-0500-000032100000}"/>
            </a:ext>
          </a:extLst>
        </xdr:cNvPr>
        <xdr:cNvSpPr txBox="1">
          <a:spLocks noChangeArrowheads="1"/>
        </xdr:cNvSpPr>
      </xdr:nvSpPr>
      <xdr:spPr bwMode="auto">
        <a:xfrm>
          <a:off x="4972050" y="245586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68</xdr:row>
      <xdr:rowOff>504825</xdr:rowOff>
    </xdr:from>
    <xdr:ext cx="95250" cy="444331"/>
    <xdr:sp macro="" textlink="">
      <xdr:nvSpPr>
        <xdr:cNvPr id="4147" name="Text Box 15">
          <a:extLst>
            <a:ext uri="{FF2B5EF4-FFF2-40B4-BE49-F238E27FC236}">
              <a16:creationId xmlns:a16="http://schemas.microsoft.com/office/drawing/2014/main" id="{00000000-0008-0000-0500-000033100000}"/>
            </a:ext>
          </a:extLst>
        </xdr:cNvPr>
        <xdr:cNvSpPr txBox="1">
          <a:spLocks noChangeArrowheads="1"/>
        </xdr:cNvSpPr>
      </xdr:nvSpPr>
      <xdr:spPr bwMode="auto">
        <a:xfrm>
          <a:off x="4972050" y="24558625"/>
          <a:ext cx="95250" cy="444331"/>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68</xdr:row>
      <xdr:rowOff>504825</xdr:rowOff>
    </xdr:from>
    <xdr:ext cx="95250" cy="213632"/>
    <xdr:sp macro="" textlink="">
      <xdr:nvSpPr>
        <xdr:cNvPr id="4148" name="Text Box 15">
          <a:extLst>
            <a:ext uri="{FF2B5EF4-FFF2-40B4-BE49-F238E27FC236}">
              <a16:creationId xmlns:a16="http://schemas.microsoft.com/office/drawing/2014/main" id="{00000000-0008-0000-0500-000034100000}"/>
            </a:ext>
          </a:extLst>
        </xdr:cNvPr>
        <xdr:cNvSpPr txBox="1">
          <a:spLocks noChangeArrowheads="1"/>
        </xdr:cNvSpPr>
      </xdr:nvSpPr>
      <xdr:spPr bwMode="auto">
        <a:xfrm>
          <a:off x="4972050" y="245586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68</xdr:row>
      <xdr:rowOff>504825</xdr:rowOff>
    </xdr:from>
    <xdr:ext cx="95250" cy="213632"/>
    <xdr:sp macro="" textlink="">
      <xdr:nvSpPr>
        <xdr:cNvPr id="4149" name="Text Box 15">
          <a:extLst>
            <a:ext uri="{FF2B5EF4-FFF2-40B4-BE49-F238E27FC236}">
              <a16:creationId xmlns:a16="http://schemas.microsoft.com/office/drawing/2014/main" id="{00000000-0008-0000-0500-000035100000}"/>
            </a:ext>
          </a:extLst>
        </xdr:cNvPr>
        <xdr:cNvSpPr txBox="1">
          <a:spLocks noChangeArrowheads="1"/>
        </xdr:cNvSpPr>
      </xdr:nvSpPr>
      <xdr:spPr bwMode="auto">
        <a:xfrm>
          <a:off x="4972050" y="245586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68</xdr:row>
      <xdr:rowOff>504825</xdr:rowOff>
    </xdr:from>
    <xdr:ext cx="95250" cy="213632"/>
    <xdr:sp macro="" textlink="">
      <xdr:nvSpPr>
        <xdr:cNvPr id="4150" name="Text Box 15">
          <a:extLst>
            <a:ext uri="{FF2B5EF4-FFF2-40B4-BE49-F238E27FC236}">
              <a16:creationId xmlns:a16="http://schemas.microsoft.com/office/drawing/2014/main" id="{00000000-0008-0000-0500-000036100000}"/>
            </a:ext>
          </a:extLst>
        </xdr:cNvPr>
        <xdr:cNvSpPr txBox="1">
          <a:spLocks noChangeArrowheads="1"/>
        </xdr:cNvSpPr>
      </xdr:nvSpPr>
      <xdr:spPr bwMode="auto">
        <a:xfrm>
          <a:off x="4972050" y="245586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68</xdr:row>
      <xdr:rowOff>504825</xdr:rowOff>
    </xdr:from>
    <xdr:ext cx="95250" cy="213632"/>
    <xdr:sp macro="" textlink="">
      <xdr:nvSpPr>
        <xdr:cNvPr id="4151" name="Text Box 15">
          <a:extLst>
            <a:ext uri="{FF2B5EF4-FFF2-40B4-BE49-F238E27FC236}">
              <a16:creationId xmlns:a16="http://schemas.microsoft.com/office/drawing/2014/main" id="{00000000-0008-0000-0500-000037100000}"/>
            </a:ext>
          </a:extLst>
        </xdr:cNvPr>
        <xdr:cNvSpPr txBox="1">
          <a:spLocks noChangeArrowheads="1"/>
        </xdr:cNvSpPr>
      </xdr:nvSpPr>
      <xdr:spPr bwMode="auto">
        <a:xfrm>
          <a:off x="4972050" y="245586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68</xdr:row>
      <xdr:rowOff>504825</xdr:rowOff>
    </xdr:from>
    <xdr:ext cx="95250" cy="213632"/>
    <xdr:sp macro="" textlink="">
      <xdr:nvSpPr>
        <xdr:cNvPr id="4152" name="Text Box 15">
          <a:extLst>
            <a:ext uri="{FF2B5EF4-FFF2-40B4-BE49-F238E27FC236}">
              <a16:creationId xmlns:a16="http://schemas.microsoft.com/office/drawing/2014/main" id="{00000000-0008-0000-0500-000038100000}"/>
            </a:ext>
          </a:extLst>
        </xdr:cNvPr>
        <xdr:cNvSpPr txBox="1">
          <a:spLocks noChangeArrowheads="1"/>
        </xdr:cNvSpPr>
      </xdr:nvSpPr>
      <xdr:spPr bwMode="auto">
        <a:xfrm>
          <a:off x="4972050" y="245586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68</xdr:row>
      <xdr:rowOff>504825</xdr:rowOff>
    </xdr:from>
    <xdr:ext cx="95250" cy="213632"/>
    <xdr:sp macro="" textlink="">
      <xdr:nvSpPr>
        <xdr:cNvPr id="4153" name="Text Box 15">
          <a:extLst>
            <a:ext uri="{FF2B5EF4-FFF2-40B4-BE49-F238E27FC236}">
              <a16:creationId xmlns:a16="http://schemas.microsoft.com/office/drawing/2014/main" id="{00000000-0008-0000-0500-000039100000}"/>
            </a:ext>
          </a:extLst>
        </xdr:cNvPr>
        <xdr:cNvSpPr txBox="1">
          <a:spLocks noChangeArrowheads="1"/>
        </xdr:cNvSpPr>
      </xdr:nvSpPr>
      <xdr:spPr bwMode="auto">
        <a:xfrm>
          <a:off x="4972050" y="245586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68</xdr:row>
      <xdr:rowOff>504825</xdr:rowOff>
    </xdr:from>
    <xdr:ext cx="95250" cy="213632"/>
    <xdr:sp macro="" textlink="">
      <xdr:nvSpPr>
        <xdr:cNvPr id="4154" name="Text Box 15">
          <a:extLst>
            <a:ext uri="{FF2B5EF4-FFF2-40B4-BE49-F238E27FC236}">
              <a16:creationId xmlns:a16="http://schemas.microsoft.com/office/drawing/2014/main" id="{00000000-0008-0000-0500-00003A100000}"/>
            </a:ext>
          </a:extLst>
        </xdr:cNvPr>
        <xdr:cNvSpPr txBox="1">
          <a:spLocks noChangeArrowheads="1"/>
        </xdr:cNvSpPr>
      </xdr:nvSpPr>
      <xdr:spPr bwMode="auto">
        <a:xfrm>
          <a:off x="4972050" y="245586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68</xdr:row>
      <xdr:rowOff>504825</xdr:rowOff>
    </xdr:from>
    <xdr:ext cx="95250" cy="213632"/>
    <xdr:sp macro="" textlink="">
      <xdr:nvSpPr>
        <xdr:cNvPr id="4155" name="Text Box 15">
          <a:extLst>
            <a:ext uri="{FF2B5EF4-FFF2-40B4-BE49-F238E27FC236}">
              <a16:creationId xmlns:a16="http://schemas.microsoft.com/office/drawing/2014/main" id="{00000000-0008-0000-0500-00003B100000}"/>
            </a:ext>
          </a:extLst>
        </xdr:cNvPr>
        <xdr:cNvSpPr txBox="1">
          <a:spLocks noChangeArrowheads="1"/>
        </xdr:cNvSpPr>
      </xdr:nvSpPr>
      <xdr:spPr bwMode="auto">
        <a:xfrm>
          <a:off x="4972050" y="245586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68</xdr:row>
      <xdr:rowOff>504825</xdr:rowOff>
    </xdr:from>
    <xdr:ext cx="95250" cy="213632"/>
    <xdr:sp macro="" textlink="">
      <xdr:nvSpPr>
        <xdr:cNvPr id="4156" name="Text Box 15">
          <a:extLst>
            <a:ext uri="{FF2B5EF4-FFF2-40B4-BE49-F238E27FC236}">
              <a16:creationId xmlns:a16="http://schemas.microsoft.com/office/drawing/2014/main" id="{00000000-0008-0000-0500-00003C100000}"/>
            </a:ext>
          </a:extLst>
        </xdr:cNvPr>
        <xdr:cNvSpPr txBox="1">
          <a:spLocks noChangeArrowheads="1"/>
        </xdr:cNvSpPr>
      </xdr:nvSpPr>
      <xdr:spPr bwMode="auto">
        <a:xfrm>
          <a:off x="4972050" y="245586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68</xdr:row>
      <xdr:rowOff>504825</xdr:rowOff>
    </xdr:from>
    <xdr:ext cx="95250" cy="213632"/>
    <xdr:sp macro="" textlink="">
      <xdr:nvSpPr>
        <xdr:cNvPr id="4157" name="Text Box 15">
          <a:extLst>
            <a:ext uri="{FF2B5EF4-FFF2-40B4-BE49-F238E27FC236}">
              <a16:creationId xmlns:a16="http://schemas.microsoft.com/office/drawing/2014/main" id="{00000000-0008-0000-0500-00003D100000}"/>
            </a:ext>
          </a:extLst>
        </xdr:cNvPr>
        <xdr:cNvSpPr txBox="1">
          <a:spLocks noChangeArrowheads="1"/>
        </xdr:cNvSpPr>
      </xdr:nvSpPr>
      <xdr:spPr bwMode="auto">
        <a:xfrm>
          <a:off x="4972050" y="245586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70</xdr:row>
      <xdr:rowOff>504825</xdr:rowOff>
    </xdr:from>
    <xdr:ext cx="95250" cy="448496"/>
    <xdr:sp macro="" textlink="">
      <xdr:nvSpPr>
        <xdr:cNvPr id="4158" name="Text Box 15">
          <a:extLst>
            <a:ext uri="{FF2B5EF4-FFF2-40B4-BE49-F238E27FC236}">
              <a16:creationId xmlns:a16="http://schemas.microsoft.com/office/drawing/2014/main" id="{00000000-0008-0000-0500-00003E100000}"/>
            </a:ext>
          </a:extLst>
        </xdr:cNvPr>
        <xdr:cNvSpPr txBox="1">
          <a:spLocks noChangeArrowheads="1"/>
        </xdr:cNvSpPr>
      </xdr:nvSpPr>
      <xdr:spPr bwMode="auto">
        <a:xfrm>
          <a:off x="4972050" y="24558625"/>
          <a:ext cx="95250" cy="448496"/>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70</xdr:row>
      <xdr:rowOff>504825</xdr:rowOff>
    </xdr:from>
    <xdr:ext cx="95250" cy="213632"/>
    <xdr:sp macro="" textlink="">
      <xdr:nvSpPr>
        <xdr:cNvPr id="4159" name="Text Box 15">
          <a:extLst>
            <a:ext uri="{FF2B5EF4-FFF2-40B4-BE49-F238E27FC236}">
              <a16:creationId xmlns:a16="http://schemas.microsoft.com/office/drawing/2014/main" id="{00000000-0008-0000-0500-00003F100000}"/>
            </a:ext>
          </a:extLst>
        </xdr:cNvPr>
        <xdr:cNvSpPr txBox="1">
          <a:spLocks noChangeArrowheads="1"/>
        </xdr:cNvSpPr>
      </xdr:nvSpPr>
      <xdr:spPr bwMode="auto">
        <a:xfrm>
          <a:off x="4972050" y="245586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70</xdr:row>
      <xdr:rowOff>504825</xdr:rowOff>
    </xdr:from>
    <xdr:ext cx="95250" cy="444331"/>
    <xdr:sp macro="" textlink="">
      <xdr:nvSpPr>
        <xdr:cNvPr id="4160" name="Text Box 15">
          <a:extLst>
            <a:ext uri="{FF2B5EF4-FFF2-40B4-BE49-F238E27FC236}">
              <a16:creationId xmlns:a16="http://schemas.microsoft.com/office/drawing/2014/main" id="{00000000-0008-0000-0500-000040100000}"/>
            </a:ext>
          </a:extLst>
        </xdr:cNvPr>
        <xdr:cNvSpPr txBox="1">
          <a:spLocks noChangeArrowheads="1"/>
        </xdr:cNvSpPr>
      </xdr:nvSpPr>
      <xdr:spPr bwMode="auto">
        <a:xfrm>
          <a:off x="4972050" y="24558625"/>
          <a:ext cx="95250" cy="444331"/>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70</xdr:row>
      <xdr:rowOff>504825</xdr:rowOff>
    </xdr:from>
    <xdr:ext cx="95250" cy="448496"/>
    <xdr:sp macro="" textlink="">
      <xdr:nvSpPr>
        <xdr:cNvPr id="4161" name="Text Box 15">
          <a:extLst>
            <a:ext uri="{FF2B5EF4-FFF2-40B4-BE49-F238E27FC236}">
              <a16:creationId xmlns:a16="http://schemas.microsoft.com/office/drawing/2014/main" id="{00000000-0008-0000-0500-000041100000}"/>
            </a:ext>
          </a:extLst>
        </xdr:cNvPr>
        <xdr:cNvSpPr txBox="1">
          <a:spLocks noChangeArrowheads="1"/>
        </xdr:cNvSpPr>
      </xdr:nvSpPr>
      <xdr:spPr bwMode="auto">
        <a:xfrm>
          <a:off x="4972050" y="24558625"/>
          <a:ext cx="95250" cy="448496"/>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70</xdr:row>
      <xdr:rowOff>504825</xdr:rowOff>
    </xdr:from>
    <xdr:ext cx="95250" cy="213632"/>
    <xdr:sp macro="" textlink="">
      <xdr:nvSpPr>
        <xdr:cNvPr id="4162" name="Text Box 15">
          <a:extLst>
            <a:ext uri="{FF2B5EF4-FFF2-40B4-BE49-F238E27FC236}">
              <a16:creationId xmlns:a16="http://schemas.microsoft.com/office/drawing/2014/main" id="{00000000-0008-0000-0500-000042100000}"/>
            </a:ext>
          </a:extLst>
        </xdr:cNvPr>
        <xdr:cNvSpPr txBox="1">
          <a:spLocks noChangeArrowheads="1"/>
        </xdr:cNvSpPr>
      </xdr:nvSpPr>
      <xdr:spPr bwMode="auto">
        <a:xfrm>
          <a:off x="4972050" y="245586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70</xdr:row>
      <xdr:rowOff>504825</xdr:rowOff>
    </xdr:from>
    <xdr:ext cx="95250" cy="444331"/>
    <xdr:sp macro="" textlink="">
      <xdr:nvSpPr>
        <xdr:cNvPr id="4163" name="Text Box 15">
          <a:extLst>
            <a:ext uri="{FF2B5EF4-FFF2-40B4-BE49-F238E27FC236}">
              <a16:creationId xmlns:a16="http://schemas.microsoft.com/office/drawing/2014/main" id="{00000000-0008-0000-0500-000043100000}"/>
            </a:ext>
          </a:extLst>
        </xdr:cNvPr>
        <xdr:cNvSpPr txBox="1">
          <a:spLocks noChangeArrowheads="1"/>
        </xdr:cNvSpPr>
      </xdr:nvSpPr>
      <xdr:spPr bwMode="auto">
        <a:xfrm>
          <a:off x="4972050" y="24558625"/>
          <a:ext cx="95250" cy="444331"/>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70</xdr:row>
      <xdr:rowOff>504825</xdr:rowOff>
    </xdr:from>
    <xdr:ext cx="95250" cy="456743"/>
    <xdr:sp macro="" textlink="">
      <xdr:nvSpPr>
        <xdr:cNvPr id="4164" name="Text Box 15">
          <a:extLst>
            <a:ext uri="{FF2B5EF4-FFF2-40B4-BE49-F238E27FC236}">
              <a16:creationId xmlns:a16="http://schemas.microsoft.com/office/drawing/2014/main" id="{00000000-0008-0000-0500-000044100000}"/>
            </a:ext>
          </a:extLst>
        </xdr:cNvPr>
        <xdr:cNvSpPr txBox="1">
          <a:spLocks noChangeArrowheads="1"/>
        </xdr:cNvSpPr>
      </xdr:nvSpPr>
      <xdr:spPr bwMode="auto">
        <a:xfrm>
          <a:off x="4972050" y="24558625"/>
          <a:ext cx="95250" cy="456743"/>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70</xdr:row>
      <xdr:rowOff>504825</xdr:rowOff>
    </xdr:from>
    <xdr:ext cx="95250" cy="213632"/>
    <xdr:sp macro="" textlink="">
      <xdr:nvSpPr>
        <xdr:cNvPr id="4165" name="Text Box 15">
          <a:extLst>
            <a:ext uri="{FF2B5EF4-FFF2-40B4-BE49-F238E27FC236}">
              <a16:creationId xmlns:a16="http://schemas.microsoft.com/office/drawing/2014/main" id="{00000000-0008-0000-0500-000045100000}"/>
            </a:ext>
          </a:extLst>
        </xdr:cNvPr>
        <xdr:cNvSpPr txBox="1">
          <a:spLocks noChangeArrowheads="1"/>
        </xdr:cNvSpPr>
      </xdr:nvSpPr>
      <xdr:spPr bwMode="auto">
        <a:xfrm>
          <a:off x="4972050" y="245586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70</xdr:row>
      <xdr:rowOff>504825</xdr:rowOff>
    </xdr:from>
    <xdr:ext cx="95250" cy="444331"/>
    <xdr:sp macro="" textlink="">
      <xdr:nvSpPr>
        <xdr:cNvPr id="4166" name="Text Box 15">
          <a:extLst>
            <a:ext uri="{FF2B5EF4-FFF2-40B4-BE49-F238E27FC236}">
              <a16:creationId xmlns:a16="http://schemas.microsoft.com/office/drawing/2014/main" id="{00000000-0008-0000-0500-000046100000}"/>
            </a:ext>
          </a:extLst>
        </xdr:cNvPr>
        <xdr:cNvSpPr txBox="1">
          <a:spLocks noChangeArrowheads="1"/>
        </xdr:cNvSpPr>
      </xdr:nvSpPr>
      <xdr:spPr bwMode="auto">
        <a:xfrm>
          <a:off x="4972050" y="24558625"/>
          <a:ext cx="95250" cy="444331"/>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70</xdr:row>
      <xdr:rowOff>504825</xdr:rowOff>
    </xdr:from>
    <xdr:ext cx="95250" cy="213632"/>
    <xdr:sp macro="" textlink="">
      <xdr:nvSpPr>
        <xdr:cNvPr id="4167" name="Text Box 15">
          <a:extLst>
            <a:ext uri="{FF2B5EF4-FFF2-40B4-BE49-F238E27FC236}">
              <a16:creationId xmlns:a16="http://schemas.microsoft.com/office/drawing/2014/main" id="{00000000-0008-0000-0500-000047100000}"/>
            </a:ext>
          </a:extLst>
        </xdr:cNvPr>
        <xdr:cNvSpPr txBox="1">
          <a:spLocks noChangeArrowheads="1"/>
        </xdr:cNvSpPr>
      </xdr:nvSpPr>
      <xdr:spPr bwMode="auto">
        <a:xfrm>
          <a:off x="4972050" y="245586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70</xdr:row>
      <xdr:rowOff>504825</xdr:rowOff>
    </xdr:from>
    <xdr:ext cx="95250" cy="213632"/>
    <xdr:sp macro="" textlink="">
      <xdr:nvSpPr>
        <xdr:cNvPr id="4168" name="Text Box 15">
          <a:extLst>
            <a:ext uri="{FF2B5EF4-FFF2-40B4-BE49-F238E27FC236}">
              <a16:creationId xmlns:a16="http://schemas.microsoft.com/office/drawing/2014/main" id="{00000000-0008-0000-0500-000048100000}"/>
            </a:ext>
          </a:extLst>
        </xdr:cNvPr>
        <xdr:cNvSpPr txBox="1">
          <a:spLocks noChangeArrowheads="1"/>
        </xdr:cNvSpPr>
      </xdr:nvSpPr>
      <xdr:spPr bwMode="auto">
        <a:xfrm>
          <a:off x="4972050" y="245586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70</xdr:row>
      <xdr:rowOff>504825</xdr:rowOff>
    </xdr:from>
    <xdr:ext cx="95250" cy="213632"/>
    <xdr:sp macro="" textlink="">
      <xdr:nvSpPr>
        <xdr:cNvPr id="4169" name="Text Box 15">
          <a:extLst>
            <a:ext uri="{FF2B5EF4-FFF2-40B4-BE49-F238E27FC236}">
              <a16:creationId xmlns:a16="http://schemas.microsoft.com/office/drawing/2014/main" id="{00000000-0008-0000-0500-000049100000}"/>
            </a:ext>
          </a:extLst>
        </xdr:cNvPr>
        <xdr:cNvSpPr txBox="1">
          <a:spLocks noChangeArrowheads="1"/>
        </xdr:cNvSpPr>
      </xdr:nvSpPr>
      <xdr:spPr bwMode="auto">
        <a:xfrm>
          <a:off x="4972050" y="245586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70</xdr:row>
      <xdr:rowOff>504825</xdr:rowOff>
    </xdr:from>
    <xdr:ext cx="95250" cy="213632"/>
    <xdr:sp macro="" textlink="">
      <xdr:nvSpPr>
        <xdr:cNvPr id="4170" name="Text Box 15">
          <a:extLst>
            <a:ext uri="{FF2B5EF4-FFF2-40B4-BE49-F238E27FC236}">
              <a16:creationId xmlns:a16="http://schemas.microsoft.com/office/drawing/2014/main" id="{00000000-0008-0000-0500-00004A100000}"/>
            </a:ext>
          </a:extLst>
        </xdr:cNvPr>
        <xdr:cNvSpPr txBox="1">
          <a:spLocks noChangeArrowheads="1"/>
        </xdr:cNvSpPr>
      </xdr:nvSpPr>
      <xdr:spPr bwMode="auto">
        <a:xfrm>
          <a:off x="4972050" y="245586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70</xdr:row>
      <xdr:rowOff>504825</xdr:rowOff>
    </xdr:from>
    <xdr:ext cx="95250" cy="213632"/>
    <xdr:sp macro="" textlink="">
      <xdr:nvSpPr>
        <xdr:cNvPr id="4171" name="Text Box 15">
          <a:extLst>
            <a:ext uri="{FF2B5EF4-FFF2-40B4-BE49-F238E27FC236}">
              <a16:creationId xmlns:a16="http://schemas.microsoft.com/office/drawing/2014/main" id="{00000000-0008-0000-0500-00004B100000}"/>
            </a:ext>
          </a:extLst>
        </xdr:cNvPr>
        <xdr:cNvSpPr txBox="1">
          <a:spLocks noChangeArrowheads="1"/>
        </xdr:cNvSpPr>
      </xdr:nvSpPr>
      <xdr:spPr bwMode="auto">
        <a:xfrm>
          <a:off x="4972050" y="245586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70</xdr:row>
      <xdr:rowOff>504825</xdr:rowOff>
    </xdr:from>
    <xdr:ext cx="95250" cy="213632"/>
    <xdr:sp macro="" textlink="">
      <xdr:nvSpPr>
        <xdr:cNvPr id="4172" name="Text Box 15">
          <a:extLst>
            <a:ext uri="{FF2B5EF4-FFF2-40B4-BE49-F238E27FC236}">
              <a16:creationId xmlns:a16="http://schemas.microsoft.com/office/drawing/2014/main" id="{00000000-0008-0000-0500-00004C100000}"/>
            </a:ext>
          </a:extLst>
        </xdr:cNvPr>
        <xdr:cNvSpPr txBox="1">
          <a:spLocks noChangeArrowheads="1"/>
        </xdr:cNvSpPr>
      </xdr:nvSpPr>
      <xdr:spPr bwMode="auto">
        <a:xfrm>
          <a:off x="4972050" y="245586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70</xdr:row>
      <xdr:rowOff>504825</xdr:rowOff>
    </xdr:from>
    <xdr:ext cx="95250" cy="213632"/>
    <xdr:sp macro="" textlink="">
      <xdr:nvSpPr>
        <xdr:cNvPr id="4173" name="Text Box 15">
          <a:extLst>
            <a:ext uri="{FF2B5EF4-FFF2-40B4-BE49-F238E27FC236}">
              <a16:creationId xmlns:a16="http://schemas.microsoft.com/office/drawing/2014/main" id="{00000000-0008-0000-0500-00004D100000}"/>
            </a:ext>
          </a:extLst>
        </xdr:cNvPr>
        <xdr:cNvSpPr txBox="1">
          <a:spLocks noChangeArrowheads="1"/>
        </xdr:cNvSpPr>
      </xdr:nvSpPr>
      <xdr:spPr bwMode="auto">
        <a:xfrm>
          <a:off x="4972050" y="245586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70</xdr:row>
      <xdr:rowOff>504825</xdr:rowOff>
    </xdr:from>
    <xdr:ext cx="95250" cy="213632"/>
    <xdr:sp macro="" textlink="">
      <xdr:nvSpPr>
        <xdr:cNvPr id="4174" name="Text Box 15">
          <a:extLst>
            <a:ext uri="{FF2B5EF4-FFF2-40B4-BE49-F238E27FC236}">
              <a16:creationId xmlns:a16="http://schemas.microsoft.com/office/drawing/2014/main" id="{00000000-0008-0000-0500-00004E100000}"/>
            </a:ext>
          </a:extLst>
        </xdr:cNvPr>
        <xdr:cNvSpPr txBox="1">
          <a:spLocks noChangeArrowheads="1"/>
        </xdr:cNvSpPr>
      </xdr:nvSpPr>
      <xdr:spPr bwMode="auto">
        <a:xfrm>
          <a:off x="4972050" y="245586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70</xdr:row>
      <xdr:rowOff>504825</xdr:rowOff>
    </xdr:from>
    <xdr:ext cx="95250" cy="213632"/>
    <xdr:sp macro="" textlink="">
      <xdr:nvSpPr>
        <xdr:cNvPr id="4175" name="Text Box 15">
          <a:extLst>
            <a:ext uri="{FF2B5EF4-FFF2-40B4-BE49-F238E27FC236}">
              <a16:creationId xmlns:a16="http://schemas.microsoft.com/office/drawing/2014/main" id="{00000000-0008-0000-0500-00004F100000}"/>
            </a:ext>
          </a:extLst>
        </xdr:cNvPr>
        <xdr:cNvSpPr txBox="1">
          <a:spLocks noChangeArrowheads="1"/>
        </xdr:cNvSpPr>
      </xdr:nvSpPr>
      <xdr:spPr bwMode="auto">
        <a:xfrm>
          <a:off x="4972050" y="245586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70</xdr:row>
      <xdr:rowOff>504825</xdr:rowOff>
    </xdr:from>
    <xdr:ext cx="95250" cy="213632"/>
    <xdr:sp macro="" textlink="">
      <xdr:nvSpPr>
        <xdr:cNvPr id="4176" name="Text Box 15">
          <a:extLst>
            <a:ext uri="{FF2B5EF4-FFF2-40B4-BE49-F238E27FC236}">
              <a16:creationId xmlns:a16="http://schemas.microsoft.com/office/drawing/2014/main" id="{00000000-0008-0000-0500-000050100000}"/>
            </a:ext>
          </a:extLst>
        </xdr:cNvPr>
        <xdr:cNvSpPr txBox="1">
          <a:spLocks noChangeArrowheads="1"/>
        </xdr:cNvSpPr>
      </xdr:nvSpPr>
      <xdr:spPr bwMode="auto">
        <a:xfrm>
          <a:off x="4972050" y="245586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72</xdr:row>
      <xdr:rowOff>504825</xdr:rowOff>
    </xdr:from>
    <xdr:ext cx="95250" cy="213632"/>
    <xdr:sp macro="" textlink="">
      <xdr:nvSpPr>
        <xdr:cNvPr id="4177" name="Text Box 15">
          <a:extLst>
            <a:ext uri="{FF2B5EF4-FFF2-40B4-BE49-F238E27FC236}">
              <a16:creationId xmlns:a16="http://schemas.microsoft.com/office/drawing/2014/main" id="{00000000-0008-0000-0500-000051100000}"/>
            </a:ext>
          </a:extLst>
        </xdr:cNvPr>
        <xdr:cNvSpPr txBox="1">
          <a:spLocks noChangeArrowheads="1"/>
        </xdr:cNvSpPr>
      </xdr:nvSpPr>
      <xdr:spPr bwMode="auto">
        <a:xfrm>
          <a:off x="4972050" y="253079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72</xdr:row>
      <xdr:rowOff>504825</xdr:rowOff>
    </xdr:from>
    <xdr:ext cx="95250" cy="213632"/>
    <xdr:sp macro="" textlink="">
      <xdr:nvSpPr>
        <xdr:cNvPr id="4178" name="Text Box 15">
          <a:extLst>
            <a:ext uri="{FF2B5EF4-FFF2-40B4-BE49-F238E27FC236}">
              <a16:creationId xmlns:a16="http://schemas.microsoft.com/office/drawing/2014/main" id="{00000000-0008-0000-0500-000052100000}"/>
            </a:ext>
          </a:extLst>
        </xdr:cNvPr>
        <xdr:cNvSpPr txBox="1">
          <a:spLocks noChangeArrowheads="1"/>
        </xdr:cNvSpPr>
      </xdr:nvSpPr>
      <xdr:spPr bwMode="auto">
        <a:xfrm>
          <a:off x="4972050" y="253079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72</xdr:row>
      <xdr:rowOff>504825</xdr:rowOff>
    </xdr:from>
    <xdr:ext cx="95250" cy="213632"/>
    <xdr:sp macro="" textlink="">
      <xdr:nvSpPr>
        <xdr:cNvPr id="4179" name="Text Box 15">
          <a:extLst>
            <a:ext uri="{FF2B5EF4-FFF2-40B4-BE49-F238E27FC236}">
              <a16:creationId xmlns:a16="http://schemas.microsoft.com/office/drawing/2014/main" id="{00000000-0008-0000-0500-000053100000}"/>
            </a:ext>
          </a:extLst>
        </xdr:cNvPr>
        <xdr:cNvSpPr txBox="1">
          <a:spLocks noChangeArrowheads="1"/>
        </xdr:cNvSpPr>
      </xdr:nvSpPr>
      <xdr:spPr bwMode="auto">
        <a:xfrm>
          <a:off x="4972050" y="253079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72</xdr:row>
      <xdr:rowOff>504825</xdr:rowOff>
    </xdr:from>
    <xdr:ext cx="95250" cy="213632"/>
    <xdr:sp macro="" textlink="">
      <xdr:nvSpPr>
        <xdr:cNvPr id="4180" name="Text Box 15">
          <a:extLst>
            <a:ext uri="{FF2B5EF4-FFF2-40B4-BE49-F238E27FC236}">
              <a16:creationId xmlns:a16="http://schemas.microsoft.com/office/drawing/2014/main" id="{00000000-0008-0000-0500-000054100000}"/>
            </a:ext>
          </a:extLst>
        </xdr:cNvPr>
        <xdr:cNvSpPr txBox="1">
          <a:spLocks noChangeArrowheads="1"/>
        </xdr:cNvSpPr>
      </xdr:nvSpPr>
      <xdr:spPr bwMode="auto">
        <a:xfrm>
          <a:off x="4972050" y="253079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72</xdr:row>
      <xdr:rowOff>504825</xdr:rowOff>
    </xdr:from>
    <xdr:ext cx="95250" cy="213632"/>
    <xdr:sp macro="" textlink="">
      <xdr:nvSpPr>
        <xdr:cNvPr id="4181" name="Text Box 15">
          <a:extLst>
            <a:ext uri="{FF2B5EF4-FFF2-40B4-BE49-F238E27FC236}">
              <a16:creationId xmlns:a16="http://schemas.microsoft.com/office/drawing/2014/main" id="{00000000-0008-0000-0500-000055100000}"/>
            </a:ext>
          </a:extLst>
        </xdr:cNvPr>
        <xdr:cNvSpPr txBox="1">
          <a:spLocks noChangeArrowheads="1"/>
        </xdr:cNvSpPr>
      </xdr:nvSpPr>
      <xdr:spPr bwMode="auto">
        <a:xfrm>
          <a:off x="4972050" y="253079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72</xdr:row>
      <xdr:rowOff>504825</xdr:rowOff>
    </xdr:from>
    <xdr:ext cx="95250" cy="213632"/>
    <xdr:sp macro="" textlink="">
      <xdr:nvSpPr>
        <xdr:cNvPr id="4182" name="Text Box 15">
          <a:extLst>
            <a:ext uri="{FF2B5EF4-FFF2-40B4-BE49-F238E27FC236}">
              <a16:creationId xmlns:a16="http://schemas.microsoft.com/office/drawing/2014/main" id="{00000000-0008-0000-0500-000056100000}"/>
            </a:ext>
          </a:extLst>
        </xdr:cNvPr>
        <xdr:cNvSpPr txBox="1">
          <a:spLocks noChangeArrowheads="1"/>
        </xdr:cNvSpPr>
      </xdr:nvSpPr>
      <xdr:spPr bwMode="auto">
        <a:xfrm>
          <a:off x="4972050" y="253079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72</xdr:row>
      <xdr:rowOff>504825</xdr:rowOff>
    </xdr:from>
    <xdr:ext cx="95250" cy="213632"/>
    <xdr:sp macro="" textlink="">
      <xdr:nvSpPr>
        <xdr:cNvPr id="4183" name="Text Box 15">
          <a:extLst>
            <a:ext uri="{FF2B5EF4-FFF2-40B4-BE49-F238E27FC236}">
              <a16:creationId xmlns:a16="http://schemas.microsoft.com/office/drawing/2014/main" id="{00000000-0008-0000-0500-000057100000}"/>
            </a:ext>
          </a:extLst>
        </xdr:cNvPr>
        <xdr:cNvSpPr txBox="1">
          <a:spLocks noChangeArrowheads="1"/>
        </xdr:cNvSpPr>
      </xdr:nvSpPr>
      <xdr:spPr bwMode="auto">
        <a:xfrm>
          <a:off x="4972050" y="253079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72</xdr:row>
      <xdr:rowOff>504825</xdr:rowOff>
    </xdr:from>
    <xdr:ext cx="95250" cy="213632"/>
    <xdr:sp macro="" textlink="">
      <xdr:nvSpPr>
        <xdr:cNvPr id="4184" name="Text Box 15">
          <a:extLst>
            <a:ext uri="{FF2B5EF4-FFF2-40B4-BE49-F238E27FC236}">
              <a16:creationId xmlns:a16="http://schemas.microsoft.com/office/drawing/2014/main" id="{00000000-0008-0000-0500-000058100000}"/>
            </a:ext>
          </a:extLst>
        </xdr:cNvPr>
        <xdr:cNvSpPr txBox="1">
          <a:spLocks noChangeArrowheads="1"/>
        </xdr:cNvSpPr>
      </xdr:nvSpPr>
      <xdr:spPr bwMode="auto">
        <a:xfrm>
          <a:off x="4972050" y="253079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72</xdr:row>
      <xdr:rowOff>504825</xdr:rowOff>
    </xdr:from>
    <xdr:ext cx="95250" cy="213632"/>
    <xdr:sp macro="" textlink="">
      <xdr:nvSpPr>
        <xdr:cNvPr id="4185" name="Text Box 15">
          <a:extLst>
            <a:ext uri="{FF2B5EF4-FFF2-40B4-BE49-F238E27FC236}">
              <a16:creationId xmlns:a16="http://schemas.microsoft.com/office/drawing/2014/main" id="{00000000-0008-0000-0500-000059100000}"/>
            </a:ext>
          </a:extLst>
        </xdr:cNvPr>
        <xdr:cNvSpPr txBox="1">
          <a:spLocks noChangeArrowheads="1"/>
        </xdr:cNvSpPr>
      </xdr:nvSpPr>
      <xdr:spPr bwMode="auto">
        <a:xfrm>
          <a:off x="4972050" y="253079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72</xdr:row>
      <xdr:rowOff>504825</xdr:rowOff>
    </xdr:from>
    <xdr:ext cx="95250" cy="213632"/>
    <xdr:sp macro="" textlink="">
      <xdr:nvSpPr>
        <xdr:cNvPr id="4186" name="Text Box 15">
          <a:extLst>
            <a:ext uri="{FF2B5EF4-FFF2-40B4-BE49-F238E27FC236}">
              <a16:creationId xmlns:a16="http://schemas.microsoft.com/office/drawing/2014/main" id="{00000000-0008-0000-0500-00005A100000}"/>
            </a:ext>
          </a:extLst>
        </xdr:cNvPr>
        <xdr:cNvSpPr txBox="1">
          <a:spLocks noChangeArrowheads="1"/>
        </xdr:cNvSpPr>
      </xdr:nvSpPr>
      <xdr:spPr bwMode="auto">
        <a:xfrm>
          <a:off x="4972050" y="253079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72</xdr:row>
      <xdr:rowOff>504825</xdr:rowOff>
    </xdr:from>
    <xdr:ext cx="95250" cy="213632"/>
    <xdr:sp macro="" textlink="">
      <xdr:nvSpPr>
        <xdr:cNvPr id="4187" name="Text Box 15">
          <a:extLst>
            <a:ext uri="{FF2B5EF4-FFF2-40B4-BE49-F238E27FC236}">
              <a16:creationId xmlns:a16="http://schemas.microsoft.com/office/drawing/2014/main" id="{00000000-0008-0000-0500-00005B100000}"/>
            </a:ext>
          </a:extLst>
        </xdr:cNvPr>
        <xdr:cNvSpPr txBox="1">
          <a:spLocks noChangeArrowheads="1"/>
        </xdr:cNvSpPr>
      </xdr:nvSpPr>
      <xdr:spPr bwMode="auto">
        <a:xfrm>
          <a:off x="4972050" y="253079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72</xdr:row>
      <xdr:rowOff>504825</xdr:rowOff>
    </xdr:from>
    <xdr:ext cx="95250" cy="213632"/>
    <xdr:sp macro="" textlink="">
      <xdr:nvSpPr>
        <xdr:cNvPr id="4188" name="Text Box 15">
          <a:extLst>
            <a:ext uri="{FF2B5EF4-FFF2-40B4-BE49-F238E27FC236}">
              <a16:creationId xmlns:a16="http://schemas.microsoft.com/office/drawing/2014/main" id="{00000000-0008-0000-0500-00005C100000}"/>
            </a:ext>
          </a:extLst>
        </xdr:cNvPr>
        <xdr:cNvSpPr txBox="1">
          <a:spLocks noChangeArrowheads="1"/>
        </xdr:cNvSpPr>
      </xdr:nvSpPr>
      <xdr:spPr bwMode="auto">
        <a:xfrm>
          <a:off x="4972050" y="253079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72</xdr:row>
      <xdr:rowOff>504825</xdr:rowOff>
    </xdr:from>
    <xdr:ext cx="95250" cy="213632"/>
    <xdr:sp macro="" textlink="">
      <xdr:nvSpPr>
        <xdr:cNvPr id="4189" name="Text Box 15">
          <a:extLst>
            <a:ext uri="{FF2B5EF4-FFF2-40B4-BE49-F238E27FC236}">
              <a16:creationId xmlns:a16="http://schemas.microsoft.com/office/drawing/2014/main" id="{00000000-0008-0000-0500-00005D100000}"/>
            </a:ext>
          </a:extLst>
        </xdr:cNvPr>
        <xdr:cNvSpPr txBox="1">
          <a:spLocks noChangeArrowheads="1"/>
        </xdr:cNvSpPr>
      </xdr:nvSpPr>
      <xdr:spPr bwMode="auto">
        <a:xfrm>
          <a:off x="4972050" y="253079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74</xdr:row>
      <xdr:rowOff>504825</xdr:rowOff>
    </xdr:from>
    <xdr:ext cx="95250" cy="448496"/>
    <xdr:sp macro="" textlink="">
      <xdr:nvSpPr>
        <xdr:cNvPr id="4190" name="Text Box 15">
          <a:extLst>
            <a:ext uri="{FF2B5EF4-FFF2-40B4-BE49-F238E27FC236}">
              <a16:creationId xmlns:a16="http://schemas.microsoft.com/office/drawing/2014/main" id="{00000000-0008-0000-0500-00005E100000}"/>
            </a:ext>
          </a:extLst>
        </xdr:cNvPr>
        <xdr:cNvSpPr txBox="1">
          <a:spLocks noChangeArrowheads="1"/>
        </xdr:cNvSpPr>
      </xdr:nvSpPr>
      <xdr:spPr bwMode="auto">
        <a:xfrm>
          <a:off x="4972050" y="26806525"/>
          <a:ext cx="95250" cy="448496"/>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74</xdr:row>
      <xdr:rowOff>504825</xdr:rowOff>
    </xdr:from>
    <xdr:ext cx="95250" cy="213632"/>
    <xdr:sp macro="" textlink="">
      <xdr:nvSpPr>
        <xdr:cNvPr id="4191" name="Text Box 15">
          <a:extLst>
            <a:ext uri="{FF2B5EF4-FFF2-40B4-BE49-F238E27FC236}">
              <a16:creationId xmlns:a16="http://schemas.microsoft.com/office/drawing/2014/main" id="{00000000-0008-0000-0500-00005F100000}"/>
            </a:ext>
          </a:extLst>
        </xdr:cNvPr>
        <xdr:cNvSpPr txBox="1">
          <a:spLocks noChangeArrowheads="1"/>
        </xdr:cNvSpPr>
      </xdr:nvSpPr>
      <xdr:spPr bwMode="auto">
        <a:xfrm>
          <a:off x="4972050" y="268065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74</xdr:row>
      <xdr:rowOff>504825</xdr:rowOff>
    </xdr:from>
    <xdr:ext cx="95250" cy="444331"/>
    <xdr:sp macro="" textlink="">
      <xdr:nvSpPr>
        <xdr:cNvPr id="4192" name="Text Box 15">
          <a:extLst>
            <a:ext uri="{FF2B5EF4-FFF2-40B4-BE49-F238E27FC236}">
              <a16:creationId xmlns:a16="http://schemas.microsoft.com/office/drawing/2014/main" id="{00000000-0008-0000-0500-000060100000}"/>
            </a:ext>
          </a:extLst>
        </xdr:cNvPr>
        <xdr:cNvSpPr txBox="1">
          <a:spLocks noChangeArrowheads="1"/>
        </xdr:cNvSpPr>
      </xdr:nvSpPr>
      <xdr:spPr bwMode="auto">
        <a:xfrm>
          <a:off x="4972050" y="26806525"/>
          <a:ext cx="95250" cy="444331"/>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74</xdr:row>
      <xdr:rowOff>504825</xdr:rowOff>
    </xdr:from>
    <xdr:ext cx="95250" cy="448496"/>
    <xdr:sp macro="" textlink="">
      <xdr:nvSpPr>
        <xdr:cNvPr id="4193" name="Text Box 15">
          <a:extLst>
            <a:ext uri="{FF2B5EF4-FFF2-40B4-BE49-F238E27FC236}">
              <a16:creationId xmlns:a16="http://schemas.microsoft.com/office/drawing/2014/main" id="{00000000-0008-0000-0500-000061100000}"/>
            </a:ext>
          </a:extLst>
        </xdr:cNvPr>
        <xdr:cNvSpPr txBox="1">
          <a:spLocks noChangeArrowheads="1"/>
        </xdr:cNvSpPr>
      </xdr:nvSpPr>
      <xdr:spPr bwMode="auto">
        <a:xfrm>
          <a:off x="4972050" y="26806525"/>
          <a:ext cx="95250" cy="448496"/>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74</xdr:row>
      <xdr:rowOff>504825</xdr:rowOff>
    </xdr:from>
    <xdr:ext cx="95250" cy="213632"/>
    <xdr:sp macro="" textlink="">
      <xdr:nvSpPr>
        <xdr:cNvPr id="4194" name="Text Box 15">
          <a:extLst>
            <a:ext uri="{FF2B5EF4-FFF2-40B4-BE49-F238E27FC236}">
              <a16:creationId xmlns:a16="http://schemas.microsoft.com/office/drawing/2014/main" id="{00000000-0008-0000-0500-000062100000}"/>
            </a:ext>
          </a:extLst>
        </xdr:cNvPr>
        <xdr:cNvSpPr txBox="1">
          <a:spLocks noChangeArrowheads="1"/>
        </xdr:cNvSpPr>
      </xdr:nvSpPr>
      <xdr:spPr bwMode="auto">
        <a:xfrm>
          <a:off x="4972050" y="268065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74</xdr:row>
      <xdr:rowOff>504825</xdr:rowOff>
    </xdr:from>
    <xdr:ext cx="95250" cy="444331"/>
    <xdr:sp macro="" textlink="">
      <xdr:nvSpPr>
        <xdr:cNvPr id="4195" name="Text Box 15">
          <a:extLst>
            <a:ext uri="{FF2B5EF4-FFF2-40B4-BE49-F238E27FC236}">
              <a16:creationId xmlns:a16="http://schemas.microsoft.com/office/drawing/2014/main" id="{00000000-0008-0000-0500-000063100000}"/>
            </a:ext>
          </a:extLst>
        </xdr:cNvPr>
        <xdr:cNvSpPr txBox="1">
          <a:spLocks noChangeArrowheads="1"/>
        </xdr:cNvSpPr>
      </xdr:nvSpPr>
      <xdr:spPr bwMode="auto">
        <a:xfrm>
          <a:off x="4972050" y="26806525"/>
          <a:ext cx="95250" cy="444331"/>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74</xdr:row>
      <xdr:rowOff>504825</xdr:rowOff>
    </xdr:from>
    <xdr:ext cx="95250" cy="456743"/>
    <xdr:sp macro="" textlink="">
      <xdr:nvSpPr>
        <xdr:cNvPr id="4196" name="Text Box 15">
          <a:extLst>
            <a:ext uri="{FF2B5EF4-FFF2-40B4-BE49-F238E27FC236}">
              <a16:creationId xmlns:a16="http://schemas.microsoft.com/office/drawing/2014/main" id="{00000000-0008-0000-0500-000064100000}"/>
            </a:ext>
          </a:extLst>
        </xdr:cNvPr>
        <xdr:cNvSpPr txBox="1">
          <a:spLocks noChangeArrowheads="1"/>
        </xdr:cNvSpPr>
      </xdr:nvSpPr>
      <xdr:spPr bwMode="auto">
        <a:xfrm>
          <a:off x="4972050" y="26806525"/>
          <a:ext cx="95250" cy="456743"/>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74</xdr:row>
      <xdr:rowOff>504825</xdr:rowOff>
    </xdr:from>
    <xdr:ext cx="95250" cy="213632"/>
    <xdr:sp macro="" textlink="">
      <xdr:nvSpPr>
        <xdr:cNvPr id="4197" name="Text Box 15">
          <a:extLst>
            <a:ext uri="{FF2B5EF4-FFF2-40B4-BE49-F238E27FC236}">
              <a16:creationId xmlns:a16="http://schemas.microsoft.com/office/drawing/2014/main" id="{00000000-0008-0000-0500-000065100000}"/>
            </a:ext>
          </a:extLst>
        </xdr:cNvPr>
        <xdr:cNvSpPr txBox="1">
          <a:spLocks noChangeArrowheads="1"/>
        </xdr:cNvSpPr>
      </xdr:nvSpPr>
      <xdr:spPr bwMode="auto">
        <a:xfrm>
          <a:off x="4972050" y="268065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74</xdr:row>
      <xdr:rowOff>504825</xdr:rowOff>
    </xdr:from>
    <xdr:ext cx="95250" cy="444331"/>
    <xdr:sp macro="" textlink="">
      <xdr:nvSpPr>
        <xdr:cNvPr id="4198" name="Text Box 15">
          <a:extLst>
            <a:ext uri="{FF2B5EF4-FFF2-40B4-BE49-F238E27FC236}">
              <a16:creationId xmlns:a16="http://schemas.microsoft.com/office/drawing/2014/main" id="{00000000-0008-0000-0500-000066100000}"/>
            </a:ext>
          </a:extLst>
        </xdr:cNvPr>
        <xdr:cNvSpPr txBox="1">
          <a:spLocks noChangeArrowheads="1"/>
        </xdr:cNvSpPr>
      </xdr:nvSpPr>
      <xdr:spPr bwMode="auto">
        <a:xfrm>
          <a:off x="4972050" y="26806525"/>
          <a:ext cx="95250" cy="444331"/>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74</xdr:row>
      <xdr:rowOff>504825</xdr:rowOff>
    </xdr:from>
    <xdr:ext cx="95250" cy="213632"/>
    <xdr:sp macro="" textlink="">
      <xdr:nvSpPr>
        <xdr:cNvPr id="4199" name="Text Box 15">
          <a:extLst>
            <a:ext uri="{FF2B5EF4-FFF2-40B4-BE49-F238E27FC236}">
              <a16:creationId xmlns:a16="http://schemas.microsoft.com/office/drawing/2014/main" id="{00000000-0008-0000-0500-000067100000}"/>
            </a:ext>
          </a:extLst>
        </xdr:cNvPr>
        <xdr:cNvSpPr txBox="1">
          <a:spLocks noChangeArrowheads="1"/>
        </xdr:cNvSpPr>
      </xdr:nvSpPr>
      <xdr:spPr bwMode="auto">
        <a:xfrm>
          <a:off x="4972050" y="268065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74</xdr:row>
      <xdr:rowOff>504825</xdr:rowOff>
    </xdr:from>
    <xdr:ext cx="95250" cy="213632"/>
    <xdr:sp macro="" textlink="">
      <xdr:nvSpPr>
        <xdr:cNvPr id="4200" name="Text Box 15">
          <a:extLst>
            <a:ext uri="{FF2B5EF4-FFF2-40B4-BE49-F238E27FC236}">
              <a16:creationId xmlns:a16="http://schemas.microsoft.com/office/drawing/2014/main" id="{00000000-0008-0000-0500-000068100000}"/>
            </a:ext>
          </a:extLst>
        </xdr:cNvPr>
        <xdr:cNvSpPr txBox="1">
          <a:spLocks noChangeArrowheads="1"/>
        </xdr:cNvSpPr>
      </xdr:nvSpPr>
      <xdr:spPr bwMode="auto">
        <a:xfrm>
          <a:off x="4972050" y="268065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74</xdr:row>
      <xdr:rowOff>504825</xdr:rowOff>
    </xdr:from>
    <xdr:ext cx="95250" cy="213632"/>
    <xdr:sp macro="" textlink="">
      <xdr:nvSpPr>
        <xdr:cNvPr id="4201" name="Text Box 15">
          <a:extLst>
            <a:ext uri="{FF2B5EF4-FFF2-40B4-BE49-F238E27FC236}">
              <a16:creationId xmlns:a16="http://schemas.microsoft.com/office/drawing/2014/main" id="{00000000-0008-0000-0500-000069100000}"/>
            </a:ext>
          </a:extLst>
        </xdr:cNvPr>
        <xdr:cNvSpPr txBox="1">
          <a:spLocks noChangeArrowheads="1"/>
        </xdr:cNvSpPr>
      </xdr:nvSpPr>
      <xdr:spPr bwMode="auto">
        <a:xfrm>
          <a:off x="4972050" y="268065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74</xdr:row>
      <xdr:rowOff>504825</xdr:rowOff>
    </xdr:from>
    <xdr:ext cx="95250" cy="213632"/>
    <xdr:sp macro="" textlink="">
      <xdr:nvSpPr>
        <xdr:cNvPr id="4202" name="Text Box 15">
          <a:extLst>
            <a:ext uri="{FF2B5EF4-FFF2-40B4-BE49-F238E27FC236}">
              <a16:creationId xmlns:a16="http://schemas.microsoft.com/office/drawing/2014/main" id="{00000000-0008-0000-0500-00006A100000}"/>
            </a:ext>
          </a:extLst>
        </xdr:cNvPr>
        <xdr:cNvSpPr txBox="1">
          <a:spLocks noChangeArrowheads="1"/>
        </xdr:cNvSpPr>
      </xdr:nvSpPr>
      <xdr:spPr bwMode="auto">
        <a:xfrm>
          <a:off x="4972050" y="268065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74</xdr:row>
      <xdr:rowOff>504825</xdr:rowOff>
    </xdr:from>
    <xdr:ext cx="95250" cy="213632"/>
    <xdr:sp macro="" textlink="">
      <xdr:nvSpPr>
        <xdr:cNvPr id="4203" name="Text Box 15">
          <a:extLst>
            <a:ext uri="{FF2B5EF4-FFF2-40B4-BE49-F238E27FC236}">
              <a16:creationId xmlns:a16="http://schemas.microsoft.com/office/drawing/2014/main" id="{00000000-0008-0000-0500-00006B100000}"/>
            </a:ext>
          </a:extLst>
        </xdr:cNvPr>
        <xdr:cNvSpPr txBox="1">
          <a:spLocks noChangeArrowheads="1"/>
        </xdr:cNvSpPr>
      </xdr:nvSpPr>
      <xdr:spPr bwMode="auto">
        <a:xfrm>
          <a:off x="4972050" y="268065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74</xdr:row>
      <xdr:rowOff>504825</xdr:rowOff>
    </xdr:from>
    <xdr:ext cx="95250" cy="213632"/>
    <xdr:sp macro="" textlink="">
      <xdr:nvSpPr>
        <xdr:cNvPr id="4204" name="Text Box 15">
          <a:extLst>
            <a:ext uri="{FF2B5EF4-FFF2-40B4-BE49-F238E27FC236}">
              <a16:creationId xmlns:a16="http://schemas.microsoft.com/office/drawing/2014/main" id="{00000000-0008-0000-0500-00006C100000}"/>
            </a:ext>
          </a:extLst>
        </xdr:cNvPr>
        <xdr:cNvSpPr txBox="1">
          <a:spLocks noChangeArrowheads="1"/>
        </xdr:cNvSpPr>
      </xdr:nvSpPr>
      <xdr:spPr bwMode="auto">
        <a:xfrm>
          <a:off x="4972050" y="268065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74</xdr:row>
      <xdr:rowOff>504825</xdr:rowOff>
    </xdr:from>
    <xdr:ext cx="95250" cy="213632"/>
    <xdr:sp macro="" textlink="">
      <xdr:nvSpPr>
        <xdr:cNvPr id="4205" name="Text Box 15">
          <a:extLst>
            <a:ext uri="{FF2B5EF4-FFF2-40B4-BE49-F238E27FC236}">
              <a16:creationId xmlns:a16="http://schemas.microsoft.com/office/drawing/2014/main" id="{00000000-0008-0000-0500-00006D100000}"/>
            </a:ext>
          </a:extLst>
        </xdr:cNvPr>
        <xdr:cNvSpPr txBox="1">
          <a:spLocks noChangeArrowheads="1"/>
        </xdr:cNvSpPr>
      </xdr:nvSpPr>
      <xdr:spPr bwMode="auto">
        <a:xfrm>
          <a:off x="4972050" y="268065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74</xdr:row>
      <xdr:rowOff>504825</xdr:rowOff>
    </xdr:from>
    <xdr:ext cx="95250" cy="213632"/>
    <xdr:sp macro="" textlink="">
      <xdr:nvSpPr>
        <xdr:cNvPr id="4206" name="Text Box 15">
          <a:extLst>
            <a:ext uri="{FF2B5EF4-FFF2-40B4-BE49-F238E27FC236}">
              <a16:creationId xmlns:a16="http://schemas.microsoft.com/office/drawing/2014/main" id="{00000000-0008-0000-0500-00006E100000}"/>
            </a:ext>
          </a:extLst>
        </xdr:cNvPr>
        <xdr:cNvSpPr txBox="1">
          <a:spLocks noChangeArrowheads="1"/>
        </xdr:cNvSpPr>
      </xdr:nvSpPr>
      <xdr:spPr bwMode="auto">
        <a:xfrm>
          <a:off x="4972050" y="268065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74</xdr:row>
      <xdr:rowOff>504825</xdr:rowOff>
    </xdr:from>
    <xdr:ext cx="95250" cy="213632"/>
    <xdr:sp macro="" textlink="">
      <xdr:nvSpPr>
        <xdr:cNvPr id="4207" name="Text Box 15">
          <a:extLst>
            <a:ext uri="{FF2B5EF4-FFF2-40B4-BE49-F238E27FC236}">
              <a16:creationId xmlns:a16="http://schemas.microsoft.com/office/drawing/2014/main" id="{00000000-0008-0000-0500-00006F100000}"/>
            </a:ext>
          </a:extLst>
        </xdr:cNvPr>
        <xdr:cNvSpPr txBox="1">
          <a:spLocks noChangeArrowheads="1"/>
        </xdr:cNvSpPr>
      </xdr:nvSpPr>
      <xdr:spPr bwMode="auto">
        <a:xfrm>
          <a:off x="4972050" y="268065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74</xdr:row>
      <xdr:rowOff>504825</xdr:rowOff>
    </xdr:from>
    <xdr:ext cx="95250" cy="213632"/>
    <xdr:sp macro="" textlink="">
      <xdr:nvSpPr>
        <xdr:cNvPr id="4208" name="Text Box 15">
          <a:extLst>
            <a:ext uri="{FF2B5EF4-FFF2-40B4-BE49-F238E27FC236}">
              <a16:creationId xmlns:a16="http://schemas.microsoft.com/office/drawing/2014/main" id="{00000000-0008-0000-0500-000070100000}"/>
            </a:ext>
          </a:extLst>
        </xdr:cNvPr>
        <xdr:cNvSpPr txBox="1">
          <a:spLocks noChangeArrowheads="1"/>
        </xdr:cNvSpPr>
      </xdr:nvSpPr>
      <xdr:spPr bwMode="auto">
        <a:xfrm>
          <a:off x="4972050" y="268065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74</xdr:row>
      <xdr:rowOff>504825</xdr:rowOff>
    </xdr:from>
    <xdr:ext cx="95250" cy="213632"/>
    <xdr:sp macro="" textlink="">
      <xdr:nvSpPr>
        <xdr:cNvPr id="4209" name="Text Box 15">
          <a:extLst>
            <a:ext uri="{FF2B5EF4-FFF2-40B4-BE49-F238E27FC236}">
              <a16:creationId xmlns:a16="http://schemas.microsoft.com/office/drawing/2014/main" id="{00000000-0008-0000-0500-000071100000}"/>
            </a:ext>
          </a:extLst>
        </xdr:cNvPr>
        <xdr:cNvSpPr txBox="1">
          <a:spLocks noChangeArrowheads="1"/>
        </xdr:cNvSpPr>
      </xdr:nvSpPr>
      <xdr:spPr bwMode="auto">
        <a:xfrm>
          <a:off x="4972050" y="268065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74</xdr:row>
      <xdr:rowOff>504825</xdr:rowOff>
    </xdr:from>
    <xdr:ext cx="95250" cy="213632"/>
    <xdr:sp macro="" textlink="">
      <xdr:nvSpPr>
        <xdr:cNvPr id="4210" name="Text Box 15">
          <a:extLst>
            <a:ext uri="{FF2B5EF4-FFF2-40B4-BE49-F238E27FC236}">
              <a16:creationId xmlns:a16="http://schemas.microsoft.com/office/drawing/2014/main" id="{00000000-0008-0000-0500-000072100000}"/>
            </a:ext>
          </a:extLst>
        </xdr:cNvPr>
        <xdr:cNvSpPr txBox="1">
          <a:spLocks noChangeArrowheads="1"/>
        </xdr:cNvSpPr>
      </xdr:nvSpPr>
      <xdr:spPr bwMode="auto">
        <a:xfrm>
          <a:off x="4972050" y="268065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74</xdr:row>
      <xdr:rowOff>504825</xdr:rowOff>
    </xdr:from>
    <xdr:ext cx="95250" cy="213632"/>
    <xdr:sp macro="" textlink="">
      <xdr:nvSpPr>
        <xdr:cNvPr id="4211" name="Text Box 15">
          <a:extLst>
            <a:ext uri="{FF2B5EF4-FFF2-40B4-BE49-F238E27FC236}">
              <a16:creationId xmlns:a16="http://schemas.microsoft.com/office/drawing/2014/main" id="{00000000-0008-0000-0500-000073100000}"/>
            </a:ext>
          </a:extLst>
        </xdr:cNvPr>
        <xdr:cNvSpPr txBox="1">
          <a:spLocks noChangeArrowheads="1"/>
        </xdr:cNvSpPr>
      </xdr:nvSpPr>
      <xdr:spPr bwMode="auto">
        <a:xfrm>
          <a:off x="4972050" y="268065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76</xdr:row>
      <xdr:rowOff>504825</xdr:rowOff>
    </xdr:from>
    <xdr:ext cx="95250" cy="448496"/>
    <xdr:sp macro="" textlink="">
      <xdr:nvSpPr>
        <xdr:cNvPr id="4212" name="Text Box 15">
          <a:extLst>
            <a:ext uri="{FF2B5EF4-FFF2-40B4-BE49-F238E27FC236}">
              <a16:creationId xmlns:a16="http://schemas.microsoft.com/office/drawing/2014/main" id="{00000000-0008-0000-0500-000074100000}"/>
            </a:ext>
          </a:extLst>
        </xdr:cNvPr>
        <xdr:cNvSpPr txBox="1">
          <a:spLocks noChangeArrowheads="1"/>
        </xdr:cNvSpPr>
      </xdr:nvSpPr>
      <xdr:spPr bwMode="auto">
        <a:xfrm>
          <a:off x="4972050" y="26806525"/>
          <a:ext cx="95250" cy="448496"/>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76</xdr:row>
      <xdr:rowOff>504825</xdr:rowOff>
    </xdr:from>
    <xdr:ext cx="95250" cy="213632"/>
    <xdr:sp macro="" textlink="">
      <xdr:nvSpPr>
        <xdr:cNvPr id="4213" name="Text Box 15">
          <a:extLst>
            <a:ext uri="{FF2B5EF4-FFF2-40B4-BE49-F238E27FC236}">
              <a16:creationId xmlns:a16="http://schemas.microsoft.com/office/drawing/2014/main" id="{00000000-0008-0000-0500-000075100000}"/>
            </a:ext>
          </a:extLst>
        </xdr:cNvPr>
        <xdr:cNvSpPr txBox="1">
          <a:spLocks noChangeArrowheads="1"/>
        </xdr:cNvSpPr>
      </xdr:nvSpPr>
      <xdr:spPr bwMode="auto">
        <a:xfrm>
          <a:off x="4972050" y="268065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76</xdr:row>
      <xdr:rowOff>504825</xdr:rowOff>
    </xdr:from>
    <xdr:ext cx="95250" cy="444331"/>
    <xdr:sp macro="" textlink="">
      <xdr:nvSpPr>
        <xdr:cNvPr id="4214" name="Text Box 15">
          <a:extLst>
            <a:ext uri="{FF2B5EF4-FFF2-40B4-BE49-F238E27FC236}">
              <a16:creationId xmlns:a16="http://schemas.microsoft.com/office/drawing/2014/main" id="{00000000-0008-0000-0500-000076100000}"/>
            </a:ext>
          </a:extLst>
        </xdr:cNvPr>
        <xdr:cNvSpPr txBox="1">
          <a:spLocks noChangeArrowheads="1"/>
        </xdr:cNvSpPr>
      </xdr:nvSpPr>
      <xdr:spPr bwMode="auto">
        <a:xfrm>
          <a:off x="4972050" y="26806525"/>
          <a:ext cx="95250" cy="444331"/>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76</xdr:row>
      <xdr:rowOff>504825</xdr:rowOff>
    </xdr:from>
    <xdr:ext cx="95250" cy="448496"/>
    <xdr:sp macro="" textlink="">
      <xdr:nvSpPr>
        <xdr:cNvPr id="4215" name="Text Box 15">
          <a:extLst>
            <a:ext uri="{FF2B5EF4-FFF2-40B4-BE49-F238E27FC236}">
              <a16:creationId xmlns:a16="http://schemas.microsoft.com/office/drawing/2014/main" id="{00000000-0008-0000-0500-000077100000}"/>
            </a:ext>
          </a:extLst>
        </xdr:cNvPr>
        <xdr:cNvSpPr txBox="1">
          <a:spLocks noChangeArrowheads="1"/>
        </xdr:cNvSpPr>
      </xdr:nvSpPr>
      <xdr:spPr bwMode="auto">
        <a:xfrm>
          <a:off x="4972050" y="26806525"/>
          <a:ext cx="95250" cy="448496"/>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76</xdr:row>
      <xdr:rowOff>504825</xdr:rowOff>
    </xdr:from>
    <xdr:ext cx="95250" cy="213632"/>
    <xdr:sp macro="" textlink="">
      <xdr:nvSpPr>
        <xdr:cNvPr id="4216" name="Text Box 15">
          <a:extLst>
            <a:ext uri="{FF2B5EF4-FFF2-40B4-BE49-F238E27FC236}">
              <a16:creationId xmlns:a16="http://schemas.microsoft.com/office/drawing/2014/main" id="{00000000-0008-0000-0500-000078100000}"/>
            </a:ext>
          </a:extLst>
        </xdr:cNvPr>
        <xdr:cNvSpPr txBox="1">
          <a:spLocks noChangeArrowheads="1"/>
        </xdr:cNvSpPr>
      </xdr:nvSpPr>
      <xdr:spPr bwMode="auto">
        <a:xfrm>
          <a:off x="4972050" y="268065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76</xdr:row>
      <xdr:rowOff>504825</xdr:rowOff>
    </xdr:from>
    <xdr:ext cx="95250" cy="444331"/>
    <xdr:sp macro="" textlink="">
      <xdr:nvSpPr>
        <xdr:cNvPr id="4217" name="Text Box 15">
          <a:extLst>
            <a:ext uri="{FF2B5EF4-FFF2-40B4-BE49-F238E27FC236}">
              <a16:creationId xmlns:a16="http://schemas.microsoft.com/office/drawing/2014/main" id="{00000000-0008-0000-0500-000079100000}"/>
            </a:ext>
          </a:extLst>
        </xdr:cNvPr>
        <xdr:cNvSpPr txBox="1">
          <a:spLocks noChangeArrowheads="1"/>
        </xdr:cNvSpPr>
      </xdr:nvSpPr>
      <xdr:spPr bwMode="auto">
        <a:xfrm>
          <a:off x="4972050" y="26806525"/>
          <a:ext cx="95250" cy="444331"/>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76</xdr:row>
      <xdr:rowOff>504825</xdr:rowOff>
    </xdr:from>
    <xdr:ext cx="95250" cy="456743"/>
    <xdr:sp macro="" textlink="">
      <xdr:nvSpPr>
        <xdr:cNvPr id="4218" name="Text Box 15">
          <a:extLst>
            <a:ext uri="{FF2B5EF4-FFF2-40B4-BE49-F238E27FC236}">
              <a16:creationId xmlns:a16="http://schemas.microsoft.com/office/drawing/2014/main" id="{00000000-0008-0000-0500-00007A100000}"/>
            </a:ext>
          </a:extLst>
        </xdr:cNvPr>
        <xdr:cNvSpPr txBox="1">
          <a:spLocks noChangeArrowheads="1"/>
        </xdr:cNvSpPr>
      </xdr:nvSpPr>
      <xdr:spPr bwMode="auto">
        <a:xfrm>
          <a:off x="4972050" y="26806525"/>
          <a:ext cx="95250" cy="456743"/>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76</xdr:row>
      <xdr:rowOff>504825</xdr:rowOff>
    </xdr:from>
    <xdr:ext cx="95250" cy="213632"/>
    <xdr:sp macro="" textlink="">
      <xdr:nvSpPr>
        <xdr:cNvPr id="4219" name="Text Box 15">
          <a:extLst>
            <a:ext uri="{FF2B5EF4-FFF2-40B4-BE49-F238E27FC236}">
              <a16:creationId xmlns:a16="http://schemas.microsoft.com/office/drawing/2014/main" id="{00000000-0008-0000-0500-00007B100000}"/>
            </a:ext>
          </a:extLst>
        </xdr:cNvPr>
        <xdr:cNvSpPr txBox="1">
          <a:spLocks noChangeArrowheads="1"/>
        </xdr:cNvSpPr>
      </xdr:nvSpPr>
      <xdr:spPr bwMode="auto">
        <a:xfrm>
          <a:off x="4972050" y="268065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76</xdr:row>
      <xdr:rowOff>504825</xdr:rowOff>
    </xdr:from>
    <xdr:ext cx="95250" cy="444331"/>
    <xdr:sp macro="" textlink="">
      <xdr:nvSpPr>
        <xdr:cNvPr id="4220" name="Text Box 15">
          <a:extLst>
            <a:ext uri="{FF2B5EF4-FFF2-40B4-BE49-F238E27FC236}">
              <a16:creationId xmlns:a16="http://schemas.microsoft.com/office/drawing/2014/main" id="{00000000-0008-0000-0500-00007C100000}"/>
            </a:ext>
          </a:extLst>
        </xdr:cNvPr>
        <xdr:cNvSpPr txBox="1">
          <a:spLocks noChangeArrowheads="1"/>
        </xdr:cNvSpPr>
      </xdr:nvSpPr>
      <xdr:spPr bwMode="auto">
        <a:xfrm>
          <a:off x="4972050" y="26806525"/>
          <a:ext cx="95250" cy="444331"/>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76</xdr:row>
      <xdr:rowOff>504825</xdr:rowOff>
    </xdr:from>
    <xdr:ext cx="95250" cy="213632"/>
    <xdr:sp macro="" textlink="">
      <xdr:nvSpPr>
        <xdr:cNvPr id="4221" name="Text Box 15">
          <a:extLst>
            <a:ext uri="{FF2B5EF4-FFF2-40B4-BE49-F238E27FC236}">
              <a16:creationId xmlns:a16="http://schemas.microsoft.com/office/drawing/2014/main" id="{00000000-0008-0000-0500-00007D100000}"/>
            </a:ext>
          </a:extLst>
        </xdr:cNvPr>
        <xdr:cNvSpPr txBox="1">
          <a:spLocks noChangeArrowheads="1"/>
        </xdr:cNvSpPr>
      </xdr:nvSpPr>
      <xdr:spPr bwMode="auto">
        <a:xfrm>
          <a:off x="4972050" y="268065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76</xdr:row>
      <xdr:rowOff>504825</xdr:rowOff>
    </xdr:from>
    <xdr:ext cx="95250" cy="213632"/>
    <xdr:sp macro="" textlink="">
      <xdr:nvSpPr>
        <xdr:cNvPr id="4222" name="Text Box 15">
          <a:extLst>
            <a:ext uri="{FF2B5EF4-FFF2-40B4-BE49-F238E27FC236}">
              <a16:creationId xmlns:a16="http://schemas.microsoft.com/office/drawing/2014/main" id="{00000000-0008-0000-0500-00007E100000}"/>
            </a:ext>
          </a:extLst>
        </xdr:cNvPr>
        <xdr:cNvSpPr txBox="1">
          <a:spLocks noChangeArrowheads="1"/>
        </xdr:cNvSpPr>
      </xdr:nvSpPr>
      <xdr:spPr bwMode="auto">
        <a:xfrm>
          <a:off x="4972050" y="268065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76</xdr:row>
      <xdr:rowOff>504825</xdr:rowOff>
    </xdr:from>
    <xdr:ext cx="95250" cy="213632"/>
    <xdr:sp macro="" textlink="">
      <xdr:nvSpPr>
        <xdr:cNvPr id="4223" name="Text Box 15">
          <a:extLst>
            <a:ext uri="{FF2B5EF4-FFF2-40B4-BE49-F238E27FC236}">
              <a16:creationId xmlns:a16="http://schemas.microsoft.com/office/drawing/2014/main" id="{00000000-0008-0000-0500-00007F100000}"/>
            </a:ext>
          </a:extLst>
        </xdr:cNvPr>
        <xdr:cNvSpPr txBox="1">
          <a:spLocks noChangeArrowheads="1"/>
        </xdr:cNvSpPr>
      </xdr:nvSpPr>
      <xdr:spPr bwMode="auto">
        <a:xfrm>
          <a:off x="4972050" y="268065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76</xdr:row>
      <xdr:rowOff>504825</xdr:rowOff>
    </xdr:from>
    <xdr:ext cx="95250" cy="213632"/>
    <xdr:sp macro="" textlink="">
      <xdr:nvSpPr>
        <xdr:cNvPr id="4224" name="Text Box 15">
          <a:extLst>
            <a:ext uri="{FF2B5EF4-FFF2-40B4-BE49-F238E27FC236}">
              <a16:creationId xmlns:a16="http://schemas.microsoft.com/office/drawing/2014/main" id="{00000000-0008-0000-0500-000080100000}"/>
            </a:ext>
          </a:extLst>
        </xdr:cNvPr>
        <xdr:cNvSpPr txBox="1">
          <a:spLocks noChangeArrowheads="1"/>
        </xdr:cNvSpPr>
      </xdr:nvSpPr>
      <xdr:spPr bwMode="auto">
        <a:xfrm>
          <a:off x="4972050" y="268065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76</xdr:row>
      <xdr:rowOff>504825</xdr:rowOff>
    </xdr:from>
    <xdr:ext cx="95250" cy="213632"/>
    <xdr:sp macro="" textlink="">
      <xdr:nvSpPr>
        <xdr:cNvPr id="4225" name="Text Box 15">
          <a:extLst>
            <a:ext uri="{FF2B5EF4-FFF2-40B4-BE49-F238E27FC236}">
              <a16:creationId xmlns:a16="http://schemas.microsoft.com/office/drawing/2014/main" id="{00000000-0008-0000-0500-000081100000}"/>
            </a:ext>
          </a:extLst>
        </xdr:cNvPr>
        <xdr:cNvSpPr txBox="1">
          <a:spLocks noChangeArrowheads="1"/>
        </xdr:cNvSpPr>
      </xdr:nvSpPr>
      <xdr:spPr bwMode="auto">
        <a:xfrm>
          <a:off x="4972050" y="268065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76</xdr:row>
      <xdr:rowOff>504825</xdr:rowOff>
    </xdr:from>
    <xdr:ext cx="95250" cy="213632"/>
    <xdr:sp macro="" textlink="">
      <xdr:nvSpPr>
        <xdr:cNvPr id="4226" name="Text Box 15">
          <a:extLst>
            <a:ext uri="{FF2B5EF4-FFF2-40B4-BE49-F238E27FC236}">
              <a16:creationId xmlns:a16="http://schemas.microsoft.com/office/drawing/2014/main" id="{00000000-0008-0000-0500-000082100000}"/>
            </a:ext>
          </a:extLst>
        </xdr:cNvPr>
        <xdr:cNvSpPr txBox="1">
          <a:spLocks noChangeArrowheads="1"/>
        </xdr:cNvSpPr>
      </xdr:nvSpPr>
      <xdr:spPr bwMode="auto">
        <a:xfrm>
          <a:off x="4972050" y="268065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76</xdr:row>
      <xdr:rowOff>504825</xdr:rowOff>
    </xdr:from>
    <xdr:ext cx="95250" cy="213632"/>
    <xdr:sp macro="" textlink="">
      <xdr:nvSpPr>
        <xdr:cNvPr id="4227" name="Text Box 15">
          <a:extLst>
            <a:ext uri="{FF2B5EF4-FFF2-40B4-BE49-F238E27FC236}">
              <a16:creationId xmlns:a16="http://schemas.microsoft.com/office/drawing/2014/main" id="{00000000-0008-0000-0500-000083100000}"/>
            </a:ext>
          </a:extLst>
        </xdr:cNvPr>
        <xdr:cNvSpPr txBox="1">
          <a:spLocks noChangeArrowheads="1"/>
        </xdr:cNvSpPr>
      </xdr:nvSpPr>
      <xdr:spPr bwMode="auto">
        <a:xfrm>
          <a:off x="4972050" y="268065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76</xdr:row>
      <xdr:rowOff>504825</xdr:rowOff>
    </xdr:from>
    <xdr:ext cx="95250" cy="213632"/>
    <xdr:sp macro="" textlink="">
      <xdr:nvSpPr>
        <xdr:cNvPr id="4228" name="Text Box 15">
          <a:extLst>
            <a:ext uri="{FF2B5EF4-FFF2-40B4-BE49-F238E27FC236}">
              <a16:creationId xmlns:a16="http://schemas.microsoft.com/office/drawing/2014/main" id="{00000000-0008-0000-0500-000084100000}"/>
            </a:ext>
          </a:extLst>
        </xdr:cNvPr>
        <xdr:cNvSpPr txBox="1">
          <a:spLocks noChangeArrowheads="1"/>
        </xdr:cNvSpPr>
      </xdr:nvSpPr>
      <xdr:spPr bwMode="auto">
        <a:xfrm>
          <a:off x="4972050" y="268065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76</xdr:row>
      <xdr:rowOff>504825</xdr:rowOff>
    </xdr:from>
    <xdr:ext cx="95250" cy="213632"/>
    <xdr:sp macro="" textlink="">
      <xdr:nvSpPr>
        <xdr:cNvPr id="4229" name="Text Box 15">
          <a:extLst>
            <a:ext uri="{FF2B5EF4-FFF2-40B4-BE49-F238E27FC236}">
              <a16:creationId xmlns:a16="http://schemas.microsoft.com/office/drawing/2014/main" id="{00000000-0008-0000-0500-000085100000}"/>
            </a:ext>
          </a:extLst>
        </xdr:cNvPr>
        <xdr:cNvSpPr txBox="1">
          <a:spLocks noChangeArrowheads="1"/>
        </xdr:cNvSpPr>
      </xdr:nvSpPr>
      <xdr:spPr bwMode="auto">
        <a:xfrm>
          <a:off x="4972050" y="268065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76</xdr:row>
      <xdr:rowOff>504825</xdr:rowOff>
    </xdr:from>
    <xdr:ext cx="95250" cy="213632"/>
    <xdr:sp macro="" textlink="">
      <xdr:nvSpPr>
        <xdr:cNvPr id="4230" name="Text Box 15">
          <a:extLst>
            <a:ext uri="{FF2B5EF4-FFF2-40B4-BE49-F238E27FC236}">
              <a16:creationId xmlns:a16="http://schemas.microsoft.com/office/drawing/2014/main" id="{00000000-0008-0000-0500-000086100000}"/>
            </a:ext>
          </a:extLst>
        </xdr:cNvPr>
        <xdr:cNvSpPr txBox="1">
          <a:spLocks noChangeArrowheads="1"/>
        </xdr:cNvSpPr>
      </xdr:nvSpPr>
      <xdr:spPr bwMode="auto">
        <a:xfrm>
          <a:off x="4972050" y="268065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76</xdr:row>
      <xdr:rowOff>504825</xdr:rowOff>
    </xdr:from>
    <xdr:ext cx="95250" cy="213632"/>
    <xdr:sp macro="" textlink="">
      <xdr:nvSpPr>
        <xdr:cNvPr id="4231" name="Text Box 15">
          <a:extLst>
            <a:ext uri="{FF2B5EF4-FFF2-40B4-BE49-F238E27FC236}">
              <a16:creationId xmlns:a16="http://schemas.microsoft.com/office/drawing/2014/main" id="{00000000-0008-0000-0500-000087100000}"/>
            </a:ext>
          </a:extLst>
        </xdr:cNvPr>
        <xdr:cNvSpPr txBox="1">
          <a:spLocks noChangeArrowheads="1"/>
        </xdr:cNvSpPr>
      </xdr:nvSpPr>
      <xdr:spPr bwMode="auto">
        <a:xfrm>
          <a:off x="4972050" y="268065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76</xdr:row>
      <xdr:rowOff>504825</xdr:rowOff>
    </xdr:from>
    <xdr:ext cx="95250" cy="213632"/>
    <xdr:sp macro="" textlink="">
      <xdr:nvSpPr>
        <xdr:cNvPr id="4232" name="Text Box 15">
          <a:extLst>
            <a:ext uri="{FF2B5EF4-FFF2-40B4-BE49-F238E27FC236}">
              <a16:creationId xmlns:a16="http://schemas.microsoft.com/office/drawing/2014/main" id="{00000000-0008-0000-0500-000088100000}"/>
            </a:ext>
          </a:extLst>
        </xdr:cNvPr>
        <xdr:cNvSpPr txBox="1">
          <a:spLocks noChangeArrowheads="1"/>
        </xdr:cNvSpPr>
      </xdr:nvSpPr>
      <xdr:spPr bwMode="auto">
        <a:xfrm>
          <a:off x="4972050" y="268065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76</xdr:row>
      <xdr:rowOff>504825</xdr:rowOff>
    </xdr:from>
    <xdr:ext cx="95250" cy="213632"/>
    <xdr:sp macro="" textlink="">
      <xdr:nvSpPr>
        <xdr:cNvPr id="4233" name="Text Box 15">
          <a:extLst>
            <a:ext uri="{FF2B5EF4-FFF2-40B4-BE49-F238E27FC236}">
              <a16:creationId xmlns:a16="http://schemas.microsoft.com/office/drawing/2014/main" id="{00000000-0008-0000-0500-000089100000}"/>
            </a:ext>
          </a:extLst>
        </xdr:cNvPr>
        <xdr:cNvSpPr txBox="1">
          <a:spLocks noChangeArrowheads="1"/>
        </xdr:cNvSpPr>
      </xdr:nvSpPr>
      <xdr:spPr bwMode="auto">
        <a:xfrm>
          <a:off x="4972050" y="268065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78</xdr:row>
      <xdr:rowOff>504825</xdr:rowOff>
    </xdr:from>
    <xdr:ext cx="95250" cy="213632"/>
    <xdr:sp macro="" textlink="">
      <xdr:nvSpPr>
        <xdr:cNvPr id="4234" name="Text Box 15">
          <a:extLst>
            <a:ext uri="{FF2B5EF4-FFF2-40B4-BE49-F238E27FC236}">
              <a16:creationId xmlns:a16="http://schemas.microsoft.com/office/drawing/2014/main" id="{00000000-0008-0000-0500-00008A100000}"/>
            </a:ext>
          </a:extLst>
        </xdr:cNvPr>
        <xdr:cNvSpPr txBox="1">
          <a:spLocks noChangeArrowheads="1"/>
        </xdr:cNvSpPr>
      </xdr:nvSpPr>
      <xdr:spPr bwMode="auto">
        <a:xfrm>
          <a:off x="4972050" y="275558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78</xdr:row>
      <xdr:rowOff>504825</xdr:rowOff>
    </xdr:from>
    <xdr:ext cx="95250" cy="213632"/>
    <xdr:sp macro="" textlink="">
      <xdr:nvSpPr>
        <xdr:cNvPr id="4235" name="Text Box 15">
          <a:extLst>
            <a:ext uri="{FF2B5EF4-FFF2-40B4-BE49-F238E27FC236}">
              <a16:creationId xmlns:a16="http://schemas.microsoft.com/office/drawing/2014/main" id="{00000000-0008-0000-0500-00008B100000}"/>
            </a:ext>
          </a:extLst>
        </xdr:cNvPr>
        <xdr:cNvSpPr txBox="1">
          <a:spLocks noChangeArrowheads="1"/>
        </xdr:cNvSpPr>
      </xdr:nvSpPr>
      <xdr:spPr bwMode="auto">
        <a:xfrm>
          <a:off x="4972050" y="275558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78</xdr:row>
      <xdr:rowOff>504825</xdr:rowOff>
    </xdr:from>
    <xdr:ext cx="95250" cy="213632"/>
    <xdr:sp macro="" textlink="">
      <xdr:nvSpPr>
        <xdr:cNvPr id="4236" name="Text Box 15">
          <a:extLst>
            <a:ext uri="{FF2B5EF4-FFF2-40B4-BE49-F238E27FC236}">
              <a16:creationId xmlns:a16="http://schemas.microsoft.com/office/drawing/2014/main" id="{00000000-0008-0000-0500-00008C100000}"/>
            </a:ext>
          </a:extLst>
        </xdr:cNvPr>
        <xdr:cNvSpPr txBox="1">
          <a:spLocks noChangeArrowheads="1"/>
        </xdr:cNvSpPr>
      </xdr:nvSpPr>
      <xdr:spPr bwMode="auto">
        <a:xfrm>
          <a:off x="4972050" y="275558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78</xdr:row>
      <xdr:rowOff>504825</xdr:rowOff>
    </xdr:from>
    <xdr:ext cx="95250" cy="213632"/>
    <xdr:sp macro="" textlink="">
      <xdr:nvSpPr>
        <xdr:cNvPr id="4237" name="Text Box 15">
          <a:extLst>
            <a:ext uri="{FF2B5EF4-FFF2-40B4-BE49-F238E27FC236}">
              <a16:creationId xmlns:a16="http://schemas.microsoft.com/office/drawing/2014/main" id="{00000000-0008-0000-0500-00008D100000}"/>
            </a:ext>
          </a:extLst>
        </xdr:cNvPr>
        <xdr:cNvSpPr txBox="1">
          <a:spLocks noChangeArrowheads="1"/>
        </xdr:cNvSpPr>
      </xdr:nvSpPr>
      <xdr:spPr bwMode="auto">
        <a:xfrm>
          <a:off x="4972050" y="275558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78</xdr:row>
      <xdr:rowOff>504825</xdr:rowOff>
    </xdr:from>
    <xdr:ext cx="95250" cy="213632"/>
    <xdr:sp macro="" textlink="">
      <xdr:nvSpPr>
        <xdr:cNvPr id="4238" name="Text Box 15">
          <a:extLst>
            <a:ext uri="{FF2B5EF4-FFF2-40B4-BE49-F238E27FC236}">
              <a16:creationId xmlns:a16="http://schemas.microsoft.com/office/drawing/2014/main" id="{00000000-0008-0000-0500-00008E100000}"/>
            </a:ext>
          </a:extLst>
        </xdr:cNvPr>
        <xdr:cNvSpPr txBox="1">
          <a:spLocks noChangeArrowheads="1"/>
        </xdr:cNvSpPr>
      </xdr:nvSpPr>
      <xdr:spPr bwMode="auto">
        <a:xfrm>
          <a:off x="4972050" y="275558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78</xdr:row>
      <xdr:rowOff>504825</xdr:rowOff>
    </xdr:from>
    <xdr:ext cx="95250" cy="213632"/>
    <xdr:sp macro="" textlink="">
      <xdr:nvSpPr>
        <xdr:cNvPr id="4239" name="Text Box 15">
          <a:extLst>
            <a:ext uri="{FF2B5EF4-FFF2-40B4-BE49-F238E27FC236}">
              <a16:creationId xmlns:a16="http://schemas.microsoft.com/office/drawing/2014/main" id="{00000000-0008-0000-0500-00008F100000}"/>
            </a:ext>
          </a:extLst>
        </xdr:cNvPr>
        <xdr:cNvSpPr txBox="1">
          <a:spLocks noChangeArrowheads="1"/>
        </xdr:cNvSpPr>
      </xdr:nvSpPr>
      <xdr:spPr bwMode="auto">
        <a:xfrm>
          <a:off x="4972050" y="275558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78</xdr:row>
      <xdr:rowOff>504825</xdr:rowOff>
    </xdr:from>
    <xdr:ext cx="95250" cy="213632"/>
    <xdr:sp macro="" textlink="">
      <xdr:nvSpPr>
        <xdr:cNvPr id="4240" name="Text Box 15">
          <a:extLst>
            <a:ext uri="{FF2B5EF4-FFF2-40B4-BE49-F238E27FC236}">
              <a16:creationId xmlns:a16="http://schemas.microsoft.com/office/drawing/2014/main" id="{00000000-0008-0000-0500-000090100000}"/>
            </a:ext>
          </a:extLst>
        </xdr:cNvPr>
        <xdr:cNvSpPr txBox="1">
          <a:spLocks noChangeArrowheads="1"/>
        </xdr:cNvSpPr>
      </xdr:nvSpPr>
      <xdr:spPr bwMode="auto">
        <a:xfrm>
          <a:off x="4972050" y="275558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78</xdr:row>
      <xdr:rowOff>504825</xdr:rowOff>
    </xdr:from>
    <xdr:ext cx="95250" cy="213632"/>
    <xdr:sp macro="" textlink="">
      <xdr:nvSpPr>
        <xdr:cNvPr id="4241" name="Text Box 15">
          <a:extLst>
            <a:ext uri="{FF2B5EF4-FFF2-40B4-BE49-F238E27FC236}">
              <a16:creationId xmlns:a16="http://schemas.microsoft.com/office/drawing/2014/main" id="{00000000-0008-0000-0500-000091100000}"/>
            </a:ext>
          </a:extLst>
        </xdr:cNvPr>
        <xdr:cNvSpPr txBox="1">
          <a:spLocks noChangeArrowheads="1"/>
        </xdr:cNvSpPr>
      </xdr:nvSpPr>
      <xdr:spPr bwMode="auto">
        <a:xfrm>
          <a:off x="4972050" y="275558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78</xdr:row>
      <xdr:rowOff>504825</xdr:rowOff>
    </xdr:from>
    <xdr:ext cx="95250" cy="213632"/>
    <xdr:sp macro="" textlink="">
      <xdr:nvSpPr>
        <xdr:cNvPr id="4242" name="Text Box 15">
          <a:extLst>
            <a:ext uri="{FF2B5EF4-FFF2-40B4-BE49-F238E27FC236}">
              <a16:creationId xmlns:a16="http://schemas.microsoft.com/office/drawing/2014/main" id="{00000000-0008-0000-0500-000092100000}"/>
            </a:ext>
          </a:extLst>
        </xdr:cNvPr>
        <xdr:cNvSpPr txBox="1">
          <a:spLocks noChangeArrowheads="1"/>
        </xdr:cNvSpPr>
      </xdr:nvSpPr>
      <xdr:spPr bwMode="auto">
        <a:xfrm>
          <a:off x="4972050" y="275558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78</xdr:row>
      <xdr:rowOff>504825</xdr:rowOff>
    </xdr:from>
    <xdr:ext cx="95250" cy="213632"/>
    <xdr:sp macro="" textlink="">
      <xdr:nvSpPr>
        <xdr:cNvPr id="4243" name="Text Box 15">
          <a:extLst>
            <a:ext uri="{FF2B5EF4-FFF2-40B4-BE49-F238E27FC236}">
              <a16:creationId xmlns:a16="http://schemas.microsoft.com/office/drawing/2014/main" id="{00000000-0008-0000-0500-000093100000}"/>
            </a:ext>
          </a:extLst>
        </xdr:cNvPr>
        <xdr:cNvSpPr txBox="1">
          <a:spLocks noChangeArrowheads="1"/>
        </xdr:cNvSpPr>
      </xdr:nvSpPr>
      <xdr:spPr bwMode="auto">
        <a:xfrm>
          <a:off x="4972050" y="275558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78</xdr:row>
      <xdr:rowOff>504825</xdr:rowOff>
    </xdr:from>
    <xdr:ext cx="95250" cy="213632"/>
    <xdr:sp macro="" textlink="">
      <xdr:nvSpPr>
        <xdr:cNvPr id="4244" name="Text Box 15">
          <a:extLst>
            <a:ext uri="{FF2B5EF4-FFF2-40B4-BE49-F238E27FC236}">
              <a16:creationId xmlns:a16="http://schemas.microsoft.com/office/drawing/2014/main" id="{00000000-0008-0000-0500-000094100000}"/>
            </a:ext>
          </a:extLst>
        </xdr:cNvPr>
        <xdr:cNvSpPr txBox="1">
          <a:spLocks noChangeArrowheads="1"/>
        </xdr:cNvSpPr>
      </xdr:nvSpPr>
      <xdr:spPr bwMode="auto">
        <a:xfrm>
          <a:off x="4972050" y="275558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78</xdr:row>
      <xdr:rowOff>504825</xdr:rowOff>
    </xdr:from>
    <xdr:ext cx="95250" cy="213632"/>
    <xdr:sp macro="" textlink="">
      <xdr:nvSpPr>
        <xdr:cNvPr id="4245" name="Text Box 15">
          <a:extLst>
            <a:ext uri="{FF2B5EF4-FFF2-40B4-BE49-F238E27FC236}">
              <a16:creationId xmlns:a16="http://schemas.microsoft.com/office/drawing/2014/main" id="{00000000-0008-0000-0500-000095100000}"/>
            </a:ext>
          </a:extLst>
        </xdr:cNvPr>
        <xdr:cNvSpPr txBox="1">
          <a:spLocks noChangeArrowheads="1"/>
        </xdr:cNvSpPr>
      </xdr:nvSpPr>
      <xdr:spPr bwMode="auto">
        <a:xfrm>
          <a:off x="4972050" y="275558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78</xdr:row>
      <xdr:rowOff>504825</xdr:rowOff>
    </xdr:from>
    <xdr:ext cx="95250" cy="213632"/>
    <xdr:sp macro="" textlink="">
      <xdr:nvSpPr>
        <xdr:cNvPr id="4246" name="Text Box 15">
          <a:extLst>
            <a:ext uri="{FF2B5EF4-FFF2-40B4-BE49-F238E27FC236}">
              <a16:creationId xmlns:a16="http://schemas.microsoft.com/office/drawing/2014/main" id="{00000000-0008-0000-0500-000096100000}"/>
            </a:ext>
          </a:extLst>
        </xdr:cNvPr>
        <xdr:cNvSpPr txBox="1">
          <a:spLocks noChangeArrowheads="1"/>
        </xdr:cNvSpPr>
      </xdr:nvSpPr>
      <xdr:spPr bwMode="auto">
        <a:xfrm>
          <a:off x="4972050" y="275558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78</xdr:row>
      <xdr:rowOff>504825</xdr:rowOff>
    </xdr:from>
    <xdr:ext cx="95250" cy="213632"/>
    <xdr:sp macro="" textlink="">
      <xdr:nvSpPr>
        <xdr:cNvPr id="4247" name="Text Box 15">
          <a:extLst>
            <a:ext uri="{FF2B5EF4-FFF2-40B4-BE49-F238E27FC236}">
              <a16:creationId xmlns:a16="http://schemas.microsoft.com/office/drawing/2014/main" id="{00000000-0008-0000-0500-000097100000}"/>
            </a:ext>
          </a:extLst>
        </xdr:cNvPr>
        <xdr:cNvSpPr txBox="1">
          <a:spLocks noChangeArrowheads="1"/>
        </xdr:cNvSpPr>
      </xdr:nvSpPr>
      <xdr:spPr bwMode="auto">
        <a:xfrm>
          <a:off x="4972050" y="275558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78</xdr:row>
      <xdr:rowOff>504825</xdr:rowOff>
    </xdr:from>
    <xdr:ext cx="95250" cy="213632"/>
    <xdr:sp macro="" textlink="">
      <xdr:nvSpPr>
        <xdr:cNvPr id="4248" name="Text Box 15">
          <a:extLst>
            <a:ext uri="{FF2B5EF4-FFF2-40B4-BE49-F238E27FC236}">
              <a16:creationId xmlns:a16="http://schemas.microsoft.com/office/drawing/2014/main" id="{00000000-0008-0000-0500-000098100000}"/>
            </a:ext>
          </a:extLst>
        </xdr:cNvPr>
        <xdr:cNvSpPr txBox="1">
          <a:spLocks noChangeArrowheads="1"/>
        </xdr:cNvSpPr>
      </xdr:nvSpPr>
      <xdr:spPr bwMode="auto">
        <a:xfrm>
          <a:off x="4972050" y="275558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78</xdr:row>
      <xdr:rowOff>504825</xdr:rowOff>
    </xdr:from>
    <xdr:ext cx="95250" cy="213632"/>
    <xdr:sp macro="" textlink="">
      <xdr:nvSpPr>
        <xdr:cNvPr id="4249" name="Text Box 15">
          <a:extLst>
            <a:ext uri="{FF2B5EF4-FFF2-40B4-BE49-F238E27FC236}">
              <a16:creationId xmlns:a16="http://schemas.microsoft.com/office/drawing/2014/main" id="{00000000-0008-0000-0500-000099100000}"/>
            </a:ext>
          </a:extLst>
        </xdr:cNvPr>
        <xdr:cNvSpPr txBox="1">
          <a:spLocks noChangeArrowheads="1"/>
        </xdr:cNvSpPr>
      </xdr:nvSpPr>
      <xdr:spPr bwMode="auto">
        <a:xfrm>
          <a:off x="4972050" y="275558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80</xdr:row>
      <xdr:rowOff>504825</xdr:rowOff>
    </xdr:from>
    <xdr:ext cx="95250" cy="448496"/>
    <xdr:sp macro="" textlink="">
      <xdr:nvSpPr>
        <xdr:cNvPr id="4250" name="Text Box 15">
          <a:extLst>
            <a:ext uri="{FF2B5EF4-FFF2-40B4-BE49-F238E27FC236}">
              <a16:creationId xmlns:a16="http://schemas.microsoft.com/office/drawing/2014/main" id="{00000000-0008-0000-0500-00009A100000}"/>
            </a:ext>
          </a:extLst>
        </xdr:cNvPr>
        <xdr:cNvSpPr txBox="1">
          <a:spLocks noChangeArrowheads="1"/>
        </xdr:cNvSpPr>
      </xdr:nvSpPr>
      <xdr:spPr bwMode="auto">
        <a:xfrm>
          <a:off x="4972050" y="29054425"/>
          <a:ext cx="95250" cy="448496"/>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80</xdr:row>
      <xdr:rowOff>504825</xdr:rowOff>
    </xdr:from>
    <xdr:ext cx="95250" cy="213632"/>
    <xdr:sp macro="" textlink="">
      <xdr:nvSpPr>
        <xdr:cNvPr id="4251" name="Text Box 15">
          <a:extLst>
            <a:ext uri="{FF2B5EF4-FFF2-40B4-BE49-F238E27FC236}">
              <a16:creationId xmlns:a16="http://schemas.microsoft.com/office/drawing/2014/main" id="{00000000-0008-0000-0500-00009B100000}"/>
            </a:ext>
          </a:extLst>
        </xdr:cNvPr>
        <xdr:cNvSpPr txBox="1">
          <a:spLocks noChangeArrowheads="1"/>
        </xdr:cNvSpPr>
      </xdr:nvSpPr>
      <xdr:spPr bwMode="auto">
        <a:xfrm>
          <a:off x="4972050" y="290544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80</xdr:row>
      <xdr:rowOff>504825</xdr:rowOff>
    </xdr:from>
    <xdr:ext cx="95250" cy="444331"/>
    <xdr:sp macro="" textlink="">
      <xdr:nvSpPr>
        <xdr:cNvPr id="4252" name="Text Box 15">
          <a:extLst>
            <a:ext uri="{FF2B5EF4-FFF2-40B4-BE49-F238E27FC236}">
              <a16:creationId xmlns:a16="http://schemas.microsoft.com/office/drawing/2014/main" id="{00000000-0008-0000-0500-00009C100000}"/>
            </a:ext>
          </a:extLst>
        </xdr:cNvPr>
        <xdr:cNvSpPr txBox="1">
          <a:spLocks noChangeArrowheads="1"/>
        </xdr:cNvSpPr>
      </xdr:nvSpPr>
      <xdr:spPr bwMode="auto">
        <a:xfrm>
          <a:off x="4972050" y="29054425"/>
          <a:ext cx="95250" cy="444331"/>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80</xdr:row>
      <xdr:rowOff>504825</xdr:rowOff>
    </xdr:from>
    <xdr:ext cx="95250" cy="456743"/>
    <xdr:sp macro="" textlink="">
      <xdr:nvSpPr>
        <xdr:cNvPr id="4253" name="Text Box 15">
          <a:extLst>
            <a:ext uri="{FF2B5EF4-FFF2-40B4-BE49-F238E27FC236}">
              <a16:creationId xmlns:a16="http://schemas.microsoft.com/office/drawing/2014/main" id="{00000000-0008-0000-0500-00009D100000}"/>
            </a:ext>
          </a:extLst>
        </xdr:cNvPr>
        <xdr:cNvSpPr txBox="1">
          <a:spLocks noChangeArrowheads="1"/>
        </xdr:cNvSpPr>
      </xdr:nvSpPr>
      <xdr:spPr bwMode="auto">
        <a:xfrm>
          <a:off x="4972050" y="29054425"/>
          <a:ext cx="95250" cy="456743"/>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80</xdr:row>
      <xdr:rowOff>504825</xdr:rowOff>
    </xdr:from>
    <xdr:ext cx="95250" cy="213632"/>
    <xdr:sp macro="" textlink="">
      <xdr:nvSpPr>
        <xdr:cNvPr id="4254" name="Text Box 15">
          <a:extLst>
            <a:ext uri="{FF2B5EF4-FFF2-40B4-BE49-F238E27FC236}">
              <a16:creationId xmlns:a16="http://schemas.microsoft.com/office/drawing/2014/main" id="{00000000-0008-0000-0500-00009E100000}"/>
            </a:ext>
          </a:extLst>
        </xdr:cNvPr>
        <xdr:cNvSpPr txBox="1">
          <a:spLocks noChangeArrowheads="1"/>
        </xdr:cNvSpPr>
      </xdr:nvSpPr>
      <xdr:spPr bwMode="auto">
        <a:xfrm>
          <a:off x="4972050" y="290544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80</xdr:row>
      <xdr:rowOff>504825</xdr:rowOff>
    </xdr:from>
    <xdr:ext cx="95250" cy="444331"/>
    <xdr:sp macro="" textlink="">
      <xdr:nvSpPr>
        <xdr:cNvPr id="4255" name="Text Box 15">
          <a:extLst>
            <a:ext uri="{FF2B5EF4-FFF2-40B4-BE49-F238E27FC236}">
              <a16:creationId xmlns:a16="http://schemas.microsoft.com/office/drawing/2014/main" id="{00000000-0008-0000-0500-00009F100000}"/>
            </a:ext>
          </a:extLst>
        </xdr:cNvPr>
        <xdr:cNvSpPr txBox="1">
          <a:spLocks noChangeArrowheads="1"/>
        </xdr:cNvSpPr>
      </xdr:nvSpPr>
      <xdr:spPr bwMode="auto">
        <a:xfrm>
          <a:off x="4972050" y="29054425"/>
          <a:ext cx="95250" cy="444331"/>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80</xdr:row>
      <xdr:rowOff>504825</xdr:rowOff>
    </xdr:from>
    <xdr:ext cx="95250" cy="213632"/>
    <xdr:sp macro="" textlink="">
      <xdr:nvSpPr>
        <xdr:cNvPr id="4256" name="Text Box 15">
          <a:extLst>
            <a:ext uri="{FF2B5EF4-FFF2-40B4-BE49-F238E27FC236}">
              <a16:creationId xmlns:a16="http://schemas.microsoft.com/office/drawing/2014/main" id="{00000000-0008-0000-0500-0000A0100000}"/>
            </a:ext>
          </a:extLst>
        </xdr:cNvPr>
        <xdr:cNvSpPr txBox="1">
          <a:spLocks noChangeArrowheads="1"/>
        </xdr:cNvSpPr>
      </xdr:nvSpPr>
      <xdr:spPr bwMode="auto">
        <a:xfrm>
          <a:off x="4972050" y="290544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80</xdr:row>
      <xdr:rowOff>504825</xdr:rowOff>
    </xdr:from>
    <xdr:ext cx="95250" cy="213632"/>
    <xdr:sp macro="" textlink="">
      <xdr:nvSpPr>
        <xdr:cNvPr id="4257" name="Text Box 15">
          <a:extLst>
            <a:ext uri="{FF2B5EF4-FFF2-40B4-BE49-F238E27FC236}">
              <a16:creationId xmlns:a16="http://schemas.microsoft.com/office/drawing/2014/main" id="{00000000-0008-0000-0500-0000A1100000}"/>
            </a:ext>
          </a:extLst>
        </xdr:cNvPr>
        <xdr:cNvSpPr txBox="1">
          <a:spLocks noChangeArrowheads="1"/>
        </xdr:cNvSpPr>
      </xdr:nvSpPr>
      <xdr:spPr bwMode="auto">
        <a:xfrm>
          <a:off x="4972050" y="290544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80</xdr:row>
      <xdr:rowOff>504825</xdr:rowOff>
    </xdr:from>
    <xdr:ext cx="95250" cy="213632"/>
    <xdr:sp macro="" textlink="">
      <xdr:nvSpPr>
        <xdr:cNvPr id="4258" name="Text Box 15">
          <a:extLst>
            <a:ext uri="{FF2B5EF4-FFF2-40B4-BE49-F238E27FC236}">
              <a16:creationId xmlns:a16="http://schemas.microsoft.com/office/drawing/2014/main" id="{00000000-0008-0000-0500-0000A2100000}"/>
            </a:ext>
          </a:extLst>
        </xdr:cNvPr>
        <xdr:cNvSpPr txBox="1">
          <a:spLocks noChangeArrowheads="1"/>
        </xdr:cNvSpPr>
      </xdr:nvSpPr>
      <xdr:spPr bwMode="auto">
        <a:xfrm>
          <a:off x="4972050" y="290544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80</xdr:row>
      <xdr:rowOff>504825</xdr:rowOff>
    </xdr:from>
    <xdr:ext cx="95250" cy="213632"/>
    <xdr:sp macro="" textlink="">
      <xdr:nvSpPr>
        <xdr:cNvPr id="4259" name="Text Box 15">
          <a:extLst>
            <a:ext uri="{FF2B5EF4-FFF2-40B4-BE49-F238E27FC236}">
              <a16:creationId xmlns:a16="http://schemas.microsoft.com/office/drawing/2014/main" id="{00000000-0008-0000-0500-0000A3100000}"/>
            </a:ext>
          </a:extLst>
        </xdr:cNvPr>
        <xdr:cNvSpPr txBox="1">
          <a:spLocks noChangeArrowheads="1"/>
        </xdr:cNvSpPr>
      </xdr:nvSpPr>
      <xdr:spPr bwMode="auto">
        <a:xfrm>
          <a:off x="4972050" y="290544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80</xdr:row>
      <xdr:rowOff>504825</xdr:rowOff>
    </xdr:from>
    <xdr:ext cx="95250" cy="213632"/>
    <xdr:sp macro="" textlink="">
      <xdr:nvSpPr>
        <xdr:cNvPr id="4260" name="Text Box 15">
          <a:extLst>
            <a:ext uri="{FF2B5EF4-FFF2-40B4-BE49-F238E27FC236}">
              <a16:creationId xmlns:a16="http://schemas.microsoft.com/office/drawing/2014/main" id="{00000000-0008-0000-0500-0000A4100000}"/>
            </a:ext>
          </a:extLst>
        </xdr:cNvPr>
        <xdr:cNvSpPr txBox="1">
          <a:spLocks noChangeArrowheads="1"/>
        </xdr:cNvSpPr>
      </xdr:nvSpPr>
      <xdr:spPr bwMode="auto">
        <a:xfrm>
          <a:off x="4972050" y="290544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80</xdr:row>
      <xdr:rowOff>504825</xdr:rowOff>
    </xdr:from>
    <xdr:ext cx="95250" cy="213632"/>
    <xdr:sp macro="" textlink="">
      <xdr:nvSpPr>
        <xdr:cNvPr id="4261" name="Text Box 15">
          <a:extLst>
            <a:ext uri="{FF2B5EF4-FFF2-40B4-BE49-F238E27FC236}">
              <a16:creationId xmlns:a16="http://schemas.microsoft.com/office/drawing/2014/main" id="{00000000-0008-0000-0500-0000A5100000}"/>
            </a:ext>
          </a:extLst>
        </xdr:cNvPr>
        <xdr:cNvSpPr txBox="1">
          <a:spLocks noChangeArrowheads="1"/>
        </xdr:cNvSpPr>
      </xdr:nvSpPr>
      <xdr:spPr bwMode="auto">
        <a:xfrm>
          <a:off x="4972050" y="290544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80</xdr:row>
      <xdr:rowOff>504825</xdr:rowOff>
    </xdr:from>
    <xdr:ext cx="95250" cy="213632"/>
    <xdr:sp macro="" textlink="">
      <xdr:nvSpPr>
        <xdr:cNvPr id="4262" name="Text Box 15">
          <a:extLst>
            <a:ext uri="{FF2B5EF4-FFF2-40B4-BE49-F238E27FC236}">
              <a16:creationId xmlns:a16="http://schemas.microsoft.com/office/drawing/2014/main" id="{00000000-0008-0000-0500-0000A6100000}"/>
            </a:ext>
          </a:extLst>
        </xdr:cNvPr>
        <xdr:cNvSpPr txBox="1">
          <a:spLocks noChangeArrowheads="1"/>
        </xdr:cNvSpPr>
      </xdr:nvSpPr>
      <xdr:spPr bwMode="auto">
        <a:xfrm>
          <a:off x="4972050" y="290544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80</xdr:row>
      <xdr:rowOff>504825</xdr:rowOff>
    </xdr:from>
    <xdr:ext cx="95250" cy="213632"/>
    <xdr:sp macro="" textlink="">
      <xdr:nvSpPr>
        <xdr:cNvPr id="4263" name="Text Box 15">
          <a:extLst>
            <a:ext uri="{FF2B5EF4-FFF2-40B4-BE49-F238E27FC236}">
              <a16:creationId xmlns:a16="http://schemas.microsoft.com/office/drawing/2014/main" id="{00000000-0008-0000-0500-0000A7100000}"/>
            </a:ext>
          </a:extLst>
        </xdr:cNvPr>
        <xdr:cNvSpPr txBox="1">
          <a:spLocks noChangeArrowheads="1"/>
        </xdr:cNvSpPr>
      </xdr:nvSpPr>
      <xdr:spPr bwMode="auto">
        <a:xfrm>
          <a:off x="4972050" y="290544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80</xdr:row>
      <xdr:rowOff>504825</xdr:rowOff>
    </xdr:from>
    <xdr:ext cx="95250" cy="213632"/>
    <xdr:sp macro="" textlink="">
      <xdr:nvSpPr>
        <xdr:cNvPr id="4264" name="Text Box 15">
          <a:extLst>
            <a:ext uri="{FF2B5EF4-FFF2-40B4-BE49-F238E27FC236}">
              <a16:creationId xmlns:a16="http://schemas.microsoft.com/office/drawing/2014/main" id="{00000000-0008-0000-0500-0000A8100000}"/>
            </a:ext>
          </a:extLst>
        </xdr:cNvPr>
        <xdr:cNvSpPr txBox="1">
          <a:spLocks noChangeArrowheads="1"/>
        </xdr:cNvSpPr>
      </xdr:nvSpPr>
      <xdr:spPr bwMode="auto">
        <a:xfrm>
          <a:off x="4972050" y="290544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80</xdr:row>
      <xdr:rowOff>504825</xdr:rowOff>
    </xdr:from>
    <xdr:ext cx="95250" cy="213632"/>
    <xdr:sp macro="" textlink="">
      <xdr:nvSpPr>
        <xdr:cNvPr id="4265" name="Text Box 15">
          <a:extLst>
            <a:ext uri="{FF2B5EF4-FFF2-40B4-BE49-F238E27FC236}">
              <a16:creationId xmlns:a16="http://schemas.microsoft.com/office/drawing/2014/main" id="{00000000-0008-0000-0500-0000A9100000}"/>
            </a:ext>
          </a:extLst>
        </xdr:cNvPr>
        <xdr:cNvSpPr txBox="1">
          <a:spLocks noChangeArrowheads="1"/>
        </xdr:cNvSpPr>
      </xdr:nvSpPr>
      <xdr:spPr bwMode="auto">
        <a:xfrm>
          <a:off x="4972050" y="290544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80</xdr:row>
      <xdr:rowOff>504825</xdr:rowOff>
    </xdr:from>
    <xdr:ext cx="95250" cy="213632"/>
    <xdr:sp macro="" textlink="">
      <xdr:nvSpPr>
        <xdr:cNvPr id="4266" name="Text Box 15">
          <a:extLst>
            <a:ext uri="{FF2B5EF4-FFF2-40B4-BE49-F238E27FC236}">
              <a16:creationId xmlns:a16="http://schemas.microsoft.com/office/drawing/2014/main" id="{00000000-0008-0000-0500-0000AA100000}"/>
            </a:ext>
          </a:extLst>
        </xdr:cNvPr>
        <xdr:cNvSpPr txBox="1">
          <a:spLocks noChangeArrowheads="1"/>
        </xdr:cNvSpPr>
      </xdr:nvSpPr>
      <xdr:spPr bwMode="auto">
        <a:xfrm>
          <a:off x="4972050" y="290544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80</xdr:row>
      <xdr:rowOff>504825</xdr:rowOff>
    </xdr:from>
    <xdr:ext cx="95250" cy="213632"/>
    <xdr:sp macro="" textlink="">
      <xdr:nvSpPr>
        <xdr:cNvPr id="4267" name="Text Box 15">
          <a:extLst>
            <a:ext uri="{FF2B5EF4-FFF2-40B4-BE49-F238E27FC236}">
              <a16:creationId xmlns:a16="http://schemas.microsoft.com/office/drawing/2014/main" id="{00000000-0008-0000-0500-0000AB100000}"/>
            </a:ext>
          </a:extLst>
        </xdr:cNvPr>
        <xdr:cNvSpPr txBox="1">
          <a:spLocks noChangeArrowheads="1"/>
        </xdr:cNvSpPr>
      </xdr:nvSpPr>
      <xdr:spPr bwMode="auto">
        <a:xfrm>
          <a:off x="4972050" y="290544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80</xdr:row>
      <xdr:rowOff>504825</xdr:rowOff>
    </xdr:from>
    <xdr:ext cx="95250" cy="213632"/>
    <xdr:sp macro="" textlink="">
      <xdr:nvSpPr>
        <xdr:cNvPr id="4268" name="Text Box 15">
          <a:extLst>
            <a:ext uri="{FF2B5EF4-FFF2-40B4-BE49-F238E27FC236}">
              <a16:creationId xmlns:a16="http://schemas.microsoft.com/office/drawing/2014/main" id="{00000000-0008-0000-0500-0000AC100000}"/>
            </a:ext>
          </a:extLst>
        </xdr:cNvPr>
        <xdr:cNvSpPr txBox="1">
          <a:spLocks noChangeArrowheads="1"/>
        </xdr:cNvSpPr>
      </xdr:nvSpPr>
      <xdr:spPr bwMode="auto">
        <a:xfrm>
          <a:off x="4972050" y="290544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80</xdr:row>
      <xdr:rowOff>504825</xdr:rowOff>
    </xdr:from>
    <xdr:ext cx="95250" cy="213632"/>
    <xdr:sp macro="" textlink="">
      <xdr:nvSpPr>
        <xdr:cNvPr id="4269" name="Text Box 15">
          <a:extLst>
            <a:ext uri="{FF2B5EF4-FFF2-40B4-BE49-F238E27FC236}">
              <a16:creationId xmlns:a16="http://schemas.microsoft.com/office/drawing/2014/main" id="{00000000-0008-0000-0500-0000AD100000}"/>
            </a:ext>
          </a:extLst>
        </xdr:cNvPr>
        <xdr:cNvSpPr txBox="1">
          <a:spLocks noChangeArrowheads="1"/>
        </xdr:cNvSpPr>
      </xdr:nvSpPr>
      <xdr:spPr bwMode="auto">
        <a:xfrm>
          <a:off x="4972050" y="290544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80</xdr:row>
      <xdr:rowOff>504825</xdr:rowOff>
    </xdr:from>
    <xdr:ext cx="95250" cy="213632"/>
    <xdr:sp macro="" textlink="">
      <xdr:nvSpPr>
        <xdr:cNvPr id="4270" name="Text Box 15">
          <a:extLst>
            <a:ext uri="{FF2B5EF4-FFF2-40B4-BE49-F238E27FC236}">
              <a16:creationId xmlns:a16="http://schemas.microsoft.com/office/drawing/2014/main" id="{00000000-0008-0000-0500-0000AE100000}"/>
            </a:ext>
          </a:extLst>
        </xdr:cNvPr>
        <xdr:cNvSpPr txBox="1">
          <a:spLocks noChangeArrowheads="1"/>
        </xdr:cNvSpPr>
      </xdr:nvSpPr>
      <xdr:spPr bwMode="auto">
        <a:xfrm>
          <a:off x="4972050" y="290544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80</xdr:row>
      <xdr:rowOff>504825</xdr:rowOff>
    </xdr:from>
    <xdr:ext cx="95250" cy="213632"/>
    <xdr:sp macro="" textlink="">
      <xdr:nvSpPr>
        <xdr:cNvPr id="4271" name="Text Box 15">
          <a:extLst>
            <a:ext uri="{FF2B5EF4-FFF2-40B4-BE49-F238E27FC236}">
              <a16:creationId xmlns:a16="http://schemas.microsoft.com/office/drawing/2014/main" id="{00000000-0008-0000-0500-0000AF100000}"/>
            </a:ext>
          </a:extLst>
        </xdr:cNvPr>
        <xdr:cNvSpPr txBox="1">
          <a:spLocks noChangeArrowheads="1"/>
        </xdr:cNvSpPr>
      </xdr:nvSpPr>
      <xdr:spPr bwMode="auto">
        <a:xfrm>
          <a:off x="4972050" y="290544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82</xdr:row>
      <xdr:rowOff>504825</xdr:rowOff>
    </xdr:from>
    <xdr:ext cx="95250" cy="448496"/>
    <xdr:sp macro="" textlink="">
      <xdr:nvSpPr>
        <xdr:cNvPr id="4272" name="Text Box 15">
          <a:extLst>
            <a:ext uri="{FF2B5EF4-FFF2-40B4-BE49-F238E27FC236}">
              <a16:creationId xmlns:a16="http://schemas.microsoft.com/office/drawing/2014/main" id="{00000000-0008-0000-0500-0000B0100000}"/>
            </a:ext>
          </a:extLst>
        </xdr:cNvPr>
        <xdr:cNvSpPr txBox="1">
          <a:spLocks noChangeArrowheads="1"/>
        </xdr:cNvSpPr>
      </xdr:nvSpPr>
      <xdr:spPr bwMode="auto">
        <a:xfrm>
          <a:off x="4972050" y="29054425"/>
          <a:ext cx="95250" cy="448496"/>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82</xdr:row>
      <xdr:rowOff>504825</xdr:rowOff>
    </xdr:from>
    <xdr:ext cx="95250" cy="213632"/>
    <xdr:sp macro="" textlink="">
      <xdr:nvSpPr>
        <xdr:cNvPr id="4273" name="Text Box 15">
          <a:extLst>
            <a:ext uri="{FF2B5EF4-FFF2-40B4-BE49-F238E27FC236}">
              <a16:creationId xmlns:a16="http://schemas.microsoft.com/office/drawing/2014/main" id="{00000000-0008-0000-0500-0000B1100000}"/>
            </a:ext>
          </a:extLst>
        </xdr:cNvPr>
        <xdr:cNvSpPr txBox="1">
          <a:spLocks noChangeArrowheads="1"/>
        </xdr:cNvSpPr>
      </xdr:nvSpPr>
      <xdr:spPr bwMode="auto">
        <a:xfrm>
          <a:off x="4972050" y="290544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82</xdr:row>
      <xdr:rowOff>504825</xdr:rowOff>
    </xdr:from>
    <xdr:ext cx="95250" cy="444331"/>
    <xdr:sp macro="" textlink="">
      <xdr:nvSpPr>
        <xdr:cNvPr id="4274" name="Text Box 15">
          <a:extLst>
            <a:ext uri="{FF2B5EF4-FFF2-40B4-BE49-F238E27FC236}">
              <a16:creationId xmlns:a16="http://schemas.microsoft.com/office/drawing/2014/main" id="{00000000-0008-0000-0500-0000B2100000}"/>
            </a:ext>
          </a:extLst>
        </xdr:cNvPr>
        <xdr:cNvSpPr txBox="1">
          <a:spLocks noChangeArrowheads="1"/>
        </xdr:cNvSpPr>
      </xdr:nvSpPr>
      <xdr:spPr bwMode="auto">
        <a:xfrm>
          <a:off x="4972050" y="29054425"/>
          <a:ext cx="95250" cy="444331"/>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82</xdr:row>
      <xdr:rowOff>504825</xdr:rowOff>
    </xdr:from>
    <xdr:ext cx="95250" cy="456743"/>
    <xdr:sp macro="" textlink="">
      <xdr:nvSpPr>
        <xdr:cNvPr id="4275" name="Text Box 15">
          <a:extLst>
            <a:ext uri="{FF2B5EF4-FFF2-40B4-BE49-F238E27FC236}">
              <a16:creationId xmlns:a16="http://schemas.microsoft.com/office/drawing/2014/main" id="{00000000-0008-0000-0500-0000B3100000}"/>
            </a:ext>
          </a:extLst>
        </xdr:cNvPr>
        <xdr:cNvSpPr txBox="1">
          <a:spLocks noChangeArrowheads="1"/>
        </xdr:cNvSpPr>
      </xdr:nvSpPr>
      <xdr:spPr bwMode="auto">
        <a:xfrm>
          <a:off x="4972050" y="29054425"/>
          <a:ext cx="95250" cy="456743"/>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82</xdr:row>
      <xdr:rowOff>504825</xdr:rowOff>
    </xdr:from>
    <xdr:ext cx="95250" cy="213632"/>
    <xdr:sp macro="" textlink="">
      <xdr:nvSpPr>
        <xdr:cNvPr id="4276" name="Text Box 15">
          <a:extLst>
            <a:ext uri="{FF2B5EF4-FFF2-40B4-BE49-F238E27FC236}">
              <a16:creationId xmlns:a16="http://schemas.microsoft.com/office/drawing/2014/main" id="{00000000-0008-0000-0500-0000B4100000}"/>
            </a:ext>
          </a:extLst>
        </xdr:cNvPr>
        <xdr:cNvSpPr txBox="1">
          <a:spLocks noChangeArrowheads="1"/>
        </xdr:cNvSpPr>
      </xdr:nvSpPr>
      <xdr:spPr bwMode="auto">
        <a:xfrm>
          <a:off x="4972050" y="290544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82</xdr:row>
      <xdr:rowOff>504825</xdr:rowOff>
    </xdr:from>
    <xdr:ext cx="95250" cy="444331"/>
    <xdr:sp macro="" textlink="">
      <xdr:nvSpPr>
        <xdr:cNvPr id="4277" name="Text Box 15">
          <a:extLst>
            <a:ext uri="{FF2B5EF4-FFF2-40B4-BE49-F238E27FC236}">
              <a16:creationId xmlns:a16="http://schemas.microsoft.com/office/drawing/2014/main" id="{00000000-0008-0000-0500-0000B5100000}"/>
            </a:ext>
          </a:extLst>
        </xdr:cNvPr>
        <xdr:cNvSpPr txBox="1">
          <a:spLocks noChangeArrowheads="1"/>
        </xdr:cNvSpPr>
      </xdr:nvSpPr>
      <xdr:spPr bwMode="auto">
        <a:xfrm>
          <a:off x="4972050" y="29054425"/>
          <a:ext cx="95250" cy="444331"/>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82</xdr:row>
      <xdr:rowOff>504825</xdr:rowOff>
    </xdr:from>
    <xdr:ext cx="95250" cy="213632"/>
    <xdr:sp macro="" textlink="">
      <xdr:nvSpPr>
        <xdr:cNvPr id="4278" name="Text Box 15">
          <a:extLst>
            <a:ext uri="{FF2B5EF4-FFF2-40B4-BE49-F238E27FC236}">
              <a16:creationId xmlns:a16="http://schemas.microsoft.com/office/drawing/2014/main" id="{00000000-0008-0000-0500-0000B6100000}"/>
            </a:ext>
          </a:extLst>
        </xdr:cNvPr>
        <xdr:cNvSpPr txBox="1">
          <a:spLocks noChangeArrowheads="1"/>
        </xdr:cNvSpPr>
      </xdr:nvSpPr>
      <xdr:spPr bwMode="auto">
        <a:xfrm>
          <a:off x="4972050" y="290544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82</xdr:row>
      <xdr:rowOff>504825</xdr:rowOff>
    </xdr:from>
    <xdr:ext cx="95250" cy="213632"/>
    <xdr:sp macro="" textlink="">
      <xdr:nvSpPr>
        <xdr:cNvPr id="4279" name="Text Box 15">
          <a:extLst>
            <a:ext uri="{FF2B5EF4-FFF2-40B4-BE49-F238E27FC236}">
              <a16:creationId xmlns:a16="http://schemas.microsoft.com/office/drawing/2014/main" id="{00000000-0008-0000-0500-0000B7100000}"/>
            </a:ext>
          </a:extLst>
        </xdr:cNvPr>
        <xdr:cNvSpPr txBox="1">
          <a:spLocks noChangeArrowheads="1"/>
        </xdr:cNvSpPr>
      </xdr:nvSpPr>
      <xdr:spPr bwMode="auto">
        <a:xfrm>
          <a:off x="4972050" y="290544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82</xdr:row>
      <xdr:rowOff>504825</xdr:rowOff>
    </xdr:from>
    <xdr:ext cx="95250" cy="213632"/>
    <xdr:sp macro="" textlink="">
      <xdr:nvSpPr>
        <xdr:cNvPr id="4280" name="Text Box 15">
          <a:extLst>
            <a:ext uri="{FF2B5EF4-FFF2-40B4-BE49-F238E27FC236}">
              <a16:creationId xmlns:a16="http://schemas.microsoft.com/office/drawing/2014/main" id="{00000000-0008-0000-0500-0000B8100000}"/>
            </a:ext>
          </a:extLst>
        </xdr:cNvPr>
        <xdr:cNvSpPr txBox="1">
          <a:spLocks noChangeArrowheads="1"/>
        </xdr:cNvSpPr>
      </xdr:nvSpPr>
      <xdr:spPr bwMode="auto">
        <a:xfrm>
          <a:off x="4972050" y="290544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82</xdr:row>
      <xdr:rowOff>504825</xdr:rowOff>
    </xdr:from>
    <xdr:ext cx="95250" cy="213632"/>
    <xdr:sp macro="" textlink="">
      <xdr:nvSpPr>
        <xdr:cNvPr id="4281" name="Text Box 15">
          <a:extLst>
            <a:ext uri="{FF2B5EF4-FFF2-40B4-BE49-F238E27FC236}">
              <a16:creationId xmlns:a16="http://schemas.microsoft.com/office/drawing/2014/main" id="{00000000-0008-0000-0500-0000B9100000}"/>
            </a:ext>
          </a:extLst>
        </xdr:cNvPr>
        <xdr:cNvSpPr txBox="1">
          <a:spLocks noChangeArrowheads="1"/>
        </xdr:cNvSpPr>
      </xdr:nvSpPr>
      <xdr:spPr bwMode="auto">
        <a:xfrm>
          <a:off x="4972050" y="290544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82</xdr:row>
      <xdr:rowOff>504825</xdr:rowOff>
    </xdr:from>
    <xdr:ext cx="95250" cy="213632"/>
    <xdr:sp macro="" textlink="">
      <xdr:nvSpPr>
        <xdr:cNvPr id="4282" name="Text Box 15">
          <a:extLst>
            <a:ext uri="{FF2B5EF4-FFF2-40B4-BE49-F238E27FC236}">
              <a16:creationId xmlns:a16="http://schemas.microsoft.com/office/drawing/2014/main" id="{00000000-0008-0000-0500-0000BA100000}"/>
            </a:ext>
          </a:extLst>
        </xdr:cNvPr>
        <xdr:cNvSpPr txBox="1">
          <a:spLocks noChangeArrowheads="1"/>
        </xdr:cNvSpPr>
      </xdr:nvSpPr>
      <xdr:spPr bwMode="auto">
        <a:xfrm>
          <a:off x="4972050" y="290544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82</xdr:row>
      <xdr:rowOff>504825</xdr:rowOff>
    </xdr:from>
    <xdr:ext cx="95250" cy="213632"/>
    <xdr:sp macro="" textlink="">
      <xdr:nvSpPr>
        <xdr:cNvPr id="4283" name="Text Box 15">
          <a:extLst>
            <a:ext uri="{FF2B5EF4-FFF2-40B4-BE49-F238E27FC236}">
              <a16:creationId xmlns:a16="http://schemas.microsoft.com/office/drawing/2014/main" id="{00000000-0008-0000-0500-0000BB100000}"/>
            </a:ext>
          </a:extLst>
        </xdr:cNvPr>
        <xdr:cNvSpPr txBox="1">
          <a:spLocks noChangeArrowheads="1"/>
        </xdr:cNvSpPr>
      </xdr:nvSpPr>
      <xdr:spPr bwMode="auto">
        <a:xfrm>
          <a:off x="4972050" y="290544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82</xdr:row>
      <xdr:rowOff>504825</xdr:rowOff>
    </xdr:from>
    <xdr:ext cx="95250" cy="213632"/>
    <xdr:sp macro="" textlink="">
      <xdr:nvSpPr>
        <xdr:cNvPr id="4284" name="Text Box 15">
          <a:extLst>
            <a:ext uri="{FF2B5EF4-FFF2-40B4-BE49-F238E27FC236}">
              <a16:creationId xmlns:a16="http://schemas.microsoft.com/office/drawing/2014/main" id="{00000000-0008-0000-0500-0000BC100000}"/>
            </a:ext>
          </a:extLst>
        </xdr:cNvPr>
        <xdr:cNvSpPr txBox="1">
          <a:spLocks noChangeArrowheads="1"/>
        </xdr:cNvSpPr>
      </xdr:nvSpPr>
      <xdr:spPr bwMode="auto">
        <a:xfrm>
          <a:off x="4972050" y="290544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82</xdr:row>
      <xdr:rowOff>504825</xdr:rowOff>
    </xdr:from>
    <xdr:ext cx="95250" cy="213632"/>
    <xdr:sp macro="" textlink="">
      <xdr:nvSpPr>
        <xdr:cNvPr id="4285" name="Text Box 15">
          <a:extLst>
            <a:ext uri="{FF2B5EF4-FFF2-40B4-BE49-F238E27FC236}">
              <a16:creationId xmlns:a16="http://schemas.microsoft.com/office/drawing/2014/main" id="{00000000-0008-0000-0500-0000BD100000}"/>
            </a:ext>
          </a:extLst>
        </xdr:cNvPr>
        <xdr:cNvSpPr txBox="1">
          <a:spLocks noChangeArrowheads="1"/>
        </xdr:cNvSpPr>
      </xdr:nvSpPr>
      <xdr:spPr bwMode="auto">
        <a:xfrm>
          <a:off x="4972050" y="290544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82</xdr:row>
      <xdr:rowOff>504825</xdr:rowOff>
    </xdr:from>
    <xdr:ext cx="95250" cy="213632"/>
    <xdr:sp macro="" textlink="">
      <xdr:nvSpPr>
        <xdr:cNvPr id="4286" name="Text Box 15">
          <a:extLst>
            <a:ext uri="{FF2B5EF4-FFF2-40B4-BE49-F238E27FC236}">
              <a16:creationId xmlns:a16="http://schemas.microsoft.com/office/drawing/2014/main" id="{00000000-0008-0000-0500-0000BE100000}"/>
            </a:ext>
          </a:extLst>
        </xdr:cNvPr>
        <xdr:cNvSpPr txBox="1">
          <a:spLocks noChangeArrowheads="1"/>
        </xdr:cNvSpPr>
      </xdr:nvSpPr>
      <xdr:spPr bwMode="auto">
        <a:xfrm>
          <a:off x="4972050" y="290544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82</xdr:row>
      <xdr:rowOff>504825</xdr:rowOff>
    </xdr:from>
    <xdr:ext cx="95250" cy="213632"/>
    <xdr:sp macro="" textlink="">
      <xdr:nvSpPr>
        <xdr:cNvPr id="4287" name="Text Box 15">
          <a:extLst>
            <a:ext uri="{FF2B5EF4-FFF2-40B4-BE49-F238E27FC236}">
              <a16:creationId xmlns:a16="http://schemas.microsoft.com/office/drawing/2014/main" id="{00000000-0008-0000-0500-0000BF100000}"/>
            </a:ext>
          </a:extLst>
        </xdr:cNvPr>
        <xdr:cNvSpPr txBox="1">
          <a:spLocks noChangeArrowheads="1"/>
        </xdr:cNvSpPr>
      </xdr:nvSpPr>
      <xdr:spPr bwMode="auto">
        <a:xfrm>
          <a:off x="4972050" y="290544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82</xdr:row>
      <xdr:rowOff>504825</xdr:rowOff>
    </xdr:from>
    <xdr:ext cx="95250" cy="213632"/>
    <xdr:sp macro="" textlink="">
      <xdr:nvSpPr>
        <xdr:cNvPr id="4288" name="Text Box 15">
          <a:extLst>
            <a:ext uri="{FF2B5EF4-FFF2-40B4-BE49-F238E27FC236}">
              <a16:creationId xmlns:a16="http://schemas.microsoft.com/office/drawing/2014/main" id="{00000000-0008-0000-0500-0000C0100000}"/>
            </a:ext>
          </a:extLst>
        </xdr:cNvPr>
        <xdr:cNvSpPr txBox="1">
          <a:spLocks noChangeArrowheads="1"/>
        </xdr:cNvSpPr>
      </xdr:nvSpPr>
      <xdr:spPr bwMode="auto">
        <a:xfrm>
          <a:off x="4972050" y="290544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82</xdr:row>
      <xdr:rowOff>504825</xdr:rowOff>
    </xdr:from>
    <xdr:ext cx="95250" cy="213632"/>
    <xdr:sp macro="" textlink="">
      <xdr:nvSpPr>
        <xdr:cNvPr id="4289" name="Text Box 15">
          <a:extLst>
            <a:ext uri="{FF2B5EF4-FFF2-40B4-BE49-F238E27FC236}">
              <a16:creationId xmlns:a16="http://schemas.microsoft.com/office/drawing/2014/main" id="{00000000-0008-0000-0500-0000C1100000}"/>
            </a:ext>
          </a:extLst>
        </xdr:cNvPr>
        <xdr:cNvSpPr txBox="1">
          <a:spLocks noChangeArrowheads="1"/>
        </xdr:cNvSpPr>
      </xdr:nvSpPr>
      <xdr:spPr bwMode="auto">
        <a:xfrm>
          <a:off x="4972050" y="290544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82</xdr:row>
      <xdr:rowOff>504825</xdr:rowOff>
    </xdr:from>
    <xdr:ext cx="95250" cy="213632"/>
    <xdr:sp macro="" textlink="">
      <xdr:nvSpPr>
        <xdr:cNvPr id="4290" name="Text Box 15">
          <a:extLst>
            <a:ext uri="{FF2B5EF4-FFF2-40B4-BE49-F238E27FC236}">
              <a16:creationId xmlns:a16="http://schemas.microsoft.com/office/drawing/2014/main" id="{00000000-0008-0000-0500-0000C2100000}"/>
            </a:ext>
          </a:extLst>
        </xdr:cNvPr>
        <xdr:cNvSpPr txBox="1">
          <a:spLocks noChangeArrowheads="1"/>
        </xdr:cNvSpPr>
      </xdr:nvSpPr>
      <xdr:spPr bwMode="auto">
        <a:xfrm>
          <a:off x="4972050" y="290544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82</xdr:row>
      <xdr:rowOff>504825</xdr:rowOff>
    </xdr:from>
    <xdr:ext cx="95250" cy="213632"/>
    <xdr:sp macro="" textlink="">
      <xdr:nvSpPr>
        <xdr:cNvPr id="4291" name="Text Box 15">
          <a:extLst>
            <a:ext uri="{FF2B5EF4-FFF2-40B4-BE49-F238E27FC236}">
              <a16:creationId xmlns:a16="http://schemas.microsoft.com/office/drawing/2014/main" id="{00000000-0008-0000-0500-0000C3100000}"/>
            </a:ext>
          </a:extLst>
        </xdr:cNvPr>
        <xdr:cNvSpPr txBox="1">
          <a:spLocks noChangeArrowheads="1"/>
        </xdr:cNvSpPr>
      </xdr:nvSpPr>
      <xdr:spPr bwMode="auto">
        <a:xfrm>
          <a:off x="4972050" y="290544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82</xdr:row>
      <xdr:rowOff>504825</xdr:rowOff>
    </xdr:from>
    <xdr:ext cx="95250" cy="213632"/>
    <xdr:sp macro="" textlink="">
      <xdr:nvSpPr>
        <xdr:cNvPr id="4292" name="Text Box 15">
          <a:extLst>
            <a:ext uri="{FF2B5EF4-FFF2-40B4-BE49-F238E27FC236}">
              <a16:creationId xmlns:a16="http://schemas.microsoft.com/office/drawing/2014/main" id="{00000000-0008-0000-0500-0000C4100000}"/>
            </a:ext>
          </a:extLst>
        </xdr:cNvPr>
        <xdr:cNvSpPr txBox="1">
          <a:spLocks noChangeArrowheads="1"/>
        </xdr:cNvSpPr>
      </xdr:nvSpPr>
      <xdr:spPr bwMode="auto">
        <a:xfrm>
          <a:off x="4972050" y="290544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82</xdr:row>
      <xdr:rowOff>504825</xdr:rowOff>
    </xdr:from>
    <xdr:ext cx="95250" cy="213632"/>
    <xdr:sp macro="" textlink="">
      <xdr:nvSpPr>
        <xdr:cNvPr id="4293" name="Text Box 15">
          <a:extLst>
            <a:ext uri="{FF2B5EF4-FFF2-40B4-BE49-F238E27FC236}">
              <a16:creationId xmlns:a16="http://schemas.microsoft.com/office/drawing/2014/main" id="{00000000-0008-0000-0500-0000C5100000}"/>
            </a:ext>
          </a:extLst>
        </xdr:cNvPr>
        <xdr:cNvSpPr txBox="1">
          <a:spLocks noChangeArrowheads="1"/>
        </xdr:cNvSpPr>
      </xdr:nvSpPr>
      <xdr:spPr bwMode="auto">
        <a:xfrm>
          <a:off x="4972050" y="290544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84</xdr:row>
      <xdr:rowOff>504825</xdr:rowOff>
    </xdr:from>
    <xdr:ext cx="95250" cy="213632"/>
    <xdr:sp macro="" textlink="">
      <xdr:nvSpPr>
        <xdr:cNvPr id="4294" name="Text Box 15">
          <a:extLst>
            <a:ext uri="{FF2B5EF4-FFF2-40B4-BE49-F238E27FC236}">
              <a16:creationId xmlns:a16="http://schemas.microsoft.com/office/drawing/2014/main" id="{00000000-0008-0000-0500-0000C6100000}"/>
            </a:ext>
          </a:extLst>
        </xdr:cNvPr>
        <xdr:cNvSpPr txBox="1">
          <a:spLocks noChangeArrowheads="1"/>
        </xdr:cNvSpPr>
      </xdr:nvSpPr>
      <xdr:spPr bwMode="auto">
        <a:xfrm>
          <a:off x="4972050" y="298037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84</xdr:row>
      <xdr:rowOff>504825</xdr:rowOff>
    </xdr:from>
    <xdr:ext cx="95250" cy="213632"/>
    <xdr:sp macro="" textlink="">
      <xdr:nvSpPr>
        <xdr:cNvPr id="4295" name="Text Box 15">
          <a:extLst>
            <a:ext uri="{FF2B5EF4-FFF2-40B4-BE49-F238E27FC236}">
              <a16:creationId xmlns:a16="http://schemas.microsoft.com/office/drawing/2014/main" id="{00000000-0008-0000-0500-0000C7100000}"/>
            </a:ext>
          </a:extLst>
        </xdr:cNvPr>
        <xdr:cNvSpPr txBox="1">
          <a:spLocks noChangeArrowheads="1"/>
        </xdr:cNvSpPr>
      </xdr:nvSpPr>
      <xdr:spPr bwMode="auto">
        <a:xfrm>
          <a:off x="4972050" y="298037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84</xdr:row>
      <xdr:rowOff>504825</xdr:rowOff>
    </xdr:from>
    <xdr:ext cx="95250" cy="213632"/>
    <xdr:sp macro="" textlink="">
      <xdr:nvSpPr>
        <xdr:cNvPr id="4296" name="Text Box 15">
          <a:extLst>
            <a:ext uri="{FF2B5EF4-FFF2-40B4-BE49-F238E27FC236}">
              <a16:creationId xmlns:a16="http://schemas.microsoft.com/office/drawing/2014/main" id="{00000000-0008-0000-0500-0000C8100000}"/>
            </a:ext>
          </a:extLst>
        </xdr:cNvPr>
        <xdr:cNvSpPr txBox="1">
          <a:spLocks noChangeArrowheads="1"/>
        </xdr:cNvSpPr>
      </xdr:nvSpPr>
      <xdr:spPr bwMode="auto">
        <a:xfrm>
          <a:off x="4972050" y="298037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84</xdr:row>
      <xdr:rowOff>504825</xdr:rowOff>
    </xdr:from>
    <xdr:ext cx="95250" cy="213632"/>
    <xdr:sp macro="" textlink="">
      <xdr:nvSpPr>
        <xdr:cNvPr id="4297" name="Text Box 15">
          <a:extLst>
            <a:ext uri="{FF2B5EF4-FFF2-40B4-BE49-F238E27FC236}">
              <a16:creationId xmlns:a16="http://schemas.microsoft.com/office/drawing/2014/main" id="{00000000-0008-0000-0500-0000C9100000}"/>
            </a:ext>
          </a:extLst>
        </xdr:cNvPr>
        <xdr:cNvSpPr txBox="1">
          <a:spLocks noChangeArrowheads="1"/>
        </xdr:cNvSpPr>
      </xdr:nvSpPr>
      <xdr:spPr bwMode="auto">
        <a:xfrm>
          <a:off x="4972050" y="298037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84</xdr:row>
      <xdr:rowOff>504825</xdr:rowOff>
    </xdr:from>
    <xdr:ext cx="95250" cy="213632"/>
    <xdr:sp macro="" textlink="">
      <xdr:nvSpPr>
        <xdr:cNvPr id="4298" name="Text Box 15">
          <a:extLst>
            <a:ext uri="{FF2B5EF4-FFF2-40B4-BE49-F238E27FC236}">
              <a16:creationId xmlns:a16="http://schemas.microsoft.com/office/drawing/2014/main" id="{00000000-0008-0000-0500-0000CA100000}"/>
            </a:ext>
          </a:extLst>
        </xdr:cNvPr>
        <xdr:cNvSpPr txBox="1">
          <a:spLocks noChangeArrowheads="1"/>
        </xdr:cNvSpPr>
      </xdr:nvSpPr>
      <xdr:spPr bwMode="auto">
        <a:xfrm>
          <a:off x="4972050" y="298037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84</xdr:row>
      <xdr:rowOff>504825</xdr:rowOff>
    </xdr:from>
    <xdr:ext cx="95250" cy="213632"/>
    <xdr:sp macro="" textlink="">
      <xdr:nvSpPr>
        <xdr:cNvPr id="4299" name="Text Box 15">
          <a:extLst>
            <a:ext uri="{FF2B5EF4-FFF2-40B4-BE49-F238E27FC236}">
              <a16:creationId xmlns:a16="http://schemas.microsoft.com/office/drawing/2014/main" id="{00000000-0008-0000-0500-0000CB100000}"/>
            </a:ext>
          </a:extLst>
        </xdr:cNvPr>
        <xdr:cNvSpPr txBox="1">
          <a:spLocks noChangeArrowheads="1"/>
        </xdr:cNvSpPr>
      </xdr:nvSpPr>
      <xdr:spPr bwMode="auto">
        <a:xfrm>
          <a:off x="4972050" y="298037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84</xdr:row>
      <xdr:rowOff>504825</xdr:rowOff>
    </xdr:from>
    <xdr:ext cx="95250" cy="213632"/>
    <xdr:sp macro="" textlink="">
      <xdr:nvSpPr>
        <xdr:cNvPr id="4300" name="Text Box 15">
          <a:extLst>
            <a:ext uri="{FF2B5EF4-FFF2-40B4-BE49-F238E27FC236}">
              <a16:creationId xmlns:a16="http://schemas.microsoft.com/office/drawing/2014/main" id="{00000000-0008-0000-0500-0000CC100000}"/>
            </a:ext>
          </a:extLst>
        </xdr:cNvPr>
        <xdr:cNvSpPr txBox="1">
          <a:spLocks noChangeArrowheads="1"/>
        </xdr:cNvSpPr>
      </xdr:nvSpPr>
      <xdr:spPr bwMode="auto">
        <a:xfrm>
          <a:off x="4972050" y="298037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84</xdr:row>
      <xdr:rowOff>504825</xdr:rowOff>
    </xdr:from>
    <xdr:ext cx="95250" cy="213632"/>
    <xdr:sp macro="" textlink="">
      <xdr:nvSpPr>
        <xdr:cNvPr id="4301" name="Text Box 15">
          <a:extLst>
            <a:ext uri="{FF2B5EF4-FFF2-40B4-BE49-F238E27FC236}">
              <a16:creationId xmlns:a16="http://schemas.microsoft.com/office/drawing/2014/main" id="{00000000-0008-0000-0500-0000CD100000}"/>
            </a:ext>
          </a:extLst>
        </xdr:cNvPr>
        <xdr:cNvSpPr txBox="1">
          <a:spLocks noChangeArrowheads="1"/>
        </xdr:cNvSpPr>
      </xdr:nvSpPr>
      <xdr:spPr bwMode="auto">
        <a:xfrm>
          <a:off x="4972050" y="298037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84</xdr:row>
      <xdr:rowOff>504825</xdr:rowOff>
    </xdr:from>
    <xdr:ext cx="95250" cy="213632"/>
    <xdr:sp macro="" textlink="">
      <xdr:nvSpPr>
        <xdr:cNvPr id="4302" name="Text Box 15">
          <a:extLst>
            <a:ext uri="{FF2B5EF4-FFF2-40B4-BE49-F238E27FC236}">
              <a16:creationId xmlns:a16="http://schemas.microsoft.com/office/drawing/2014/main" id="{00000000-0008-0000-0500-0000CE100000}"/>
            </a:ext>
          </a:extLst>
        </xdr:cNvPr>
        <xdr:cNvSpPr txBox="1">
          <a:spLocks noChangeArrowheads="1"/>
        </xdr:cNvSpPr>
      </xdr:nvSpPr>
      <xdr:spPr bwMode="auto">
        <a:xfrm>
          <a:off x="4972050" y="298037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84</xdr:row>
      <xdr:rowOff>504825</xdr:rowOff>
    </xdr:from>
    <xdr:ext cx="95250" cy="213632"/>
    <xdr:sp macro="" textlink="">
      <xdr:nvSpPr>
        <xdr:cNvPr id="4303" name="Text Box 15">
          <a:extLst>
            <a:ext uri="{FF2B5EF4-FFF2-40B4-BE49-F238E27FC236}">
              <a16:creationId xmlns:a16="http://schemas.microsoft.com/office/drawing/2014/main" id="{00000000-0008-0000-0500-0000CF100000}"/>
            </a:ext>
          </a:extLst>
        </xdr:cNvPr>
        <xdr:cNvSpPr txBox="1">
          <a:spLocks noChangeArrowheads="1"/>
        </xdr:cNvSpPr>
      </xdr:nvSpPr>
      <xdr:spPr bwMode="auto">
        <a:xfrm>
          <a:off x="4972050" y="298037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84</xdr:row>
      <xdr:rowOff>504825</xdr:rowOff>
    </xdr:from>
    <xdr:ext cx="95250" cy="213632"/>
    <xdr:sp macro="" textlink="">
      <xdr:nvSpPr>
        <xdr:cNvPr id="4304" name="Text Box 15">
          <a:extLst>
            <a:ext uri="{FF2B5EF4-FFF2-40B4-BE49-F238E27FC236}">
              <a16:creationId xmlns:a16="http://schemas.microsoft.com/office/drawing/2014/main" id="{00000000-0008-0000-0500-0000D0100000}"/>
            </a:ext>
          </a:extLst>
        </xdr:cNvPr>
        <xdr:cNvSpPr txBox="1">
          <a:spLocks noChangeArrowheads="1"/>
        </xdr:cNvSpPr>
      </xdr:nvSpPr>
      <xdr:spPr bwMode="auto">
        <a:xfrm>
          <a:off x="4972050" y="298037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84</xdr:row>
      <xdr:rowOff>504825</xdr:rowOff>
    </xdr:from>
    <xdr:ext cx="95250" cy="213632"/>
    <xdr:sp macro="" textlink="">
      <xdr:nvSpPr>
        <xdr:cNvPr id="4305" name="Text Box 15">
          <a:extLst>
            <a:ext uri="{FF2B5EF4-FFF2-40B4-BE49-F238E27FC236}">
              <a16:creationId xmlns:a16="http://schemas.microsoft.com/office/drawing/2014/main" id="{00000000-0008-0000-0500-0000D1100000}"/>
            </a:ext>
          </a:extLst>
        </xdr:cNvPr>
        <xdr:cNvSpPr txBox="1">
          <a:spLocks noChangeArrowheads="1"/>
        </xdr:cNvSpPr>
      </xdr:nvSpPr>
      <xdr:spPr bwMode="auto">
        <a:xfrm>
          <a:off x="4972050" y="298037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84</xdr:row>
      <xdr:rowOff>504825</xdr:rowOff>
    </xdr:from>
    <xdr:ext cx="95250" cy="213632"/>
    <xdr:sp macro="" textlink="">
      <xdr:nvSpPr>
        <xdr:cNvPr id="4306" name="Text Box 15">
          <a:extLst>
            <a:ext uri="{FF2B5EF4-FFF2-40B4-BE49-F238E27FC236}">
              <a16:creationId xmlns:a16="http://schemas.microsoft.com/office/drawing/2014/main" id="{00000000-0008-0000-0500-0000D2100000}"/>
            </a:ext>
          </a:extLst>
        </xdr:cNvPr>
        <xdr:cNvSpPr txBox="1">
          <a:spLocks noChangeArrowheads="1"/>
        </xdr:cNvSpPr>
      </xdr:nvSpPr>
      <xdr:spPr bwMode="auto">
        <a:xfrm>
          <a:off x="4972050" y="298037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84</xdr:row>
      <xdr:rowOff>504825</xdr:rowOff>
    </xdr:from>
    <xdr:ext cx="95250" cy="213632"/>
    <xdr:sp macro="" textlink="">
      <xdr:nvSpPr>
        <xdr:cNvPr id="4307" name="Text Box 15">
          <a:extLst>
            <a:ext uri="{FF2B5EF4-FFF2-40B4-BE49-F238E27FC236}">
              <a16:creationId xmlns:a16="http://schemas.microsoft.com/office/drawing/2014/main" id="{00000000-0008-0000-0500-0000D3100000}"/>
            </a:ext>
          </a:extLst>
        </xdr:cNvPr>
        <xdr:cNvSpPr txBox="1">
          <a:spLocks noChangeArrowheads="1"/>
        </xdr:cNvSpPr>
      </xdr:nvSpPr>
      <xdr:spPr bwMode="auto">
        <a:xfrm>
          <a:off x="4972050" y="298037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84</xdr:row>
      <xdr:rowOff>504825</xdr:rowOff>
    </xdr:from>
    <xdr:ext cx="95250" cy="213632"/>
    <xdr:sp macro="" textlink="">
      <xdr:nvSpPr>
        <xdr:cNvPr id="4308" name="Text Box 15">
          <a:extLst>
            <a:ext uri="{FF2B5EF4-FFF2-40B4-BE49-F238E27FC236}">
              <a16:creationId xmlns:a16="http://schemas.microsoft.com/office/drawing/2014/main" id="{00000000-0008-0000-0500-0000D4100000}"/>
            </a:ext>
          </a:extLst>
        </xdr:cNvPr>
        <xdr:cNvSpPr txBox="1">
          <a:spLocks noChangeArrowheads="1"/>
        </xdr:cNvSpPr>
      </xdr:nvSpPr>
      <xdr:spPr bwMode="auto">
        <a:xfrm>
          <a:off x="4972050" y="298037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84</xdr:row>
      <xdr:rowOff>504825</xdr:rowOff>
    </xdr:from>
    <xdr:ext cx="95250" cy="213632"/>
    <xdr:sp macro="" textlink="">
      <xdr:nvSpPr>
        <xdr:cNvPr id="4309" name="Text Box 15">
          <a:extLst>
            <a:ext uri="{FF2B5EF4-FFF2-40B4-BE49-F238E27FC236}">
              <a16:creationId xmlns:a16="http://schemas.microsoft.com/office/drawing/2014/main" id="{00000000-0008-0000-0500-0000D5100000}"/>
            </a:ext>
          </a:extLst>
        </xdr:cNvPr>
        <xdr:cNvSpPr txBox="1">
          <a:spLocks noChangeArrowheads="1"/>
        </xdr:cNvSpPr>
      </xdr:nvSpPr>
      <xdr:spPr bwMode="auto">
        <a:xfrm>
          <a:off x="4972050" y="298037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84</xdr:row>
      <xdr:rowOff>504825</xdr:rowOff>
    </xdr:from>
    <xdr:ext cx="95250" cy="213632"/>
    <xdr:sp macro="" textlink="">
      <xdr:nvSpPr>
        <xdr:cNvPr id="4310" name="Text Box 15">
          <a:extLst>
            <a:ext uri="{FF2B5EF4-FFF2-40B4-BE49-F238E27FC236}">
              <a16:creationId xmlns:a16="http://schemas.microsoft.com/office/drawing/2014/main" id="{00000000-0008-0000-0500-0000D6100000}"/>
            </a:ext>
          </a:extLst>
        </xdr:cNvPr>
        <xdr:cNvSpPr txBox="1">
          <a:spLocks noChangeArrowheads="1"/>
        </xdr:cNvSpPr>
      </xdr:nvSpPr>
      <xdr:spPr bwMode="auto">
        <a:xfrm>
          <a:off x="4972050" y="298037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84</xdr:row>
      <xdr:rowOff>504825</xdr:rowOff>
    </xdr:from>
    <xdr:ext cx="95250" cy="213632"/>
    <xdr:sp macro="" textlink="">
      <xdr:nvSpPr>
        <xdr:cNvPr id="4311" name="Text Box 15">
          <a:extLst>
            <a:ext uri="{FF2B5EF4-FFF2-40B4-BE49-F238E27FC236}">
              <a16:creationId xmlns:a16="http://schemas.microsoft.com/office/drawing/2014/main" id="{00000000-0008-0000-0500-0000D7100000}"/>
            </a:ext>
          </a:extLst>
        </xdr:cNvPr>
        <xdr:cNvSpPr txBox="1">
          <a:spLocks noChangeArrowheads="1"/>
        </xdr:cNvSpPr>
      </xdr:nvSpPr>
      <xdr:spPr bwMode="auto">
        <a:xfrm>
          <a:off x="4972050" y="298037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86</xdr:row>
      <xdr:rowOff>504825</xdr:rowOff>
    </xdr:from>
    <xdr:ext cx="95250" cy="461691"/>
    <xdr:sp macro="" textlink="">
      <xdr:nvSpPr>
        <xdr:cNvPr id="4312" name="Text Box 15">
          <a:extLst>
            <a:ext uri="{FF2B5EF4-FFF2-40B4-BE49-F238E27FC236}">
              <a16:creationId xmlns:a16="http://schemas.microsoft.com/office/drawing/2014/main" id="{00000000-0008-0000-0500-0000D8100000}"/>
            </a:ext>
          </a:extLst>
        </xdr:cNvPr>
        <xdr:cNvSpPr txBox="1">
          <a:spLocks noChangeArrowheads="1"/>
        </xdr:cNvSpPr>
      </xdr:nvSpPr>
      <xdr:spPr bwMode="auto">
        <a:xfrm>
          <a:off x="4972050" y="31302325"/>
          <a:ext cx="95250" cy="461691"/>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86</xdr:row>
      <xdr:rowOff>504825</xdr:rowOff>
    </xdr:from>
    <xdr:ext cx="95250" cy="213632"/>
    <xdr:sp macro="" textlink="">
      <xdr:nvSpPr>
        <xdr:cNvPr id="4313" name="Text Box 15">
          <a:extLst>
            <a:ext uri="{FF2B5EF4-FFF2-40B4-BE49-F238E27FC236}">
              <a16:creationId xmlns:a16="http://schemas.microsoft.com/office/drawing/2014/main" id="{00000000-0008-0000-0500-0000D9100000}"/>
            </a:ext>
          </a:extLst>
        </xdr:cNvPr>
        <xdr:cNvSpPr txBox="1">
          <a:spLocks noChangeArrowheads="1"/>
        </xdr:cNvSpPr>
      </xdr:nvSpPr>
      <xdr:spPr bwMode="auto">
        <a:xfrm>
          <a:off x="4972050" y="313023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86</xdr:row>
      <xdr:rowOff>504825</xdr:rowOff>
    </xdr:from>
    <xdr:ext cx="95250" cy="444331"/>
    <xdr:sp macro="" textlink="">
      <xdr:nvSpPr>
        <xdr:cNvPr id="4314" name="Text Box 15">
          <a:extLst>
            <a:ext uri="{FF2B5EF4-FFF2-40B4-BE49-F238E27FC236}">
              <a16:creationId xmlns:a16="http://schemas.microsoft.com/office/drawing/2014/main" id="{00000000-0008-0000-0500-0000DA100000}"/>
            </a:ext>
          </a:extLst>
        </xdr:cNvPr>
        <xdr:cNvSpPr txBox="1">
          <a:spLocks noChangeArrowheads="1"/>
        </xdr:cNvSpPr>
      </xdr:nvSpPr>
      <xdr:spPr bwMode="auto">
        <a:xfrm>
          <a:off x="4972050" y="31302325"/>
          <a:ext cx="95250" cy="444331"/>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86</xdr:row>
      <xdr:rowOff>504825</xdr:rowOff>
    </xdr:from>
    <xdr:ext cx="95250" cy="448496"/>
    <xdr:sp macro="" textlink="">
      <xdr:nvSpPr>
        <xdr:cNvPr id="4315" name="Text Box 15">
          <a:extLst>
            <a:ext uri="{FF2B5EF4-FFF2-40B4-BE49-F238E27FC236}">
              <a16:creationId xmlns:a16="http://schemas.microsoft.com/office/drawing/2014/main" id="{00000000-0008-0000-0500-0000DB100000}"/>
            </a:ext>
          </a:extLst>
        </xdr:cNvPr>
        <xdr:cNvSpPr txBox="1">
          <a:spLocks noChangeArrowheads="1"/>
        </xdr:cNvSpPr>
      </xdr:nvSpPr>
      <xdr:spPr bwMode="auto">
        <a:xfrm>
          <a:off x="4972050" y="31302325"/>
          <a:ext cx="95250" cy="448496"/>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86</xdr:row>
      <xdr:rowOff>504825</xdr:rowOff>
    </xdr:from>
    <xdr:ext cx="95250" cy="213632"/>
    <xdr:sp macro="" textlink="">
      <xdr:nvSpPr>
        <xdr:cNvPr id="4316" name="Text Box 15">
          <a:extLst>
            <a:ext uri="{FF2B5EF4-FFF2-40B4-BE49-F238E27FC236}">
              <a16:creationId xmlns:a16="http://schemas.microsoft.com/office/drawing/2014/main" id="{00000000-0008-0000-0500-0000DC100000}"/>
            </a:ext>
          </a:extLst>
        </xdr:cNvPr>
        <xdr:cNvSpPr txBox="1">
          <a:spLocks noChangeArrowheads="1"/>
        </xdr:cNvSpPr>
      </xdr:nvSpPr>
      <xdr:spPr bwMode="auto">
        <a:xfrm>
          <a:off x="4972050" y="313023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86</xdr:row>
      <xdr:rowOff>504825</xdr:rowOff>
    </xdr:from>
    <xdr:ext cx="95250" cy="444331"/>
    <xdr:sp macro="" textlink="">
      <xdr:nvSpPr>
        <xdr:cNvPr id="4317" name="Text Box 15">
          <a:extLst>
            <a:ext uri="{FF2B5EF4-FFF2-40B4-BE49-F238E27FC236}">
              <a16:creationId xmlns:a16="http://schemas.microsoft.com/office/drawing/2014/main" id="{00000000-0008-0000-0500-0000DD100000}"/>
            </a:ext>
          </a:extLst>
        </xdr:cNvPr>
        <xdr:cNvSpPr txBox="1">
          <a:spLocks noChangeArrowheads="1"/>
        </xdr:cNvSpPr>
      </xdr:nvSpPr>
      <xdr:spPr bwMode="auto">
        <a:xfrm>
          <a:off x="4972050" y="31302325"/>
          <a:ext cx="95250" cy="444331"/>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86</xdr:row>
      <xdr:rowOff>504825</xdr:rowOff>
    </xdr:from>
    <xdr:ext cx="95250" cy="456743"/>
    <xdr:sp macro="" textlink="">
      <xdr:nvSpPr>
        <xdr:cNvPr id="4318" name="Text Box 15">
          <a:extLst>
            <a:ext uri="{FF2B5EF4-FFF2-40B4-BE49-F238E27FC236}">
              <a16:creationId xmlns:a16="http://schemas.microsoft.com/office/drawing/2014/main" id="{00000000-0008-0000-0500-0000DE100000}"/>
            </a:ext>
          </a:extLst>
        </xdr:cNvPr>
        <xdr:cNvSpPr txBox="1">
          <a:spLocks noChangeArrowheads="1"/>
        </xdr:cNvSpPr>
      </xdr:nvSpPr>
      <xdr:spPr bwMode="auto">
        <a:xfrm>
          <a:off x="4972050" y="31302325"/>
          <a:ext cx="95250" cy="456743"/>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86</xdr:row>
      <xdr:rowOff>504825</xdr:rowOff>
    </xdr:from>
    <xdr:ext cx="95250" cy="213632"/>
    <xdr:sp macro="" textlink="">
      <xdr:nvSpPr>
        <xdr:cNvPr id="4319" name="Text Box 15">
          <a:extLst>
            <a:ext uri="{FF2B5EF4-FFF2-40B4-BE49-F238E27FC236}">
              <a16:creationId xmlns:a16="http://schemas.microsoft.com/office/drawing/2014/main" id="{00000000-0008-0000-0500-0000DF100000}"/>
            </a:ext>
          </a:extLst>
        </xdr:cNvPr>
        <xdr:cNvSpPr txBox="1">
          <a:spLocks noChangeArrowheads="1"/>
        </xdr:cNvSpPr>
      </xdr:nvSpPr>
      <xdr:spPr bwMode="auto">
        <a:xfrm>
          <a:off x="4972050" y="313023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86</xdr:row>
      <xdr:rowOff>504825</xdr:rowOff>
    </xdr:from>
    <xdr:ext cx="95250" cy="444331"/>
    <xdr:sp macro="" textlink="">
      <xdr:nvSpPr>
        <xdr:cNvPr id="4320" name="Text Box 15">
          <a:extLst>
            <a:ext uri="{FF2B5EF4-FFF2-40B4-BE49-F238E27FC236}">
              <a16:creationId xmlns:a16="http://schemas.microsoft.com/office/drawing/2014/main" id="{00000000-0008-0000-0500-0000E0100000}"/>
            </a:ext>
          </a:extLst>
        </xdr:cNvPr>
        <xdr:cNvSpPr txBox="1">
          <a:spLocks noChangeArrowheads="1"/>
        </xdr:cNvSpPr>
      </xdr:nvSpPr>
      <xdr:spPr bwMode="auto">
        <a:xfrm>
          <a:off x="4972050" y="31302325"/>
          <a:ext cx="95250" cy="444331"/>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86</xdr:row>
      <xdr:rowOff>504825</xdr:rowOff>
    </xdr:from>
    <xdr:ext cx="95250" cy="213632"/>
    <xdr:sp macro="" textlink="">
      <xdr:nvSpPr>
        <xdr:cNvPr id="4321" name="Text Box 15">
          <a:extLst>
            <a:ext uri="{FF2B5EF4-FFF2-40B4-BE49-F238E27FC236}">
              <a16:creationId xmlns:a16="http://schemas.microsoft.com/office/drawing/2014/main" id="{00000000-0008-0000-0500-0000E1100000}"/>
            </a:ext>
          </a:extLst>
        </xdr:cNvPr>
        <xdr:cNvSpPr txBox="1">
          <a:spLocks noChangeArrowheads="1"/>
        </xdr:cNvSpPr>
      </xdr:nvSpPr>
      <xdr:spPr bwMode="auto">
        <a:xfrm>
          <a:off x="4972050" y="313023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86</xdr:row>
      <xdr:rowOff>504825</xdr:rowOff>
    </xdr:from>
    <xdr:ext cx="95250" cy="213632"/>
    <xdr:sp macro="" textlink="">
      <xdr:nvSpPr>
        <xdr:cNvPr id="4322" name="Text Box 15">
          <a:extLst>
            <a:ext uri="{FF2B5EF4-FFF2-40B4-BE49-F238E27FC236}">
              <a16:creationId xmlns:a16="http://schemas.microsoft.com/office/drawing/2014/main" id="{00000000-0008-0000-0500-0000E2100000}"/>
            </a:ext>
          </a:extLst>
        </xdr:cNvPr>
        <xdr:cNvSpPr txBox="1">
          <a:spLocks noChangeArrowheads="1"/>
        </xdr:cNvSpPr>
      </xdr:nvSpPr>
      <xdr:spPr bwMode="auto">
        <a:xfrm>
          <a:off x="4972050" y="313023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86</xdr:row>
      <xdr:rowOff>504825</xdr:rowOff>
    </xdr:from>
    <xdr:ext cx="95250" cy="213632"/>
    <xdr:sp macro="" textlink="">
      <xdr:nvSpPr>
        <xdr:cNvPr id="4323" name="Text Box 15">
          <a:extLst>
            <a:ext uri="{FF2B5EF4-FFF2-40B4-BE49-F238E27FC236}">
              <a16:creationId xmlns:a16="http://schemas.microsoft.com/office/drawing/2014/main" id="{00000000-0008-0000-0500-0000E3100000}"/>
            </a:ext>
          </a:extLst>
        </xdr:cNvPr>
        <xdr:cNvSpPr txBox="1">
          <a:spLocks noChangeArrowheads="1"/>
        </xdr:cNvSpPr>
      </xdr:nvSpPr>
      <xdr:spPr bwMode="auto">
        <a:xfrm>
          <a:off x="4972050" y="313023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86</xdr:row>
      <xdr:rowOff>504825</xdr:rowOff>
    </xdr:from>
    <xdr:ext cx="95250" cy="213632"/>
    <xdr:sp macro="" textlink="">
      <xdr:nvSpPr>
        <xdr:cNvPr id="4324" name="Text Box 15">
          <a:extLst>
            <a:ext uri="{FF2B5EF4-FFF2-40B4-BE49-F238E27FC236}">
              <a16:creationId xmlns:a16="http://schemas.microsoft.com/office/drawing/2014/main" id="{00000000-0008-0000-0500-0000E4100000}"/>
            </a:ext>
          </a:extLst>
        </xdr:cNvPr>
        <xdr:cNvSpPr txBox="1">
          <a:spLocks noChangeArrowheads="1"/>
        </xdr:cNvSpPr>
      </xdr:nvSpPr>
      <xdr:spPr bwMode="auto">
        <a:xfrm>
          <a:off x="4972050" y="313023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86</xdr:row>
      <xdr:rowOff>504825</xdr:rowOff>
    </xdr:from>
    <xdr:ext cx="95250" cy="213632"/>
    <xdr:sp macro="" textlink="">
      <xdr:nvSpPr>
        <xdr:cNvPr id="4325" name="Text Box 15">
          <a:extLst>
            <a:ext uri="{FF2B5EF4-FFF2-40B4-BE49-F238E27FC236}">
              <a16:creationId xmlns:a16="http://schemas.microsoft.com/office/drawing/2014/main" id="{00000000-0008-0000-0500-0000E5100000}"/>
            </a:ext>
          </a:extLst>
        </xdr:cNvPr>
        <xdr:cNvSpPr txBox="1">
          <a:spLocks noChangeArrowheads="1"/>
        </xdr:cNvSpPr>
      </xdr:nvSpPr>
      <xdr:spPr bwMode="auto">
        <a:xfrm>
          <a:off x="4972050" y="313023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86</xdr:row>
      <xdr:rowOff>504825</xdr:rowOff>
    </xdr:from>
    <xdr:ext cx="95250" cy="213632"/>
    <xdr:sp macro="" textlink="">
      <xdr:nvSpPr>
        <xdr:cNvPr id="4326" name="Text Box 15">
          <a:extLst>
            <a:ext uri="{FF2B5EF4-FFF2-40B4-BE49-F238E27FC236}">
              <a16:creationId xmlns:a16="http://schemas.microsoft.com/office/drawing/2014/main" id="{00000000-0008-0000-0500-0000E6100000}"/>
            </a:ext>
          </a:extLst>
        </xdr:cNvPr>
        <xdr:cNvSpPr txBox="1">
          <a:spLocks noChangeArrowheads="1"/>
        </xdr:cNvSpPr>
      </xdr:nvSpPr>
      <xdr:spPr bwMode="auto">
        <a:xfrm>
          <a:off x="4972050" y="313023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86</xdr:row>
      <xdr:rowOff>504825</xdr:rowOff>
    </xdr:from>
    <xdr:ext cx="95250" cy="213632"/>
    <xdr:sp macro="" textlink="">
      <xdr:nvSpPr>
        <xdr:cNvPr id="4327" name="Text Box 15">
          <a:extLst>
            <a:ext uri="{FF2B5EF4-FFF2-40B4-BE49-F238E27FC236}">
              <a16:creationId xmlns:a16="http://schemas.microsoft.com/office/drawing/2014/main" id="{00000000-0008-0000-0500-0000E7100000}"/>
            </a:ext>
          </a:extLst>
        </xdr:cNvPr>
        <xdr:cNvSpPr txBox="1">
          <a:spLocks noChangeArrowheads="1"/>
        </xdr:cNvSpPr>
      </xdr:nvSpPr>
      <xdr:spPr bwMode="auto">
        <a:xfrm>
          <a:off x="4972050" y="313023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86</xdr:row>
      <xdr:rowOff>504825</xdr:rowOff>
    </xdr:from>
    <xdr:ext cx="95250" cy="213632"/>
    <xdr:sp macro="" textlink="">
      <xdr:nvSpPr>
        <xdr:cNvPr id="4328" name="Text Box 15">
          <a:extLst>
            <a:ext uri="{FF2B5EF4-FFF2-40B4-BE49-F238E27FC236}">
              <a16:creationId xmlns:a16="http://schemas.microsoft.com/office/drawing/2014/main" id="{00000000-0008-0000-0500-0000E8100000}"/>
            </a:ext>
          </a:extLst>
        </xdr:cNvPr>
        <xdr:cNvSpPr txBox="1">
          <a:spLocks noChangeArrowheads="1"/>
        </xdr:cNvSpPr>
      </xdr:nvSpPr>
      <xdr:spPr bwMode="auto">
        <a:xfrm>
          <a:off x="4972050" y="313023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86</xdr:row>
      <xdr:rowOff>504825</xdr:rowOff>
    </xdr:from>
    <xdr:ext cx="95250" cy="213632"/>
    <xdr:sp macro="" textlink="">
      <xdr:nvSpPr>
        <xdr:cNvPr id="4329" name="Text Box 15">
          <a:extLst>
            <a:ext uri="{FF2B5EF4-FFF2-40B4-BE49-F238E27FC236}">
              <a16:creationId xmlns:a16="http://schemas.microsoft.com/office/drawing/2014/main" id="{00000000-0008-0000-0500-0000E9100000}"/>
            </a:ext>
          </a:extLst>
        </xdr:cNvPr>
        <xdr:cNvSpPr txBox="1">
          <a:spLocks noChangeArrowheads="1"/>
        </xdr:cNvSpPr>
      </xdr:nvSpPr>
      <xdr:spPr bwMode="auto">
        <a:xfrm>
          <a:off x="4972050" y="313023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86</xdr:row>
      <xdr:rowOff>504825</xdr:rowOff>
    </xdr:from>
    <xdr:ext cx="95250" cy="213632"/>
    <xdr:sp macro="" textlink="">
      <xdr:nvSpPr>
        <xdr:cNvPr id="4330" name="Text Box 15">
          <a:extLst>
            <a:ext uri="{FF2B5EF4-FFF2-40B4-BE49-F238E27FC236}">
              <a16:creationId xmlns:a16="http://schemas.microsoft.com/office/drawing/2014/main" id="{00000000-0008-0000-0500-0000EA100000}"/>
            </a:ext>
          </a:extLst>
        </xdr:cNvPr>
        <xdr:cNvSpPr txBox="1">
          <a:spLocks noChangeArrowheads="1"/>
        </xdr:cNvSpPr>
      </xdr:nvSpPr>
      <xdr:spPr bwMode="auto">
        <a:xfrm>
          <a:off x="4972050" y="313023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86</xdr:row>
      <xdr:rowOff>504825</xdr:rowOff>
    </xdr:from>
    <xdr:ext cx="95250" cy="213632"/>
    <xdr:sp macro="" textlink="">
      <xdr:nvSpPr>
        <xdr:cNvPr id="4331" name="Text Box 15">
          <a:extLst>
            <a:ext uri="{FF2B5EF4-FFF2-40B4-BE49-F238E27FC236}">
              <a16:creationId xmlns:a16="http://schemas.microsoft.com/office/drawing/2014/main" id="{00000000-0008-0000-0500-0000EB100000}"/>
            </a:ext>
          </a:extLst>
        </xdr:cNvPr>
        <xdr:cNvSpPr txBox="1">
          <a:spLocks noChangeArrowheads="1"/>
        </xdr:cNvSpPr>
      </xdr:nvSpPr>
      <xdr:spPr bwMode="auto">
        <a:xfrm>
          <a:off x="4972050" y="313023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86</xdr:row>
      <xdr:rowOff>504825</xdr:rowOff>
    </xdr:from>
    <xdr:ext cx="95250" cy="213632"/>
    <xdr:sp macro="" textlink="">
      <xdr:nvSpPr>
        <xdr:cNvPr id="4332" name="Text Box 15">
          <a:extLst>
            <a:ext uri="{FF2B5EF4-FFF2-40B4-BE49-F238E27FC236}">
              <a16:creationId xmlns:a16="http://schemas.microsoft.com/office/drawing/2014/main" id="{00000000-0008-0000-0500-0000EC100000}"/>
            </a:ext>
          </a:extLst>
        </xdr:cNvPr>
        <xdr:cNvSpPr txBox="1">
          <a:spLocks noChangeArrowheads="1"/>
        </xdr:cNvSpPr>
      </xdr:nvSpPr>
      <xdr:spPr bwMode="auto">
        <a:xfrm>
          <a:off x="4972050" y="313023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86</xdr:row>
      <xdr:rowOff>504825</xdr:rowOff>
    </xdr:from>
    <xdr:ext cx="95250" cy="213632"/>
    <xdr:sp macro="" textlink="">
      <xdr:nvSpPr>
        <xdr:cNvPr id="4333" name="Text Box 15">
          <a:extLst>
            <a:ext uri="{FF2B5EF4-FFF2-40B4-BE49-F238E27FC236}">
              <a16:creationId xmlns:a16="http://schemas.microsoft.com/office/drawing/2014/main" id="{00000000-0008-0000-0500-0000ED100000}"/>
            </a:ext>
          </a:extLst>
        </xdr:cNvPr>
        <xdr:cNvSpPr txBox="1">
          <a:spLocks noChangeArrowheads="1"/>
        </xdr:cNvSpPr>
      </xdr:nvSpPr>
      <xdr:spPr bwMode="auto">
        <a:xfrm>
          <a:off x="4972050" y="313023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86</xdr:row>
      <xdr:rowOff>504825</xdr:rowOff>
    </xdr:from>
    <xdr:ext cx="95250" cy="213632"/>
    <xdr:sp macro="" textlink="">
      <xdr:nvSpPr>
        <xdr:cNvPr id="4334" name="Text Box 15">
          <a:extLst>
            <a:ext uri="{FF2B5EF4-FFF2-40B4-BE49-F238E27FC236}">
              <a16:creationId xmlns:a16="http://schemas.microsoft.com/office/drawing/2014/main" id="{00000000-0008-0000-0500-0000EE100000}"/>
            </a:ext>
          </a:extLst>
        </xdr:cNvPr>
        <xdr:cNvSpPr txBox="1">
          <a:spLocks noChangeArrowheads="1"/>
        </xdr:cNvSpPr>
      </xdr:nvSpPr>
      <xdr:spPr bwMode="auto">
        <a:xfrm>
          <a:off x="4972050" y="313023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86</xdr:row>
      <xdr:rowOff>504825</xdr:rowOff>
    </xdr:from>
    <xdr:ext cx="95250" cy="213632"/>
    <xdr:sp macro="" textlink="">
      <xdr:nvSpPr>
        <xdr:cNvPr id="4335" name="Text Box 15">
          <a:extLst>
            <a:ext uri="{FF2B5EF4-FFF2-40B4-BE49-F238E27FC236}">
              <a16:creationId xmlns:a16="http://schemas.microsoft.com/office/drawing/2014/main" id="{00000000-0008-0000-0500-0000EF100000}"/>
            </a:ext>
          </a:extLst>
        </xdr:cNvPr>
        <xdr:cNvSpPr txBox="1">
          <a:spLocks noChangeArrowheads="1"/>
        </xdr:cNvSpPr>
      </xdr:nvSpPr>
      <xdr:spPr bwMode="auto">
        <a:xfrm>
          <a:off x="4972050" y="313023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86</xdr:row>
      <xdr:rowOff>504825</xdr:rowOff>
    </xdr:from>
    <xdr:ext cx="95250" cy="213632"/>
    <xdr:sp macro="" textlink="">
      <xdr:nvSpPr>
        <xdr:cNvPr id="4336" name="Text Box 15">
          <a:extLst>
            <a:ext uri="{FF2B5EF4-FFF2-40B4-BE49-F238E27FC236}">
              <a16:creationId xmlns:a16="http://schemas.microsoft.com/office/drawing/2014/main" id="{00000000-0008-0000-0500-0000F0100000}"/>
            </a:ext>
          </a:extLst>
        </xdr:cNvPr>
        <xdr:cNvSpPr txBox="1">
          <a:spLocks noChangeArrowheads="1"/>
        </xdr:cNvSpPr>
      </xdr:nvSpPr>
      <xdr:spPr bwMode="auto">
        <a:xfrm>
          <a:off x="4972050" y="313023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86</xdr:row>
      <xdr:rowOff>504825</xdr:rowOff>
    </xdr:from>
    <xdr:ext cx="95250" cy="213632"/>
    <xdr:sp macro="" textlink="">
      <xdr:nvSpPr>
        <xdr:cNvPr id="4337" name="Text Box 15">
          <a:extLst>
            <a:ext uri="{FF2B5EF4-FFF2-40B4-BE49-F238E27FC236}">
              <a16:creationId xmlns:a16="http://schemas.microsoft.com/office/drawing/2014/main" id="{00000000-0008-0000-0500-0000F1100000}"/>
            </a:ext>
          </a:extLst>
        </xdr:cNvPr>
        <xdr:cNvSpPr txBox="1">
          <a:spLocks noChangeArrowheads="1"/>
        </xdr:cNvSpPr>
      </xdr:nvSpPr>
      <xdr:spPr bwMode="auto">
        <a:xfrm>
          <a:off x="4972050" y="313023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86</xdr:row>
      <xdr:rowOff>504825</xdr:rowOff>
    </xdr:from>
    <xdr:ext cx="95250" cy="213632"/>
    <xdr:sp macro="" textlink="">
      <xdr:nvSpPr>
        <xdr:cNvPr id="4338" name="Text Box 15">
          <a:extLst>
            <a:ext uri="{FF2B5EF4-FFF2-40B4-BE49-F238E27FC236}">
              <a16:creationId xmlns:a16="http://schemas.microsoft.com/office/drawing/2014/main" id="{00000000-0008-0000-0500-0000F2100000}"/>
            </a:ext>
          </a:extLst>
        </xdr:cNvPr>
        <xdr:cNvSpPr txBox="1">
          <a:spLocks noChangeArrowheads="1"/>
        </xdr:cNvSpPr>
      </xdr:nvSpPr>
      <xdr:spPr bwMode="auto">
        <a:xfrm>
          <a:off x="4972050" y="313023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88</xdr:row>
      <xdr:rowOff>504825</xdr:rowOff>
    </xdr:from>
    <xdr:ext cx="95250" cy="461691"/>
    <xdr:sp macro="" textlink="">
      <xdr:nvSpPr>
        <xdr:cNvPr id="4339" name="Text Box 15">
          <a:extLst>
            <a:ext uri="{FF2B5EF4-FFF2-40B4-BE49-F238E27FC236}">
              <a16:creationId xmlns:a16="http://schemas.microsoft.com/office/drawing/2014/main" id="{00000000-0008-0000-0500-0000F3100000}"/>
            </a:ext>
          </a:extLst>
        </xdr:cNvPr>
        <xdr:cNvSpPr txBox="1">
          <a:spLocks noChangeArrowheads="1"/>
        </xdr:cNvSpPr>
      </xdr:nvSpPr>
      <xdr:spPr bwMode="auto">
        <a:xfrm>
          <a:off x="4972050" y="31302325"/>
          <a:ext cx="95250" cy="461691"/>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88</xdr:row>
      <xdr:rowOff>504825</xdr:rowOff>
    </xdr:from>
    <xdr:ext cx="95250" cy="213632"/>
    <xdr:sp macro="" textlink="">
      <xdr:nvSpPr>
        <xdr:cNvPr id="4340" name="Text Box 15">
          <a:extLst>
            <a:ext uri="{FF2B5EF4-FFF2-40B4-BE49-F238E27FC236}">
              <a16:creationId xmlns:a16="http://schemas.microsoft.com/office/drawing/2014/main" id="{00000000-0008-0000-0500-0000F4100000}"/>
            </a:ext>
          </a:extLst>
        </xdr:cNvPr>
        <xdr:cNvSpPr txBox="1">
          <a:spLocks noChangeArrowheads="1"/>
        </xdr:cNvSpPr>
      </xdr:nvSpPr>
      <xdr:spPr bwMode="auto">
        <a:xfrm>
          <a:off x="4972050" y="313023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88</xdr:row>
      <xdr:rowOff>504825</xdr:rowOff>
    </xdr:from>
    <xdr:ext cx="95250" cy="444331"/>
    <xdr:sp macro="" textlink="">
      <xdr:nvSpPr>
        <xdr:cNvPr id="4341" name="Text Box 15">
          <a:extLst>
            <a:ext uri="{FF2B5EF4-FFF2-40B4-BE49-F238E27FC236}">
              <a16:creationId xmlns:a16="http://schemas.microsoft.com/office/drawing/2014/main" id="{00000000-0008-0000-0500-0000F5100000}"/>
            </a:ext>
          </a:extLst>
        </xdr:cNvPr>
        <xdr:cNvSpPr txBox="1">
          <a:spLocks noChangeArrowheads="1"/>
        </xdr:cNvSpPr>
      </xdr:nvSpPr>
      <xdr:spPr bwMode="auto">
        <a:xfrm>
          <a:off x="4972050" y="31302325"/>
          <a:ext cx="95250" cy="444331"/>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88</xdr:row>
      <xdr:rowOff>504825</xdr:rowOff>
    </xdr:from>
    <xdr:ext cx="95250" cy="448496"/>
    <xdr:sp macro="" textlink="">
      <xdr:nvSpPr>
        <xdr:cNvPr id="4342" name="Text Box 15">
          <a:extLst>
            <a:ext uri="{FF2B5EF4-FFF2-40B4-BE49-F238E27FC236}">
              <a16:creationId xmlns:a16="http://schemas.microsoft.com/office/drawing/2014/main" id="{00000000-0008-0000-0500-0000F6100000}"/>
            </a:ext>
          </a:extLst>
        </xdr:cNvPr>
        <xdr:cNvSpPr txBox="1">
          <a:spLocks noChangeArrowheads="1"/>
        </xdr:cNvSpPr>
      </xdr:nvSpPr>
      <xdr:spPr bwMode="auto">
        <a:xfrm>
          <a:off x="4972050" y="31302325"/>
          <a:ext cx="95250" cy="448496"/>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88</xdr:row>
      <xdr:rowOff>504825</xdr:rowOff>
    </xdr:from>
    <xdr:ext cx="95250" cy="213632"/>
    <xdr:sp macro="" textlink="">
      <xdr:nvSpPr>
        <xdr:cNvPr id="4343" name="Text Box 15">
          <a:extLst>
            <a:ext uri="{FF2B5EF4-FFF2-40B4-BE49-F238E27FC236}">
              <a16:creationId xmlns:a16="http://schemas.microsoft.com/office/drawing/2014/main" id="{00000000-0008-0000-0500-0000F7100000}"/>
            </a:ext>
          </a:extLst>
        </xdr:cNvPr>
        <xdr:cNvSpPr txBox="1">
          <a:spLocks noChangeArrowheads="1"/>
        </xdr:cNvSpPr>
      </xdr:nvSpPr>
      <xdr:spPr bwMode="auto">
        <a:xfrm>
          <a:off x="4972050" y="313023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88</xdr:row>
      <xdr:rowOff>504825</xdr:rowOff>
    </xdr:from>
    <xdr:ext cx="95250" cy="444331"/>
    <xdr:sp macro="" textlink="">
      <xdr:nvSpPr>
        <xdr:cNvPr id="4344" name="Text Box 15">
          <a:extLst>
            <a:ext uri="{FF2B5EF4-FFF2-40B4-BE49-F238E27FC236}">
              <a16:creationId xmlns:a16="http://schemas.microsoft.com/office/drawing/2014/main" id="{00000000-0008-0000-0500-0000F8100000}"/>
            </a:ext>
          </a:extLst>
        </xdr:cNvPr>
        <xdr:cNvSpPr txBox="1">
          <a:spLocks noChangeArrowheads="1"/>
        </xdr:cNvSpPr>
      </xdr:nvSpPr>
      <xdr:spPr bwMode="auto">
        <a:xfrm>
          <a:off x="4972050" y="31302325"/>
          <a:ext cx="95250" cy="444331"/>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88</xdr:row>
      <xdr:rowOff>504825</xdr:rowOff>
    </xdr:from>
    <xdr:ext cx="95250" cy="456743"/>
    <xdr:sp macro="" textlink="">
      <xdr:nvSpPr>
        <xdr:cNvPr id="4345" name="Text Box 15">
          <a:extLst>
            <a:ext uri="{FF2B5EF4-FFF2-40B4-BE49-F238E27FC236}">
              <a16:creationId xmlns:a16="http://schemas.microsoft.com/office/drawing/2014/main" id="{00000000-0008-0000-0500-0000F9100000}"/>
            </a:ext>
          </a:extLst>
        </xdr:cNvPr>
        <xdr:cNvSpPr txBox="1">
          <a:spLocks noChangeArrowheads="1"/>
        </xdr:cNvSpPr>
      </xdr:nvSpPr>
      <xdr:spPr bwMode="auto">
        <a:xfrm>
          <a:off x="4972050" y="31302325"/>
          <a:ext cx="95250" cy="456743"/>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88</xdr:row>
      <xdr:rowOff>504825</xdr:rowOff>
    </xdr:from>
    <xdr:ext cx="95250" cy="213632"/>
    <xdr:sp macro="" textlink="">
      <xdr:nvSpPr>
        <xdr:cNvPr id="4346" name="Text Box 15">
          <a:extLst>
            <a:ext uri="{FF2B5EF4-FFF2-40B4-BE49-F238E27FC236}">
              <a16:creationId xmlns:a16="http://schemas.microsoft.com/office/drawing/2014/main" id="{00000000-0008-0000-0500-0000FA100000}"/>
            </a:ext>
          </a:extLst>
        </xdr:cNvPr>
        <xdr:cNvSpPr txBox="1">
          <a:spLocks noChangeArrowheads="1"/>
        </xdr:cNvSpPr>
      </xdr:nvSpPr>
      <xdr:spPr bwMode="auto">
        <a:xfrm>
          <a:off x="4972050" y="313023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88</xdr:row>
      <xdr:rowOff>504825</xdr:rowOff>
    </xdr:from>
    <xdr:ext cx="95250" cy="444331"/>
    <xdr:sp macro="" textlink="">
      <xdr:nvSpPr>
        <xdr:cNvPr id="4347" name="Text Box 15">
          <a:extLst>
            <a:ext uri="{FF2B5EF4-FFF2-40B4-BE49-F238E27FC236}">
              <a16:creationId xmlns:a16="http://schemas.microsoft.com/office/drawing/2014/main" id="{00000000-0008-0000-0500-0000FB100000}"/>
            </a:ext>
          </a:extLst>
        </xdr:cNvPr>
        <xdr:cNvSpPr txBox="1">
          <a:spLocks noChangeArrowheads="1"/>
        </xdr:cNvSpPr>
      </xdr:nvSpPr>
      <xdr:spPr bwMode="auto">
        <a:xfrm>
          <a:off x="4972050" y="31302325"/>
          <a:ext cx="95250" cy="444331"/>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88</xdr:row>
      <xdr:rowOff>504825</xdr:rowOff>
    </xdr:from>
    <xdr:ext cx="95250" cy="213632"/>
    <xdr:sp macro="" textlink="">
      <xdr:nvSpPr>
        <xdr:cNvPr id="4348" name="Text Box 15">
          <a:extLst>
            <a:ext uri="{FF2B5EF4-FFF2-40B4-BE49-F238E27FC236}">
              <a16:creationId xmlns:a16="http://schemas.microsoft.com/office/drawing/2014/main" id="{00000000-0008-0000-0500-0000FC100000}"/>
            </a:ext>
          </a:extLst>
        </xdr:cNvPr>
        <xdr:cNvSpPr txBox="1">
          <a:spLocks noChangeArrowheads="1"/>
        </xdr:cNvSpPr>
      </xdr:nvSpPr>
      <xdr:spPr bwMode="auto">
        <a:xfrm>
          <a:off x="4972050" y="313023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88</xdr:row>
      <xdr:rowOff>504825</xdr:rowOff>
    </xdr:from>
    <xdr:ext cx="95250" cy="213632"/>
    <xdr:sp macro="" textlink="">
      <xdr:nvSpPr>
        <xdr:cNvPr id="4349" name="Text Box 15">
          <a:extLst>
            <a:ext uri="{FF2B5EF4-FFF2-40B4-BE49-F238E27FC236}">
              <a16:creationId xmlns:a16="http://schemas.microsoft.com/office/drawing/2014/main" id="{00000000-0008-0000-0500-0000FD100000}"/>
            </a:ext>
          </a:extLst>
        </xdr:cNvPr>
        <xdr:cNvSpPr txBox="1">
          <a:spLocks noChangeArrowheads="1"/>
        </xdr:cNvSpPr>
      </xdr:nvSpPr>
      <xdr:spPr bwMode="auto">
        <a:xfrm>
          <a:off x="4972050" y="313023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88</xdr:row>
      <xdr:rowOff>504825</xdr:rowOff>
    </xdr:from>
    <xdr:ext cx="95250" cy="213632"/>
    <xdr:sp macro="" textlink="">
      <xdr:nvSpPr>
        <xdr:cNvPr id="4350" name="Text Box 15">
          <a:extLst>
            <a:ext uri="{FF2B5EF4-FFF2-40B4-BE49-F238E27FC236}">
              <a16:creationId xmlns:a16="http://schemas.microsoft.com/office/drawing/2014/main" id="{00000000-0008-0000-0500-0000FE100000}"/>
            </a:ext>
          </a:extLst>
        </xdr:cNvPr>
        <xdr:cNvSpPr txBox="1">
          <a:spLocks noChangeArrowheads="1"/>
        </xdr:cNvSpPr>
      </xdr:nvSpPr>
      <xdr:spPr bwMode="auto">
        <a:xfrm>
          <a:off x="4972050" y="313023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88</xdr:row>
      <xdr:rowOff>504825</xdr:rowOff>
    </xdr:from>
    <xdr:ext cx="95250" cy="213632"/>
    <xdr:sp macro="" textlink="">
      <xdr:nvSpPr>
        <xdr:cNvPr id="4351" name="Text Box 15">
          <a:extLst>
            <a:ext uri="{FF2B5EF4-FFF2-40B4-BE49-F238E27FC236}">
              <a16:creationId xmlns:a16="http://schemas.microsoft.com/office/drawing/2014/main" id="{00000000-0008-0000-0500-0000FF100000}"/>
            </a:ext>
          </a:extLst>
        </xdr:cNvPr>
        <xdr:cNvSpPr txBox="1">
          <a:spLocks noChangeArrowheads="1"/>
        </xdr:cNvSpPr>
      </xdr:nvSpPr>
      <xdr:spPr bwMode="auto">
        <a:xfrm>
          <a:off x="4972050" y="313023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88</xdr:row>
      <xdr:rowOff>504825</xdr:rowOff>
    </xdr:from>
    <xdr:ext cx="95250" cy="213632"/>
    <xdr:sp macro="" textlink="">
      <xdr:nvSpPr>
        <xdr:cNvPr id="4352" name="Text Box 15">
          <a:extLst>
            <a:ext uri="{FF2B5EF4-FFF2-40B4-BE49-F238E27FC236}">
              <a16:creationId xmlns:a16="http://schemas.microsoft.com/office/drawing/2014/main" id="{00000000-0008-0000-0500-000000110000}"/>
            </a:ext>
          </a:extLst>
        </xdr:cNvPr>
        <xdr:cNvSpPr txBox="1">
          <a:spLocks noChangeArrowheads="1"/>
        </xdr:cNvSpPr>
      </xdr:nvSpPr>
      <xdr:spPr bwMode="auto">
        <a:xfrm>
          <a:off x="4972050" y="313023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88</xdr:row>
      <xdr:rowOff>504825</xdr:rowOff>
    </xdr:from>
    <xdr:ext cx="95250" cy="213632"/>
    <xdr:sp macro="" textlink="">
      <xdr:nvSpPr>
        <xdr:cNvPr id="4353" name="Text Box 15">
          <a:extLst>
            <a:ext uri="{FF2B5EF4-FFF2-40B4-BE49-F238E27FC236}">
              <a16:creationId xmlns:a16="http://schemas.microsoft.com/office/drawing/2014/main" id="{00000000-0008-0000-0500-000001110000}"/>
            </a:ext>
          </a:extLst>
        </xdr:cNvPr>
        <xdr:cNvSpPr txBox="1">
          <a:spLocks noChangeArrowheads="1"/>
        </xdr:cNvSpPr>
      </xdr:nvSpPr>
      <xdr:spPr bwMode="auto">
        <a:xfrm>
          <a:off x="4972050" y="313023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88</xdr:row>
      <xdr:rowOff>504825</xdr:rowOff>
    </xdr:from>
    <xdr:ext cx="95250" cy="213632"/>
    <xdr:sp macro="" textlink="">
      <xdr:nvSpPr>
        <xdr:cNvPr id="4354" name="Text Box 15">
          <a:extLst>
            <a:ext uri="{FF2B5EF4-FFF2-40B4-BE49-F238E27FC236}">
              <a16:creationId xmlns:a16="http://schemas.microsoft.com/office/drawing/2014/main" id="{00000000-0008-0000-0500-000002110000}"/>
            </a:ext>
          </a:extLst>
        </xdr:cNvPr>
        <xdr:cNvSpPr txBox="1">
          <a:spLocks noChangeArrowheads="1"/>
        </xdr:cNvSpPr>
      </xdr:nvSpPr>
      <xdr:spPr bwMode="auto">
        <a:xfrm>
          <a:off x="4972050" y="313023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88</xdr:row>
      <xdr:rowOff>504825</xdr:rowOff>
    </xdr:from>
    <xdr:ext cx="95250" cy="213632"/>
    <xdr:sp macro="" textlink="">
      <xdr:nvSpPr>
        <xdr:cNvPr id="4355" name="Text Box 15">
          <a:extLst>
            <a:ext uri="{FF2B5EF4-FFF2-40B4-BE49-F238E27FC236}">
              <a16:creationId xmlns:a16="http://schemas.microsoft.com/office/drawing/2014/main" id="{00000000-0008-0000-0500-000003110000}"/>
            </a:ext>
          </a:extLst>
        </xdr:cNvPr>
        <xdr:cNvSpPr txBox="1">
          <a:spLocks noChangeArrowheads="1"/>
        </xdr:cNvSpPr>
      </xdr:nvSpPr>
      <xdr:spPr bwMode="auto">
        <a:xfrm>
          <a:off x="4972050" y="313023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88</xdr:row>
      <xdr:rowOff>504825</xdr:rowOff>
    </xdr:from>
    <xdr:ext cx="95250" cy="213632"/>
    <xdr:sp macro="" textlink="">
      <xdr:nvSpPr>
        <xdr:cNvPr id="4356" name="Text Box 15">
          <a:extLst>
            <a:ext uri="{FF2B5EF4-FFF2-40B4-BE49-F238E27FC236}">
              <a16:creationId xmlns:a16="http://schemas.microsoft.com/office/drawing/2014/main" id="{00000000-0008-0000-0500-000004110000}"/>
            </a:ext>
          </a:extLst>
        </xdr:cNvPr>
        <xdr:cNvSpPr txBox="1">
          <a:spLocks noChangeArrowheads="1"/>
        </xdr:cNvSpPr>
      </xdr:nvSpPr>
      <xdr:spPr bwMode="auto">
        <a:xfrm>
          <a:off x="4972050" y="313023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88</xdr:row>
      <xdr:rowOff>504825</xdr:rowOff>
    </xdr:from>
    <xdr:ext cx="95250" cy="213632"/>
    <xdr:sp macro="" textlink="">
      <xdr:nvSpPr>
        <xdr:cNvPr id="4357" name="Text Box 15">
          <a:extLst>
            <a:ext uri="{FF2B5EF4-FFF2-40B4-BE49-F238E27FC236}">
              <a16:creationId xmlns:a16="http://schemas.microsoft.com/office/drawing/2014/main" id="{00000000-0008-0000-0500-000005110000}"/>
            </a:ext>
          </a:extLst>
        </xdr:cNvPr>
        <xdr:cNvSpPr txBox="1">
          <a:spLocks noChangeArrowheads="1"/>
        </xdr:cNvSpPr>
      </xdr:nvSpPr>
      <xdr:spPr bwMode="auto">
        <a:xfrm>
          <a:off x="4972050" y="313023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88</xdr:row>
      <xdr:rowOff>504825</xdr:rowOff>
    </xdr:from>
    <xdr:ext cx="95250" cy="213632"/>
    <xdr:sp macro="" textlink="">
      <xdr:nvSpPr>
        <xdr:cNvPr id="4358" name="Text Box 15">
          <a:extLst>
            <a:ext uri="{FF2B5EF4-FFF2-40B4-BE49-F238E27FC236}">
              <a16:creationId xmlns:a16="http://schemas.microsoft.com/office/drawing/2014/main" id="{00000000-0008-0000-0500-000006110000}"/>
            </a:ext>
          </a:extLst>
        </xdr:cNvPr>
        <xdr:cNvSpPr txBox="1">
          <a:spLocks noChangeArrowheads="1"/>
        </xdr:cNvSpPr>
      </xdr:nvSpPr>
      <xdr:spPr bwMode="auto">
        <a:xfrm>
          <a:off x="4972050" y="313023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88</xdr:row>
      <xdr:rowOff>504825</xdr:rowOff>
    </xdr:from>
    <xdr:ext cx="95250" cy="213632"/>
    <xdr:sp macro="" textlink="">
      <xdr:nvSpPr>
        <xdr:cNvPr id="4359" name="Text Box 15">
          <a:extLst>
            <a:ext uri="{FF2B5EF4-FFF2-40B4-BE49-F238E27FC236}">
              <a16:creationId xmlns:a16="http://schemas.microsoft.com/office/drawing/2014/main" id="{00000000-0008-0000-0500-000007110000}"/>
            </a:ext>
          </a:extLst>
        </xdr:cNvPr>
        <xdr:cNvSpPr txBox="1">
          <a:spLocks noChangeArrowheads="1"/>
        </xdr:cNvSpPr>
      </xdr:nvSpPr>
      <xdr:spPr bwMode="auto">
        <a:xfrm>
          <a:off x="4972050" y="313023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88</xdr:row>
      <xdr:rowOff>504825</xdr:rowOff>
    </xdr:from>
    <xdr:ext cx="95250" cy="213632"/>
    <xdr:sp macro="" textlink="">
      <xdr:nvSpPr>
        <xdr:cNvPr id="4360" name="Text Box 15">
          <a:extLst>
            <a:ext uri="{FF2B5EF4-FFF2-40B4-BE49-F238E27FC236}">
              <a16:creationId xmlns:a16="http://schemas.microsoft.com/office/drawing/2014/main" id="{00000000-0008-0000-0500-000008110000}"/>
            </a:ext>
          </a:extLst>
        </xdr:cNvPr>
        <xdr:cNvSpPr txBox="1">
          <a:spLocks noChangeArrowheads="1"/>
        </xdr:cNvSpPr>
      </xdr:nvSpPr>
      <xdr:spPr bwMode="auto">
        <a:xfrm>
          <a:off x="4972050" y="313023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88</xdr:row>
      <xdr:rowOff>504825</xdr:rowOff>
    </xdr:from>
    <xdr:ext cx="95250" cy="213632"/>
    <xdr:sp macro="" textlink="">
      <xdr:nvSpPr>
        <xdr:cNvPr id="4361" name="Text Box 15">
          <a:extLst>
            <a:ext uri="{FF2B5EF4-FFF2-40B4-BE49-F238E27FC236}">
              <a16:creationId xmlns:a16="http://schemas.microsoft.com/office/drawing/2014/main" id="{00000000-0008-0000-0500-000009110000}"/>
            </a:ext>
          </a:extLst>
        </xdr:cNvPr>
        <xdr:cNvSpPr txBox="1">
          <a:spLocks noChangeArrowheads="1"/>
        </xdr:cNvSpPr>
      </xdr:nvSpPr>
      <xdr:spPr bwMode="auto">
        <a:xfrm>
          <a:off x="4972050" y="313023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88</xdr:row>
      <xdr:rowOff>504825</xdr:rowOff>
    </xdr:from>
    <xdr:ext cx="95250" cy="213632"/>
    <xdr:sp macro="" textlink="">
      <xdr:nvSpPr>
        <xdr:cNvPr id="4362" name="Text Box 15">
          <a:extLst>
            <a:ext uri="{FF2B5EF4-FFF2-40B4-BE49-F238E27FC236}">
              <a16:creationId xmlns:a16="http://schemas.microsoft.com/office/drawing/2014/main" id="{00000000-0008-0000-0500-00000A110000}"/>
            </a:ext>
          </a:extLst>
        </xdr:cNvPr>
        <xdr:cNvSpPr txBox="1">
          <a:spLocks noChangeArrowheads="1"/>
        </xdr:cNvSpPr>
      </xdr:nvSpPr>
      <xdr:spPr bwMode="auto">
        <a:xfrm>
          <a:off x="4972050" y="313023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88</xdr:row>
      <xdr:rowOff>504825</xdr:rowOff>
    </xdr:from>
    <xdr:ext cx="95250" cy="213632"/>
    <xdr:sp macro="" textlink="">
      <xdr:nvSpPr>
        <xdr:cNvPr id="4363" name="Text Box 15">
          <a:extLst>
            <a:ext uri="{FF2B5EF4-FFF2-40B4-BE49-F238E27FC236}">
              <a16:creationId xmlns:a16="http://schemas.microsoft.com/office/drawing/2014/main" id="{00000000-0008-0000-0500-00000B110000}"/>
            </a:ext>
          </a:extLst>
        </xdr:cNvPr>
        <xdr:cNvSpPr txBox="1">
          <a:spLocks noChangeArrowheads="1"/>
        </xdr:cNvSpPr>
      </xdr:nvSpPr>
      <xdr:spPr bwMode="auto">
        <a:xfrm>
          <a:off x="4972050" y="313023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88</xdr:row>
      <xdr:rowOff>504825</xdr:rowOff>
    </xdr:from>
    <xdr:ext cx="95250" cy="213632"/>
    <xdr:sp macro="" textlink="">
      <xdr:nvSpPr>
        <xdr:cNvPr id="4364" name="Text Box 15">
          <a:extLst>
            <a:ext uri="{FF2B5EF4-FFF2-40B4-BE49-F238E27FC236}">
              <a16:creationId xmlns:a16="http://schemas.microsoft.com/office/drawing/2014/main" id="{00000000-0008-0000-0500-00000C110000}"/>
            </a:ext>
          </a:extLst>
        </xdr:cNvPr>
        <xdr:cNvSpPr txBox="1">
          <a:spLocks noChangeArrowheads="1"/>
        </xdr:cNvSpPr>
      </xdr:nvSpPr>
      <xdr:spPr bwMode="auto">
        <a:xfrm>
          <a:off x="4972050" y="313023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88</xdr:row>
      <xdr:rowOff>504825</xdr:rowOff>
    </xdr:from>
    <xdr:ext cx="95250" cy="213632"/>
    <xdr:sp macro="" textlink="">
      <xdr:nvSpPr>
        <xdr:cNvPr id="4365" name="Text Box 15">
          <a:extLst>
            <a:ext uri="{FF2B5EF4-FFF2-40B4-BE49-F238E27FC236}">
              <a16:creationId xmlns:a16="http://schemas.microsoft.com/office/drawing/2014/main" id="{00000000-0008-0000-0500-00000D110000}"/>
            </a:ext>
          </a:extLst>
        </xdr:cNvPr>
        <xdr:cNvSpPr txBox="1">
          <a:spLocks noChangeArrowheads="1"/>
        </xdr:cNvSpPr>
      </xdr:nvSpPr>
      <xdr:spPr bwMode="auto">
        <a:xfrm>
          <a:off x="4972050" y="313023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90</xdr:row>
      <xdr:rowOff>504825</xdr:rowOff>
    </xdr:from>
    <xdr:ext cx="95250" cy="213632"/>
    <xdr:sp macro="" textlink="">
      <xdr:nvSpPr>
        <xdr:cNvPr id="4366" name="Text Box 15">
          <a:extLst>
            <a:ext uri="{FF2B5EF4-FFF2-40B4-BE49-F238E27FC236}">
              <a16:creationId xmlns:a16="http://schemas.microsoft.com/office/drawing/2014/main" id="{00000000-0008-0000-0500-00000E110000}"/>
            </a:ext>
          </a:extLst>
        </xdr:cNvPr>
        <xdr:cNvSpPr txBox="1">
          <a:spLocks noChangeArrowheads="1"/>
        </xdr:cNvSpPr>
      </xdr:nvSpPr>
      <xdr:spPr bwMode="auto">
        <a:xfrm>
          <a:off x="4972050" y="320516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90</xdr:row>
      <xdr:rowOff>504825</xdr:rowOff>
    </xdr:from>
    <xdr:ext cx="95250" cy="213632"/>
    <xdr:sp macro="" textlink="">
      <xdr:nvSpPr>
        <xdr:cNvPr id="4367" name="Text Box 15">
          <a:extLst>
            <a:ext uri="{FF2B5EF4-FFF2-40B4-BE49-F238E27FC236}">
              <a16:creationId xmlns:a16="http://schemas.microsoft.com/office/drawing/2014/main" id="{00000000-0008-0000-0500-00000F110000}"/>
            </a:ext>
          </a:extLst>
        </xdr:cNvPr>
        <xdr:cNvSpPr txBox="1">
          <a:spLocks noChangeArrowheads="1"/>
        </xdr:cNvSpPr>
      </xdr:nvSpPr>
      <xdr:spPr bwMode="auto">
        <a:xfrm>
          <a:off x="4972050" y="320516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90</xdr:row>
      <xdr:rowOff>504825</xdr:rowOff>
    </xdr:from>
    <xdr:ext cx="95250" cy="213632"/>
    <xdr:sp macro="" textlink="">
      <xdr:nvSpPr>
        <xdr:cNvPr id="4368" name="Text Box 15">
          <a:extLst>
            <a:ext uri="{FF2B5EF4-FFF2-40B4-BE49-F238E27FC236}">
              <a16:creationId xmlns:a16="http://schemas.microsoft.com/office/drawing/2014/main" id="{00000000-0008-0000-0500-000010110000}"/>
            </a:ext>
          </a:extLst>
        </xdr:cNvPr>
        <xdr:cNvSpPr txBox="1">
          <a:spLocks noChangeArrowheads="1"/>
        </xdr:cNvSpPr>
      </xdr:nvSpPr>
      <xdr:spPr bwMode="auto">
        <a:xfrm>
          <a:off x="4972050" y="320516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90</xdr:row>
      <xdr:rowOff>504825</xdr:rowOff>
    </xdr:from>
    <xdr:ext cx="95250" cy="213632"/>
    <xdr:sp macro="" textlink="">
      <xdr:nvSpPr>
        <xdr:cNvPr id="4369" name="Text Box 15">
          <a:extLst>
            <a:ext uri="{FF2B5EF4-FFF2-40B4-BE49-F238E27FC236}">
              <a16:creationId xmlns:a16="http://schemas.microsoft.com/office/drawing/2014/main" id="{00000000-0008-0000-0500-000011110000}"/>
            </a:ext>
          </a:extLst>
        </xdr:cNvPr>
        <xdr:cNvSpPr txBox="1">
          <a:spLocks noChangeArrowheads="1"/>
        </xdr:cNvSpPr>
      </xdr:nvSpPr>
      <xdr:spPr bwMode="auto">
        <a:xfrm>
          <a:off x="4972050" y="320516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90</xdr:row>
      <xdr:rowOff>504825</xdr:rowOff>
    </xdr:from>
    <xdr:ext cx="95250" cy="213632"/>
    <xdr:sp macro="" textlink="">
      <xdr:nvSpPr>
        <xdr:cNvPr id="4370" name="Text Box 15">
          <a:extLst>
            <a:ext uri="{FF2B5EF4-FFF2-40B4-BE49-F238E27FC236}">
              <a16:creationId xmlns:a16="http://schemas.microsoft.com/office/drawing/2014/main" id="{00000000-0008-0000-0500-000012110000}"/>
            </a:ext>
          </a:extLst>
        </xdr:cNvPr>
        <xdr:cNvSpPr txBox="1">
          <a:spLocks noChangeArrowheads="1"/>
        </xdr:cNvSpPr>
      </xdr:nvSpPr>
      <xdr:spPr bwMode="auto">
        <a:xfrm>
          <a:off x="4972050" y="320516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90</xdr:row>
      <xdr:rowOff>504825</xdr:rowOff>
    </xdr:from>
    <xdr:ext cx="95250" cy="213632"/>
    <xdr:sp macro="" textlink="">
      <xdr:nvSpPr>
        <xdr:cNvPr id="4371" name="Text Box 15">
          <a:extLst>
            <a:ext uri="{FF2B5EF4-FFF2-40B4-BE49-F238E27FC236}">
              <a16:creationId xmlns:a16="http://schemas.microsoft.com/office/drawing/2014/main" id="{00000000-0008-0000-0500-000013110000}"/>
            </a:ext>
          </a:extLst>
        </xdr:cNvPr>
        <xdr:cNvSpPr txBox="1">
          <a:spLocks noChangeArrowheads="1"/>
        </xdr:cNvSpPr>
      </xdr:nvSpPr>
      <xdr:spPr bwMode="auto">
        <a:xfrm>
          <a:off x="4972050" y="320516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90</xdr:row>
      <xdr:rowOff>504825</xdr:rowOff>
    </xdr:from>
    <xdr:ext cx="95250" cy="213632"/>
    <xdr:sp macro="" textlink="">
      <xdr:nvSpPr>
        <xdr:cNvPr id="4372" name="Text Box 15">
          <a:extLst>
            <a:ext uri="{FF2B5EF4-FFF2-40B4-BE49-F238E27FC236}">
              <a16:creationId xmlns:a16="http://schemas.microsoft.com/office/drawing/2014/main" id="{00000000-0008-0000-0500-000014110000}"/>
            </a:ext>
          </a:extLst>
        </xdr:cNvPr>
        <xdr:cNvSpPr txBox="1">
          <a:spLocks noChangeArrowheads="1"/>
        </xdr:cNvSpPr>
      </xdr:nvSpPr>
      <xdr:spPr bwMode="auto">
        <a:xfrm>
          <a:off x="4972050" y="320516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90</xdr:row>
      <xdr:rowOff>504825</xdr:rowOff>
    </xdr:from>
    <xdr:ext cx="95250" cy="213632"/>
    <xdr:sp macro="" textlink="">
      <xdr:nvSpPr>
        <xdr:cNvPr id="4373" name="Text Box 15">
          <a:extLst>
            <a:ext uri="{FF2B5EF4-FFF2-40B4-BE49-F238E27FC236}">
              <a16:creationId xmlns:a16="http://schemas.microsoft.com/office/drawing/2014/main" id="{00000000-0008-0000-0500-000015110000}"/>
            </a:ext>
          </a:extLst>
        </xdr:cNvPr>
        <xdr:cNvSpPr txBox="1">
          <a:spLocks noChangeArrowheads="1"/>
        </xdr:cNvSpPr>
      </xdr:nvSpPr>
      <xdr:spPr bwMode="auto">
        <a:xfrm>
          <a:off x="4972050" y="320516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90</xdr:row>
      <xdr:rowOff>504825</xdr:rowOff>
    </xdr:from>
    <xdr:ext cx="95250" cy="213632"/>
    <xdr:sp macro="" textlink="">
      <xdr:nvSpPr>
        <xdr:cNvPr id="4374" name="Text Box 15">
          <a:extLst>
            <a:ext uri="{FF2B5EF4-FFF2-40B4-BE49-F238E27FC236}">
              <a16:creationId xmlns:a16="http://schemas.microsoft.com/office/drawing/2014/main" id="{00000000-0008-0000-0500-000016110000}"/>
            </a:ext>
          </a:extLst>
        </xdr:cNvPr>
        <xdr:cNvSpPr txBox="1">
          <a:spLocks noChangeArrowheads="1"/>
        </xdr:cNvSpPr>
      </xdr:nvSpPr>
      <xdr:spPr bwMode="auto">
        <a:xfrm>
          <a:off x="4972050" y="320516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90</xdr:row>
      <xdr:rowOff>504825</xdr:rowOff>
    </xdr:from>
    <xdr:ext cx="95250" cy="213632"/>
    <xdr:sp macro="" textlink="">
      <xdr:nvSpPr>
        <xdr:cNvPr id="4375" name="Text Box 15">
          <a:extLst>
            <a:ext uri="{FF2B5EF4-FFF2-40B4-BE49-F238E27FC236}">
              <a16:creationId xmlns:a16="http://schemas.microsoft.com/office/drawing/2014/main" id="{00000000-0008-0000-0500-000017110000}"/>
            </a:ext>
          </a:extLst>
        </xdr:cNvPr>
        <xdr:cNvSpPr txBox="1">
          <a:spLocks noChangeArrowheads="1"/>
        </xdr:cNvSpPr>
      </xdr:nvSpPr>
      <xdr:spPr bwMode="auto">
        <a:xfrm>
          <a:off x="4972050" y="320516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90</xdr:row>
      <xdr:rowOff>504825</xdr:rowOff>
    </xdr:from>
    <xdr:ext cx="95250" cy="213632"/>
    <xdr:sp macro="" textlink="">
      <xdr:nvSpPr>
        <xdr:cNvPr id="4376" name="Text Box 15">
          <a:extLst>
            <a:ext uri="{FF2B5EF4-FFF2-40B4-BE49-F238E27FC236}">
              <a16:creationId xmlns:a16="http://schemas.microsoft.com/office/drawing/2014/main" id="{00000000-0008-0000-0500-000018110000}"/>
            </a:ext>
          </a:extLst>
        </xdr:cNvPr>
        <xdr:cNvSpPr txBox="1">
          <a:spLocks noChangeArrowheads="1"/>
        </xdr:cNvSpPr>
      </xdr:nvSpPr>
      <xdr:spPr bwMode="auto">
        <a:xfrm>
          <a:off x="4972050" y="320516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90</xdr:row>
      <xdr:rowOff>504825</xdr:rowOff>
    </xdr:from>
    <xdr:ext cx="95250" cy="213632"/>
    <xdr:sp macro="" textlink="">
      <xdr:nvSpPr>
        <xdr:cNvPr id="4377" name="Text Box 15">
          <a:extLst>
            <a:ext uri="{FF2B5EF4-FFF2-40B4-BE49-F238E27FC236}">
              <a16:creationId xmlns:a16="http://schemas.microsoft.com/office/drawing/2014/main" id="{00000000-0008-0000-0500-000019110000}"/>
            </a:ext>
          </a:extLst>
        </xdr:cNvPr>
        <xdr:cNvSpPr txBox="1">
          <a:spLocks noChangeArrowheads="1"/>
        </xdr:cNvSpPr>
      </xdr:nvSpPr>
      <xdr:spPr bwMode="auto">
        <a:xfrm>
          <a:off x="4972050" y="320516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90</xdr:row>
      <xdr:rowOff>504825</xdr:rowOff>
    </xdr:from>
    <xdr:ext cx="95250" cy="213632"/>
    <xdr:sp macro="" textlink="">
      <xdr:nvSpPr>
        <xdr:cNvPr id="4378" name="Text Box 15">
          <a:extLst>
            <a:ext uri="{FF2B5EF4-FFF2-40B4-BE49-F238E27FC236}">
              <a16:creationId xmlns:a16="http://schemas.microsoft.com/office/drawing/2014/main" id="{00000000-0008-0000-0500-00001A110000}"/>
            </a:ext>
          </a:extLst>
        </xdr:cNvPr>
        <xdr:cNvSpPr txBox="1">
          <a:spLocks noChangeArrowheads="1"/>
        </xdr:cNvSpPr>
      </xdr:nvSpPr>
      <xdr:spPr bwMode="auto">
        <a:xfrm>
          <a:off x="4972050" y="320516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90</xdr:row>
      <xdr:rowOff>504825</xdr:rowOff>
    </xdr:from>
    <xdr:ext cx="95250" cy="213632"/>
    <xdr:sp macro="" textlink="">
      <xdr:nvSpPr>
        <xdr:cNvPr id="4379" name="Text Box 15">
          <a:extLst>
            <a:ext uri="{FF2B5EF4-FFF2-40B4-BE49-F238E27FC236}">
              <a16:creationId xmlns:a16="http://schemas.microsoft.com/office/drawing/2014/main" id="{00000000-0008-0000-0500-00001B110000}"/>
            </a:ext>
          </a:extLst>
        </xdr:cNvPr>
        <xdr:cNvSpPr txBox="1">
          <a:spLocks noChangeArrowheads="1"/>
        </xdr:cNvSpPr>
      </xdr:nvSpPr>
      <xdr:spPr bwMode="auto">
        <a:xfrm>
          <a:off x="4972050" y="320516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90</xdr:row>
      <xdr:rowOff>504825</xdr:rowOff>
    </xdr:from>
    <xdr:ext cx="95250" cy="213632"/>
    <xdr:sp macro="" textlink="">
      <xdr:nvSpPr>
        <xdr:cNvPr id="4380" name="Text Box 15">
          <a:extLst>
            <a:ext uri="{FF2B5EF4-FFF2-40B4-BE49-F238E27FC236}">
              <a16:creationId xmlns:a16="http://schemas.microsoft.com/office/drawing/2014/main" id="{00000000-0008-0000-0500-00001C110000}"/>
            </a:ext>
          </a:extLst>
        </xdr:cNvPr>
        <xdr:cNvSpPr txBox="1">
          <a:spLocks noChangeArrowheads="1"/>
        </xdr:cNvSpPr>
      </xdr:nvSpPr>
      <xdr:spPr bwMode="auto">
        <a:xfrm>
          <a:off x="4972050" y="320516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90</xdr:row>
      <xdr:rowOff>504825</xdr:rowOff>
    </xdr:from>
    <xdr:ext cx="95250" cy="213632"/>
    <xdr:sp macro="" textlink="">
      <xdr:nvSpPr>
        <xdr:cNvPr id="4381" name="Text Box 15">
          <a:extLst>
            <a:ext uri="{FF2B5EF4-FFF2-40B4-BE49-F238E27FC236}">
              <a16:creationId xmlns:a16="http://schemas.microsoft.com/office/drawing/2014/main" id="{00000000-0008-0000-0500-00001D110000}"/>
            </a:ext>
          </a:extLst>
        </xdr:cNvPr>
        <xdr:cNvSpPr txBox="1">
          <a:spLocks noChangeArrowheads="1"/>
        </xdr:cNvSpPr>
      </xdr:nvSpPr>
      <xdr:spPr bwMode="auto">
        <a:xfrm>
          <a:off x="4972050" y="320516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90</xdr:row>
      <xdr:rowOff>504825</xdr:rowOff>
    </xdr:from>
    <xdr:ext cx="95250" cy="213632"/>
    <xdr:sp macro="" textlink="">
      <xdr:nvSpPr>
        <xdr:cNvPr id="4382" name="Text Box 15">
          <a:extLst>
            <a:ext uri="{FF2B5EF4-FFF2-40B4-BE49-F238E27FC236}">
              <a16:creationId xmlns:a16="http://schemas.microsoft.com/office/drawing/2014/main" id="{00000000-0008-0000-0500-00001E110000}"/>
            </a:ext>
          </a:extLst>
        </xdr:cNvPr>
        <xdr:cNvSpPr txBox="1">
          <a:spLocks noChangeArrowheads="1"/>
        </xdr:cNvSpPr>
      </xdr:nvSpPr>
      <xdr:spPr bwMode="auto">
        <a:xfrm>
          <a:off x="4972050" y="320516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90</xdr:row>
      <xdr:rowOff>504825</xdr:rowOff>
    </xdr:from>
    <xdr:ext cx="95250" cy="213632"/>
    <xdr:sp macro="" textlink="">
      <xdr:nvSpPr>
        <xdr:cNvPr id="4383" name="Text Box 15">
          <a:extLst>
            <a:ext uri="{FF2B5EF4-FFF2-40B4-BE49-F238E27FC236}">
              <a16:creationId xmlns:a16="http://schemas.microsoft.com/office/drawing/2014/main" id="{00000000-0008-0000-0500-00001F110000}"/>
            </a:ext>
          </a:extLst>
        </xdr:cNvPr>
        <xdr:cNvSpPr txBox="1">
          <a:spLocks noChangeArrowheads="1"/>
        </xdr:cNvSpPr>
      </xdr:nvSpPr>
      <xdr:spPr bwMode="auto">
        <a:xfrm>
          <a:off x="4972050" y="320516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90</xdr:row>
      <xdr:rowOff>504825</xdr:rowOff>
    </xdr:from>
    <xdr:ext cx="95250" cy="213632"/>
    <xdr:sp macro="" textlink="">
      <xdr:nvSpPr>
        <xdr:cNvPr id="4384" name="Text Box 15">
          <a:extLst>
            <a:ext uri="{FF2B5EF4-FFF2-40B4-BE49-F238E27FC236}">
              <a16:creationId xmlns:a16="http://schemas.microsoft.com/office/drawing/2014/main" id="{00000000-0008-0000-0500-000020110000}"/>
            </a:ext>
          </a:extLst>
        </xdr:cNvPr>
        <xdr:cNvSpPr txBox="1">
          <a:spLocks noChangeArrowheads="1"/>
        </xdr:cNvSpPr>
      </xdr:nvSpPr>
      <xdr:spPr bwMode="auto">
        <a:xfrm>
          <a:off x="4972050" y="320516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90</xdr:row>
      <xdr:rowOff>504825</xdr:rowOff>
    </xdr:from>
    <xdr:ext cx="95250" cy="213632"/>
    <xdr:sp macro="" textlink="">
      <xdr:nvSpPr>
        <xdr:cNvPr id="4385" name="Text Box 15">
          <a:extLst>
            <a:ext uri="{FF2B5EF4-FFF2-40B4-BE49-F238E27FC236}">
              <a16:creationId xmlns:a16="http://schemas.microsoft.com/office/drawing/2014/main" id="{00000000-0008-0000-0500-000021110000}"/>
            </a:ext>
          </a:extLst>
        </xdr:cNvPr>
        <xdr:cNvSpPr txBox="1">
          <a:spLocks noChangeArrowheads="1"/>
        </xdr:cNvSpPr>
      </xdr:nvSpPr>
      <xdr:spPr bwMode="auto">
        <a:xfrm>
          <a:off x="4972050" y="320516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90</xdr:row>
      <xdr:rowOff>504825</xdr:rowOff>
    </xdr:from>
    <xdr:ext cx="95250" cy="213632"/>
    <xdr:sp macro="" textlink="">
      <xdr:nvSpPr>
        <xdr:cNvPr id="4386" name="Text Box 15">
          <a:extLst>
            <a:ext uri="{FF2B5EF4-FFF2-40B4-BE49-F238E27FC236}">
              <a16:creationId xmlns:a16="http://schemas.microsoft.com/office/drawing/2014/main" id="{00000000-0008-0000-0500-000022110000}"/>
            </a:ext>
          </a:extLst>
        </xdr:cNvPr>
        <xdr:cNvSpPr txBox="1">
          <a:spLocks noChangeArrowheads="1"/>
        </xdr:cNvSpPr>
      </xdr:nvSpPr>
      <xdr:spPr bwMode="auto">
        <a:xfrm>
          <a:off x="4972050" y="320516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92</xdr:row>
      <xdr:rowOff>504825</xdr:rowOff>
    </xdr:from>
    <xdr:ext cx="95250" cy="448496"/>
    <xdr:sp macro="" textlink="">
      <xdr:nvSpPr>
        <xdr:cNvPr id="4387" name="Text Box 15">
          <a:extLst>
            <a:ext uri="{FF2B5EF4-FFF2-40B4-BE49-F238E27FC236}">
              <a16:creationId xmlns:a16="http://schemas.microsoft.com/office/drawing/2014/main" id="{00000000-0008-0000-0500-000023110000}"/>
            </a:ext>
          </a:extLst>
        </xdr:cNvPr>
        <xdr:cNvSpPr txBox="1">
          <a:spLocks noChangeArrowheads="1"/>
        </xdr:cNvSpPr>
      </xdr:nvSpPr>
      <xdr:spPr bwMode="auto">
        <a:xfrm>
          <a:off x="4972050" y="33550225"/>
          <a:ext cx="95250" cy="448496"/>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92</xdr:row>
      <xdr:rowOff>504825</xdr:rowOff>
    </xdr:from>
    <xdr:ext cx="95250" cy="213632"/>
    <xdr:sp macro="" textlink="">
      <xdr:nvSpPr>
        <xdr:cNvPr id="4388" name="Text Box 15">
          <a:extLst>
            <a:ext uri="{FF2B5EF4-FFF2-40B4-BE49-F238E27FC236}">
              <a16:creationId xmlns:a16="http://schemas.microsoft.com/office/drawing/2014/main" id="{00000000-0008-0000-0500-000024110000}"/>
            </a:ext>
          </a:extLst>
        </xdr:cNvPr>
        <xdr:cNvSpPr txBox="1">
          <a:spLocks noChangeArrowheads="1"/>
        </xdr:cNvSpPr>
      </xdr:nvSpPr>
      <xdr:spPr bwMode="auto">
        <a:xfrm>
          <a:off x="4972050" y="335502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92</xdr:row>
      <xdr:rowOff>504825</xdr:rowOff>
    </xdr:from>
    <xdr:ext cx="95250" cy="444331"/>
    <xdr:sp macro="" textlink="">
      <xdr:nvSpPr>
        <xdr:cNvPr id="4389" name="Text Box 15">
          <a:extLst>
            <a:ext uri="{FF2B5EF4-FFF2-40B4-BE49-F238E27FC236}">
              <a16:creationId xmlns:a16="http://schemas.microsoft.com/office/drawing/2014/main" id="{00000000-0008-0000-0500-000025110000}"/>
            </a:ext>
          </a:extLst>
        </xdr:cNvPr>
        <xdr:cNvSpPr txBox="1">
          <a:spLocks noChangeArrowheads="1"/>
        </xdr:cNvSpPr>
      </xdr:nvSpPr>
      <xdr:spPr bwMode="auto">
        <a:xfrm>
          <a:off x="4972050" y="33550225"/>
          <a:ext cx="95250" cy="444331"/>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92</xdr:row>
      <xdr:rowOff>504825</xdr:rowOff>
    </xdr:from>
    <xdr:ext cx="95250" cy="448496"/>
    <xdr:sp macro="" textlink="">
      <xdr:nvSpPr>
        <xdr:cNvPr id="4390" name="Text Box 15">
          <a:extLst>
            <a:ext uri="{FF2B5EF4-FFF2-40B4-BE49-F238E27FC236}">
              <a16:creationId xmlns:a16="http://schemas.microsoft.com/office/drawing/2014/main" id="{00000000-0008-0000-0500-000026110000}"/>
            </a:ext>
          </a:extLst>
        </xdr:cNvPr>
        <xdr:cNvSpPr txBox="1">
          <a:spLocks noChangeArrowheads="1"/>
        </xdr:cNvSpPr>
      </xdr:nvSpPr>
      <xdr:spPr bwMode="auto">
        <a:xfrm>
          <a:off x="4972050" y="33550225"/>
          <a:ext cx="95250" cy="448496"/>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92</xdr:row>
      <xdr:rowOff>504825</xdr:rowOff>
    </xdr:from>
    <xdr:ext cx="95250" cy="213632"/>
    <xdr:sp macro="" textlink="">
      <xdr:nvSpPr>
        <xdr:cNvPr id="4391" name="Text Box 15">
          <a:extLst>
            <a:ext uri="{FF2B5EF4-FFF2-40B4-BE49-F238E27FC236}">
              <a16:creationId xmlns:a16="http://schemas.microsoft.com/office/drawing/2014/main" id="{00000000-0008-0000-0500-000027110000}"/>
            </a:ext>
          </a:extLst>
        </xdr:cNvPr>
        <xdr:cNvSpPr txBox="1">
          <a:spLocks noChangeArrowheads="1"/>
        </xdr:cNvSpPr>
      </xdr:nvSpPr>
      <xdr:spPr bwMode="auto">
        <a:xfrm>
          <a:off x="4972050" y="335502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92</xdr:row>
      <xdr:rowOff>504825</xdr:rowOff>
    </xdr:from>
    <xdr:ext cx="95250" cy="444331"/>
    <xdr:sp macro="" textlink="">
      <xdr:nvSpPr>
        <xdr:cNvPr id="4392" name="Text Box 15">
          <a:extLst>
            <a:ext uri="{FF2B5EF4-FFF2-40B4-BE49-F238E27FC236}">
              <a16:creationId xmlns:a16="http://schemas.microsoft.com/office/drawing/2014/main" id="{00000000-0008-0000-0500-000028110000}"/>
            </a:ext>
          </a:extLst>
        </xdr:cNvPr>
        <xdr:cNvSpPr txBox="1">
          <a:spLocks noChangeArrowheads="1"/>
        </xdr:cNvSpPr>
      </xdr:nvSpPr>
      <xdr:spPr bwMode="auto">
        <a:xfrm>
          <a:off x="4972050" y="33550225"/>
          <a:ext cx="95250" cy="444331"/>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92</xdr:row>
      <xdr:rowOff>504825</xdr:rowOff>
    </xdr:from>
    <xdr:ext cx="95250" cy="456743"/>
    <xdr:sp macro="" textlink="">
      <xdr:nvSpPr>
        <xdr:cNvPr id="4393" name="Text Box 15">
          <a:extLst>
            <a:ext uri="{FF2B5EF4-FFF2-40B4-BE49-F238E27FC236}">
              <a16:creationId xmlns:a16="http://schemas.microsoft.com/office/drawing/2014/main" id="{00000000-0008-0000-0500-000029110000}"/>
            </a:ext>
          </a:extLst>
        </xdr:cNvPr>
        <xdr:cNvSpPr txBox="1">
          <a:spLocks noChangeArrowheads="1"/>
        </xdr:cNvSpPr>
      </xdr:nvSpPr>
      <xdr:spPr bwMode="auto">
        <a:xfrm>
          <a:off x="4972050" y="33550225"/>
          <a:ext cx="95250" cy="456743"/>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92</xdr:row>
      <xdr:rowOff>504825</xdr:rowOff>
    </xdr:from>
    <xdr:ext cx="95250" cy="213632"/>
    <xdr:sp macro="" textlink="">
      <xdr:nvSpPr>
        <xdr:cNvPr id="4394" name="Text Box 15">
          <a:extLst>
            <a:ext uri="{FF2B5EF4-FFF2-40B4-BE49-F238E27FC236}">
              <a16:creationId xmlns:a16="http://schemas.microsoft.com/office/drawing/2014/main" id="{00000000-0008-0000-0500-00002A110000}"/>
            </a:ext>
          </a:extLst>
        </xdr:cNvPr>
        <xdr:cNvSpPr txBox="1">
          <a:spLocks noChangeArrowheads="1"/>
        </xdr:cNvSpPr>
      </xdr:nvSpPr>
      <xdr:spPr bwMode="auto">
        <a:xfrm>
          <a:off x="4972050" y="335502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92</xdr:row>
      <xdr:rowOff>504825</xdr:rowOff>
    </xdr:from>
    <xdr:ext cx="95250" cy="444331"/>
    <xdr:sp macro="" textlink="">
      <xdr:nvSpPr>
        <xdr:cNvPr id="4395" name="Text Box 15">
          <a:extLst>
            <a:ext uri="{FF2B5EF4-FFF2-40B4-BE49-F238E27FC236}">
              <a16:creationId xmlns:a16="http://schemas.microsoft.com/office/drawing/2014/main" id="{00000000-0008-0000-0500-00002B110000}"/>
            </a:ext>
          </a:extLst>
        </xdr:cNvPr>
        <xdr:cNvSpPr txBox="1">
          <a:spLocks noChangeArrowheads="1"/>
        </xdr:cNvSpPr>
      </xdr:nvSpPr>
      <xdr:spPr bwMode="auto">
        <a:xfrm>
          <a:off x="4972050" y="33550225"/>
          <a:ext cx="95250" cy="444331"/>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92</xdr:row>
      <xdr:rowOff>504825</xdr:rowOff>
    </xdr:from>
    <xdr:ext cx="95250" cy="213632"/>
    <xdr:sp macro="" textlink="">
      <xdr:nvSpPr>
        <xdr:cNvPr id="4396" name="Text Box 15">
          <a:extLst>
            <a:ext uri="{FF2B5EF4-FFF2-40B4-BE49-F238E27FC236}">
              <a16:creationId xmlns:a16="http://schemas.microsoft.com/office/drawing/2014/main" id="{00000000-0008-0000-0500-00002C110000}"/>
            </a:ext>
          </a:extLst>
        </xdr:cNvPr>
        <xdr:cNvSpPr txBox="1">
          <a:spLocks noChangeArrowheads="1"/>
        </xdr:cNvSpPr>
      </xdr:nvSpPr>
      <xdr:spPr bwMode="auto">
        <a:xfrm>
          <a:off x="4972050" y="335502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92</xdr:row>
      <xdr:rowOff>504825</xdr:rowOff>
    </xdr:from>
    <xdr:ext cx="95250" cy="213632"/>
    <xdr:sp macro="" textlink="">
      <xdr:nvSpPr>
        <xdr:cNvPr id="4397" name="Text Box 15">
          <a:extLst>
            <a:ext uri="{FF2B5EF4-FFF2-40B4-BE49-F238E27FC236}">
              <a16:creationId xmlns:a16="http://schemas.microsoft.com/office/drawing/2014/main" id="{00000000-0008-0000-0500-00002D110000}"/>
            </a:ext>
          </a:extLst>
        </xdr:cNvPr>
        <xdr:cNvSpPr txBox="1">
          <a:spLocks noChangeArrowheads="1"/>
        </xdr:cNvSpPr>
      </xdr:nvSpPr>
      <xdr:spPr bwMode="auto">
        <a:xfrm>
          <a:off x="4972050" y="335502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92</xdr:row>
      <xdr:rowOff>504825</xdr:rowOff>
    </xdr:from>
    <xdr:ext cx="95250" cy="213632"/>
    <xdr:sp macro="" textlink="">
      <xdr:nvSpPr>
        <xdr:cNvPr id="4398" name="Text Box 15">
          <a:extLst>
            <a:ext uri="{FF2B5EF4-FFF2-40B4-BE49-F238E27FC236}">
              <a16:creationId xmlns:a16="http://schemas.microsoft.com/office/drawing/2014/main" id="{00000000-0008-0000-0500-00002E110000}"/>
            </a:ext>
          </a:extLst>
        </xdr:cNvPr>
        <xdr:cNvSpPr txBox="1">
          <a:spLocks noChangeArrowheads="1"/>
        </xdr:cNvSpPr>
      </xdr:nvSpPr>
      <xdr:spPr bwMode="auto">
        <a:xfrm>
          <a:off x="4972050" y="335502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92</xdr:row>
      <xdr:rowOff>504825</xdr:rowOff>
    </xdr:from>
    <xdr:ext cx="95250" cy="213632"/>
    <xdr:sp macro="" textlink="">
      <xdr:nvSpPr>
        <xdr:cNvPr id="4399" name="Text Box 15">
          <a:extLst>
            <a:ext uri="{FF2B5EF4-FFF2-40B4-BE49-F238E27FC236}">
              <a16:creationId xmlns:a16="http://schemas.microsoft.com/office/drawing/2014/main" id="{00000000-0008-0000-0500-00002F110000}"/>
            </a:ext>
          </a:extLst>
        </xdr:cNvPr>
        <xdr:cNvSpPr txBox="1">
          <a:spLocks noChangeArrowheads="1"/>
        </xdr:cNvSpPr>
      </xdr:nvSpPr>
      <xdr:spPr bwMode="auto">
        <a:xfrm>
          <a:off x="4972050" y="335502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92</xdr:row>
      <xdr:rowOff>504825</xdr:rowOff>
    </xdr:from>
    <xdr:ext cx="95250" cy="213632"/>
    <xdr:sp macro="" textlink="">
      <xdr:nvSpPr>
        <xdr:cNvPr id="4400" name="Text Box 15">
          <a:extLst>
            <a:ext uri="{FF2B5EF4-FFF2-40B4-BE49-F238E27FC236}">
              <a16:creationId xmlns:a16="http://schemas.microsoft.com/office/drawing/2014/main" id="{00000000-0008-0000-0500-000030110000}"/>
            </a:ext>
          </a:extLst>
        </xdr:cNvPr>
        <xdr:cNvSpPr txBox="1">
          <a:spLocks noChangeArrowheads="1"/>
        </xdr:cNvSpPr>
      </xdr:nvSpPr>
      <xdr:spPr bwMode="auto">
        <a:xfrm>
          <a:off x="4972050" y="335502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92</xdr:row>
      <xdr:rowOff>504825</xdr:rowOff>
    </xdr:from>
    <xdr:ext cx="95250" cy="213632"/>
    <xdr:sp macro="" textlink="">
      <xdr:nvSpPr>
        <xdr:cNvPr id="4401" name="Text Box 15">
          <a:extLst>
            <a:ext uri="{FF2B5EF4-FFF2-40B4-BE49-F238E27FC236}">
              <a16:creationId xmlns:a16="http://schemas.microsoft.com/office/drawing/2014/main" id="{00000000-0008-0000-0500-000031110000}"/>
            </a:ext>
          </a:extLst>
        </xdr:cNvPr>
        <xdr:cNvSpPr txBox="1">
          <a:spLocks noChangeArrowheads="1"/>
        </xdr:cNvSpPr>
      </xdr:nvSpPr>
      <xdr:spPr bwMode="auto">
        <a:xfrm>
          <a:off x="4972050" y="335502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92</xdr:row>
      <xdr:rowOff>504825</xdr:rowOff>
    </xdr:from>
    <xdr:ext cx="95250" cy="213632"/>
    <xdr:sp macro="" textlink="">
      <xdr:nvSpPr>
        <xdr:cNvPr id="4402" name="Text Box 15">
          <a:extLst>
            <a:ext uri="{FF2B5EF4-FFF2-40B4-BE49-F238E27FC236}">
              <a16:creationId xmlns:a16="http://schemas.microsoft.com/office/drawing/2014/main" id="{00000000-0008-0000-0500-000032110000}"/>
            </a:ext>
          </a:extLst>
        </xdr:cNvPr>
        <xdr:cNvSpPr txBox="1">
          <a:spLocks noChangeArrowheads="1"/>
        </xdr:cNvSpPr>
      </xdr:nvSpPr>
      <xdr:spPr bwMode="auto">
        <a:xfrm>
          <a:off x="4972050" y="335502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92</xdr:row>
      <xdr:rowOff>504825</xdr:rowOff>
    </xdr:from>
    <xdr:ext cx="95250" cy="213632"/>
    <xdr:sp macro="" textlink="">
      <xdr:nvSpPr>
        <xdr:cNvPr id="4403" name="Text Box 15">
          <a:extLst>
            <a:ext uri="{FF2B5EF4-FFF2-40B4-BE49-F238E27FC236}">
              <a16:creationId xmlns:a16="http://schemas.microsoft.com/office/drawing/2014/main" id="{00000000-0008-0000-0500-000033110000}"/>
            </a:ext>
          </a:extLst>
        </xdr:cNvPr>
        <xdr:cNvSpPr txBox="1">
          <a:spLocks noChangeArrowheads="1"/>
        </xdr:cNvSpPr>
      </xdr:nvSpPr>
      <xdr:spPr bwMode="auto">
        <a:xfrm>
          <a:off x="4972050" y="335502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92</xdr:row>
      <xdr:rowOff>504825</xdr:rowOff>
    </xdr:from>
    <xdr:ext cx="95250" cy="213632"/>
    <xdr:sp macro="" textlink="">
      <xdr:nvSpPr>
        <xdr:cNvPr id="4404" name="Text Box 15">
          <a:extLst>
            <a:ext uri="{FF2B5EF4-FFF2-40B4-BE49-F238E27FC236}">
              <a16:creationId xmlns:a16="http://schemas.microsoft.com/office/drawing/2014/main" id="{00000000-0008-0000-0500-000034110000}"/>
            </a:ext>
          </a:extLst>
        </xdr:cNvPr>
        <xdr:cNvSpPr txBox="1">
          <a:spLocks noChangeArrowheads="1"/>
        </xdr:cNvSpPr>
      </xdr:nvSpPr>
      <xdr:spPr bwMode="auto">
        <a:xfrm>
          <a:off x="4972050" y="335502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92</xdr:row>
      <xdr:rowOff>504825</xdr:rowOff>
    </xdr:from>
    <xdr:ext cx="95250" cy="213632"/>
    <xdr:sp macro="" textlink="">
      <xdr:nvSpPr>
        <xdr:cNvPr id="4405" name="Text Box 15">
          <a:extLst>
            <a:ext uri="{FF2B5EF4-FFF2-40B4-BE49-F238E27FC236}">
              <a16:creationId xmlns:a16="http://schemas.microsoft.com/office/drawing/2014/main" id="{00000000-0008-0000-0500-000035110000}"/>
            </a:ext>
          </a:extLst>
        </xdr:cNvPr>
        <xdr:cNvSpPr txBox="1">
          <a:spLocks noChangeArrowheads="1"/>
        </xdr:cNvSpPr>
      </xdr:nvSpPr>
      <xdr:spPr bwMode="auto">
        <a:xfrm>
          <a:off x="4972050" y="335502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92</xdr:row>
      <xdr:rowOff>504825</xdr:rowOff>
    </xdr:from>
    <xdr:ext cx="95250" cy="213632"/>
    <xdr:sp macro="" textlink="">
      <xdr:nvSpPr>
        <xdr:cNvPr id="4406" name="Text Box 15">
          <a:extLst>
            <a:ext uri="{FF2B5EF4-FFF2-40B4-BE49-F238E27FC236}">
              <a16:creationId xmlns:a16="http://schemas.microsoft.com/office/drawing/2014/main" id="{00000000-0008-0000-0500-000036110000}"/>
            </a:ext>
          </a:extLst>
        </xdr:cNvPr>
        <xdr:cNvSpPr txBox="1">
          <a:spLocks noChangeArrowheads="1"/>
        </xdr:cNvSpPr>
      </xdr:nvSpPr>
      <xdr:spPr bwMode="auto">
        <a:xfrm>
          <a:off x="4972050" y="335502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92</xdr:row>
      <xdr:rowOff>504825</xdr:rowOff>
    </xdr:from>
    <xdr:ext cx="95250" cy="213632"/>
    <xdr:sp macro="" textlink="">
      <xdr:nvSpPr>
        <xdr:cNvPr id="4407" name="Text Box 15">
          <a:extLst>
            <a:ext uri="{FF2B5EF4-FFF2-40B4-BE49-F238E27FC236}">
              <a16:creationId xmlns:a16="http://schemas.microsoft.com/office/drawing/2014/main" id="{00000000-0008-0000-0500-000037110000}"/>
            </a:ext>
          </a:extLst>
        </xdr:cNvPr>
        <xdr:cNvSpPr txBox="1">
          <a:spLocks noChangeArrowheads="1"/>
        </xdr:cNvSpPr>
      </xdr:nvSpPr>
      <xdr:spPr bwMode="auto">
        <a:xfrm>
          <a:off x="4972050" y="335502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92</xdr:row>
      <xdr:rowOff>504825</xdr:rowOff>
    </xdr:from>
    <xdr:ext cx="95250" cy="213632"/>
    <xdr:sp macro="" textlink="">
      <xdr:nvSpPr>
        <xdr:cNvPr id="4408" name="Text Box 15">
          <a:extLst>
            <a:ext uri="{FF2B5EF4-FFF2-40B4-BE49-F238E27FC236}">
              <a16:creationId xmlns:a16="http://schemas.microsoft.com/office/drawing/2014/main" id="{00000000-0008-0000-0500-000038110000}"/>
            </a:ext>
          </a:extLst>
        </xdr:cNvPr>
        <xdr:cNvSpPr txBox="1">
          <a:spLocks noChangeArrowheads="1"/>
        </xdr:cNvSpPr>
      </xdr:nvSpPr>
      <xdr:spPr bwMode="auto">
        <a:xfrm>
          <a:off x="4972050" y="335502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92</xdr:row>
      <xdr:rowOff>504825</xdr:rowOff>
    </xdr:from>
    <xdr:ext cx="95250" cy="213632"/>
    <xdr:sp macro="" textlink="">
      <xdr:nvSpPr>
        <xdr:cNvPr id="4409" name="Text Box 15">
          <a:extLst>
            <a:ext uri="{FF2B5EF4-FFF2-40B4-BE49-F238E27FC236}">
              <a16:creationId xmlns:a16="http://schemas.microsoft.com/office/drawing/2014/main" id="{00000000-0008-0000-0500-000039110000}"/>
            </a:ext>
          </a:extLst>
        </xdr:cNvPr>
        <xdr:cNvSpPr txBox="1">
          <a:spLocks noChangeArrowheads="1"/>
        </xdr:cNvSpPr>
      </xdr:nvSpPr>
      <xdr:spPr bwMode="auto">
        <a:xfrm>
          <a:off x="4972050" y="335502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92</xdr:row>
      <xdr:rowOff>504825</xdr:rowOff>
    </xdr:from>
    <xdr:ext cx="95250" cy="213632"/>
    <xdr:sp macro="" textlink="">
      <xdr:nvSpPr>
        <xdr:cNvPr id="4410" name="Text Box 15">
          <a:extLst>
            <a:ext uri="{FF2B5EF4-FFF2-40B4-BE49-F238E27FC236}">
              <a16:creationId xmlns:a16="http://schemas.microsoft.com/office/drawing/2014/main" id="{00000000-0008-0000-0500-00003A110000}"/>
            </a:ext>
          </a:extLst>
        </xdr:cNvPr>
        <xdr:cNvSpPr txBox="1">
          <a:spLocks noChangeArrowheads="1"/>
        </xdr:cNvSpPr>
      </xdr:nvSpPr>
      <xdr:spPr bwMode="auto">
        <a:xfrm>
          <a:off x="4972050" y="335502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92</xdr:row>
      <xdr:rowOff>504825</xdr:rowOff>
    </xdr:from>
    <xdr:ext cx="95250" cy="213632"/>
    <xdr:sp macro="" textlink="">
      <xdr:nvSpPr>
        <xdr:cNvPr id="4411" name="Text Box 15">
          <a:extLst>
            <a:ext uri="{FF2B5EF4-FFF2-40B4-BE49-F238E27FC236}">
              <a16:creationId xmlns:a16="http://schemas.microsoft.com/office/drawing/2014/main" id="{00000000-0008-0000-0500-00003B110000}"/>
            </a:ext>
          </a:extLst>
        </xdr:cNvPr>
        <xdr:cNvSpPr txBox="1">
          <a:spLocks noChangeArrowheads="1"/>
        </xdr:cNvSpPr>
      </xdr:nvSpPr>
      <xdr:spPr bwMode="auto">
        <a:xfrm>
          <a:off x="4972050" y="335502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92</xdr:row>
      <xdr:rowOff>504825</xdr:rowOff>
    </xdr:from>
    <xdr:ext cx="95250" cy="213632"/>
    <xdr:sp macro="" textlink="">
      <xdr:nvSpPr>
        <xdr:cNvPr id="4412" name="Text Box 15">
          <a:extLst>
            <a:ext uri="{FF2B5EF4-FFF2-40B4-BE49-F238E27FC236}">
              <a16:creationId xmlns:a16="http://schemas.microsoft.com/office/drawing/2014/main" id="{00000000-0008-0000-0500-00003C110000}"/>
            </a:ext>
          </a:extLst>
        </xdr:cNvPr>
        <xdr:cNvSpPr txBox="1">
          <a:spLocks noChangeArrowheads="1"/>
        </xdr:cNvSpPr>
      </xdr:nvSpPr>
      <xdr:spPr bwMode="auto">
        <a:xfrm>
          <a:off x="4972050" y="335502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92</xdr:row>
      <xdr:rowOff>504825</xdr:rowOff>
    </xdr:from>
    <xdr:ext cx="95250" cy="213632"/>
    <xdr:sp macro="" textlink="">
      <xdr:nvSpPr>
        <xdr:cNvPr id="4413" name="Text Box 15">
          <a:extLst>
            <a:ext uri="{FF2B5EF4-FFF2-40B4-BE49-F238E27FC236}">
              <a16:creationId xmlns:a16="http://schemas.microsoft.com/office/drawing/2014/main" id="{00000000-0008-0000-0500-00003D110000}"/>
            </a:ext>
          </a:extLst>
        </xdr:cNvPr>
        <xdr:cNvSpPr txBox="1">
          <a:spLocks noChangeArrowheads="1"/>
        </xdr:cNvSpPr>
      </xdr:nvSpPr>
      <xdr:spPr bwMode="auto">
        <a:xfrm>
          <a:off x="4972050" y="335502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92</xdr:row>
      <xdr:rowOff>504825</xdr:rowOff>
    </xdr:from>
    <xdr:ext cx="95250" cy="213632"/>
    <xdr:sp macro="" textlink="">
      <xdr:nvSpPr>
        <xdr:cNvPr id="4414" name="Text Box 15">
          <a:extLst>
            <a:ext uri="{FF2B5EF4-FFF2-40B4-BE49-F238E27FC236}">
              <a16:creationId xmlns:a16="http://schemas.microsoft.com/office/drawing/2014/main" id="{00000000-0008-0000-0500-00003E110000}"/>
            </a:ext>
          </a:extLst>
        </xdr:cNvPr>
        <xdr:cNvSpPr txBox="1">
          <a:spLocks noChangeArrowheads="1"/>
        </xdr:cNvSpPr>
      </xdr:nvSpPr>
      <xdr:spPr bwMode="auto">
        <a:xfrm>
          <a:off x="4972050" y="335502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92</xdr:row>
      <xdr:rowOff>504825</xdr:rowOff>
    </xdr:from>
    <xdr:ext cx="95250" cy="213632"/>
    <xdr:sp macro="" textlink="">
      <xdr:nvSpPr>
        <xdr:cNvPr id="4415" name="Text Box 15">
          <a:extLst>
            <a:ext uri="{FF2B5EF4-FFF2-40B4-BE49-F238E27FC236}">
              <a16:creationId xmlns:a16="http://schemas.microsoft.com/office/drawing/2014/main" id="{00000000-0008-0000-0500-00003F110000}"/>
            </a:ext>
          </a:extLst>
        </xdr:cNvPr>
        <xdr:cNvSpPr txBox="1">
          <a:spLocks noChangeArrowheads="1"/>
        </xdr:cNvSpPr>
      </xdr:nvSpPr>
      <xdr:spPr bwMode="auto">
        <a:xfrm>
          <a:off x="4972050" y="335502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92</xdr:row>
      <xdr:rowOff>504825</xdr:rowOff>
    </xdr:from>
    <xdr:ext cx="95250" cy="213632"/>
    <xdr:sp macro="" textlink="">
      <xdr:nvSpPr>
        <xdr:cNvPr id="4416" name="Text Box 15">
          <a:extLst>
            <a:ext uri="{FF2B5EF4-FFF2-40B4-BE49-F238E27FC236}">
              <a16:creationId xmlns:a16="http://schemas.microsoft.com/office/drawing/2014/main" id="{00000000-0008-0000-0500-000040110000}"/>
            </a:ext>
          </a:extLst>
        </xdr:cNvPr>
        <xdr:cNvSpPr txBox="1">
          <a:spLocks noChangeArrowheads="1"/>
        </xdr:cNvSpPr>
      </xdr:nvSpPr>
      <xdr:spPr bwMode="auto">
        <a:xfrm>
          <a:off x="4972050" y="335502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94</xdr:row>
      <xdr:rowOff>504825</xdr:rowOff>
    </xdr:from>
    <xdr:ext cx="95250" cy="448496"/>
    <xdr:sp macro="" textlink="">
      <xdr:nvSpPr>
        <xdr:cNvPr id="4417" name="Text Box 15">
          <a:extLst>
            <a:ext uri="{FF2B5EF4-FFF2-40B4-BE49-F238E27FC236}">
              <a16:creationId xmlns:a16="http://schemas.microsoft.com/office/drawing/2014/main" id="{00000000-0008-0000-0500-000041110000}"/>
            </a:ext>
          </a:extLst>
        </xdr:cNvPr>
        <xdr:cNvSpPr txBox="1">
          <a:spLocks noChangeArrowheads="1"/>
        </xdr:cNvSpPr>
      </xdr:nvSpPr>
      <xdr:spPr bwMode="auto">
        <a:xfrm>
          <a:off x="4972050" y="33550225"/>
          <a:ext cx="95250" cy="448496"/>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94</xdr:row>
      <xdr:rowOff>504825</xdr:rowOff>
    </xdr:from>
    <xdr:ext cx="95250" cy="213632"/>
    <xdr:sp macro="" textlink="">
      <xdr:nvSpPr>
        <xdr:cNvPr id="4418" name="Text Box 15">
          <a:extLst>
            <a:ext uri="{FF2B5EF4-FFF2-40B4-BE49-F238E27FC236}">
              <a16:creationId xmlns:a16="http://schemas.microsoft.com/office/drawing/2014/main" id="{00000000-0008-0000-0500-000042110000}"/>
            </a:ext>
          </a:extLst>
        </xdr:cNvPr>
        <xdr:cNvSpPr txBox="1">
          <a:spLocks noChangeArrowheads="1"/>
        </xdr:cNvSpPr>
      </xdr:nvSpPr>
      <xdr:spPr bwMode="auto">
        <a:xfrm>
          <a:off x="4972050" y="335502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94</xdr:row>
      <xdr:rowOff>504825</xdr:rowOff>
    </xdr:from>
    <xdr:ext cx="95250" cy="444331"/>
    <xdr:sp macro="" textlink="">
      <xdr:nvSpPr>
        <xdr:cNvPr id="4419" name="Text Box 15">
          <a:extLst>
            <a:ext uri="{FF2B5EF4-FFF2-40B4-BE49-F238E27FC236}">
              <a16:creationId xmlns:a16="http://schemas.microsoft.com/office/drawing/2014/main" id="{00000000-0008-0000-0500-000043110000}"/>
            </a:ext>
          </a:extLst>
        </xdr:cNvPr>
        <xdr:cNvSpPr txBox="1">
          <a:spLocks noChangeArrowheads="1"/>
        </xdr:cNvSpPr>
      </xdr:nvSpPr>
      <xdr:spPr bwMode="auto">
        <a:xfrm>
          <a:off x="4972050" y="33550225"/>
          <a:ext cx="95250" cy="444331"/>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94</xdr:row>
      <xdr:rowOff>504825</xdr:rowOff>
    </xdr:from>
    <xdr:ext cx="95250" cy="448496"/>
    <xdr:sp macro="" textlink="">
      <xdr:nvSpPr>
        <xdr:cNvPr id="4420" name="Text Box 15">
          <a:extLst>
            <a:ext uri="{FF2B5EF4-FFF2-40B4-BE49-F238E27FC236}">
              <a16:creationId xmlns:a16="http://schemas.microsoft.com/office/drawing/2014/main" id="{00000000-0008-0000-0500-000044110000}"/>
            </a:ext>
          </a:extLst>
        </xdr:cNvPr>
        <xdr:cNvSpPr txBox="1">
          <a:spLocks noChangeArrowheads="1"/>
        </xdr:cNvSpPr>
      </xdr:nvSpPr>
      <xdr:spPr bwMode="auto">
        <a:xfrm>
          <a:off x="4972050" y="33550225"/>
          <a:ext cx="95250" cy="448496"/>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94</xdr:row>
      <xdr:rowOff>504825</xdr:rowOff>
    </xdr:from>
    <xdr:ext cx="95250" cy="213632"/>
    <xdr:sp macro="" textlink="">
      <xdr:nvSpPr>
        <xdr:cNvPr id="4421" name="Text Box 15">
          <a:extLst>
            <a:ext uri="{FF2B5EF4-FFF2-40B4-BE49-F238E27FC236}">
              <a16:creationId xmlns:a16="http://schemas.microsoft.com/office/drawing/2014/main" id="{00000000-0008-0000-0500-000045110000}"/>
            </a:ext>
          </a:extLst>
        </xdr:cNvPr>
        <xdr:cNvSpPr txBox="1">
          <a:spLocks noChangeArrowheads="1"/>
        </xdr:cNvSpPr>
      </xdr:nvSpPr>
      <xdr:spPr bwMode="auto">
        <a:xfrm>
          <a:off x="4972050" y="335502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94</xdr:row>
      <xdr:rowOff>504825</xdr:rowOff>
    </xdr:from>
    <xdr:ext cx="95250" cy="444331"/>
    <xdr:sp macro="" textlink="">
      <xdr:nvSpPr>
        <xdr:cNvPr id="4422" name="Text Box 15">
          <a:extLst>
            <a:ext uri="{FF2B5EF4-FFF2-40B4-BE49-F238E27FC236}">
              <a16:creationId xmlns:a16="http://schemas.microsoft.com/office/drawing/2014/main" id="{00000000-0008-0000-0500-000046110000}"/>
            </a:ext>
          </a:extLst>
        </xdr:cNvPr>
        <xdr:cNvSpPr txBox="1">
          <a:spLocks noChangeArrowheads="1"/>
        </xdr:cNvSpPr>
      </xdr:nvSpPr>
      <xdr:spPr bwMode="auto">
        <a:xfrm>
          <a:off x="4972050" y="33550225"/>
          <a:ext cx="95250" cy="444331"/>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94</xdr:row>
      <xdr:rowOff>504825</xdr:rowOff>
    </xdr:from>
    <xdr:ext cx="95250" cy="456743"/>
    <xdr:sp macro="" textlink="">
      <xdr:nvSpPr>
        <xdr:cNvPr id="4423" name="Text Box 15">
          <a:extLst>
            <a:ext uri="{FF2B5EF4-FFF2-40B4-BE49-F238E27FC236}">
              <a16:creationId xmlns:a16="http://schemas.microsoft.com/office/drawing/2014/main" id="{00000000-0008-0000-0500-000047110000}"/>
            </a:ext>
          </a:extLst>
        </xdr:cNvPr>
        <xdr:cNvSpPr txBox="1">
          <a:spLocks noChangeArrowheads="1"/>
        </xdr:cNvSpPr>
      </xdr:nvSpPr>
      <xdr:spPr bwMode="auto">
        <a:xfrm>
          <a:off x="4972050" y="33550225"/>
          <a:ext cx="95250" cy="456743"/>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94</xdr:row>
      <xdr:rowOff>504825</xdr:rowOff>
    </xdr:from>
    <xdr:ext cx="95250" cy="213632"/>
    <xdr:sp macro="" textlink="">
      <xdr:nvSpPr>
        <xdr:cNvPr id="4424" name="Text Box 15">
          <a:extLst>
            <a:ext uri="{FF2B5EF4-FFF2-40B4-BE49-F238E27FC236}">
              <a16:creationId xmlns:a16="http://schemas.microsoft.com/office/drawing/2014/main" id="{00000000-0008-0000-0500-000048110000}"/>
            </a:ext>
          </a:extLst>
        </xdr:cNvPr>
        <xdr:cNvSpPr txBox="1">
          <a:spLocks noChangeArrowheads="1"/>
        </xdr:cNvSpPr>
      </xdr:nvSpPr>
      <xdr:spPr bwMode="auto">
        <a:xfrm>
          <a:off x="4972050" y="335502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94</xdr:row>
      <xdr:rowOff>504825</xdr:rowOff>
    </xdr:from>
    <xdr:ext cx="95250" cy="444331"/>
    <xdr:sp macro="" textlink="">
      <xdr:nvSpPr>
        <xdr:cNvPr id="4425" name="Text Box 15">
          <a:extLst>
            <a:ext uri="{FF2B5EF4-FFF2-40B4-BE49-F238E27FC236}">
              <a16:creationId xmlns:a16="http://schemas.microsoft.com/office/drawing/2014/main" id="{00000000-0008-0000-0500-000049110000}"/>
            </a:ext>
          </a:extLst>
        </xdr:cNvPr>
        <xdr:cNvSpPr txBox="1">
          <a:spLocks noChangeArrowheads="1"/>
        </xdr:cNvSpPr>
      </xdr:nvSpPr>
      <xdr:spPr bwMode="auto">
        <a:xfrm>
          <a:off x="4972050" y="33550225"/>
          <a:ext cx="95250" cy="444331"/>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94</xdr:row>
      <xdr:rowOff>504825</xdr:rowOff>
    </xdr:from>
    <xdr:ext cx="95250" cy="213632"/>
    <xdr:sp macro="" textlink="">
      <xdr:nvSpPr>
        <xdr:cNvPr id="4426" name="Text Box 15">
          <a:extLst>
            <a:ext uri="{FF2B5EF4-FFF2-40B4-BE49-F238E27FC236}">
              <a16:creationId xmlns:a16="http://schemas.microsoft.com/office/drawing/2014/main" id="{00000000-0008-0000-0500-00004A110000}"/>
            </a:ext>
          </a:extLst>
        </xdr:cNvPr>
        <xdr:cNvSpPr txBox="1">
          <a:spLocks noChangeArrowheads="1"/>
        </xdr:cNvSpPr>
      </xdr:nvSpPr>
      <xdr:spPr bwMode="auto">
        <a:xfrm>
          <a:off x="4972050" y="335502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94</xdr:row>
      <xdr:rowOff>504825</xdr:rowOff>
    </xdr:from>
    <xdr:ext cx="95250" cy="213632"/>
    <xdr:sp macro="" textlink="">
      <xdr:nvSpPr>
        <xdr:cNvPr id="4427" name="Text Box 15">
          <a:extLst>
            <a:ext uri="{FF2B5EF4-FFF2-40B4-BE49-F238E27FC236}">
              <a16:creationId xmlns:a16="http://schemas.microsoft.com/office/drawing/2014/main" id="{00000000-0008-0000-0500-00004B110000}"/>
            </a:ext>
          </a:extLst>
        </xdr:cNvPr>
        <xdr:cNvSpPr txBox="1">
          <a:spLocks noChangeArrowheads="1"/>
        </xdr:cNvSpPr>
      </xdr:nvSpPr>
      <xdr:spPr bwMode="auto">
        <a:xfrm>
          <a:off x="4972050" y="335502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94</xdr:row>
      <xdr:rowOff>504825</xdr:rowOff>
    </xdr:from>
    <xdr:ext cx="95250" cy="213632"/>
    <xdr:sp macro="" textlink="">
      <xdr:nvSpPr>
        <xdr:cNvPr id="4428" name="Text Box 15">
          <a:extLst>
            <a:ext uri="{FF2B5EF4-FFF2-40B4-BE49-F238E27FC236}">
              <a16:creationId xmlns:a16="http://schemas.microsoft.com/office/drawing/2014/main" id="{00000000-0008-0000-0500-00004C110000}"/>
            </a:ext>
          </a:extLst>
        </xdr:cNvPr>
        <xdr:cNvSpPr txBox="1">
          <a:spLocks noChangeArrowheads="1"/>
        </xdr:cNvSpPr>
      </xdr:nvSpPr>
      <xdr:spPr bwMode="auto">
        <a:xfrm>
          <a:off x="4972050" y="335502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94</xdr:row>
      <xdr:rowOff>504825</xdr:rowOff>
    </xdr:from>
    <xdr:ext cx="95250" cy="213632"/>
    <xdr:sp macro="" textlink="">
      <xdr:nvSpPr>
        <xdr:cNvPr id="4429" name="Text Box 15">
          <a:extLst>
            <a:ext uri="{FF2B5EF4-FFF2-40B4-BE49-F238E27FC236}">
              <a16:creationId xmlns:a16="http://schemas.microsoft.com/office/drawing/2014/main" id="{00000000-0008-0000-0500-00004D110000}"/>
            </a:ext>
          </a:extLst>
        </xdr:cNvPr>
        <xdr:cNvSpPr txBox="1">
          <a:spLocks noChangeArrowheads="1"/>
        </xdr:cNvSpPr>
      </xdr:nvSpPr>
      <xdr:spPr bwMode="auto">
        <a:xfrm>
          <a:off x="4972050" y="335502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94</xdr:row>
      <xdr:rowOff>504825</xdr:rowOff>
    </xdr:from>
    <xdr:ext cx="95250" cy="213632"/>
    <xdr:sp macro="" textlink="">
      <xdr:nvSpPr>
        <xdr:cNvPr id="4430" name="Text Box 15">
          <a:extLst>
            <a:ext uri="{FF2B5EF4-FFF2-40B4-BE49-F238E27FC236}">
              <a16:creationId xmlns:a16="http://schemas.microsoft.com/office/drawing/2014/main" id="{00000000-0008-0000-0500-00004E110000}"/>
            </a:ext>
          </a:extLst>
        </xdr:cNvPr>
        <xdr:cNvSpPr txBox="1">
          <a:spLocks noChangeArrowheads="1"/>
        </xdr:cNvSpPr>
      </xdr:nvSpPr>
      <xdr:spPr bwMode="auto">
        <a:xfrm>
          <a:off x="4972050" y="335502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94</xdr:row>
      <xdr:rowOff>504825</xdr:rowOff>
    </xdr:from>
    <xdr:ext cx="95250" cy="213632"/>
    <xdr:sp macro="" textlink="">
      <xdr:nvSpPr>
        <xdr:cNvPr id="4431" name="Text Box 15">
          <a:extLst>
            <a:ext uri="{FF2B5EF4-FFF2-40B4-BE49-F238E27FC236}">
              <a16:creationId xmlns:a16="http://schemas.microsoft.com/office/drawing/2014/main" id="{00000000-0008-0000-0500-00004F110000}"/>
            </a:ext>
          </a:extLst>
        </xdr:cNvPr>
        <xdr:cNvSpPr txBox="1">
          <a:spLocks noChangeArrowheads="1"/>
        </xdr:cNvSpPr>
      </xdr:nvSpPr>
      <xdr:spPr bwMode="auto">
        <a:xfrm>
          <a:off x="4972050" y="335502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94</xdr:row>
      <xdr:rowOff>504825</xdr:rowOff>
    </xdr:from>
    <xdr:ext cx="95250" cy="213632"/>
    <xdr:sp macro="" textlink="">
      <xdr:nvSpPr>
        <xdr:cNvPr id="4432" name="Text Box 15">
          <a:extLst>
            <a:ext uri="{FF2B5EF4-FFF2-40B4-BE49-F238E27FC236}">
              <a16:creationId xmlns:a16="http://schemas.microsoft.com/office/drawing/2014/main" id="{00000000-0008-0000-0500-000050110000}"/>
            </a:ext>
          </a:extLst>
        </xdr:cNvPr>
        <xdr:cNvSpPr txBox="1">
          <a:spLocks noChangeArrowheads="1"/>
        </xdr:cNvSpPr>
      </xdr:nvSpPr>
      <xdr:spPr bwMode="auto">
        <a:xfrm>
          <a:off x="4972050" y="335502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94</xdr:row>
      <xdr:rowOff>504825</xdr:rowOff>
    </xdr:from>
    <xdr:ext cx="95250" cy="213632"/>
    <xdr:sp macro="" textlink="">
      <xdr:nvSpPr>
        <xdr:cNvPr id="4433" name="Text Box 15">
          <a:extLst>
            <a:ext uri="{FF2B5EF4-FFF2-40B4-BE49-F238E27FC236}">
              <a16:creationId xmlns:a16="http://schemas.microsoft.com/office/drawing/2014/main" id="{00000000-0008-0000-0500-000051110000}"/>
            </a:ext>
          </a:extLst>
        </xdr:cNvPr>
        <xdr:cNvSpPr txBox="1">
          <a:spLocks noChangeArrowheads="1"/>
        </xdr:cNvSpPr>
      </xdr:nvSpPr>
      <xdr:spPr bwMode="auto">
        <a:xfrm>
          <a:off x="4972050" y="335502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94</xdr:row>
      <xdr:rowOff>504825</xdr:rowOff>
    </xdr:from>
    <xdr:ext cx="95250" cy="213632"/>
    <xdr:sp macro="" textlink="">
      <xdr:nvSpPr>
        <xdr:cNvPr id="4434" name="Text Box 15">
          <a:extLst>
            <a:ext uri="{FF2B5EF4-FFF2-40B4-BE49-F238E27FC236}">
              <a16:creationId xmlns:a16="http://schemas.microsoft.com/office/drawing/2014/main" id="{00000000-0008-0000-0500-000052110000}"/>
            </a:ext>
          </a:extLst>
        </xdr:cNvPr>
        <xdr:cNvSpPr txBox="1">
          <a:spLocks noChangeArrowheads="1"/>
        </xdr:cNvSpPr>
      </xdr:nvSpPr>
      <xdr:spPr bwMode="auto">
        <a:xfrm>
          <a:off x="4972050" y="335502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94</xdr:row>
      <xdr:rowOff>504825</xdr:rowOff>
    </xdr:from>
    <xdr:ext cx="95250" cy="213632"/>
    <xdr:sp macro="" textlink="">
      <xdr:nvSpPr>
        <xdr:cNvPr id="4435" name="Text Box 15">
          <a:extLst>
            <a:ext uri="{FF2B5EF4-FFF2-40B4-BE49-F238E27FC236}">
              <a16:creationId xmlns:a16="http://schemas.microsoft.com/office/drawing/2014/main" id="{00000000-0008-0000-0500-000053110000}"/>
            </a:ext>
          </a:extLst>
        </xdr:cNvPr>
        <xdr:cNvSpPr txBox="1">
          <a:spLocks noChangeArrowheads="1"/>
        </xdr:cNvSpPr>
      </xdr:nvSpPr>
      <xdr:spPr bwMode="auto">
        <a:xfrm>
          <a:off x="4972050" y="335502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94</xdr:row>
      <xdr:rowOff>504825</xdr:rowOff>
    </xdr:from>
    <xdr:ext cx="95250" cy="213632"/>
    <xdr:sp macro="" textlink="">
      <xdr:nvSpPr>
        <xdr:cNvPr id="4436" name="Text Box 15">
          <a:extLst>
            <a:ext uri="{FF2B5EF4-FFF2-40B4-BE49-F238E27FC236}">
              <a16:creationId xmlns:a16="http://schemas.microsoft.com/office/drawing/2014/main" id="{00000000-0008-0000-0500-000054110000}"/>
            </a:ext>
          </a:extLst>
        </xdr:cNvPr>
        <xdr:cNvSpPr txBox="1">
          <a:spLocks noChangeArrowheads="1"/>
        </xdr:cNvSpPr>
      </xdr:nvSpPr>
      <xdr:spPr bwMode="auto">
        <a:xfrm>
          <a:off x="4972050" y="335502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94</xdr:row>
      <xdr:rowOff>504825</xdr:rowOff>
    </xdr:from>
    <xdr:ext cx="95250" cy="213632"/>
    <xdr:sp macro="" textlink="">
      <xdr:nvSpPr>
        <xdr:cNvPr id="4437" name="Text Box 15">
          <a:extLst>
            <a:ext uri="{FF2B5EF4-FFF2-40B4-BE49-F238E27FC236}">
              <a16:creationId xmlns:a16="http://schemas.microsoft.com/office/drawing/2014/main" id="{00000000-0008-0000-0500-000055110000}"/>
            </a:ext>
          </a:extLst>
        </xdr:cNvPr>
        <xdr:cNvSpPr txBox="1">
          <a:spLocks noChangeArrowheads="1"/>
        </xdr:cNvSpPr>
      </xdr:nvSpPr>
      <xdr:spPr bwMode="auto">
        <a:xfrm>
          <a:off x="4972050" y="335502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94</xdr:row>
      <xdr:rowOff>504825</xdr:rowOff>
    </xdr:from>
    <xdr:ext cx="95250" cy="213632"/>
    <xdr:sp macro="" textlink="">
      <xdr:nvSpPr>
        <xdr:cNvPr id="4438" name="Text Box 15">
          <a:extLst>
            <a:ext uri="{FF2B5EF4-FFF2-40B4-BE49-F238E27FC236}">
              <a16:creationId xmlns:a16="http://schemas.microsoft.com/office/drawing/2014/main" id="{00000000-0008-0000-0500-000056110000}"/>
            </a:ext>
          </a:extLst>
        </xdr:cNvPr>
        <xdr:cNvSpPr txBox="1">
          <a:spLocks noChangeArrowheads="1"/>
        </xdr:cNvSpPr>
      </xdr:nvSpPr>
      <xdr:spPr bwMode="auto">
        <a:xfrm>
          <a:off x="4972050" y="335502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94</xdr:row>
      <xdr:rowOff>504825</xdr:rowOff>
    </xdr:from>
    <xdr:ext cx="95250" cy="213632"/>
    <xdr:sp macro="" textlink="">
      <xdr:nvSpPr>
        <xdr:cNvPr id="4439" name="Text Box 15">
          <a:extLst>
            <a:ext uri="{FF2B5EF4-FFF2-40B4-BE49-F238E27FC236}">
              <a16:creationId xmlns:a16="http://schemas.microsoft.com/office/drawing/2014/main" id="{00000000-0008-0000-0500-000057110000}"/>
            </a:ext>
          </a:extLst>
        </xdr:cNvPr>
        <xdr:cNvSpPr txBox="1">
          <a:spLocks noChangeArrowheads="1"/>
        </xdr:cNvSpPr>
      </xdr:nvSpPr>
      <xdr:spPr bwMode="auto">
        <a:xfrm>
          <a:off x="4972050" y="335502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94</xdr:row>
      <xdr:rowOff>504825</xdr:rowOff>
    </xdr:from>
    <xdr:ext cx="95250" cy="213632"/>
    <xdr:sp macro="" textlink="">
      <xdr:nvSpPr>
        <xdr:cNvPr id="4440" name="Text Box 15">
          <a:extLst>
            <a:ext uri="{FF2B5EF4-FFF2-40B4-BE49-F238E27FC236}">
              <a16:creationId xmlns:a16="http://schemas.microsoft.com/office/drawing/2014/main" id="{00000000-0008-0000-0500-000058110000}"/>
            </a:ext>
          </a:extLst>
        </xdr:cNvPr>
        <xdr:cNvSpPr txBox="1">
          <a:spLocks noChangeArrowheads="1"/>
        </xdr:cNvSpPr>
      </xdr:nvSpPr>
      <xdr:spPr bwMode="auto">
        <a:xfrm>
          <a:off x="4972050" y="335502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94</xdr:row>
      <xdr:rowOff>504825</xdr:rowOff>
    </xdr:from>
    <xdr:ext cx="95250" cy="213632"/>
    <xdr:sp macro="" textlink="">
      <xdr:nvSpPr>
        <xdr:cNvPr id="4441" name="Text Box 15">
          <a:extLst>
            <a:ext uri="{FF2B5EF4-FFF2-40B4-BE49-F238E27FC236}">
              <a16:creationId xmlns:a16="http://schemas.microsoft.com/office/drawing/2014/main" id="{00000000-0008-0000-0500-000059110000}"/>
            </a:ext>
          </a:extLst>
        </xdr:cNvPr>
        <xdr:cNvSpPr txBox="1">
          <a:spLocks noChangeArrowheads="1"/>
        </xdr:cNvSpPr>
      </xdr:nvSpPr>
      <xdr:spPr bwMode="auto">
        <a:xfrm>
          <a:off x="4972050" y="335502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94</xdr:row>
      <xdr:rowOff>504825</xdr:rowOff>
    </xdr:from>
    <xdr:ext cx="95250" cy="213632"/>
    <xdr:sp macro="" textlink="">
      <xdr:nvSpPr>
        <xdr:cNvPr id="4442" name="Text Box 15">
          <a:extLst>
            <a:ext uri="{FF2B5EF4-FFF2-40B4-BE49-F238E27FC236}">
              <a16:creationId xmlns:a16="http://schemas.microsoft.com/office/drawing/2014/main" id="{00000000-0008-0000-0500-00005A110000}"/>
            </a:ext>
          </a:extLst>
        </xdr:cNvPr>
        <xdr:cNvSpPr txBox="1">
          <a:spLocks noChangeArrowheads="1"/>
        </xdr:cNvSpPr>
      </xdr:nvSpPr>
      <xdr:spPr bwMode="auto">
        <a:xfrm>
          <a:off x="4972050" y="335502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94</xdr:row>
      <xdr:rowOff>504825</xdr:rowOff>
    </xdr:from>
    <xdr:ext cx="95250" cy="213632"/>
    <xdr:sp macro="" textlink="">
      <xdr:nvSpPr>
        <xdr:cNvPr id="4443" name="Text Box 15">
          <a:extLst>
            <a:ext uri="{FF2B5EF4-FFF2-40B4-BE49-F238E27FC236}">
              <a16:creationId xmlns:a16="http://schemas.microsoft.com/office/drawing/2014/main" id="{00000000-0008-0000-0500-00005B110000}"/>
            </a:ext>
          </a:extLst>
        </xdr:cNvPr>
        <xdr:cNvSpPr txBox="1">
          <a:spLocks noChangeArrowheads="1"/>
        </xdr:cNvSpPr>
      </xdr:nvSpPr>
      <xdr:spPr bwMode="auto">
        <a:xfrm>
          <a:off x="4972050" y="335502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94</xdr:row>
      <xdr:rowOff>504825</xdr:rowOff>
    </xdr:from>
    <xdr:ext cx="95250" cy="213632"/>
    <xdr:sp macro="" textlink="">
      <xdr:nvSpPr>
        <xdr:cNvPr id="4444" name="Text Box 15">
          <a:extLst>
            <a:ext uri="{FF2B5EF4-FFF2-40B4-BE49-F238E27FC236}">
              <a16:creationId xmlns:a16="http://schemas.microsoft.com/office/drawing/2014/main" id="{00000000-0008-0000-0500-00005C110000}"/>
            </a:ext>
          </a:extLst>
        </xdr:cNvPr>
        <xdr:cNvSpPr txBox="1">
          <a:spLocks noChangeArrowheads="1"/>
        </xdr:cNvSpPr>
      </xdr:nvSpPr>
      <xdr:spPr bwMode="auto">
        <a:xfrm>
          <a:off x="4972050" y="335502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94</xdr:row>
      <xdr:rowOff>504825</xdr:rowOff>
    </xdr:from>
    <xdr:ext cx="95250" cy="213632"/>
    <xdr:sp macro="" textlink="">
      <xdr:nvSpPr>
        <xdr:cNvPr id="4445" name="Text Box 15">
          <a:extLst>
            <a:ext uri="{FF2B5EF4-FFF2-40B4-BE49-F238E27FC236}">
              <a16:creationId xmlns:a16="http://schemas.microsoft.com/office/drawing/2014/main" id="{00000000-0008-0000-0500-00005D110000}"/>
            </a:ext>
          </a:extLst>
        </xdr:cNvPr>
        <xdr:cNvSpPr txBox="1">
          <a:spLocks noChangeArrowheads="1"/>
        </xdr:cNvSpPr>
      </xdr:nvSpPr>
      <xdr:spPr bwMode="auto">
        <a:xfrm>
          <a:off x="4972050" y="335502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94</xdr:row>
      <xdr:rowOff>504825</xdr:rowOff>
    </xdr:from>
    <xdr:ext cx="95250" cy="213632"/>
    <xdr:sp macro="" textlink="">
      <xdr:nvSpPr>
        <xdr:cNvPr id="4446" name="Text Box 15">
          <a:extLst>
            <a:ext uri="{FF2B5EF4-FFF2-40B4-BE49-F238E27FC236}">
              <a16:creationId xmlns:a16="http://schemas.microsoft.com/office/drawing/2014/main" id="{00000000-0008-0000-0500-00005E110000}"/>
            </a:ext>
          </a:extLst>
        </xdr:cNvPr>
        <xdr:cNvSpPr txBox="1">
          <a:spLocks noChangeArrowheads="1"/>
        </xdr:cNvSpPr>
      </xdr:nvSpPr>
      <xdr:spPr bwMode="auto">
        <a:xfrm>
          <a:off x="4972050" y="335502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96</xdr:row>
      <xdr:rowOff>504825</xdr:rowOff>
    </xdr:from>
    <xdr:ext cx="95250" cy="213632"/>
    <xdr:sp macro="" textlink="">
      <xdr:nvSpPr>
        <xdr:cNvPr id="4447" name="Text Box 15">
          <a:extLst>
            <a:ext uri="{FF2B5EF4-FFF2-40B4-BE49-F238E27FC236}">
              <a16:creationId xmlns:a16="http://schemas.microsoft.com/office/drawing/2014/main" id="{00000000-0008-0000-0500-00005F110000}"/>
            </a:ext>
          </a:extLst>
        </xdr:cNvPr>
        <xdr:cNvSpPr txBox="1">
          <a:spLocks noChangeArrowheads="1"/>
        </xdr:cNvSpPr>
      </xdr:nvSpPr>
      <xdr:spPr bwMode="auto">
        <a:xfrm>
          <a:off x="4972050" y="342995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96</xdr:row>
      <xdr:rowOff>504825</xdr:rowOff>
    </xdr:from>
    <xdr:ext cx="95250" cy="213632"/>
    <xdr:sp macro="" textlink="">
      <xdr:nvSpPr>
        <xdr:cNvPr id="4448" name="Text Box 15">
          <a:extLst>
            <a:ext uri="{FF2B5EF4-FFF2-40B4-BE49-F238E27FC236}">
              <a16:creationId xmlns:a16="http://schemas.microsoft.com/office/drawing/2014/main" id="{00000000-0008-0000-0500-000060110000}"/>
            </a:ext>
          </a:extLst>
        </xdr:cNvPr>
        <xdr:cNvSpPr txBox="1">
          <a:spLocks noChangeArrowheads="1"/>
        </xdr:cNvSpPr>
      </xdr:nvSpPr>
      <xdr:spPr bwMode="auto">
        <a:xfrm>
          <a:off x="4972050" y="342995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96</xdr:row>
      <xdr:rowOff>504825</xdr:rowOff>
    </xdr:from>
    <xdr:ext cx="95250" cy="213632"/>
    <xdr:sp macro="" textlink="">
      <xdr:nvSpPr>
        <xdr:cNvPr id="4449" name="Text Box 15">
          <a:extLst>
            <a:ext uri="{FF2B5EF4-FFF2-40B4-BE49-F238E27FC236}">
              <a16:creationId xmlns:a16="http://schemas.microsoft.com/office/drawing/2014/main" id="{00000000-0008-0000-0500-000061110000}"/>
            </a:ext>
          </a:extLst>
        </xdr:cNvPr>
        <xdr:cNvSpPr txBox="1">
          <a:spLocks noChangeArrowheads="1"/>
        </xdr:cNvSpPr>
      </xdr:nvSpPr>
      <xdr:spPr bwMode="auto">
        <a:xfrm>
          <a:off x="4972050" y="342995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96</xdr:row>
      <xdr:rowOff>504825</xdr:rowOff>
    </xdr:from>
    <xdr:ext cx="95250" cy="213632"/>
    <xdr:sp macro="" textlink="">
      <xdr:nvSpPr>
        <xdr:cNvPr id="4450" name="Text Box 15">
          <a:extLst>
            <a:ext uri="{FF2B5EF4-FFF2-40B4-BE49-F238E27FC236}">
              <a16:creationId xmlns:a16="http://schemas.microsoft.com/office/drawing/2014/main" id="{00000000-0008-0000-0500-000062110000}"/>
            </a:ext>
          </a:extLst>
        </xdr:cNvPr>
        <xdr:cNvSpPr txBox="1">
          <a:spLocks noChangeArrowheads="1"/>
        </xdr:cNvSpPr>
      </xdr:nvSpPr>
      <xdr:spPr bwMode="auto">
        <a:xfrm>
          <a:off x="4972050" y="342995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96</xdr:row>
      <xdr:rowOff>504825</xdr:rowOff>
    </xdr:from>
    <xdr:ext cx="95250" cy="213632"/>
    <xdr:sp macro="" textlink="">
      <xdr:nvSpPr>
        <xdr:cNvPr id="4451" name="Text Box 15">
          <a:extLst>
            <a:ext uri="{FF2B5EF4-FFF2-40B4-BE49-F238E27FC236}">
              <a16:creationId xmlns:a16="http://schemas.microsoft.com/office/drawing/2014/main" id="{00000000-0008-0000-0500-000063110000}"/>
            </a:ext>
          </a:extLst>
        </xdr:cNvPr>
        <xdr:cNvSpPr txBox="1">
          <a:spLocks noChangeArrowheads="1"/>
        </xdr:cNvSpPr>
      </xdr:nvSpPr>
      <xdr:spPr bwMode="auto">
        <a:xfrm>
          <a:off x="4972050" y="342995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96</xdr:row>
      <xdr:rowOff>504825</xdr:rowOff>
    </xdr:from>
    <xdr:ext cx="95250" cy="213632"/>
    <xdr:sp macro="" textlink="">
      <xdr:nvSpPr>
        <xdr:cNvPr id="4452" name="Text Box 15">
          <a:extLst>
            <a:ext uri="{FF2B5EF4-FFF2-40B4-BE49-F238E27FC236}">
              <a16:creationId xmlns:a16="http://schemas.microsoft.com/office/drawing/2014/main" id="{00000000-0008-0000-0500-000064110000}"/>
            </a:ext>
          </a:extLst>
        </xdr:cNvPr>
        <xdr:cNvSpPr txBox="1">
          <a:spLocks noChangeArrowheads="1"/>
        </xdr:cNvSpPr>
      </xdr:nvSpPr>
      <xdr:spPr bwMode="auto">
        <a:xfrm>
          <a:off x="4972050" y="342995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96</xdr:row>
      <xdr:rowOff>504825</xdr:rowOff>
    </xdr:from>
    <xdr:ext cx="95250" cy="213632"/>
    <xdr:sp macro="" textlink="">
      <xdr:nvSpPr>
        <xdr:cNvPr id="4453" name="Text Box 15">
          <a:extLst>
            <a:ext uri="{FF2B5EF4-FFF2-40B4-BE49-F238E27FC236}">
              <a16:creationId xmlns:a16="http://schemas.microsoft.com/office/drawing/2014/main" id="{00000000-0008-0000-0500-000065110000}"/>
            </a:ext>
          </a:extLst>
        </xdr:cNvPr>
        <xdr:cNvSpPr txBox="1">
          <a:spLocks noChangeArrowheads="1"/>
        </xdr:cNvSpPr>
      </xdr:nvSpPr>
      <xdr:spPr bwMode="auto">
        <a:xfrm>
          <a:off x="4972050" y="342995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96</xdr:row>
      <xdr:rowOff>504825</xdr:rowOff>
    </xdr:from>
    <xdr:ext cx="95250" cy="213632"/>
    <xdr:sp macro="" textlink="">
      <xdr:nvSpPr>
        <xdr:cNvPr id="4454" name="Text Box 15">
          <a:extLst>
            <a:ext uri="{FF2B5EF4-FFF2-40B4-BE49-F238E27FC236}">
              <a16:creationId xmlns:a16="http://schemas.microsoft.com/office/drawing/2014/main" id="{00000000-0008-0000-0500-000066110000}"/>
            </a:ext>
          </a:extLst>
        </xdr:cNvPr>
        <xdr:cNvSpPr txBox="1">
          <a:spLocks noChangeArrowheads="1"/>
        </xdr:cNvSpPr>
      </xdr:nvSpPr>
      <xdr:spPr bwMode="auto">
        <a:xfrm>
          <a:off x="4972050" y="342995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96</xdr:row>
      <xdr:rowOff>504825</xdr:rowOff>
    </xdr:from>
    <xdr:ext cx="95250" cy="213632"/>
    <xdr:sp macro="" textlink="">
      <xdr:nvSpPr>
        <xdr:cNvPr id="4455" name="Text Box 15">
          <a:extLst>
            <a:ext uri="{FF2B5EF4-FFF2-40B4-BE49-F238E27FC236}">
              <a16:creationId xmlns:a16="http://schemas.microsoft.com/office/drawing/2014/main" id="{00000000-0008-0000-0500-000067110000}"/>
            </a:ext>
          </a:extLst>
        </xdr:cNvPr>
        <xdr:cNvSpPr txBox="1">
          <a:spLocks noChangeArrowheads="1"/>
        </xdr:cNvSpPr>
      </xdr:nvSpPr>
      <xdr:spPr bwMode="auto">
        <a:xfrm>
          <a:off x="4972050" y="342995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96</xdr:row>
      <xdr:rowOff>504825</xdr:rowOff>
    </xdr:from>
    <xdr:ext cx="95250" cy="213632"/>
    <xdr:sp macro="" textlink="">
      <xdr:nvSpPr>
        <xdr:cNvPr id="4456" name="Text Box 15">
          <a:extLst>
            <a:ext uri="{FF2B5EF4-FFF2-40B4-BE49-F238E27FC236}">
              <a16:creationId xmlns:a16="http://schemas.microsoft.com/office/drawing/2014/main" id="{00000000-0008-0000-0500-000068110000}"/>
            </a:ext>
          </a:extLst>
        </xdr:cNvPr>
        <xdr:cNvSpPr txBox="1">
          <a:spLocks noChangeArrowheads="1"/>
        </xdr:cNvSpPr>
      </xdr:nvSpPr>
      <xdr:spPr bwMode="auto">
        <a:xfrm>
          <a:off x="4972050" y="342995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96</xdr:row>
      <xdr:rowOff>504825</xdr:rowOff>
    </xdr:from>
    <xdr:ext cx="95250" cy="213632"/>
    <xdr:sp macro="" textlink="">
      <xdr:nvSpPr>
        <xdr:cNvPr id="4457" name="Text Box 15">
          <a:extLst>
            <a:ext uri="{FF2B5EF4-FFF2-40B4-BE49-F238E27FC236}">
              <a16:creationId xmlns:a16="http://schemas.microsoft.com/office/drawing/2014/main" id="{00000000-0008-0000-0500-000069110000}"/>
            </a:ext>
          </a:extLst>
        </xdr:cNvPr>
        <xdr:cNvSpPr txBox="1">
          <a:spLocks noChangeArrowheads="1"/>
        </xdr:cNvSpPr>
      </xdr:nvSpPr>
      <xdr:spPr bwMode="auto">
        <a:xfrm>
          <a:off x="4972050" y="342995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96</xdr:row>
      <xdr:rowOff>504825</xdr:rowOff>
    </xdr:from>
    <xdr:ext cx="95250" cy="213632"/>
    <xdr:sp macro="" textlink="">
      <xdr:nvSpPr>
        <xdr:cNvPr id="4458" name="Text Box 15">
          <a:extLst>
            <a:ext uri="{FF2B5EF4-FFF2-40B4-BE49-F238E27FC236}">
              <a16:creationId xmlns:a16="http://schemas.microsoft.com/office/drawing/2014/main" id="{00000000-0008-0000-0500-00006A110000}"/>
            </a:ext>
          </a:extLst>
        </xdr:cNvPr>
        <xdr:cNvSpPr txBox="1">
          <a:spLocks noChangeArrowheads="1"/>
        </xdr:cNvSpPr>
      </xdr:nvSpPr>
      <xdr:spPr bwMode="auto">
        <a:xfrm>
          <a:off x="4972050" y="342995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96</xdr:row>
      <xdr:rowOff>504825</xdr:rowOff>
    </xdr:from>
    <xdr:ext cx="95250" cy="213632"/>
    <xdr:sp macro="" textlink="">
      <xdr:nvSpPr>
        <xdr:cNvPr id="4459" name="Text Box 15">
          <a:extLst>
            <a:ext uri="{FF2B5EF4-FFF2-40B4-BE49-F238E27FC236}">
              <a16:creationId xmlns:a16="http://schemas.microsoft.com/office/drawing/2014/main" id="{00000000-0008-0000-0500-00006B110000}"/>
            </a:ext>
          </a:extLst>
        </xdr:cNvPr>
        <xdr:cNvSpPr txBox="1">
          <a:spLocks noChangeArrowheads="1"/>
        </xdr:cNvSpPr>
      </xdr:nvSpPr>
      <xdr:spPr bwMode="auto">
        <a:xfrm>
          <a:off x="4972050" y="342995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96</xdr:row>
      <xdr:rowOff>504825</xdr:rowOff>
    </xdr:from>
    <xdr:ext cx="95250" cy="213632"/>
    <xdr:sp macro="" textlink="">
      <xdr:nvSpPr>
        <xdr:cNvPr id="4460" name="Text Box 15">
          <a:extLst>
            <a:ext uri="{FF2B5EF4-FFF2-40B4-BE49-F238E27FC236}">
              <a16:creationId xmlns:a16="http://schemas.microsoft.com/office/drawing/2014/main" id="{00000000-0008-0000-0500-00006C110000}"/>
            </a:ext>
          </a:extLst>
        </xdr:cNvPr>
        <xdr:cNvSpPr txBox="1">
          <a:spLocks noChangeArrowheads="1"/>
        </xdr:cNvSpPr>
      </xdr:nvSpPr>
      <xdr:spPr bwMode="auto">
        <a:xfrm>
          <a:off x="4972050" y="342995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96</xdr:row>
      <xdr:rowOff>504825</xdr:rowOff>
    </xdr:from>
    <xdr:ext cx="95250" cy="213632"/>
    <xdr:sp macro="" textlink="">
      <xdr:nvSpPr>
        <xdr:cNvPr id="4461" name="Text Box 15">
          <a:extLst>
            <a:ext uri="{FF2B5EF4-FFF2-40B4-BE49-F238E27FC236}">
              <a16:creationId xmlns:a16="http://schemas.microsoft.com/office/drawing/2014/main" id="{00000000-0008-0000-0500-00006D110000}"/>
            </a:ext>
          </a:extLst>
        </xdr:cNvPr>
        <xdr:cNvSpPr txBox="1">
          <a:spLocks noChangeArrowheads="1"/>
        </xdr:cNvSpPr>
      </xdr:nvSpPr>
      <xdr:spPr bwMode="auto">
        <a:xfrm>
          <a:off x="4972050" y="342995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96</xdr:row>
      <xdr:rowOff>504825</xdr:rowOff>
    </xdr:from>
    <xdr:ext cx="95250" cy="213632"/>
    <xdr:sp macro="" textlink="">
      <xdr:nvSpPr>
        <xdr:cNvPr id="4462" name="Text Box 15">
          <a:extLst>
            <a:ext uri="{FF2B5EF4-FFF2-40B4-BE49-F238E27FC236}">
              <a16:creationId xmlns:a16="http://schemas.microsoft.com/office/drawing/2014/main" id="{00000000-0008-0000-0500-00006E110000}"/>
            </a:ext>
          </a:extLst>
        </xdr:cNvPr>
        <xdr:cNvSpPr txBox="1">
          <a:spLocks noChangeArrowheads="1"/>
        </xdr:cNvSpPr>
      </xdr:nvSpPr>
      <xdr:spPr bwMode="auto">
        <a:xfrm>
          <a:off x="4972050" y="342995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96</xdr:row>
      <xdr:rowOff>504825</xdr:rowOff>
    </xdr:from>
    <xdr:ext cx="95250" cy="213632"/>
    <xdr:sp macro="" textlink="">
      <xdr:nvSpPr>
        <xdr:cNvPr id="4463" name="Text Box 15">
          <a:extLst>
            <a:ext uri="{FF2B5EF4-FFF2-40B4-BE49-F238E27FC236}">
              <a16:creationId xmlns:a16="http://schemas.microsoft.com/office/drawing/2014/main" id="{00000000-0008-0000-0500-00006F110000}"/>
            </a:ext>
          </a:extLst>
        </xdr:cNvPr>
        <xdr:cNvSpPr txBox="1">
          <a:spLocks noChangeArrowheads="1"/>
        </xdr:cNvSpPr>
      </xdr:nvSpPr>
      <xdr:spPr bwMode="auto">
        <a:xfrm>
          <a:off x="4972050" y="342995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96</xdr:row>
      <xdr:rowOff>504825</xdr:rowOff>
    </xdr:from>
    <xdr:ext cx="95250" cy="213632"/>
    <xdr:sp macro="" textlink="">
      <xdr:nvSpPr>
        <xdr:cNvPr id="4464" name="Text Box 15">
          <a:extLst>
            <a:ext uri="{FF2B5EF4-FFF2-40B4-BE49-F238E27FC236}">
              <a16:creationId xmlns:a16="http://schemas.microsoft.com/office/drawing/2014/main" id="{00000000-0008-0000-0500-000070110000}"/>
            </a:ext>
          </a:extLst>
        </xdr:cNvPr>
        <xdr:cNvSpPr txBox="1">
          <a:spLocks noChangeArrowheads="1"/>
        </xdr:cNvSpPr>
      </xdr:nvSpPr>
      <xdr:spPr bwMode="auto">
        <a:xfrm>
          <a:off x="4972050" y="342995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96</xdr:row>
      <xdr:rowOff>504825</xdr:rowOff>
    </xdr:from>
    <xdr:ext cx="95250" cy="213632"/>
    <xdr:sp macro="" textlink="">
      <xdr:nvSpPr>
        <xdr:cNvPr id="4465" name="Text Box 15">
          <a:extLst>
            <a:ext uri="{FF2B5EF4-FFF2-40B4-BE49-F238E27FC236}">
              <a16:creationId xmlns:a16="http://schemas.microsoft.com/office/drawing/2014/main" id="{00000000-0008-0000-0500-000071110000}"/>
            </a:ext>
          </a:extLst>
        </xdr:cNvPr>
        <xdr:cNvSpPr txBox="1">
          <a:spLocks noChangeArrowheads="1"/>
        </xdr:cNvSpPr>
      </xdr:nvSpPr>
      <xdr:spPr bwMode="auto">
        <a:xfrm>
          <a:off x="4972050" y="342995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96</xdr:row>
      <xdr:rowOff>504825</xdr:rowOff>
    </xdr:from>
    <xdr:ext cx="95250" cy="213632"/>
    <xdr:sp macro="" textlink="">
      <xdr:nvSpPr>
        <xdr:cNvPr id="4466" name="Text Box 15">
          <a:extLst>
            <a:ext uri="{FF2B5EF4-FFF2-40B4-BE49-F238E27FC236}">
              <a16:creationId xmlns:a16="http://schemas.microsoft.com/office/drawing/2014/main" id="{00000000-0008-0000-0500-000072110000}"/>
            </a:ext>
          </a:extLst>
        </xdr:cNvPr>
        <xdr:cNvSpPr txBox="1">
          <a:spLocks noChangeArrowheads="1"/>
        </xdr:cNvSpPr>
      </xdr:nvSpPr>
      <xdr:spPr bwMode="auto">
        <a:xfrm>
          <a:off x="4972050" y="342995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96</xdr:row>
      <xdr:rowOff>504825</xdr:rowOff>
    </xdr:from>
    <xdr:ext cx="95250" cy="213632"/>
    <xdr:sp macro="" textlink="">
      <xdr:nvSpPr>
        <xdr:cNvPr id="4467" name="Text Box 15">
          <a:extLst>
            <a:ext uri="{FF2B5EF4-FFF2-40B4-BE49-F238E27FC236}">
              <a16:creationId xmlns:a16="http://schemas.microsoft.com/office/drawing/2014/main" id="{00000000-0008-0000-0500-000073110000}"/>
            </a:ext>
          </a:extLst>
        </xdr:cNvPr>
        <xdr:cNvSpPr txBox="1">
          <a:spLocks noChangeArrowheads="1"/>
        </xdr:cNvSpPr>
      </xdr:nvSpPr>
      <xdr:spPr bwMode="auto">
        <a:xfrm>
          <a:off x="4972050" y="342995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96</xdr:row>
      <xdr:rowOff>504825</xdr:rowOff>
    </xdr:from>
    <xdr:ext cx="95250" cy="213632"/>
    <xdr:sp macro="" textlink="">
      <xdr:nvSpPr>
        <xdr:cNvPr id="4468" name="Text Box 15">
          <a:extLst>
            <a:ext uri="{FF2B5EF4-FFF2-40B4-BE49-F238E27FC236}">
              <a16:creationId xmlns:a16="http://schemas.microsoft.com/office/drawing/2014/main" id="{00000000-0008-0000-0500-000074110000}"/>
            </a:ext>
          </a:extLst>
        </xdr:cNvPr>
        <xdr:cNvSpPr txBox="1">
          <a:spLocks noChangeArrowheads="1"/>
        </xdr:cNvSpPr>
      </xdr:nvSpPr>
      <xdr:spPr bwMode="auto">
        <a:xfrm>
          <a:off x="4972050" y="342995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96</xdr:row>
      <xdr:rowOff>504825</xdr:rowOff>
    </xdr:from>
    <xdr:ext cx="95250" cy="213632"/>
    <xdr:sp macro="" textlink="">
      <xdr:nvSpPr>
        <xdr:cNvPr id="4469" name="Text Box 15">
          <a:extLst>
            <a:ext uri="{FF2B5EF4-FFF2-40B4-BE49-F238E27FC236}">
              <a16:creationId xmlns:a16="http://schemas.microsoft.com/office/drawing/2014/main" id="{00000000-0008-0000-0500-000075110000}"/>
            </a:ext>
          </a:extLst>
        </xdr:cNvPr>
        <xdr:cNvSpPr txBox="1">
          <a:spLocks noChangeArrowheads="1"/>
        </xdr:cNvSpPr>
      </xdr:nvSpPr>
      <xdr:spPr bwMode="auto">
        <a:xfrm>
          <a:off x="4972050" y="342995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96</xdr:row>
      <xdr:rowOff>504825</xdr:rowOff>
    </xdr:from>
    <xdr:ext cx="95250" cy="213632"/>
    <xdr:sp macro="" textlink="">
      <xdr:nvSpPr>
        <xdr:cNvPr id="4470" name="Text Box 15">
          <a:extLst>
            <a:ext uri="{FF2B5EF4-FFF2-40B4-BE49-F238E27FC236}">
              <a16:creationId xmlns:a16="http://schemas.microsoft.com/office/drawing/2014/main" id="{00000000-0008-0000-0500-000076110000}"/>
            </a:ext>
          </a:extLst>
        </xdr:cNvPr>
        <xdr:cNvSpPr txBox="1">
          <a:spLocks noChangeArrowheads="1"/>
        </xdr:cNvSpPr>
      </xdr:nvSpPr>
      <xdr:spPr bwMode="auto">
        <a:xfrm>
          <a:off x="4972050" y="342995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98</xdr:row>
      <xdr:rowOff>504825</xdr:rowOff>
    </xdr:from>
    <xdr:ext cx="95250" cy="448496"/>
    <xdr:sp macro="" textlink="">
      <xdr:nvSpPr>
        <xdr:cNvPr id="4471" name="Text Box 15">
          <a:extLst>
            <a:ext uri="{FF2B5EF4-FFF2-40B4-BE49-F238E27FC236}">
              <a16:creationId xmlns:a16="http://schemas.microsoft.com/office/drawing/2014/main" id="{00000000-0008-0000-0500-000077110000}"/>
            </a:ext>
          </a:extLst>
        </xdr:cNvPr>
        <xdr:cNvSpPr txBox="1">
          <a:spLocks noChangeArrowheads="1"/>
        </xdr:cNvSpPr>
      </xdr:nvSpPr>
      <xdr:spPr bwMode="auto">
        <a:xfrm>
          <a:off x="4972050" y="35798125"/>
          <a:ext cx="95250" cy="448496"/>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98</xdr:row>
      <xdr:rowOff>504825</xdr:rowOff>
    </xdr:from>
    <xdr:ext cx="95250" cy="213632"/>
    <xdr:sp macro="" textlink="">
      <xdr:nvSpPr>
        <xdr:cNvPr id="4472" name="Text Box 15">
          <a:extLst>
            <a:ext uri="{FF2B5EF4-FFF2-40B4-BE49-F238E27FC236}">
              <a16:creationId xmlns:a16="http://schemas.microsoft.com/office/drawing/2014/main" id="{00000000-0008-0000-0500-000078110000}"/>
            </a:ext>
          </a:extLst>
        </xdr:cNvPr>
        <xdr:cNvSpPr txBox="1">
          <a:spLocks noChangeArrowheads="1"/>
        </xdr:cNvSpPr>
      </xdr:nvSpPr>
      <xdr:spPr bwMode="auto">
        <a:xfrm>
          <a:off x="4972050" y="357981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98</xdr:row>
      <xdr:rowOff>504825</xdr:rowOff>
    </xdr:from>
    <xdr:ext cx="95250" cy="444331"/>
    <xdr:sp macro="" textlink="">
      <xdr:nvSpPr>
        <xdr:cNvPr id="4473" name="Text Box 15">
          <a:extLst>
            <a:ext uri="{FF2B5EF4-FFF2-40B4-BE49-F238E27FC236}">
              <a16:creationId xmlns:a16="http://schemas.microsoft.com/office/drawing/2014/main" id="{00000000-0008-0000-0500-000079110000}"/>
            </a:ext>
          </a:extLst>
        </xdr:cNvPr>
        <xdr:cNvSpPr txBox="1">
          <a:spLocks noChangeArrowheads="1"/>
        </xdr:cNvSpPr>
      </xdr:nvSpPr>
      <xdr:spPr bwMode="auto">
        <a:xfrm>
          <a:off x="4972050" y="35798125"/>
          <a:ext cx="95250" cy="444331"/>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98</xdr:row>
      <xdr:rowOff>504825</xdr:rowOff>
    </xdr:from>
    <xdr:ext cx="95250" cy="456743"/>
    <xdr:sp macro="" textlink="">
      <xdr:nvSpPr>
        <xdr:cNvPr id="4474" name="Text Box 15">
          <a:extLst>
            <a:ext uri="{FF2B5EF4-FFF2-40B4-BE49-F238E27FC236}">
              <a16:creationId xmlns:a16="http://schemas.microsoft.com/office/drawing/2014/main" id="{00000000-0008-0000-0500-00007A110000}"/>
            </a:ext>
          </a:extLst>
        </xdr:cNvPr>
        <xdr:cNvSpPr txBox="1">
          <a:spLocks noChangeArrowheads="1"/>
        </xdr:cNvSpPr>
      </xdr:nvSpPr>
      <xdr:spPr bwMode="auto">
        <a:xfrm>
          <a:off x="4972050" y="35798125"/>
          <a:ext cx="95250" cy="456743"/>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98</xdr:row>
      <xdr:rowOff>504825</xdr:rowOff>
    </xdr:from>
    <xdr:ext cx="95250" cy="213632"/>
    <xdr:sp macro="" textlink="">
      <xdr:nvSpPr>
        <xdr:cNvPr id="4475" name="Text Box 15">
          <a:extLst>
            <a:ext uri="{FF2B5EF4-FFF2-40B4-BE49-F238E27FC236}">
              <a16:creationId xmlns:a16="http://schemas.microsoft.com/office/drawing/2014/main" id="{00000000-0008-0000-0500-00007B110000}"/>
            </a:ext>
          </a:extLst>
        </xdr:cNvPr>
        <xdr:cNvSpPr txBox="1">
          <a:spLocks noChangeArrowheads="1"/>
        </xdr:cNvSpPr>
      </xdr:nvSpPr>
      <xdr:spPr bwMode="auto">
        <a:xfrm>
          <a:off x="4972050" y="357981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98</xdr:row>
      <xdr:rowOff>504825</xdr:rowOff>
    </xdr:from>
    <xdr:ext cx="95250" cy="444331"/>
    <xdr:sp macro="" textlink="">
      <xdr:nvSpPr>
        <xdr:cNvPr id="4476" name="Text Box 15">
          <a:extLst>
            <a:ext uri="{FF2B5EF4-FFF2-40B4-BE49-F238E27FC236}">
              <a16:creationId xmlns:a16="http://schemas.microsoft.com/office/drawing/2014/main" id="{00000000-0008-0000-0500-00007C110000}"/>
            </a:ext>
          </a:extLst>
        </xdr:cNvPr>
        <xdr:cNvSpPr txBox="1">
          <a:spLocks noChangeArrowheads="1"/>
        </xdr:cNvSpPr>
      </xdr:nvSpPr>
      <xdr:spPr bwMode="auto">
        <a:xfrm>
          <a:off x="4972050" y="35798125"/>
          <a:ext cx="95250" cy="444331"/>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98</xdr:row>
      <xdr:rowOff>504825</xdr:rowOff>
    </xdr:from>
    <xdr:ext cx="95250" cy="213632"/>
    <xdr:sp macro="" textlink="">
      <xdr:nvSpPr>
        <xdr:cNvPr id="4477" name="Text Box 15">
          <a:extLst>
            <a:ext uri="{FF2B5EF4-FFF2-40B4-BE49-F238E27FC236}">
              <a16:creationId xmlns:a16="http://schemas.microsoft.com/office/drawing/2014/main" id="{00000000-0008-0000-0500-00007D110000}"/>
            </a:ext>
          </a:extLst>
        </xdr:cNvPr>
        <xdr:cNvSpPr txBox="1">
          <a:spLocks noChangeArrowheads="1"/>
        </xdr:cNvSpPr>
      </xdr:nvSpPr>
      <xdr:spPr bwMode="auto">
        <a:xfrm>
          <a:off x="4972050" y="357981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98</xdr:row>
      <xdr:rowOff>504825</xdr:rowOff>
    </xdr:from>
    <xdr:ext cx="95250" cy="213632"/>
    <xdr:sp macro="" textlink="">
      <xdr:nvSpPr>
        <xdr:cNvPr id="4478" name="Text Box 15">
          <a:extLst>
            <a:ext uri="{FF2B5EF4-FFF2-40B4-BE49-F238E27FC236}">
              <a16:creationId xmlns:a16="http://schemas.microsoft.com/office/drawing/2014/main" id="{00000000-0008-0000-0500-00007E110000}"/>
            </a:ext>
          </a:extLst>
        </xdr:cNvPr>
        <xdr:cNvSpPr txBox="1">
          <a:spLocks noChangeArrowheads="1"/>
        </xdr:cNvSpPr>
      </xdr:nvSpPr>
      <xdr:spPr bwMode="auto">
        <a:xfrm>
          <a:off x="4972050" y="357981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98</xdr:row>
      <xdr:rowOff>504825</xdr:rowOff>
    </xdr:from>
    <xdr:ext cx="95250" cy="213632"/>
    <xdr:sp macro="" textlink="">
      <xdr:nvSpPr>
        <xdr:cNvPr id="4479" name="Text Box 15">
          <a:extLst>
            <a:ext uri="{FF2B5EF4-FFF2-40B4-BE49-F238E27FC236}">
              <a16:creationId xmlns:a16="http://schemas.microsoft.com/office/drawing/2014/main" id="{00000000-0008-0000-0500-00007F110000}"/>
            </a:ext>
          </a:extLst>
        </xdr:cNvPr>
        <xdr:cNvSpPr txBox="1">
          <a:spLocks noChangeArrowheads="1"/>
        </xdr:cNvSpPr>
      </xdr:nvSpPr>
      <xdr:spPr bwMode="auto">
        <a:xfrm>
          <a:off x="4972050" y="357981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98</xdr:row>
      <xdr:rowOff>504825</xdr:rowOff>
    </xdr:from>
    <xdr:ext cx="95250" cy="213632"/>
    <xdr:sp macro="" textlink="">
      <xdr:nvSpPr>
        <xdr:cNvPr id="4480" name="Text Box 15">
          <a:extLst>
            <a:ext uri="{FF2B5EF4-FFF2-40B4-BE49-F238E27FC236}">
              <a16:creationId xmlns:a16="http://schemas.microsoft.com/office/drawing/2014/main" id="{00000000-0008-0000-0500-000080110000}"/>
            </a:ext>
          </a:extLst>
        </xdr:cNvPr>
        <xdr:cNvSpPr txBox="1">
          <a:spLocks noChangeArrowheads="1"/>
        </xdr:cNvSpPr>
      </xdr:nvSpPr>
      <xdr:spPr bwMode="auto">
        <a:xfrm>
          <a:off x="4972050" y="357981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98</xdr:row>
      <xdr:rowOff>504825</xdr:rowOff>
    </xdr:from>
    <xdr:ext cx="95250" cy="213632"/>
    <xdr:sp macro="" textlink="">
      <xdr:nvSpPr>
        <xdr:cNvPr id="4481" name="Text Box 15">
          <a:extLst>
            <a:ext uri="{FF2B5EF4-FFF2-40B4-BE49-F238E27FC236}">
              <a16:creationId xmlns:a16="http://schemas.microsoft.com/office/drawing/2014/main" id="{00000000-0008-0000-0500-000081110000}"/>
            </a:ext>
          </a:extLst>
        </xdr:cNvPr>
        <xdr:cNvSpPr txBox="1">
          <a:spLocks noChangeArrowheads="1"/>
        </xdr:cNvSpPr>
      </xdr:nvSpPr>
      <xdr:spPr bwMode="auto">
        <a:xfrm>
          <a:off x="4972050" y="357981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98</xdr:row>
      <xdr:rowOff>504825</xdr:rowOff>
    </xdr:from>
    <xdr:ext cx="95250" cy="213632"/>
    <xdr:sp macro="" textlink="">
      <xdr:nvSpPr>
        <xdr:cNvPr id="4482" name="Text Box 15">
          <a:extLst>
            <a:ext uri="{FF2B5EF4-FFF2-40B4-BE49-F238E27FC236}">
              <a16:creationId xmlns:a16="http://schemas.microsoft.com/office/drawing/2014/main" id="{00000000-0008-0000-0500-000082110000}"/>
            </a:ext>
          </a:extLst>
        </xdr:cNvPr>
        <xdr:cNvSpPr txBox="1">
          <a:spLocks noChangeArrowheads="1"/>
        </xdr:cNvSpPr>
      </xdr:nvSpPr>
      <xdr:spPr bwMode="auto">
        <a:xfrm>
          <a:off x="4972050" y="357981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98</xdr:row>
      <xdr:rowOff>504825</xdr:rowOff>
    </xdr:from>
    <xdr:ext cx="95250" cy="213632"/>
    <xdr:sp macro="" textlink="">
      <xdr:nvSpPr>
        <xdr:cNvPr id="4483" name="Text Box 15">
          <a:extLst>
            <a:ext uri="{FF2B5EF4-FFF2-40B4-BE49-F238E27FC236}">
              <a16:creationId xmlns:a16="http://schemas.microsoft.com/office/drawing/2014/main" id="{00000000-0008-0000-0500-000083110000}"/>
            </a:ext>
          </a:extLst>
        </xdr:cNvPr>
        <xdr:cNvSpPr txBox="1">
          <a:spLocks noChangeArrowheads="1"/>
        </xdr:cNvSpPr>
      </xdr:nvSpPr>
      <xdr:spPr bwMode="auto">
        <a:xfrm>
          <a:off x="4972050" y="357981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98</xdr:row>
      <xdr:rowOff>504825</xdr:rowOff>
    </xdr:from>
    <xdr:ext cx="95250" cy="213632"/>
    <xdr:sp macro="" textlink="">
      <xdr:nvSpPr>
        <xdr:cNvPr id="4484" name="Text Box 15">
          <a:extLst>
            <a:ext uri="{FF2B5EF4-FFF2-40B4-BE49-F238E27FC236}">
              <a16:creationId xmlns:a16="http://schemas.microsoft.com/office/drawing/2014/main" id="{00000000-0008-0000-0500-000084110000}"/>
            </a:ext>
          </a:extLst>
        </xdr:cNvPr>
        <xdr:cNvSpPr txBox="1">
          <a:spLocks noChangeArrowheads="1"/>
        </xdr:cNvSpPr>
      </xdr:nvSpPr>
      <xdr:spPr bwMode="auto">
        <a:xfrm>
          <a:off x="4972050" y="357981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98</xdr:row>
      <xdr:rowOff>504825</xdr:rowOff>
    </xdr:from>
    <xdr:ext cx="95250" cy="213632"/>
    <xdr:sp macro="" textlink="">
      <xdr:nvSpPr>
        <xdr:cNvPr id="4485" name="Text Box 15">
          <a:extLst>
            <a:ext uri="{FF2B5EF4-FFF2-40B4-BE49-F238E27FC236}">
              <a16:creationId xmlns:a16="http://schemas.microsoft.com/office/drawing/2014/main" id="{00000000-0008-0000-0500-000085110000}"/>
            </a:ext>
          </a:extLst>
        </xdr:cNvPr>
        <xdr:cNvSpPr txBox="1">
          <a:spLocks noChangeArrowheads="1"/>
        </xdr:cNvSpPr>
      </xdr:nvSpPr>
      <xdr:spPr bwMode="auto">
        <a:xfrm>
          <a:off x="4972050" y="357981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98</xdr:row>
      <xdr:rowOff>504825</xdr:rowOff>
    </xdr:from>
    <xdr:ext cx="95250" cy="213632"/>
    <xdr:sp macro="" textlink="">
      <xdr:nvSpPr>
        <xdr:cNvPr id="4486" name="Text Box 15">
          <a:extLst>
            <a:ext uri="{FF2B5EF4-FFF2-40B4-BE49-F238E27FC236}">
              <a16:creationId xmlns:a16="http://schemas.microsoft.com/office/drawing/2014/main" id="{00000000-0008-0000-0500-000086110000}"/>
            </a:ext>
          </a:extLst>
        </xdr:cNvPr>
        <xdr:cNvSpPr txBox="1">
          <a:spLocks noChangeArrowheads="1"/>
        </xdr:cNvSpPr>
      </xdr:nvSpPr>
      <xdr:spPr bwMode="auto">
        <a:xfrm>
          <a:off x="4972050" y="357981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98</xdr:row>
      <xdr:rowOff>504825</xdr:rowOff>
    </xdr:from>
    <xdr:ext cx="95250" cy="213632"/>
    <xdr:sp macro="" textlink="">
      <xdr:nvSpPr>
        <xdr:cNvPr id="4487" name="Text Box 15">
          <a:extLst>
            <a:ext uri="{FF2B5EF4-FFF2-40B4-BE49-F238E27FC236}">
              <a16:creationId xmlns:a16="http://schemas.microsoft.com/office/drawing/2014/main" id="{00000000-0008-0000-0500-000087110000}"/>
            </a:ext>
          </a:extLst>
        </xdr:cNvPr>
        <xdr:cNvSpPr txBox="1">
          <a:spLocks noChangeArrowheads="1"/>
        </xdr:cNvSpPr>
      </xdr:nvSpPr>
      <xdr:spPr bwMode="auto">
        <a:xfrm>
          <a:off x="4972050" y="357981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98</xdr:row>
      <xdr:rowOff>504825</xdr:rowOff>
    </xdr:from>
    <xdr:ext cx="95250" cy="213632"/>
    <xdr:sp macro="" textlink="">
      <xdr:nvSpPr>
        <xdr:cNvPr id="4488" name="Text Box 15">
          <a:extLst>
            <a:ext uri="{FF2B5EF4-FFF2-40B4-BE49-F238E27FC236}">
              <a16:creationId xmlns:a16="http://schemas.microsoft.com/office/drawing/2014/main" id="{00000000-0008-0000-0500-000088110000}"/>
            </a:ext>
          </a:extLst>
        </xdr:cNvPr>
        <xdr:cNvSpPr txBox="1">
          <a:spLocks noChangeArrowheads="1"/>
        </xdr:cNvSpPr>
      </xdr:nvSpPr>
      <xdr:spPr bwMode="auto">
        <a:xfrm>
          <a:off x="4972050" y="357981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98</xdr:row>
      <xdr:rowOff>504825</xdr:rowOff>
    </xdr:from>
    <xdr:ext cx="95250" cy="213632"/>
    <xdr:sp macro="" textlink="">
      <xdr:nvSpPr>
        <xdr:cNvPr id="4489" name="Text Box 15">
          <a:extLst>
            <a:ext uri="{FF2B5EF4-FFF2-40B4-BE49-F238E27FC236}">
              <a16:creationId xmlns:a16="http://schemas.microsoft.com/office/drawing/2014/main" id="{00000000-0008-0000-0500-000089110000}"/>
            </a:ext>
          </a:extLst>
        </xdr:cNvPr>
        <xdr:cNvSpPr txBox="1">
          <a:spLocks noChangeArrowheads="1"/>
        </xdr:cNvSpPr>
      </xdr:nvSpPr>
      <xdr:spPr bwMode="auto">
        <a:xfrm>
          <a:off x="4972050" y="357981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98</xdr:row>
      <xdr:rowOff>504825</xdr:rowOff>
    </xdr:from>
    <xdr:ext cx="95250" cy="213632"/>
    <xdr:sp macro="" textlink="">
      <xdr:nvSpPr>
        <xdr:cNvPr id="4490" name="Text Box 15">
          <a:extLst>
            <a:ext uri="{FF2B5EF4-FFF2-40B4-BE49-F238E27FC236}">
              <a16:creationId xmlns:a16="http://schemas.microsoft.com/office/drawing/2014/main" id="{00000000-0008-0000-0500-00008A110000}"/>
            </a:ext>
          </a:extLst>
        </xdr:cNvPr>
        <xdr:cNvSpPr txBox="1">
          <a:spLocks noChangeArrowheads="1"/>
        </xdr:cNvSpPr>
      </xdr:nvSpPr>
      <xdr:spPr bwMode="auto">
        <a:xfrm>
          <a:off x="4972050" y="357981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98</xdr:row>
      <xdr:rowOff>504825</xdr:rowOff>
    </xdr:from>
    <xdr:ext cx="95250" cy="213632"/>
    <xdr:sp macro="" textlink="">
      <xdr:nvSpPr>
        <xdr:cNvPr id="4491" name="Text Box 15">
          <a:extLst>
            <a:ext uri="{FF2B5EF4-FFF2-40B4-BE49-F238E27FC236}">
              <a16:creationId xmlns:a16="http://schemas.microsoft.com/office/drawing/2014/main" id="{00000000-0008-0000-0500-00008B110000}"/>
            </a:ext>
          </a:extLst>
        </xdr:cNvPr>
        <xdr:cNvSpPr txBox="1">
          <a:spLocks noChangeArrowheads="1"/>
        </xdr:cNvSpPr>
      </xdr:nvSpPr>
      <xdr:spPr bwMode="auto">
        <a:xfrm>
          <a:off x="4972050" y="357981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98</xdr:row>
      <xdr:rowOff>504825</xdr:rowOff>
    </xdr:from>
    <xdr:ext cx="95250" cy="213632"/>
    <xdr:sp macro="" textlink="">
      <xdr:nvSpPr>
        <xdr:cNvPr id="4492" name="Text Box 15">
          <a:extLst>
            <a:ext uri="{FF2B5EF4-FFF2-40B4-BE49-F238E27FC236}">
              <a16:creationId xmlns:a16="http://schemas.microsoft.com/office/drawing/2014/main" id="{00000000-0008-0000-0500-00008C110000}"/>
            </a:ext>
          </a:extLst>
        </xdr:cNvPr>
        <xdr:cNvSpPr txBox="1">
          <a:spLocks noChangeArrowheads="1"/>
        </xdr:cNvSpPr>
      </xdr:nvSpPr>
      <xdr:spPr bwMode="auto">
        <a:xfrm>
          <a:off x="4972050" y="357981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98</xdr:row>
      <xdr:rowOff>504825</xdr:rowOff>
    </xdr:from>
    <xdr:ext cx="95250" cy="213632"/>
    <xdr:sp macro="" textlink="">
      <xdr:nvSpPr>
        <xdr:cNvPr id="4493" name="Text Box 15">
          <a:extLst>
            <a:ext uri="{FF2B5EF4-FFF2-40B4-BE49-F238E27FC236}">
              <a16:creationId xmlns:a16="http://schemas.microsoft.com/office/drawing/2014/main" id="{00000000-0008-0000-0500-00008D110000}"/>
            </a:ext>
          </a:extLst>
        </xdr:cNvPr>
        <xdr:cNvSpPr txBox="1">
          <a:spLocks noChangeArrowheads="1"/>
        </xdr:cNvSpPr>
      </xdr:nvSpPr>
      <xdr:spPr bwMode="auto">
        <a:xfrm>
          <a:off x="4972050" y="357981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98</xdr:row>
      <xdr:rowOff>504825</xdr:rowOff>
    </xdr:from>
    <xdr:ext cx="95250" cy="213632"/>
    <xdr:sp macro="" textlink="">
      <xdr:nvSpPr>
        <xdr:cNvPr id="4494" name="Text Box 15">
          <a:extLst>
            <a:ext uri="{FF2B5EF4-FFF2-40B4-BE49-F238E27FC236}">
              <a16:creationId xmlns:a16="http://schemas.microsoft.com/office/drawing/2014/main" id="{00000000-0008-0000-0500-00008E110000}"/>
            </a:ext>
          </a:extLst>
        </xdr:cNvPr>
        <xdr:cNvSpPr txBox="1">
          <a:spLocks noChangeArrowheads="1"/>
        </xdr:cNvSpPr>
      </xdr:nvSpPr>
      <xdr:spPr bwMode="auto">
        <a:xfrm>
          <a:off x="4972050" y="357981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98</xdr:row>
      <xdr:rowOff>504825</xdr:rowOff>
    </xdr:from>
    <xdr:ext cx="95250" cy="213632"/>
    <xdr:sp macro="" textlink="">
      <xdr:nvSpPr>
        <xdr:cNvPr id="4495" name="Text Box 15">
          <a:extLst>
            <a:ext uri="{FF2B5EF4-FFF2-40B4-BE49-F238E27FC236}">
              <a16:creationId xmlns:a16="http://schemas.microsoft.com/office/drawing/2014/main" id="{00000000-0008-0000-0500-00008F110000}"/>
            </a:ext>
          </a:extLst>
        </xdr:cNvPr>
        <xdr:cNvSpPr txBox="1">
          <a:spLocks noChangeArrowheads="1"/>
        </xdr:cNvSpPr>
      </xdr:nvSpPr>
      <xdr:spPr bwMode="auto">
        <a:xfrm>
          <a:off x="4972050" y="357981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98</xdr:row>
      <xdr:rowOff>504825</xdr:rowOff>
    </xdr:from>
    <xdr:ext cx="95250" cy="213632"/>
    <xdr:sp macro="" textlink="">
      <xdr:nvSpPr>
        <xdr:cNvPr id="4496" name="Text Box 15">
          <a:extLst>
            <a:ext uri="{FF2B5EF4-FFF2-40B4-BE49-F238E27FC236}">
              <a16:creationId xmlns:a16="http://schemas.microsoft.com/office/drawing/2014/main" id="{00000000-0008-0000-0500-000090110000}"/>
            </a:ext>
          </a:extLst>
        </xdr:cNvPr>
        <xdr:cNvSpPr txBox="1">
          <a:spLocks noChangeArrowheads="1"/>
        </xdr:cNvSpPr>
      </xdr:nvSpPr>
      <xdr:spPr bwMode="auto">
        <a:xfrm>
          <a:off x="4972050" y="357981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98</xdr:row>
      <xdr:rowOff>504825</xdr:rowOff>
    </xdr:from>
    <xdr:ext cx="95250" cy="213632"/>
    <xdr:sp macro="" textlink="">
      <xdr:nvSpPr>
        <xdr:cNvPr id="4497" name="Text Box 15">
          <a:extLst>
            <a:ext uri="{FF2B5EF4-FFF2-40B4-BE49-F238E27FC236}">
              <a16:creationId xmlns:a16="http://schemas.microsoft.com/office/drawing/2014/main" id="{00000000-0008-0000-0500-000091110000}"/>
            </a:ext>
          </a:extLst>
        </xdr:cNvPr>
        <xdr:cNvSpPr txBox="1">
          <a:spLocks noChangeArrowheads="1"/>
        </xdr:cNvSpPr>
      </xdr:nvSpPr>
      <xdr:spPr bwMode="auto">
        <a:xfrm>
          <a:off x="4972050" y="357981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98</xdr:row>
      <xdr:rowOff>504825</xdr:rowOff>
    </xdr:from>
    <xdr:ext cx="95250" cy="213632"/>
    <xdr:sp macro="" textlink="">
      <xdr:nvSpPr>
        <xdr:cNvPr id="4498" name="Text Box 15">
          <a:extLst>
            <a:ext uri="{FF2B5EF4-FFF2-40B4-BE49-F238E27FC236}">
              <a16:creationId xmlns:a16="http://schemas.microsoft.com/office/drawing/2014/main" id="{00000000-0008-0000-0500-000092110000}"/>
            </a:ext>
          </a:extLst>
        </xdr:cNvPr>
        <xdr:cNvSpPr txBox="1">
          <a:spLocks noChangeArrowheads="1"/>
        </xdr:cNvSpPr>
      </xdr:nvSpPr>
      <xdr:spPr bwMode="auto">
        <a:xfrm>
          <a:off x="4972050" y="357981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98</xdr:row>
      <xdr:rowOff>504825</xdr:rowOff>
    </xdr:from>
    <xdr:ext cx="95250" cy="213632"/>
    <xdr:sp macro="" textlink="">
      <xdr:nvSpPr>
        <xdr:cNvPr id="4499" name="Text Box 15">
          <a:extLst>
            <a:ext uri="{FF2B5EF4-FFF2-40B4-BE49-F238E27FC236}">
              <a16:creationId xmlns:a16="http://schemas.microsoft.com/office/drawing/2014/main" id="{00000000-0008-0000-0500-000093110000}"/>
            </a:ext>
          </a:extLst>
        </xdr:cNvPr>
        <xdr:cNvSpPr txBox="1">
          <a:spLocks noChangeArrowheads="1"/>
        </xdr:cNvSpPr>
      </xdr:nvSpPr>
      <xdr:spPr bwMode="auto">
        <a:xfrm>
          <a:off x="4972050" y="357981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98</xdr:row>
      <xdr:rowOff>504825</xdr:rowOff>
    </xdr:from>
    <xdr:ext cx="95250" cy="213632"/>
    <xdr:sp macro="" textlink="">
      <xdr:nvSpPr>
        <xdr:cNvPr id="4500" name="Text Box 15">
          <a:extLst>
            <a:ext uri="{FF2B5EF4-FFF2-40B4-BE49-F238E27FC236}">
              <a16:creationId xmlns:a16="http://schemas.microsoft.com/office/drawing/2014/main" id="{00000000-0008-0000-0500-000094110000}"/>
            </a:ext>
          </a:extLst>
        </xdr:cNvPr>
        <xdr:cNvSpPr txBox="1">
          <a:spLocks noChangeArrowheads="1"/>
        </xdr:cNvSpPr>
      </xdr:nvSpPr>
      <xdr:spPr bwMode="auto">
        <a:xfrm>
          <a:off x="4972050" y="357981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104</xdr:row>
      <xdr:rowOff>504825</xdr:rowOff>
    </xdr:from>
    <xdr:ext cx="95250" cy="448496"/>
    <xdr:sp macro="" textlink="">
      <xdr:nvSpPr>
        <xdr:cNvPr id="4501" name="Text Box 15">
          <a:extLst>
            <a:ext uri="{FF2B5EF4-FFF2-40B4-BE49-F238E27FC236}">
              <a16:creationId xmlns:a16="http://schemas.microsoft.com/office/drawing/2014/main" id="{00000000-0008-0000-0500-000095110000}"/>
            </a:ext>
          </a:extLst>
        </xdr:cNvPr>
        <xdr:cNvSpPr txBox="1">
          <a:spLocks noChangeArrowheads="1"/>
        </xdr:cNvSpPr>
      </xdr:nvSpPr>
      <xdr:spPr bwMode="auto">
        <a:xfrm>
          <a:off x="4972050" y="38046025"/>
          <a:ext cx="95250" cy="448496"/>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104</xdr:row>
      <xdr:rowOff>504825</xdr:rowOff>
    </xdr:from>
    <xdr:ext cx="95250" cy="213632"/>
    <xdr:sp macro="" textlink="">
      <xdr:nvSpPr>
        <xdr:cNvPr id="4502" name="Text Box 15">
          <a:extLst>
            <a:ext uri="{FF2B5EF4-FFF2-40B4-BE49-F238E27FC236}">
              <a16:creationId xmlns:a16="http://schemas.microsoft.com/office/drawing/2014/main" id="{00000000-0008-0000-0500-000096110000}"/>
            </a:ext>
          </a:extLst>
        </xdr:cNvPr>
        <xdr:cNvSpPr txBox="1">
          <a:spLocks noChangeArrowheads="1"/>
        </xdr:cNvSpPr>
      </xdr:nvSpPr>
      <xdr:spPr bwMode="auto">
        <a:xfrm>
          <a:off x="4972050" y="380460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104</xdr:row>
      <xdr:rowOff>504825</xdr:rowOff>
    </xdr:from>
    <xdr:ext cx="95250" cy="444331"/>
    <xdr:sp macro="" textlink="">
      <xdr:nvSpPr>
        <xdr:cNvPr id="4503" name="Text Box 15">
          <a:extLst>
            <a:ext uri="{FF2B5EF4-FFF2-40B4-BE49-F238E27FC236}">
              <a16:creationId xmlns:a16="http://schemas.microsoft.com/office/drawing/2014/main" id="{00000000-0008-0000-0500-000097110000}"/>
            </a:ext>
          </a:extLst>
        </xdr:cNvPr>
        <xdr:cNvSpPr txBox="1">
          <a:spLocks noChangeArrowheads="1"/>
        </xdr:cNvSpPr>
      </xdr:nvSpPr>
      <xdr:spPr bwMode="auto">
        <a:xfrm>
          <a:off x="4972050" y="38046025"/>
          <a:ext cx="95250" cy="444331"/>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104</xdr:row>
      <xdr:rowOff>504825</xdr:rowOff>
    </xdr:from>
    <xdr:ext cx="95250" cy="448496"/>
    <xdr:sp macro="" textlink="">
      <xdr:nvSpPr>
        <xdr:cNvPr id="4504" name="Text Box 15">
          <a:extLst>
            <a:ext uri="{FF2B5EF4-FFF2-40B4-BE49-F238E27FC236}">
              <a16:creationId xmlns:a16="http://schemas.microsoft.com/office/drawing/2014/main" id="{00000000-0008-0000-0500-000098110000}"/>
            </a:ext>
          </a:extLst>
        </xdr:cNvPr>
        <xdr:cNvSpPr txBox="1">
          <a:spLocks noChangeArrowheads="1"/>
        </xdr:cNvSpPr>
      </xdr:nvSpPr>
      <xdr:spPr bwMode="auto">
        <a:xfrm>
          <a:off x="4972050" y="38046025"/>
          <a:ext cx="95250" cy="448496"/>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104</xdr:row>
      <xdr:rowOff>504825</xdr:rowOff>
    </xdr:from>
    <xdr:ext cx="95250" cy="213632"/>
    <xdr:sp macro="" textlink="">
      <xdr:nvSpPr>
        <xdr:cNvPr id="4505" name="Text Box 15">
          <a:extLst>
            <a:ext uri="{FF2B5EF4-FFF2-40B4-BE49-F238E27FC236}">
              <a16:creationId xmlns:a16="http://schemas.microsoft.com/office/drawing/2014/main" id="{00000000-0008-0000-0500-000099110000}"/>
            </a:ext>
          </a:extLst>
        </xdr:cNvPr>
        <xdr:cNvSpPr txBox="1">
          <a:spLocks noChangeArrowheads="1"/>
        </xdr:cNvSpPr>
      </xdr:nvSpPr>
      <xdr:spPr bwMode="auto">
        <a:xfrm>
          <a:off x="4972050" y="380460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104</xdr:row>
      <xdr:rowOff>504825</xdr:rowOff>
    </xdr:from>
    <xdr:ext cx="95250" cy="444331"/>
    <xdr:sp macro="" textlink="">
      <xdr:nvSpPr>
        <xdr:cNvPr id="4506" name="Text Box 15">
          <a:extLst>
            <a:ext uri="{FF2B5EF4-FFF2-40B4-BE49-F238E27FC236}">
              <a16:creationId xmlns:a16="http://schemas.microsoft.com/office/drawing/2014/main" id="{00000000-0008-0000-0500-00009A110000}"/>
            </a:ext>
          </a:extLst>
        </xdr:cNvPr>
        <xdr:cNvSpPr txBox="1">
          <a:spLocks noChangeArrowheads="1"/>
        </xdr:cNvSpPr>
      </xdr:nvSpPr>
      <xdr:spPr bwMode="auto">
        <a:xfrm>
          <a:off x="4972050" y="38046025"/>
          <a:ext cx="95250" cy="444331"/>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104</xdr:row>
      <xdr:rowOff>504825</xdr:rowOff>
    </xdr:from>
    <xdr:ext cx="95250" cy="456743"/>
    <xdr:sp macro="" textlink="">
      <xdr:nvSpPr>
        <xdr:cNvPr id="4507" name="Text Box 15">
          <a:extLst>
            <a:ext uri="{FF2B5EF4-FFF2-40B4-BE49-F238E27FC236}">
              <a16:creationId xmlns:a16="http://schemas.microsoft.com/office/drawing/2014/main" id="{00000000-0008-0000-0500-00009B110000}"/>
            </a:ext>
          </a:extLst>
        </xdr:cNvPr>
        <xdr:cNvSpPr txBox="1">
          <a:spLocks noChangeArrowheads="1"/>
        </xdr:cNvSpPr>
      </xdr:nvSpPr>
      <xdr:spPr bwMode="auto">
        <a:xfrm>
          <a:off x="4972050" y="38046025"/>
          <a:ext cx="95250" cy="456743"/>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104</xdr:row>
      <xdr:rowOff>504825</xdr:rowOff>
    </xdr:from>
    <xdr:ext cx="95250" cy="213632"/>
    <xdr:sp macro="" textlink="">
      <xdr:nvSpPr>
        <xdr:cNvPr id="4508" name="Text Box 15">
          <a:extLst>
            <a:ext uri="{FF2B5EF4-FFF2-40B4-BE49-F238E27FC236}">
              <a16:creationId xmlns:a16="http://schemas.microsoft.com/office/drawing/2014/main" id="{00000000-0008-0000-0500-00009C110000}"/>
            </a:ext>
          </a:extLst>
        </xdr:cNvPr>
        <xdr:cNvSpPr txBox="1">
          <a:spLocks noChangeArrowheads="1"/>
        </xdr:cNvSpPr>
      </xdr:nvSpPr>
      <xdr:spPr bwMode="auto">
        <a:xfrm>
          <a:off x="4972050" y="380460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104</xdr:row>
      <xdr:rowOff>504825</xdr:rowOff>
    </xdr:from>
    <xdr:ext cx="95250" cy="444331"/>
    <xdr:sp macro="" textlink="">
      <xdr:nvSpPr>
        <xdr:cNvPr id="4509" name="Text Box 15">
          <a:extLst>
            <a:ext uri="{FF2B5EF4-FFF2-40B4-BE49-F238E27FC236}">
              <a16:creationId xmlns:a16="http://schemas.microsoft.com/office/drawing/2014/main" id="{00000000-0008-0000-0500-00009D110000}"/>
            </a:ext>
          </a:extLst>
        </xdr:cNvPr>
        <xdr:cNvSpPr txBox="1">
          <a:spLocks noChangeArrowheads="1"/>
        </xdr:cNvSpPr>
      </xdr:nvSpPr>
      <xdr:spPr bwMode="auto">
        <a:xfrm>
          <a:off x="4972050" y="38046025"/>
          <a:ext cx="95250" cy="444331"/>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106</xdr:row>
      <xdr:rowOff>504825</xdr:rowOff>
    </xdr:from>
    <xdr:ext cx="95250" cy="448496"/>
    <xdr:sp macro="" textlink="">
      <xdr:nvSpPr>
        <xdr:cNvPr id="4510" name="Text Box 15">
          <a:extLst>
            <a:ext uri="{FF2B5EF4-FFF2-40B4-BE49-F238E27FC236}">
              <a16:creationId xmlns:a16="http://schemas.microsoft.com/office/drawing/2014/main" id="{00000000-0008-0000-0500-00009E110000}"/>
            </a:ext>
          </a:extLst>
        </xdr:cNvPr>
        <xdr:cNvSpPr txBox="1">
          <a:spLocks noChangeArrowheads="1"/>
        </xdr:cNvSpPr>
      </xdr:nvSpPr>
      <xdr:spPr bwMode="auto">
        <a:xfrm>
          <a:off x="4972050" y="38046025"/>
          <a:ext cx="95250" cy="448496"/>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106</xdr:row>
      <xdr:rowOff>504825</xdr:rowOff>
    </xdr:from>
    <xdr:ext cx="95250" cy="213632"/>
    <xdr:sp macro="" textlink="">
      <xdr:nvSpPr>
        <xdr:cNvPr id="4511" name="Text Box 15">
          <a:extLst>
            <a:ext uri="{FF2B5EF4-FFF2-40B4-BE49-F238E27FC236}">
              <a16:creationId xmlns:a16="http://schemas.microsoft.com/office/drawing/2014/main" id="{00000000-0008-0000-0500-00009F110000}"/>
            </a:ext>
          </a:extLst>
        </xdr:cNvPr>
        <xdr:cNvSpPr txBox="1">
          <a:spLocks noChangeArrowheads="1"/>
        </xdr:cNvSpPr>
      </xdr:nvSpPr>
      <xdr:spPr bwMode="auto">
        <a:xfrm>
          <a:off x="4972050" y="380460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106</xdr:row>
      <xdr:rowOff>504825</xdr:rowOff>
    </xdr:from>
    <xdr:ext cx="95250" cy="444331"/>
    <xdr:sp macro="" textlink="">
      <xdr:nvSpPr>
        <xdr:cNvPr id="4512" name="Text Box 15">
          <a:extLst>
            <a:ext uri="{FF2B5EF4-FFF2-40B4-BE49-F238E27FC236}">
              <a16:creationId xmlns:a16="http://schemas.microsoft.com/office/drawing/2014/main" id="{00000000-0008-0000-0500-0000A0110000}"/>
            </a:ext>
          </a:extLst>
        </xdr:cNvPr>
        <xdr:cNvSpPr txBox="1">
          <a:spLocks noChangeArrowheads="1"/>
        </xdr:cNvSpPr>
      </xdr:nvSpPr>
      <xdr:spPr bwMode="auto">
        <a:xfrm>
          <a:off x="4972050" y="38046025"/>
          <a:ext cx="95250" cy="444331"/>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106</xdr:row>
      <xdr:rowOff>504825</xdr:rowOff>
    </xdr:from>
    <xdr:ext cx="95250" cy="448496"/>
    <xdr:sp macro="" textlink="">
      <xdr:nvSpPr>
        <xdr:cNvPr id="4513" name="Text Box 15">
          <a:extLst>
            <a:ext uri="{FF2B5EF4-FFF2-40B4-BE49-F238E27FC236}">
              <a16:creationId xmlns:a16="http://schemas.microsoft.com/office/drawing/2014/main" id="{00000000-0008-0000-0500-0000A1110000}"/>
            </a:ext>
          </a:extLst>
        </xdr:cNvPr>
        <xdr:cNvSpPr txBox="1">
          <a:spLocks noChangeArrowheads="1"/>
        </xdr:cNvSpPr>
      </xdr:nvSpPr>
      <xdr:spPr bwMode="auto">
        <a:xfrm>
          <a:off x="4972050" y="38046025"/>
          <a:ext cx="95250" cy="448496"/>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106</xdr:row>
      <xdr:rowOff>504825</xdr:rowOff>
    </xdr:from>
    <xdr:ext cx="95250" cy="213632"/>
    <xdr:sp macro="" textlink="">
      <xdr:nvSpPr>
        <xdr:cNvPr id="4514" name="Text Box 15">
          <a:extLst>
            <a:ext uri="{FF2B5EF4-FFF2-40B4-BE49-F238E27FC236}">
              <a16:creationId xmlns:a16="http://schemas.microsoft.com/office/drawing/2014/main" id="{00000000-0008-0000-0500-0000A2110000}"/>
            </a:ext>
          </a:extLst>
        </xdr:cNvPr>
        <xdr:cNvSpPr txBox="1">
          <a:spLocks noChangeArrowheads="1"/>
        </xdr:cNvSpPr>
      </xdr:nvSpPr>
      <xdr:spPr bwMode="auto">
        <a:xfrm>
          <a:off x="4972050" y="380460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106</xdr:row>
      <xdr:rowOff>504825</xdr:rowOff>
    </xdr:from>
    <xdr:ext cx="95250" cy="444331"/>
    <xdr:sp macro="" textlink="">
      <xdr:nvSpPr>
        <xdr:cNvPr id="4515" name="Text Box 15">
          <a:extLst>
            <a:ext uri="{FF2B5EF4-FFF2-40B4-BE49-F238E27FC236}">
              <a16:creationId xmlns:a16="http://schemas.microsoft.com/office/drawing/2014/main" id="{00000000-0008-0000-0500-0000A3110000}"/>
            </a:ext>
          </a:extLst>
        </xdr:cNvPr>
        <xdr:cNvSpPr txBox="1">
          <a:spLocks noChangeArrowheads="1"/>
        </xdr:cNvSpPr>
      </xdr:nvSpPr>
      <xdr:spPr bwMode="auto">
        <a:xfrm>
          <a:off x="4972050" y="38046025"/>
          <a:ext cx="95250" cy="444331"/>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106</xdr:row>
      <xdr:rowOff>504825</xdr:rowOff>
    </xdr:from>
    <xdr:ext cx="95250" cy="456743"/>
    <xdr:sp macro="" textlink="">
      <xdr:nvSpPr>
        <xdr:cNvPr id="4516" name="Text Box 15">
          <a:extLst>
            <a:ext uri="{FF2B5EF4-FFF2-40B4-BE49-F238E27FC236}">
              <a16:creationId xmlns:a16="http://schemas.microsoft.com/office/drawing/2014/main" id="{00000000-0008-0000-0500-0000A4110000}"/>
            </a:ext>
          </a:extLst>
        </xdr:cNvPr>
        <xdr:cNvSpPr txBox="1">
          <a:spLocks noChangeArrowheads="1"/>
        </xdr:cNvSpPr>
      </xdr:nvSpPr>
      <xdr:spPr bwMode="auto">
        <a:xfrm>
          <a:off x="4972050" y="38046025"/>
          <a:ext cx="95250" cy="456743"/>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106</xdr:row>
      <xdr:rowOff>504825</xdr:rowOff>
    </xdr:from>
    <xdr:ext cx="95250" cy="213632"/>
    <xdr:sp macro="" textlink="">
      <xdr:nvSpPr>
        <xdr:cNvPr id="4517" name="Text Box 15">
          <a:extLst>
            <a:ext uri="{FF2B5EF4-FFF2-40B4-BE49-F238E27FC236}">
              <a16:creationId xmlns:a16="http://schemas.microsoft.com/office/drawing/2014/main" id="{00000000-0008-0000-0500-0000A5110000}"/>
            </a:ext>
          </a:extLst>
        </xdr:cNvPr>
        <xdr:cNvSpPr txBox="1">
          <a:spLocks noChangeArrowheads="1"/>
        </xdr:cNvSpPr>
      </xdr:nvSpPr>
      <xdr:spPr bwMode="auto">
        <a:xfrm>
          <a:off x="4972050" y="380460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106</xdr:row>
      <xdr:rowOff>504825</xdr:rowOff>
    </xdr:from>
    <xdr:ext cx="95250" cy="444331"/>
    <xdr:sp macro="" textlink="">
      <xdr:nvSpPr>
        <xdr:cNvPr id="4518" name="Text Box 15">
          <a:extLst>
            <a:ext uri="{FF2B5EF4-FFF2-40B4-BE49-F238E27FC236}">
              <a16:creationId xmlns:a16="http://schemas.microsoft.com/office/drawing/2014/main" id="{00000000-0008-0000-0500-0000A6110000}"/>
            </a:ext>
          </a:extLst>
        </xdr:cNvPr>
        <xdr:cNvSpPr txBox="1">
          <a:spLocks noChangeArrowheads="1"/>
        </xdr:cNvSpPr>
      </xdr:nvSpPr>
      <xdr:spPr bwMode="auto">
        <a:xfrm>
          <a:off x="4972050" y="38046025"/>
          <a:ext cx="95250" cy="444331"/>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108</xdr:row>
      <xdr:rowOff>504825</xdr:rowOff>
    </xdr:from>
    <xdr:ext cx="95250" cy="213632"/>
    <xdr:sp macro="" textlink="">
      <xdr:nvSpPr>
        <xdr:cNvPr id="4519" name="Text Box 15">
          <a:extLst>
            <a:ext uri="{FF2B5EF4-FFF2-40B4-BE49-F238E27FC236}">
              <a16:creationId xmlns:a16="http://schemas.microsoft.com/office/drawing/2014/main" id="{00000000-0008-0000-0500-0000A7110000}"/>
            </a:ext>
          </a:extLst>
        </xdr:cNvPr>
        <xdr:cNvSpPr txBox="1">
          <a:spLocks noChangeArrowheads="1"/>
        </xdr:cNvSpPr>
      </xdr:nvSpPr>
      <xdr:spPr bwMode="auto">
        <a:xfrm>
          <a:off x="4972050" y="387953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108</xdr:row>
      <xdr:rowOff>504825</xdr:rowOff>
    </xdr:from>
    <xdr:ext cx="95250" cy="213632"/>
    <xdr:sp macro="" textlink="">
      <xdr:nvSpPr>
        <xdr:cNvPr id="4520" name="Text Box 15">
          <a:extLst>
            <a:ext uri="{FF2B5EF4-FFF2-40B4-BE49-F238E27FC236}">
              <a16:creationId xmlns:a16="http://schemas.microsoft.com/office/drawing/2014/main" id="{00000000-0008-0000-0500-0000A8110000}"/>
            </a:ext>
          </a:extLst>
        </xdr:cNvPr>
        <xdr:cNvSpPr txBox="1">
          <a:spLocks noChangeArrowheads="1"/>
        </xdr:cNvSpPr>
      </xdr:nvSpPr>
      <xdr:spPr bwMode="auto">
        <a:xfrm>
          <a:off x="4972050" y="387953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108</xdr:row>
      <xdr:rowOff>504825</xdr:rowOff>
    </xdr:from>
    <xdr:ext cx="95250" cy="213632"/>
    <xdr:sp macro="" textlink="">
      <xdr:nvSpPr>
        <xdr:cNvPr id="4521" name="Text Box 15">
          <a:extLst>
            <a:ext uri="{FF2B5EF4-FFF2-40B4-BE49-F238E27FC236}">
              <a16:creationId xmlns:a16="http://schemas.microsoft.com/office/drawing/2014/main" id="{00000000-0008-0000-0500-0000A9110000}"/>
            </a:ext>
          </a:extLst>
        </xdr:cNvPr>
        <xdr:cNvSpPr txBox="1">
          <a:spLocks noChangeArrowheads="1"/>
        </xdr:cNvSpPr>
      </xdr:nvSpPr>
      <xdr:spPr bwMode="auto">
        <a:xfrm>
          <a:off x="4972050" y="387953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110</xdr:row>
      <xdr:rowOff>504825</xdr:rowOff>
    </xdr:from>
    <xdr:ext cx="95250" cy="448496"/>
    <xdr:sp macro="" textlink="">
      <xdr:nvSpPr>
        <xdr:cNvPr id="4522" name="Text Box 15">
          <a:extLst>
            <a:ext uri="{FF2B5EF4-FFF2-40B4-BE49-F238E27FC236}">
              <a16:creationId xmlns:a16="http://schemas.microsoft.com/office/drawing/2014/main" id="{00000000-0008-0000-0500-0000AA110000}"/>
            </a:ext>
          </a:extLst>
        </xdr:cNvPr>
        <xdr:cNvSpPr txBox="1">
          <a:spLocks noChangeArrowheads="1"/>
        </xdr:cNvSpPr>
      </xdr:nvSpPr>
      <xdr:spPr bwMode="auto">
        <a:xfrm>
          <a:off x="4972050" y="40293925"/>
          <a:ext cx="95250" cy="448496"/>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110</xdr:row>
      <xdr:rowOff>504825</xdr:rowOff>
    </xdr:from>
    <xdr:ext cx="95250" cy="213632"/>
    <xdr:sp macro="" textlink="">
      <xdr:nvSpPr>
        <xdr:cNvPr id="4523" name="Text Box 15">
          <a:extLst>
            <a:ext uri="{FF2B5EF4-FFF2-40B4-BE49-F238E27FC236}">
              <a16:creationId xmlns:a16="http://schemas.microsoft.com/office/drawing/2014/main" id="{00000000-0008-0000-0500-0000AB110000}"/>
            </a:ext>
          </a:extLst>
        </xdr:cNvPr>
        <xdr:cNvSpPr txBox="1">
          <a:spLocks noChangeArrowheads="1"/>
        </xdr:cNvSpPr>
      </xdr:nvSpPr>
      <xdr:spPr bwMode="auto">
        <a:xfrm>
          <a:off x="4972050" y="402939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110</xdr:row>
      <xdr:rowOff>504825</xdr:rowOff>
    </xdr:from>
    <xdr:ext cx="95250" cy="444331"/>
    <xdr:sp macro="" textlink="">
      <xdr:nvSpPr>
        <xdr:cNvPr id="4524" name="Text Box 15">
          <a:extLst>
            <a:ext uri="{FF2B5EF4-FFF2-40B4-BE49-F238E27FC236}">
              <a16:creationId xmlns:a16="http://schemas.microsoft.com/office/drawing/2014/main" id="{00000000-0008-0000-0500-0000AC110000}"/>
            </a:ext>
          </a:extLst>
        </xdr:cNvPr>
        <xdr:cNvSpPr txBox="1">
          <a:spLocks noChangeArrowheads="1"/>
        </xdr:cNvSpPr>
      </xdr:nvSpPr>
      <xdr:spPr bwMode="auto">
        <a:xfrm>
          <a:off x="4972050" y="40293925"/>
          <a:ext cx="95250" cy="444331"/>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110</xdr:row>
      <xdr:rowOff>504825</xdr:rowOff>
    </xdr:from>
    <xdr:ext cx="95250" cy="448496"/>
    <xdr:sp macro="" textlink="">
      <xdr:nvSpPr>
        <xdr:cNvPr id="4525" name="Text Box 15">
          <a:extLst>
            <a:ext uri="{FF2B5EF4-FFF2-40B4-BE49-F238E27FC236}">
              <a16:creationId xmlns:a16="http://schemas.microsoft.com/office/drawing/2014/main" id="{00000000-0008-0000-0500-0000AD110000}"/>
            </a:ext>
          </a:extLst>
        </xdr:cNvPr>
        <xdr:cNvSpPr txBox="1">
          <a:spLocks noChangeArrowheads="1"/>
        </xdr:cNvSpPr>
      </xdr:nvSpPr>
      <xdr:spPr bwMode="auto">
        <a:xfrm>
          <a:off x="4972050" y="40293925"/>
          <a:ext cx="95250" cy="448496"/>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110</xdr:row>
      <xdr:rowOff>504825</xdr:rowOff>
    </xdr:from>
    <xdr:ext cx="95250" cy="213632"/>
    <xdr:sp macro="" textlink="">
      <xdr:nvSpPr>
        <xdr:cNvPr id="4526" name="Text Box 15">
          <a:extLst>
            <a:ext uri="{FF2B5EF4-FFF2-40B4-BE49-F238E27FC236}">
              <a16:creationId xmlns:a16="http://schemas.microsoft.com/office/drawing/2014/main" id="{00000000-0008-0000-0500-0000AE110000}"/>
            </a:ext>
          </a:extLst>
        </xdr:cNvPr>
        <xdr:cNvSpPr txBox="1">
          <a:spLocks noChangeArrowheads="1"/>
        </xdr:cNvSpPr>
      </xdr:nvSpPr>
      <xdr:spPr bwMode="auto">
        <a:xfrm>
          <a:off x="4972050" y="402939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110</xdr:row>
      <xdr:rowOff>504825</xdr:rowOff>
    </xdr:from>
    <xdr:ext cx="95250" cy="444331"/>
    <xdr:sp macro="" textlink="">
      <xdr:nvSpPr>
        <xdr:cNvPr id="4527" name="Text Box 15">
          <a:extLst>
            <a:ext uri="{FF2B5EF4-FFF2-40B4-BE49-F238E27FC236}">
              <a16:creationId xmlns:a16="http://schemas.microsoft.com/office/drawing/2014/main" id="{00000000-0008-0000-0500-0000AF110000}"/>
            </a:ext>
          </a:extLst>
        </xdr:cNvPr>
        <xdr:cNvSpPr txBox="1">
          <a:spLocks noChangeArrowheads="1"/>
        </xdr:cNvSpPr>
      </xdr:nvSpPr>
      <xdr:spPr bwMode="auto">
        <a:xfrm>
          <a:off x="4972050" y="40293925"/>
          <a:ext cx="95250" cy="444331"/>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110</xdr:row>
      <xdr:rowOff>504825</xdr:rowOff>
    </xdr:from>
    <xdr:ext cx="95250" cy="456743"/>
    <xdr:sp macro="" textlink="">
      <xdr:nvSpPr>
        <xdr:cNvPr id="4528" name="Text Box 15">
          <a:extLst>
            <a:ext uri="{FF2B5EF4-FFF2-40B4-BE49-F238E27FC236}">
              <a16:creationId xmlns:a16="http://schemas.microsoft.com/office/drawing/2014/main" id="{00000000-0008-0000-0500-0000B0110000}"/>
            </a:ext>
          </a:extLst>
        </xdr:cNvPr>
        <xdr:cNvSpPr txBox="1">
          <a:spLocks noChangeArrowheads="1"/>
        </xdr:cNvSpPr>
      </xdr:nvSpPr>
      <xdr:spPr bwMode="auto">
        <a:xfrm>
          <a:off x="4972050" y="40293925"/>
          <a:ext cx="95250" cy="456743"/>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110</xdr:row>
      <xdr:rowOff>504825</xdr:rowOff>
    </xdr:from>
    <xdr:ext cx="95250" cy="213632"/>
    <xdr:sp macro="" textlink="">
      <xdr:nvSpPr>
        <xdr:cNvPr id="4529" name="Text Box 15">
          <a:extLst>
            <a:ext uri="{FF2B5EF4-FFF2-40B4-BE49-F238E27FC236}">
              <a16:creationId xmlns:a16="http://schemas.microsoft.com/office/drawing/2014/main" id="{00000000-0008-0000-0500-0000B1110000}"/>
            </a:ext>
          </a:extLst>
        </xdr:cNvPr>
        <xdr:cNvSpPr txBox="1">
          <a:spLocks noChangeArrowheads="1"/>
        </xdr:cNvSpPr>
      </xdr:nvSpPr>
      <xdr:spPr bwMode="auto">
        <a:xfrm>
          <a:off x="4972050" y="402939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110</xdr:row>
      <xdr:rowOff>504825</xdr:rowOff>
    </xdr:from>
    <xdr:ext cx="95250" cy="444331"/>
    <xdr:sp macro="" textlink="">
      <xdr:nvSpPr>
        <xdr:cNvPr id="4530" name="Text Box 15">
          <a:extLst>
            <a:ext uri="{FF2B5EF4-FFF2-40B4-BE49-F238E27FC236}">
              <a16:creationId xmlns:a16="http://schemas.microsoft.com/office/drawing/2014/main" id="{00000000-0008-0000-0500-0000B2110000}"/>
            </a:ext>
          </a:extLst>
        </xdr:cNvPr>
        <xdr:cNvSpPr txBox="1">
          <a:spLocks noChangeArrowheads="1"/>
        </xdr:cNvSpPr>
      </xdr:nvSpPr>
      <xdr:spPr bwMode="auto">
        <a:xfrm>
          <a:off x="4972050" y="40293925"/>
          <a:ext cx="95250" cy="444331"/>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110</xdr:row>
      <xdr:rowOff>504825</xdr:rowOff>
    </xdr:from>
    <xdr:ext cx="95250" cy="213632"/>
    <xdr:sp macro="" textlink="">
      <xdr:nvSpPr>
        <xdr:cNvPr id="4531" name="Text Box 15">
          <a:extLst>
            <a:ext uri="{FF2B5EF4-FFF2-40B4-BE49-F238E27FC236}">
              <a16:creationId xmlns:a16="http://schemas.microsoft.com/office/drawing/2014/main" id="{00000000-0008-0000-0500-0000B3110000}"/>
            </a:ext>
          </a:extLst>
        </xdr:cNvPr>
        <xdr:cNvSpPr txBox="1">
          <a:spLocks noChangeArrowheads="1"/>
        </xdr:cNvSpPr>
      </xdr:nvSpPr>
      <xdr:spPr bwMode="auto">
        <a:xfrm>
          <a:off x="4972050" y="402939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110</xdr:row>
      <xdr:rowOff>504825</xdr:rowOff>
    </xdr:from>
    <xdr:ext cx="95250" cy="213632"/>
    <xdr:sp macro="" textlink="">
      <xdr:nvSpPr>
        <xdr:cNvPr id="4532" name="Text Box 15">
          <a:extLst>
            <a:ext uri="{FF2B5EF4-FFF2-40B4-BE49-F238E27FC236}">
              <a16:creationId xmlns:a16="http://schemas.microsoft.com/office/drawing/2014/main" id="{00000000-0008-0000-0500-0000B4110000}"/>
            </a:ext>
          </a:extLst>
        </xdr:cNvPr>
        <xdr:cNvSpPr txBox="1">
          <a:spLocks noChangeArrowheads="1"/>
        </xdr:cNvSpPr>
      </xdr:nvSpPr>
      <xdr:spPr bwMode="auto">
        <a:xfrm>
          <a:off x="4972050" y="402939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110</xdr:row>
      <xdr:rowOff>504825</xdr:rowOff>
    </xdr:from>
    <xdr:ext cx="95250" cy="213632"/>
    <xdr:sp macro="" textlink="">
      <xdr:nvSpPr>
        <xdr:cNvPr id="4533" name="Text Box 15">
          <a:extLst>
            <a:ext uri="{FF2B5EF4-FFF2-40B4-BE49-F238E27FC236}">
              <a16:creationId xmlns:a16="http://schemas.microsoft.com/office/drawing/2014/main" id="{00000000-0008-0000-0500-0000B5110000}"/>
            </a:ext>
          </a:extLst>
        </xdr:cNvPr>
        <xdr:cNvSpPr txBox="1">
          <a:spLocks noChangeArrowheads="1"/>
        </xdr:cNvSpPr>
      </xdr:nvSpPr>
      <xdr:spPr bwMode="auto">
        <a:xfrm>
          <a:off x="4972050" y="402939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112</xdr:row>
      <xdr:rowOff>504825</xdr:rowOff>
    </xdr:from>
    <xdr:ext cx="95250" cy="448496"/>
    <xdr:sp macro="" textlink="">
      <xdr:nvSpPr>
        <xdr:cNvPr id="4534" name="Text Box 15">
          <a:extLst>
            <a:ext uri="{FF2B5EF4-FFF2-40B4-BE49-F238E27FC236}">
              <a16:creationId xmlns:a16="http://schemas.microsoft.com/office/drawing/2014/main" id="{00000000-0008-0000-0500-0000B6110000}"/>
            </a:ext>
          </a:extLst>
        </xdr:cNvPr>
        <xdr:cNvSpPr txBox="1">
          <a:spLocks noChangeArrowheads="1"/>
        </xdr:cNvSpPr>
      </xdr:nvSpPr>
      <xdr:spPr bwMode="auto">
        <a:xfrm>
          <a:off x="4972050" y="40293925"/>
          <a:ext cx="95250" cy="448496"/>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112</xdr:row>
      <xdr:rowOff>504825</xdr:rowOff>
    </xdr:from>
    <xdr:ext cx="95250" cy="213632"/>
    <xdr:sp macro="" textlink="">
      <xdr:nvSpPr>
        <xdr:cNvPr id="4535" name="Text Box 15">
          <a:extLst>
            <a:ext uri="{FF2B5EF4-FFF2-40B4-BE49-F238E27FC236}">
              <a16:creationId xmlns:a16="http://schemas.microsoft.com/office/drawing/2014/main" id="{00000000-0008-0000-0500-0000B7110000}"/>
            </a:ext>
          </a:extLst>
        </xdr:cNvPr>
        <xdr:cNvSpPr txBox="1">
          <a:spLocks noChangeArrowheads="1"/>
        </xdr:cNvSpPr>
      </xdr:nvSpPr>
      <xdr:spPr bwMode="auto">
        <a:xfrm>
          <a:off x="4972050" y="402939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112</xdr:row>
      <xdr:rowOff>504825</xdr:rowOff>
    </xdr:from>
    <xdr:ext cx="95250" cy="444331"/>
    <xdr:sp macro="" textlink="">
      <xdr:nvSpPr>
        <xdr:cNvPr id="4536" name="Text Box 15">
          <a:extLst>
            <a:ext uri="{FF2B5EF4-FFF2-40B4-BE49-F238E27FC236}">
              <a16:creationId xmlns:a16="http://schemas.microsoft.com/office/drawing/2014/main" id="{00000000-0008-0000-0500-0000B8110000}"/>
            </a:ext>
          </a:extLst>
        </xdr:cNvPr>
        <xdr:cNvSpPr txBox="1">
          <a:spLocks noChangeArrowheads="1"/>
        </xdr:cNvSpPr>
      </xdr:nvSpPr>
      <xdr:spPr bwMode="auto">
        <a:xfrm>
          <a:off x="4972050" y="40293925"/>
          <a:ext cx="95250" cy="444331"/>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112</xdr:row>
      <xdr:rowOff>504825</xdr:rowOff>
    </xdr:from>
    <xdr:ext cx="95250" cy="448496"/>
    <xdr:sp macro="" textlink="">
      <xdr:nvSpPr>
        <xdr:cNvPr id="4537" name="Text Box 15">
          <a:extLst>
            <a:ext uri="{FF2B5EF4-FFF2-40B4-BE49-F238E27FC236}">
              <a16:creationId xmlns:a16="http://schemas.microsoft.com/office/drawing/2014/main" id="{00000000-0008-0000-0500-0000B9110000}"/>
            </a:ext>
          </a:extLst>
        </xdr:cNvPr>
        <xdr:cNvSpPr txBox="1">
          <a:spLocks noChangeArrowheads="1"/>
        </xdr:cNvSpPr>
      </xdr:nvSpPr>
      <xdr:spPr bwMode="auto">
        <a:xfrm>
          <a:off x="4972050" y="40293925"/>
          <a:ext cx="95250" cy="448496"/>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112</xdr:row>
      <xdr:rowOff>504825</xdr:rowOff>
    </xdr:from>
    <xdr:ext cx="95250" cy="213632"/>
    <xdr:sp macro="" textlink="">
      <xdr:nvSpPr>
        <xdr:cNvPr id="4538" name="Text Box 15">
          <a:extLst>
            <a:ext uri="{FF2B5EF4-FFF2-40B4-BE49-F238E27FC236}">
              <a16:creationId xmlns:a16="http://schemas.microsoft.com/office/drawing/2014/main" id="{00000000-0008-0000-0500-0000BA110000}"/>
            </a:ext>
          </a:extLst>
        </xdr:cNvPr>
        <xdr:cNvSpPr txBox="1">
          <a:spLocks noChangeArrowheads="1"/>
        </xdr:cNvSpPr>
      </xdr:nvSpPr>
      <xdr:spPr bwMode="auto">
        <a:xfrm>
          <a:off x="4972050" y="402939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112</xdr:row>
      <xdr:rowOff>504825</xdr:rowOff>
    </xdr:from>
    <xdr:ext cx="95250" cy="444331"/>
    <xdr:sp macro="" textlink="">
      <xdr:nvSpPr>
        <xdr:cNvPr id="4539" name="Text Box 15">
          <a:extLst>
            <a:ext uri="{FF2B5EF4-FFF2-40B4-BE49-F238E27FC236}">
              <a16:creationId xmlns:a16="http://schemas.microsoft.com/office/drawing/2014/main" id="{00000000-0008-0000-0500-0000BB110000}"/>
            </a:ext>
          </a:extLst>
        </xdr:cNvPr>
        <xdr:cNvSpPr txBox="1">
          <a:spLocks noChangeArrowheads="1"/>
        </xdr:cNvSpPr>
      </xdr:nvSpPr>
      <xdr:spPr bwMode="auto">
        <a:xfrm>
          <a:off x="4972050" y="40293925"/>
          <a:ext cx="95250" cy="444331"/>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112</xdr:row>
      <xdr:rowOff>504825</xdr:rowOff>
    </xdr:from>
    <xdr:ext cx="95250" cy="456743"/>
    <xdr:sp macro="" textlink="">
      <xdr:nvSpPr>
        <xdr:cNvPr id="4540" name="Text Box 15">
          <a:extLst>
            <a:ext uri="{FF2B5EF4-FFF2-40B4-BE49-F238E27FC236}">
              <a16:creationId xmlns:a16="http://schemas.microsoft.com/office/drawing/2014/main" id="{00000000-0008-0000-0500-0000BC110000}"/>
            </a:ext>
          </a:extLst>
        </xdr:cNvPr>
        <xdr:cNvSpPr txBox="1">
          <a:spLocks noChangeArrowheads="1"/>
        </xdr:cNvSpPr>
      </xdr:nvSpPr>
      <xdr:spPr bwMode="auto">
        <a:xfrm>
          <a:off x="4972050" y="40293925"/>
          <a:ext cx="95250" cy="456743"/>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112</xdr:row>
      <xdr:rowOff>504825</xdr:rowOff>
    </xdr:from>
    <xdr:ext cx="95250" cy="213632"/>
    <xdr:sp macro="" textlink="">
      <xdr:nvSpPr>
        <xdr:cNvPr id="4541" name="Text Box 15">
          <a:extLst>
            <a:ext uri="{FF2B5EF4-FFF2-40B4-BE49-F238E27FC236}">
              <a16:creationId xmlns:a16="http://schemas.microsoft.com/office/drawing/2014/main" id="{00000000-0008-0000-0500-0000BD110000}"/>
            </a:ext>
          </a:extLst>
        </xdr:cNvPr>
        <xdr:cNvSpPr txBox="1">
          <a:spLocks noChangeArrowheads="1"/>
        </xdr:cNvSpPr>
      </xdr:nvSpPr>
      <xdr:spPr bwMode="auto">
        <a:xfrm>
          <a:off x="4972050" y="402939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112</xdr:row>
      <xdr:rowOff>504825</xdr:rowOff>
    </xdr:from>
    <xdr:ext cx="95250" cy="444331"/>
    <xdr:sp macro="" textlink="">
      <xdr:nvSpPr>
        <xdr:cNvPr id="4542" name="Text Box 15">
          <a:extLst>
            <a:ext uri="{FF2B5EF4-FFF2-40B4-BE49-F238E27FC236}">
              <a16:creationId xmlns:a16="http://schemas.microsoft.com/office/drawing/2014/main" id="{00000000-0008-0000-0500-0000BE110000}"/>
            </a:ext>
          </a:extLst>
        </xdr:cNvPr>
        <xdr:cNvSpPr txBox="1">
          <a:spLocks noChangeArrowheads="1"/>
        </xdr:cNvSpPr>
      </xdr:nvSpPr>
      <xdr:spPr bwMode="auto">
        <a:xfrm>
          <a:off x="4972050" y="40293925"/>
          <a:ext cx="95250" cy="444331"/>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112</xdr:row>
      <xdr:rowOff>504825</xdr:rowOff>
    </xdr:from>
    <xdr:ext cx="95250" cy="213632"/>
    <xdr:sp macro="" textlink="">
      <xdr:nvSpPr>
        <xdr:cNvPr id="4543" name="Text Box 15">
          <a:extLst>
            <a:ext uri="{FF2B5EF4-FFF2-40B4-BE49-F238E27FC236}">
              <a16:creationId xmlns:a16="http://schemas.microsoft.com/office/drawing/2014/main" id="{00000000-0008-0000-0500-0000BF110000}"/>
            </a:ext>
          </a:extLst>
        </xdr:cNvPr>
        <xdr:cNvSpPr txBox="1">
          <a:spLocks noChangeArrowheads="1"/>
        </xdr:cNvSpPr>
      </xdr:nvSpPr>
      <xdr:spPr bwMode="auto">
        <a:xfrm>
          <a:off x="4972050" y="402939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112</xdr:row>
      <xdr:rowOff>504825</xdr:rowOff>
    </xdr:from>
    <xdr:ext cx="95250" cy="213632"/>
    <xdr:sp macro="" textlink="">
      <xdr:nvSpPr>
        <xdr:cNvPr id="4544" name="Text Box 15">
          <a:extLst>
            <a:ext uri="{FF2B5EF4-FFF2-40B4-BE49-F238E27FC236}">
              <a16:creationId xmlns:a16="http://schemas.microsoft.com/office/drawing/2014/main" id="{00000000-0008-0000-0500-0000C0110000}"/>
            </a:ext>
          </a:extLst>
        </xdr:cNvPr>
        <xdr:cNvSpPr txBox="1">
          <a:spLocks noChangeArrowheads="1"/>
        </xdr:cNvSpPr>
      </xdr:nvSpPr>
      <xdr:spPr bwMode="auto">
        <a:xfrm>
          <a:off x="4972050" y="402939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112</xdr:row>
      <xdr:rowOff>504825</xdr:rowOff>
    </xdr:from>
    <xdr:ext cx="95250" cy="213632"/>
    <xdr:sp macro="" textlink="">
      <xdr:nvSpPr>
        <xdr:cNvPr id="4545" name="Text Box 15">
          <a:extLst>
            <a:ext uri="{FF2B5EF4-FFF2-40B4-BE49-F238E27FC236}">
              <a16:creationId xmlns:a16="http://schemas.microsoft.com/office/drawing/2014/main" id="{00000000-0008-0000-0500-0000C1110000}"/>
            </a:ext>
          </a:extLst>
        </xdr:cNvPr>
        <xdr:cNvSpPr txBox="1">
          <a:spLocks noChangeArrowheads="1"/>
        </xdr:cNvSpPr>
      </xdr:nvSpPr>
      <xdr:spPr bwMode="auto">
        <a:xfrm>
          <a:off x="4972050" y="402939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114</xdr:row>
      <xdr:rowOff>504825</xdr:rowOff>
    </xdr:from>
    <xdr:ext cx="95250" cy="213632"/>
    <xdr:sp macro="" textlink="">
      <xdr:nvSpPr>
        <xdr:cNvPr id="4546" name="Text Box 15">
          <a:extLst>
            <a:ext uri="{FF2B5EF4-FFF2-40B4-BE49-F238E27FC236}">
              <a16:creationId xmlns:a16="http://schemas.microsoft.com/office/drawing/2014/main" id="{00000000-0008-0000-0500-0000C2110000}"/>
            </a:ext>
          </a:extLst>
        </xdr:cNvPr>
        <xdr:cNvSpPr txBox="1">
          <a:spLocks noChangeArrowheads="1"/>
        </xdr:cNvSpPr>
      </xdr:nvSpPr>
      <xdr:spPr bwMode="auto">
        <a:xfrm>
          <a:off x="4972050" y="410432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114</xdr:row>
      <xdr:rowOff>504825</xdr:rowOff>
    </xdr:from>
    <xdr:ext cx="95250" cy="213632"/>
    <xdr:sp macro="" textlink="">
      <xdr:nvSpPr>
        <xdr:cNvPr id="4547" name="Text Box 15">
          <a:extLst>
            <a:ext uri="{FF2B5EF4-FFF2-40B4-BE49-F238E27FC236}">
              <a16:creationId xmlns:a16="http://schemas.microsoft.com/office/drawing/2014/main" id="{00000000-0008-0000-0500-0000C3110000}"/>
            </a:ext>
          </a:extLst>
        </xdr:cNvPr>
        <xdr:cNvSpPr txBox="1">
          <a:spLocks noChangeArrowheads="1"/>
        </xdr:cNvSpPr>
      </xdr:nvSpPr>
      <xdr:spPr bwMode="auto">
        <a:xfrm>
          <a:off x="4972050" y="410432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114</xdr:row>
      <xdr:rowOff>504825</xdr:rowOff>
    </xdr:from>
    <xdr:ext cx="95250" cy="213632"/>
    <xdr:sp macro="" textlink="">
      <xdr:nvSpPr>
        <xdr:cNvPr id="4548" name="Text Box 15">
          <a:extLst>
            <a:ext uri="{FF2B5EF4-FFF2-40B4-BE49-F238E27FC236}">
              <a16:creationId xmlns:a16="http://schemas.microsoft.com/office/drawing/2014/main" id="{00000000-0008-0000-0500-0000C4110000}"/>
            </a:ext>
          </a:extLst>
        </xdr:cNvPr>
        <xdr:cNvSpPr txBox="1">
          <a:spLocks noChangeArrowheads="1"/>
        </xdr:cNvSpPr>
      </xdr:nvSpPr>
      <xdr:spPr bwMode="auto">
        <a:xfrm>
          <a:off x="4972050" y="410432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114</xdr:row>
      <xdr:rowOff>504825</xdr:rowOff>
    </xdr:from>
    <xdr:ext cx="95250" cy="213632"/>
    <xdr:sp macro="" textlink="">
      <xdr:nvSpPr>
        <xdr:cNvPr id="4549" name="Text Box 15">
          <a:extLst>
            <a:ext uri="{FF2B5EF4-FFF2-40B4-BE49-F238E27FC236}">
              <a16:creationId xmlns:a16="http://schemas.microsoft.com/office/drawing/2014/main" id="{00000000-0008-0000-0500-0000C5110000}"/>
            </a:ext>
          </a:extLst>
        </xdr:cNvPr>
        <xdr:cNvSpPr txBox="1">
          <a:spLocks noChangeArrowheads="1"/>
        </xdr:cNvSpPr>
      </xdr:nvSpPr>
      <xdr:spPr bwMode="auto">
        <a:xfrm>
          <a:off x="4972050" y="410432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114</xdr:row>
      <xdr:rowOff>504825</xdr:rowOff>
    </xdr:from>
    <xdr:ext cx="95250" cy="213632"/>
    <xdr:sp macro="" textlink="">
      <xdr:nvSpPr>
        <xdr:cNvPr id="4550" name="Text Box 15">
          <a:extLst>
            <a:ext uri="{FF2B5EF4-FFF2-40B4-BE49-F238E27FC236}">
              <a16:creationId xmlns:a16="http://schemas.microsoft.com/office/drawing/2014/main" id="{00000000-0008-0000-0500-0000C6110000}"/>
            </a:ext>
          </a:extLst>
        </xdr:cNvPr>
        <xdr:cNvSpPr txBox="1">
          <a:spLocks noChangeArrowheads="1"/>
        </xdr:cNvSpPr>
      </xdr:nvSpPr>
      <xdr:spPr bwMode="auto">
        <a:xfrm>
          <a:off x="4972050" y="410432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114</xdr:row>
      <xdr:rowOff>504825</xdr:rowOff>
    </xdr:from>
    <xdr:ext cx="95250" cy="213632"/>
    <xdr:sp macro="" textlink="">
      <xdr:nvSpPr>
        <xdr:cNvPr id="4551" name="Text Box 15">
          <a:extLst>
            <a:ext uri="{FF2B5EF4-FFF2-40B4-BE49-F238E27FC236}">
              <a16:creationId xmlns:a16="http://schemas.microsoft.com/office/drawing/2014/main" id="{00000000-0008-0000-0500-0000C7110000}"/>
            </a:ext>
          </a:extLst>
        </xdr:cNvPr>
        <xdr:cNvSpPr txBox="1">
          <a:spLocks noChangeArrowheads="1"/>
        </xdr:cNvSpPr>
      </xdr:nvSpPr>
      <xdr:spPr bwMode="auto">
        <a:xfrm>
          <a:off x="4972050" y="410432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116</xdr:row>
      <xdr:rowOff>504825</xdr:rowOff>
    </xdr:from>
    <xdr:ext cx="95250" cy="448496"/>
    <xdr:sp macro="" textlink="">
      <xdr:nvSpPr>
        <xdr:cNvPr id="4552" name="Text Box 15">
          <a:extLst>
            <a:ext uri="{FF2B5EF4-FFF2-40B4-BE49-F238E27FC236}">
              <a16:creationId xmlns:a16="http://schemas.microsoft.com/office/drawing/2014/main" id="{00000000-0008-0000-0500-0000C8110000}"/>
            </a:ext>
          </a:extLst>
        </xdr:cNvPr>
        <xdr:cNvSpPr txBox="1">
          <a:spLocks noChangeArrowheads="1"/>
        </xdr:cNvSpPr>
      </xdr:nvSpPr>
      <xdr:spPr bwMode="auto">
        <a:xfrm>
          <a:off x="4972050" y="42541825"/>
          <a:ext cx="95250" cy="448496"/>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116</xdr:row>
      <xdr:rowOff>504825</xdr:rowOff>
    </xdr:from>
    <xdr:ext cx="95250" cy="213632"/>
    <xdr:sp macro="" textlink="">
      <xdr:nvSpPr>
        <xdr:cNvPr id="4553" name="Text Box 15">
          <a:extLst>
            <a:ext uri="{FF2B5EF4-FFF2-40B4-BE49-F238E27FC236}">
              <a16:creationId xmlns:a16="http://schemas.microsoft.com/office/drawing/2014/main" id="{00000000-0008-0000-0500-0000C9110000}"/>
            </a:ext>
          </a:extLst>
        </xdr:cNvPr>
        <xdr:cNvSpPr txBox="1">
          <a:spLocks noChangeArrowheads="1"/>
        </xdr:cNvSpPr>
      </xdr:nvSpPr>
      <xdr:spPr bwMode="auto">
        <a:xfrm>
          <a:off x="4972050" y="425418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116</xdr:row>
      <xdr:rowOff>504825</xdr:rowOff>
    </xdr:from>
    <xdr:ext cx="95250" cy="444331"/>
    <xdr:sp macro="" textlink="">
      <xdr:nvSpPr>
        <xdr:cNvPr id="4554" name="Text Box 15">
          <a:extLst>
            <a:ext uri="{FF2B5EF4-FFF2-40B4-BE49-F238E27FC236}">
              <a16:creationId xmlns:a16="http://schemas.microsoft.com/office/drawing/2014/main" id="{00000000-0008-0000-0500-0000CA110000}"/>
            </a:ext>
          </a:extLst>
        </xdr:cNvPr>
        <xdr:cNvSpPr txBox="1">
          <a:spLocks noChangeArrowheads="1"/>
        </xdr:cNvSpPr>
      </xdr:nvSpPr>
      <xdr:spPr bwMode="auto">
        <a:xfrm>
          <a:off x="4972050" y="42541825"/>
          <a:ext cx="95250" cy="444331"/>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116</xdr:row>
      <xdr:rowOff>504825</xdr:rowOff>
    </xdr:from>
    <xdr:ext cx="95250" cy="456743"/>
    <xdr:sp macro="" textlink="">
      <xdr:nvSpPr>
        <xdr:cNvPr id="4555" name="Text Box 15">
          <a:extLst>
            <a:ext uri="{FF2B5EF4-FFF2-40B4-BE49-F238E27FC236}">
              <a16:creationId xmlns:a16="http://schemas.microsoft.com/office/drawing/2014/main" id="{00000000-0008-0000-0500-0000CB110000}"/>
            </a:ext>
          </a:extLst>
        </xdr:cNvPr>
        <xdr:cNvSpPr txBox="1">
          <a:spLocks noChangeArrowheads="1"/>
        </xdr:cNvSpPr>
      </xdr:nvSpPr>
      <xdr:spPr bwMode="auto">
        <a:xfrm>
          <a:off x="4972050" y="42541825"/>
          <a:ext cx="95250" cy="456743"/>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116</xdr:row>
      <xdr:rowOff>504825</xdr:rowOff>
    </xdr:from>
    <xdr:ext cx="95250" cy="213632"/>
    <xdr:sp macro="" textlink="">
      <xdr:nvSpPr>
        <xdr:cNvPr id="4556" name="Text Box 15">
          <a:extLst>
            <a:ext uri="{FF2B5EF4-FFF2-40B4-BE49-F238E27FC236}">
              <a16:creationId xmlns:a16="http://schemas.microsoft.com/office/drawing/2014/main" id="{00000000-0008-0000-0500-0000CC110000}"/>
            </a:ext>
          </a:extLst>
        </xdr:cNvPr>
        <xdr:cNvSpPr txBox="1">
          <a:spLocks noChangeArrowheads="1"/>
        </xdr:cNvSpPr>
      </xdr:nvSpPr>
      <xdr:spPr bwMode="auto">
        <a:xfrm>
          <a:off x="4972050" y="425418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116</xdr:row>
      <xdr:rowOff>504825</xdr:rowOff>
    </xdr:from>
    <xdr:ext cx="95250" cy="444331"/>
    <xdr:sp macro="" textlink="">
      <xdr:nvSpPr>
        <xdr:cNvPr id="4557" name="Text Box 15">
          <a:extLst>
            <a:ext uri="{FF2B5EF4-FFF2-40B4-BE49-F238E27FC236}">
              <a16:creationId xmlns:a16="http://schemas.microsoft.com/office/drawing/2014/main" id="{00000000-0008-0000-0500-0000CD110000}"/>
            </a:ext>
          </a:extLst>
        </xdr:cNvPr>
        <xdr:cNvSpPr txBox="1">
          <a:spLocks noChangeArrowheads="1"/>
        </xdr:cNvSpPr>
      </xdr:nvSpPr>
      <xdr:spPr bwMode="auto">
        <a:xfrm>
          <a:off x="4972050" y="42541825"/>
          <a:ext cx="95250" cy="444331"/>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116</xdr:row>
      <xdr:rowOff>504825</xdr:rowOff>
    </xdr:from>
    <xdr:ext cx="95250" cy="213632"/>
    <xdr:sp macro="" textlink="">
      <xdr:nvSpPr>
        <xdr:cNvPr id="4558" name="Text Box 15">
          <a:extLst>
            <a:ext uri="{FF2B5EF4-FFF2-40B4-BE49-F238E27FC236}">
              <a16:creationId xmlns:a16="http://schemas.microsoft.com/office/drawing/2014/main" id="{00000000-0008-0000-0500-0000CE110000}"/>
            </a:ext>
          </a:extLst>
        </xdr:cNvPr>
        <xdr:cNvSpPr txBox="1">
          <a:spLocks noChangeArrowheads="1"/>
        </xdr:cNvSpPr>
      </xdr:nvSpPr>
      <xdr:spPr bwMode="auto">
        <a:xfrm>
          <a:off x="4972050" y="425418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116</xdr:row>
      <xdr:rowOff>504825</xdr:rowOff>
    </xdr:from>
    <xdr:ext cx="95250" cy="213632"/>
    <xdr:sp macro="" textlink="">
      <xdr:nvSpPr>
        <xdr:cNvPr id="4559" name="Text Box 15">
          <a:extLst>
            <a:ext uri="{FF2B5EF4-FFF2-40B4-BE49-F238E27FC236}">
              <a16:creationId xmlns:a16="http://schemas.microsoft.com/office/drawing/2014/main" id="{00000000-0008-0000-0500-0000CF110000}"/>
            </a:ext>
          </a:extLst>
        </xdr:cNvPr>
        <xdr:cNvSpPr txBox="1">
          <a:spLocks noChangeArrowheads="1"/>
        </xdr:cNvSpPr>
      </xdr:nvSpPr>
      <xdr:spPr bwMode="auto">
        <a:xfrm>
          <a:off x="4972050" y="425418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116</xdr:row>
      <xdr:rowOff>504825</xdr:rowOff>
    </xdr:from>
    <xdr:ext cx="95250" cy="213632"/>
    <xdr:sp macro="" textlink="">
      <xdr:nvSpPr>
        <xdr:cNvPr id="4560" name="Text Box 15">
          <a:extLst>
            <a:ext uri="{FF2B5EF4-FFF2-40B4-BE49-F238E27FC236}">
              <a16:creationId xmlns:a16="http://schemas.microsoft.com/office/drawing/2014/main" id="{00000000-0008-0000-0500-0000D0110000}"/>
            </a:ext>
          </a:extLst>
        </xdr:cNvPr>
        <xdr:cNvSpPr txBox="1">
          <a:spLocks noChangeArrowheads="1"/>
        </xdr:cNvSpPr>
      </xdr:nvSpPr>
      <xdr:spPr bwMode="auto">
        <a:xfrm>
          <a:off x="4972050" y="425418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116</xdr:row>
      <xdr:rowOff>504825</xdr:rowOff>
    </xdr:from>
    <xdr:ext cx="95250" cy="213632"/>
    <xdr:sp macro="" textlink="">
      <xdr:nvSpPr>
        <xdr:cNvPr id="4561" name="Text Box 15">
          <a:extLst>
            <a:ext uri="{FF2B5EF4-FFF2-40B4-BE49-F238E27FC236}">
              <a16:creationId xmlns:a16="http://schemas.microsoft.com/office/drawing/2014/main" id="{00000000-0008-0000-0500-0000D1110000}"/>
            </a:ext>
          </a:extLst>
        </xdr:cNvPr>
        <xdr:cNvSpPr txBox="1">
          <a:spLocks noChangeArrowheads="1"/>
        </xdr:cNvSpPr>
      </xdr:nvSpPr>
      <xdr:spPr bwMode="auto">
        <a:xfrm>
          <a:off x="4972050" y="425418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116</xdr:row>
      <xdr:rowOff>504825</xdr:rowOff>
    </xdr:from>
    <xdr:ext cx="95250" cy="213632"/>
    <xdr:sp macro="" textlink="">
      <xdr:nvSpPr>
        <xdr:cNvPr id="4562" name="Text Box 15">
          <a:extLst>
            <a:ext uri="{FF2B5EF4-FFF2-40B4-BE49-F238E27FC236}">
              <a16:creationId xmlns:a16="http://schemas.microsoft.com/office/drawing/2014/main" id="{00000000-0008-0000-0500-0000D2110000}"/>
            </a:ext>
          </a:extLst>
        </xdr:cNvPr>
        <xdr:cNvSpPr txBox="1">
          <a:spLocks noChangeArrowheads="1"/>
        </xdr:cNvSpPr>
      </xdr:nvSpPr>
      <xdr:spPr bwMode="auto">
        <a:xfrm>
          <a:off x="4972050" y="425418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116</xdr:row>
      <xdr:rowOff>504825</xdr:rowOff>
    </xdr:from>
    <xdr:ext cx="95250" cy="213632"/>
    <xdr:sp macro="" textlink="">
      <xdr:nvSpPr>
        <xdr:cNvPr id="4563" name="Text Box 15">
          <a:extLst>
            <a:ext uri="{FF2B5EF4-FFF2-40B4-BE49-F238E27FC236}">
              <a16:creationId xmlns:a16="http://schemas.microsoft.com/office/drawing/2014/main" id="{00000000-0008-0000-0500-0000D3110000}"/>
            </a:ext>
          </a:extLst>
        </xdr:cNvPr>
        <xdr:cNvSpPr txBox="1">
          <a:spLocks noChangeArrowheads="1"/>
        </xdr:cNvSpPr>
      </xdr:nvSpPr>
      <xdr:spPr bwMode="auto">
        <a:xfrm>
          <a:off x="4972050" y="425418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118</xdr:row>
      <xdr:rowOff>504825</xdr:rowOff>
    </xdr:from>
    <xdr:ext cx="95250" cy="448496"/>
    <xdr:sp macro="" textlink="">
      <xdr:nvSpPr>
        <xdr:cNvPr id="4564" name="Text Box 15">
          <a:extLst>
            <a:ext uri="{FF2B5EF4-FFF2-40B4-BE49-F238E27FC236}">
              <a16:creationId xmlns:a16="http://schemas.microsoft.com/office/drawing/2014/main" id="{00000000-0008-0000-0500-0000D4110000}"/>
            </a:ext>
          </a:extLst>
        </xdr:cNvPr>
        <xdr:cNvSpPr txBox="1">
          <a:spLocks noChangeArrowheads="1"/>
        </xdr:cNvSpPr>
      </xdr:nvSpPr>
      <xdr:spPr bwMode="auto">
        <a:xfrm>
          <a:off x="4972050" y="42541825"/>
          <a:ext cx="95250" cy="448496"/>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118</xdr:row>
      <xdr:rowOff>504825</xdr:rowOff>
    </xdr:from>
    <xdr:ext cx="95250" cy="213632"/>
    <xdr:sp macro="" textlink="">
      <xdr:nvSpPr>
        <xdr:cNvPr id="4565" name="Text Box 15">
          <a:extLst>
            <a:ext uri="{FF2B5EF4-FFF2-40B4-BE49-F238E27FC236}">
              <a16:creationId xmlns:a16="http://schemas.microsoft.com/office/drawing/2014/main" id="{00000000-0008-0000-0500-0000D5110000}"/>
            </a:ext>
          </a:extLst>
        </xdr:cNvPr>
        <xdr:cNvSpPr txBox="1">
          <a:spLocks noChangeArrowheads="1"/>
        </xdr:cNvSpPr>
      </xdr:nvSpPr>
      <xdr:spPr bwMode="auto">
        <a:xfrm>
          <a:off x="4972050" y="425418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118</xdr:row>
      <xdr:rowOff>504825</xdr:rowOff>
    </xdr:from>
    <xdr:ext cx="95250" cy="444331"/>
    <xdr:sp macro="" textlink="">
      <xdr:nvSpPr>
        <xdr:cNvPr id="4566" name="Text Box 15">
          <a:extLst>
            <a:ext uri="{FF2B5EF4-FFF2-40B4-BE49-F238E27FC236}">
              <a16:creationId xmlns:a16="http://schemas.microsoft.com/office/drawing/2014/main" id="{00000000-0008-0000-0500-0000D6110000}"/>
            </a:ext>
          </a:extLst>
        </xdr:cNvPr>
        <xdr:cNvSpPr txBox="1">
          <a:spLocks noChangeArrowheads="1"/>
        </xdr:cNvSpPr>
      </xdr:nvSpPr>
      <xdr:spPr bwMode="auto">
        <a:xfrm>
          <a:off x="4972050" y="42541825"/>
          <a:ext cx="95250" cy="444331"/>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118</xdr:row>
      <xdr:rowOff>504825</xdr:rowOff>
    </xdr:from>
    <xdr:ext cx="95250" cy="456743"/>
    <xdr:sp macro="" textlink="">
      <xdr:nvSpPr>
        <xdr:cNvPr id="4567" name="Text Box 15">
          <a:extLst>
            <a:ext uri="{FF2B5EF4-FFF2-40B4-BE49-F238E27FC236}">
              <a16:creationId xmlns:a16="http://schemas.microsoft.com/office/drawing/2014/main" id="{00000000-0008-0000-0500-0000D7110000}"/>
            </a:ext>
          </a:extLst>
        </xdr:cNvPr>
        <xdr:cNvSpPr txBox="1">
          <a:spLocks noChangeArrowheads="1"/>
        </xdr:cNvSpPr>
      </xdr:nvSpPr>
      <xdr:spPr bwMode="auto">
        <a:xfrm>
          <a:off x="4972050" y="42541825"/>
          <a:ext cx="95250" cy="456743"/>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118</xdr:row>
      <xdr:rowOff>504825</xdr:rowOff>
    </xdr:from>
    <xdr:ext cx="95250" cy="213632"/>
    <xdr:sp macro="" textlink="">
      <xdr:nvSpPr>
        <xdr:cNvPr id="4568" name="Text Box 15">
          <a:extLst>
            <a:ext uri="{FF2B5EF4-FFF2-40B4-BE49-F238E27FC236}">
              <a16:creationId xmlns:a16="http://schemas.microsoft.com/office/drawing/2014/main" id="{00000000-0008-0000-0500-0000D8110000}"/>
            </a:ext>
          </a:extLst>
        </xdr:cNvPr>
        <xdr:cNvSpPr txBox="1">
          <a:spLocks noChangeArrowheads="1"/>
        </xdr:cNvSpPr>
      </xdr:nvSpPr>
      <xdr:spPr bwMode="auto">
        <a:xfrm>
          <a:off x="4972050" y="425418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118</xdr:row>
      <xdr:rowOff>504825</xdr:rowOff>
    </xdr:from>
    <xdr:ext cx="95250" cy="444331"/>
    <xdr:sp macro="" textlink="">
      <xdr:nvSpPr>
        <xdr:cNvPr id="4569" name="Text Box 15">
          <a:extLst>
            <a:ext uri="{FF2B5EF4-FFF2-40B4-BE49-F238E27FC236}">
              <a16:creationId xmlns:a16="http://schemas.microsoft.com/office/drawing/2014/main" id="{00000000-0008-0000-0500-0000D9110000}"/>
            </a:ext>
          </a:extLst>
        </xdr:cNvPr>
        <xdr:cNvSpPr txBox="1">
          <a:spLocks noChangeArrowheads="1"/>
        </xdr:cNvSpPr>
      </xdr:nvSpPr>
      <xdr:spPr bwMode="auto">
        <a:xfrm>
          <a:off x="4972050" y="42541825"/>
          <a:ext cx="95250" cy="444331"/>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118</xdr:row>
      <xdr:rowOff>504825</xdr:rowOff>
    </xdr:from>
    <xdr:ext cx="95250" cy="213632"/>
    <xdr:sp macro="" textlink="">
      <xdr:nvSpPr>
        <xdr:cNvPr id="4570" name="Text Box 15">
          <a:extLst>
            <a:ext uri="{FF2B5EF4-FFF2-40B4-BE49-F238E27FC236}">
              <a16:creationId xmlns:a16="http://schemas.microsoft.com/office/drawing/2014/main" id="{00000000-0008-0000-0500-0000DA110000}"/>
            </a:ext>
          </a:extLst>
        </xdr:cNvPr>
        <xdr:cNvSpPr txBox="1">
          <a:spLocks noChangeArrowheads="1"/>
        </xdr:cNvSpPr>
      </xdr:nvSpPr>
      <xdr:spPr bwMode="auto">
        <a:xfrm>
          <a:off x="4972050" y="425418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118</xdr:row>
      <xdr:rowOff>504825</xdr:rowOff>
    </xdr:from>
    <xdr:ext cx="95250" cy="213632"/>
    <xdr:sp macro="" textlink="">
      <xdr:nvSpPr>
        <xdr:cNvPr id="4571" name="Text Box 15">
          <a:extLst>
            <a:ext uri="{FF2B5EF4-FFF2-40B4-BE49-F238E27FC236}">
              <a16:creationId xmlns:a16="http://schemas.microsoft.com/office/drawing/2014/main" id="{00000000-0008-0000-0500-0000DB110000}"/>
            </a:ext>
          </a:extLst>
        </xdr:cNvPr>
        <xdr:cNvSpPr txBox="1">
          <a:spLocks noChangeArrowheads="1"/>
        </xdr:cNvSpPr>
      </xdr:nvSpPr>
      <xdr:spPr bwMode="auto">
        <a:xfrm>
          <a:off x="4972050" y="425418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118</xdr:row>
      <xdr:rowOff>504825</xdr:rowOff>
    </xdr:from>
    <xdr:ext cx="95250" cy="213632"/>
    <xdr:sp macro="" textlink="">
      <xdr:nvSpPr>
        <xdr:cNvPr id="4572" name="Text Box 15">
          <a:extLst>
            <a:ext uri="{FF2B5EF4-FFF2-40B4-BE49-F238E27FC236}">
              <a16:creationId xmlns:a16="http://schemas.microsoft.com/office/drawing/2014/main" id="{00000000-0008-0000-0500-0000DC110000}"/>
            </a:ext>
          </a:extLst>
        </xdr:cNvPr>
        <xdr:cNvSpPr txBox="1">
          <a:spLocks noChangeArrowheads="1"/>
        </xdr:cNvSpPr>
      </xdr:nvSpPr>
      <xdr:spPr bwMode="auto">
        <a:xfrm>
          <a:off x="4972050" y="425418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118</xdr:row>
      <xdr:rowOff>504825</xdr:rowOff>
    </xdr:from>
    <xdr:ext cx="95250" cy="213632"/>
    <xdr:sp macro="" textlink="">
      <xdr:nvSpPr>
        <xdr:cNvPr id="4573" name="Text Box 15">
          <a:extLst>
            <a:ext uri="{FF2B5EF4-FFF2-40B4-BE49-F238E27FC236}">
              <a16:creationId xmlns:a16="http://schemas.microsoft.com/office/drawing/2014/main" id="{00000000-0008-0000-0500-0000DD110000}"/>
            </a:ext>
          </a:extLst>
        </xdr:cNvPr>
        <xdr:cNvSpPr txBox="1">
          <a:spLocks noChangeArrowheads="1"/>
        </xdr:cNvSpPr>
      </xdr:nvSpPr>
      <xdr:spPr bwMode="auto">
        <a:xfrm>
          <a:off x="4972050" y="425418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118</xdr:row>
      <xdr:rowOff>504825</xdr:rowOff>
    </xdr:from>
    <xdr:ext cx="95250" cy="213632"/>
    <xdr:sp macro="" textlink="">
      <xdr:nvSpPr>
        <xdr:cNvPr id="4574" name="Text Box 15">
          <a:extLst>
            <a:ext uri="{FF2B5EF4-FFF2-40B4-BE49-F238E27FC236}">
              <a16:creationId xmlns:a16="http://schemas.microsoft.com/office/drawing/2014/main" id="{00000000-0008-0000-0500-0000DE110000}"/>
            </a:ext>
          </a:extLst>
        </xdr:cNvPr>
        <xdr:cNvSpPr txBox="1">
          <a:spLocks noChangeArrowheads="1"/>
        </xdr:cNvSpPr>
      </xdr:nvSpPr>
      <xdr:spPr bwMode="auto">
        <a:xfrm>
          <a:off x="4972050" y="425418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118</xdr:row>
      <xdr:rowOff>504825</xdr:rowOff>
    </xdr:from>
    <xdr:ext cx="95250" cy="213632"/>
    <xdr:sp macro="" textlink="">
      <xdr:nvSpPr>
        <xdr:cNvPr id="4575" name="Text Box 15">
          <a:extLst>
            <a:ext uri="{FF2B5EF4-FFF2-40B4-BE49-F238E27FC236}">
              <a16:creationId xmlns:a16="http://schemas.microsoft.com/office/drawing/2014/main" id="{00000000-0008-0000-0500-0000DF110000}"/>
            </a:ext>
          </a:extLst>
        </xdr:cNvPr>
        <xdr:cNvSpPr txBox="1">
          <a:spLocks noChangeArrowheads="1"/>
        </xdr:cNvSpPr>
      </xdr:nvSpPr>
      <xdr:spPr bwMode="auto">
        <a:xfrm>
          <a:off x="4972050" y="425418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120</xdr:row>
      <xdr:rowOff>504825</xdr:rowOff>
    </xdr:from>
    <xdr:ext cx="95250" cy="213632"/>
    <xdr:sp macro="" textlink="">
      <xdr:nvSpPr>
        <xdr:cNvPr id="4576" name="Text Box 15">
          <a:extLst>
            <a:ext uri="{FF2B5EF4-FFF2-40B4-BE49-F238E27FC236}">
              <a16:creationId xmlns:a16="http://schemas.microsoft.com/office/drawing/2014/main" id="{00000000-0008-0000-0500-0000E0110000}"/>
            </a:ext>
          </a:extLst>
        </xdr:cNvPr>
        <xdr:cNvSpPr txBox="1">
          <a:spLocks noChangeArrowheads="1"/>
        </xdr:cNvSpPr>
      </xdr:nvSpPr>
      <xdr:spPr bwMode="auto">
        <a:xfrm>
          <a:off x="4972050" y="432911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120</xdr:row>
      <xdr:rowOff>504825</xdr:rowOff>
    </xdr:from>
    <xdr:ext cx="95250" cy="213632"/>
    <xdr:sp macro="" textlink="">
      <xdr:nvSpPr>
        <xdr:cNvPr id="4577" name="Text Box 15">
          <a:extLst>
            <a:ext uri="{FF2B5EF4-FFF2-40B4-BE49-F238E27FC236}">
              <a16:creationId xmlns:a16="http://schemas.microsoft.com/office/drawing/2014/main" id="{00000000-0008-0000-0500-0000E1110000}"/>
            </a:ext>
          </a:extLst>
        </xdr:cNvPr>
        <xdr:cNvSpPr txBox="1">
          <a:spLocks noChangeArrowheads="1"/>
        </xdr:cNvSpPr>
      </xdr:nvSpPr>
      <xdr:spPr bwMode="auto">
        <a:xfrm>
          <a:off x="4972050" y="432911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120</xdr:row>
      <xdr:rowOff>504825</xdr:rowOff>
    </xdr:from>
    <xdr:ext cx="95250" cy="213632"/>
    <xdr:sp macro="" textlink="">
      <xdr:nvSpPr>
        <xdr:cNvPr id="4578" name="Text Box 15">
          <a:extLst>
            <a:ext uri="{FF2B5EF4-FFF2-40B4-BE49-F238E27FC236}">
              <a16:creationId xmlns:a16="http://schemas.microsoft.com/office/drawing/2014/main" id="{00000000-0008-0000-0500-0000E2110000}"/>
            </a:ext>
          </a:extLst>
        </xdr:cNvPr>
        <xdr:cNvSpPr txBox="1">
          <a:spLocks noChangeArrowheads="1"/>
        </xdr:cNvSpPr>
      </xdr:nvSpPr>
      <xdr:spPr bwMode="auto">
        <a:xfrm>
          <a:off x="4972050" y="432911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120</xdr:row>
      <xdr:rowOff>504825</xdr:rowOff>
    </xdr:from>
    <xdr:ext cx="95250" cy="213632"/>
    <xdr:sp macro="" textlink="">
      <xdr:nvSpPr>
        <xdr:cNvPr id="4579" name="Text Box 15">
          <a:extLst>
            <a:ext uri="{FF2B5EF4-FFF2-40B4-BE49-F238E27FC236}">
              <a16:creationId xmlns:a16="http://schemas.microsoft.com/office/drawing/2014/main" id="{00000000-0008-0000-0500-0000E3110000}"/>
            </a:ext>
          </a:extLst>
        </xdr:cNvPr>
        <xdr:cNvSpPr txBox="1">
          <a:spLocks noChangeArrowheads="1"/>
        </xdr:cNvSpPr>
      </xdr:nvSpPr>
      <xdr:spPr bwMode="auto">
        <a:xfrm>
          <a:off x="4972050" y="432911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120</xdr:row>
      <xdr:rowOff>504825</xdr:rowOff>
    </xdr:from>
    <xdr:ext cx="95250" cy="213632"/>
    <xdr:sp macro="" textlink="">
      <xdr:nvSpPr>
        <xdr:cNvPr id="4580" name="Text Box 15">
          <a:extLst>
            <a:ext uri="{FF2B5EF4-FFF2-40B4-BE49-F238E27FC236}">
              <a16:creationId xmlns:a16="http://schemas.microsoft.com/office/drawing/2014/main" id="{00000000-0008-0000-0500-0000E4110000}"/>
            </a:ext>
          </a:extLst>
        </xdr:cNvPr>
        <xdr:cNvSpPr txBox="1">
          <a:spLocks noChangeArrowheads="1"/>
        </xdr:cNvSpPr>
      </xdr:nvSpPr>
      <xdr:spPr bwMode="auto">
        <a:xfrm>
          <a:off x="4972050" y="432911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120</xdr:row>
      <xdr:rowOff>504825</xdr:rowOff>
    </xdr:from>
    <xdr:ext cx="95250" cy="213632"/>
    <xdr:sp macro="" textlink="">
      <xdr:nvSpPr>
        <xdr:cNvPr id="4581" name="Text Box 15">
          <a:extLst>
            <a:ext uri="{FF2B5EF4-FFF2-40B4-BE49-F238E27FC236}">
              <a16:creationId xmlns:a16="http://schemas.microsoft.com/office/drawing/2014/main" id="{00000000-0008-0000-0500-0000E5110000}"/>
            </a:ext>
          </a:extLst>
        </xdr:cNvPr>
        <xdr:cNvSpPr txBox="1">
          <a:spLocks noChangeArrowheads="1"/>
        </xdr:cNvSpPr>
      </xdr:nvSpPr>
      <xdr:spPr bwMode="auto">
        <a:xfrm>
          <a:off x="4972050" y="432911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120</xdr:row>
      <xdr:rowOff>504825</xdr:rowOff>
    </xdr:from>
    <xdr:ext cx="95250" cy="213632"/>
    <xdr:sp macro="" textlink="">
      <xdr:nvSpPr>
        <xdr:cNvPr id="4582" name="Text Box 15">
          <a:extLst>
            <a:ext uri="{FF2B5EF4-FFF2-40B4-BE49-F238E27FC236}">
              <a16:creationId xmlns:a16="http://schemas.microsoft.com/office/drawing/2014/main" id="{00000000-0008-0000-0500-0000E6110000}"/>
            </a:ext>
          </a:extLst>
        </xdr:cNvPr>
        <xdr:cNvSpPr txBox="1">
          <a:spLocks noChangeArrowheads="1"/>
        </xdr:cNvSpPr>
      </xdr:nvSpPr>
      <xdr:spPr bwMode="auto">
        <a:xfrm>
          <a:off x="4972050" y="432911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120</xdr:row>
      <xdr:rowOff>504825</xdr:rowOff>
    </xdr:from>
    <xdr:ext cx="95250" cy="213632"/>
    <xdr:sp macro="" textlink="">
      <xdr:nvSpPr>
        <xdr:cNvPr id="4583" name="Text Box 15">
          <a:extLst>
            <a:ext uri="{FF2B5EF4-FFF2-40B4-BE49-F238E27FC236}">
              <a16:creationId xmlns:a16="http://schemas.microsoft.com/office/drawing/2014/main" id="{00000000-0008-0000-0500-0000E7110000}"/>
            </a:ext>
          </a:extLst>
        </xdr:cNvPr>
        <xdr:cNvSpPr txBox="1">
          <a:spLocks noChangeArrowheads="1"/>
        </xdr:cNvSpPr>
      </xdr:nvSpPr>
      <xdr:spPr bwMode="auto">
        <a:xfrm>
          <a:off x="4972050" y="432911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122</xdr:row>
      <xdr:rowOff>504825</xdr:rowOff>
    </xdr:from>
    <xdr:ext cx="95250" cy="461691"/>
    <xdr:sp macro="" textlink="">
      <xdr:nvSpPr>
        <xdr:cNvPr id="4584" name="Text Box 15">
          <a:extLst>
            <a:ext uri="{FF2B5EF4-FFF2-40B4-BE49-F238E27FC236}">
              <a16:creationId xmlns:a16="http://schemas.microsoft.com/office/drawing/2014/main" id="{00000000-0008-0000-0500-0000E8110000}"/>
            </a:ext>
          </a:extLst>
        </xdr:cNvPr>
        <xdr:cNvSpPr txBox="1">
          <a:spLocks noChangeArrowheads="1"/>
        </xdr:cNvSpPr>
      </xdr:nvSpPr>
      <xdr:spPr bwMode="auto">
        <a:xfrm>
          <a:off x="4972050" y="44789725"/>
          <a:ext cx="95250" cy="461691"/>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122</xdr:row>
      <xdr:rowOff>504825</xdr:rowOff>
    </xdr:from>
    <xdr:ext cx="95250" cy="213632"/>
    <xdr:sp macro="" textlink="">
      <xdr:nvSpPr>
        <xdr:cNvPr id="4585" name="Text Box 15">
          <a:extLst>
            <a:ext uri="{FF2B5EF4-FFF2-40B4-BE49-F238E27FC236}">
              <a16:creationId xmlns:a16="http://schemas.microsoft.com/office/drawing/2014/main" id="{00000000-0008-0000-0500-0000E9110000}"/>
            </a:ext>
          </a:extLst>
        </xdr:cNvPr>
        <xdr:cNvSpPr txBox="1">
          <a:spLocks noChangeArrowheads="1"/>
        </xdr:cNvSpPr>
      </xdr:nvSpPr>
      <xdr:spPr bwMode="auto">
        <a:xfrm>
          <a:off x="4972050" y="447897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122</xdr:row>
      <xdr:rowOff>504825</xdr:rowOff>
    </xdr:from>
    <xdr:ext cx="95250" cy="444331"/>
    <xdr:sp macro="" textlink="">
      <xdr:nvSpPr>
        <xdr:cNvPr id="4586" name="Text Box 15">
          <a:extLst>
            <a:ext uri="{FF2B5EF4-FFF2-40B4-BE49-F238E27FC236}">
              <a16:creationId xmlns:a16="http://schemas.microsoft.com/office/drawing/2014/main" id="{00000000-0008-0000-0500-0000EA110000}"/>
            </a:ext>
          </a:extLst>
        </xdr:cNvPr>
        <xdr:cNvSpPr txBox="1">
          <a:spLocks noChangeArrowheads="1"/>
        </xdr:cNvSpPr>
      </xdr:nvSpPr>
      <xdr:spPr bwMode="auto">
        <a:xfrm>
          <a:off x="4972050" y="44789725"/>
          <a:ext cx="95250" cy="444331"/>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122</xdr:row>
      <xdr:rowOff>504825</xdr:rowOff>
    </xdr:from>
    <xdr:ext cx="95250" cy="448496"/>
    <xdr:sp macro="" textlink="">
      <xdr:nvSpPr>
        <xdr:cNvPr id="4587" name="Text Box 15">
          <a:extLst>
            <a:ext uri="{FF2B5EF4-FFF2-40B4-BE49-F238E27FC236}">
              <a16:creationId xmlns:a16="http://schemas.microsoft.com/office/drawing/2014/main" id="{00000000-0008-0000-0500-0000EB110000}"/>
            </a:ext>
          </a:extLst>
        </xdr:cNvPr>
        <xdr:cNvSpPr txBox="1">
          <a:spLocks noChangeArrowheads="1"/>
        </xdr:cNvSpPr>
      </xdr:nvSpPr>
      <xdr:spPr bwMode="auto">
        <a:xfrm>
          <a:off x="4972050" y="44789725"/>
          <a:ext cx="95250" cy="448496"/>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122</xdr:row>
      <xdr:rowOff>504825</xdr:rowOff>
    </xdr:from>
    <xdr:ext cx="95250" cy="213632"/>
    <xdr:sp macro="" textlink="">
      <xdr:nvSpPr>
        <xdr:cNvPr id="4588" name="Text Box 15">
          <a:extLst>
            <a:ext uri="{FF2B5EF4-FFF2-40B4-BE49-F238E27FC236}">
              <a16:creationId xmlns:a16="http://schemas.microsoft.com/office/drawing/2014/main" id="{00000000-0008-0000-0500-0000EC110000}"/>
            </a:ext>
          </a:extLst>
        </xdr:cNvPr>
        <xdr:cNvSpPr txBox="1">
          <a:spLocks noChangeArrowheads="1"/>
        </xdr:cNvSpPr>
      </xdr:nvSpPr>
      <xdr:spPr bwMode="auto">
        <a:xfrm>
          <a:off x="4972050" y="447897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122</xdr:row>
      <xdr:rowOff>504825</xdr:rowOff>
    </xdr:from>
    <xdr:ext cx="95250" cy="444331"/>
    <xdr:sp macro="" textlink="">
      <xdr:nvSpPr>
        <xdr:cNvPr id="4589" name="Text Box 15">
          <a:extLst>
            <a:ext uri="{FF2B5EF4-FFF2-40B4-BE49-F238E27FC236}">
              <a16:creationId xmlns:a16="http://schemas.microsoft.com/office/drawing/2014/main" id="{00000000-0008-0000-0500-0000ED110000}"/>
            </a:ext>
          </a:extLst>
        </xdr:cNvPr>
        <xdr:cNvSpPr txBox="1">
          <a:spLocks noChangeArrowheads="1"/>
        </xdr:cNvSpPr>
      </xdr:nvSpPr>
      <xdr:spPr bwMode="auto">
        <a:xfrm>
          <a:off x="4972050" y="44789725"/>
          <a:ext cx="95250" cy="444331"/>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122</xdr:row>
      <xdr:rowOff>504825</xdr:rowOff>
    </xdr:from>
    <xdr:ext cx="95250" cy="456743"/>
    <xdr:sp macro="" textlink="">
      <xdr:nvSpPr>
        <xdr:cNvPr id="4590" name="Text Box 15">
          <a:extLst>
            <a:ext uri="{FF2B5EF4-FFF2-40B4-BE49-F238E27FC236}">
              <a16:creationId xmlns:a16="http://schemas.microsoft.com/office/drawing/2014/main" id="{00000000-0008-0000-0500-0000EE110000}"/>
            </a:ext>
          </a:extLst>
        </xdr:cNvPr>
        <xdr:cNvSpPr txBox="1">
          <a:spLocks noChangeArrowheads="1"/>
        </xdr:cNvSpPr>
      </xdr:nvSpPr>
      <xdr:spPr bwMode="auto">
        <a:xfrm>
          <a:off x="4972050" y="44789725"/>
          <a:ext cx="95250" cy="456743"/>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122</xdr:row>
      <xdr:rowOff>504825</xdr:rowOff>
    </xdr:from>
    <xdr:ext cx="95250" cy="213632"/>
    <xdr:sp macro="" textlink="">
      <xdr:nvSpPr>
        <xdr:cNvPr id="4591" name="Text Box 15">
          <a:extLst>
            <a:ext uri="{FF2B5EF4-FFF2-40B4-BE49-F238E27FC236}">
              <a16:creationId xmlns:a16="http://schemas.microsoft.com/office/drawing/2014/main" id="{00000000-0008-0000-0500-0000EF110000}"/>
            </a:ext>
          </a:extLst>
        </xdr:cNvPr>
        <xdr:cNvSpPr txBox="1">
          <a:spLocks noChangeArrowheads="1"/>
        </xdr:cNvSpPr>
      </xdr:nvSpPr>
      <xdr:spPr bwMode="auto">
        <a:xfrm>
          <a:off x="4972050" y="447897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122</xdr:row>
      <xdr:rowOff>504825</xdr:rowOff>
    </xdr:from>
    <xdr:ext cx="95250" cy="213632"/>
    <xdr:sp macro="" textlink="">
      <xdr:nvSpPr>
        <xdr:cNvPr id="4593" name="Text Box 15">
          <a:extLst>
            <a:ext uri="{FF2B5EF4-FFF2-40B4-BE49-F238E27FC236}">
              <a16:creationId xmlns:a16="http://schemas.microsoft.com/office/drawing/2014/main" id="{00000000-0008-0000-0500-0000F1110000}"/>
            </a:ext>
          </a:extLst>
        </xdr:cNvPr>
        <xdr:cNvSpPr txBox="1">
          <a:spLocks noChangeArrowheads="1"/>
        </xdr:cNvSpPr>
      </xdr:nvSpPr>
      <xdr:spPr bwMode="auto">
        <a:xfrm>
          <a:off x="4972050" y="447897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122</xdr:row>
      <xdr:rowOff>504825</xdr:rowOff>
    </xdr:from>
    <xdr:ext cx="95250" cy="213632"/>
    <xdr:sp macro="" textlink="">
      <xdr:nvSpPr>
        <xdr:cNvPr id="4594" name="Text Box 15">
          <a:extLst>
            <a:ext uri="{FF2B5EF4-FFF2-40B4-BE49-F238E27FC236}">
              <a16:creationId xmlns:a16="http://schemas.microsoft.com/office/drawing/2014/main" id="{00000000-0008-0000-0500-0000F2110000}"/>
            </a:ext>
          </a:extLst>
        </xdr:cNvPr>
        <xdr:cNvSpPr txBox="1">
          <a:spLocks noChangeArrowheads="1"/>
        </xdr:cNvSpPr>
      </xdr:nvSpPr>
      <xdr:spPr bwMode="auto">
        <a:xfrm>
          <a:off x="4972050" y="447897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122</xdr:row>
      <xdr:rowOff>504825</xdr:rowOff>
    </xdr:from>
    <xdr:ext cx="95250" cy="213632"/>
    <xdr:sp macro="" textlink="">
      <xdr:nvSpPr>
        <xdr:cNvPr id="4595" name="Text Box 15">
          <a:extLst>
            <a:ext uri="{FF2B5EF4-FFF2-40B4-BE49-F238E27FC236}">
              <a16:creationId xmlns:a16="http://schemas.microsoft.com/office/drawing/2014/main" id="{00000000-0008-0000-0500-0000F3110000}"/>
            </a:ext>
          </a:extLst>
        </xdr:cNvPr>
        <xdr:cNvSpPr txBox="1">
          <a:spLocks noChangeArrowheads="1"/>
        </xdr:cNvSpPr>
      </xdr:nvSpPr>
      <xdr:spPr bwMode="auto">
        <a:xfrm>
          <a:off x="4972050" y="447897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122</xdr:row>
      <xdr:rowOff>504825</xdr:rowOff>
    </xdr:from>
    <xdr:ext cx="95250" cy="213632"/>
    <xdr:sp macro="" textlink="">
      <xdr:nvSpPr>
        <xdr:cNvPr id="4596" name="Text Box 15">
          <a:extLst>
            <a:ext uri="{FF2B5EF4-FFF2-40B4-BE49-F238E27FC236}">
              <a16:creationId xmlns:a16="http://schemas.microsoft.com/office/drawing/2014/main" id="{00000000-0008-0000-0500-0000F4110000}"/>
            </a:ext>
          </a:extLst>
        </xdr:cNvPr>
        <xdr:cNvSpPr txBox="1">
          <a:spLocks noChangeArrowheads="1"/>
        </xdr:cNvSpPr>
      </xdr:nvSpPr>
      <xdr:spPr bwMode="auto">
        <a:xfrm>
          <a:off x="4972050" y="447897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122</xdr:row>
      <xdr:rowOff>504825</xdr:rowOff>
    </xdr:from>
    <xdr:ext cx="95250" cy="213632"/>
    <xdr:sp macro="" textlink="">
      <xdr:nvSpPr>
        <xdr:cNvPr id="4597" name="Text Box 15">
          <a:extLst>
            <a:ext uri="{FF2B5EF4-FFF2-40B4-BE49-F238E27FC236}">
              <a16:creationId xmlns:a16="http://schemas.microsoft.com/office/drawing/2014/main" id="{00000000-0008-0000-0500-0000F5110000}"/>
            </a:ext>
          </a:extLst>
        </xdr:cNvPr>
        <xdr:cNvSpPr txBox="1">
          <a:spLocks noChangeArrowheads="1"/>
        </xdr:cNvSpPr>
      </xdr:nvSpPr>
      <xdr:spPr bwMode="auto">
        <a:xfrm>
          <a:off x="4972050" y="447897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122</xdr:row>
      <xdr:rowOff>504825</xdr:rowOff>
    </xdr:from>
    <xdr:ext cx="95250" cy="213632"/>
    <xdr:sp macro="" textlink="">
      <xdr:nvSpPr>
        <xdr:cNvPr id="4598" name="Text Box 15">
          <a:extLst>
            <a:ext uri="{FF2B5EF4-FFF2-40B4-BE49-F238E27FC236}">
              <a16:creationId xmlns:a16="http://schemas.microsoft.com/office/drawing/2014/main" id="{00000000-0008-0000-0500-0000F6110000}"/>
            </a:ext>
          </a:extLst>
        </xdr:cNvPr>
        <xdr:cNvSpPr txBox="1">
          <a:spLocks noChangeArrowheads="1"/>
        </xdr:cNvSpPr>
      </xdr:nvSpPr>
      <xdr:spPr bwMode="auto">
        <a:xfrm>
          <a:off x="4972050" y="447897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122</xdr:row>
      <xdr:rowOff>504825</xdr:rowOff>
    </xdr:from>
    <xdr:ext cx="95250" cy="213632"/>
    <xdr:sp macro="" textlink="">
      <xdr:nvSpPr>
        <xdr:cNvPr id="4599" name="Text Box 15">
          <a:extLst>
            <a:ext uri="{FF2B5EF4-FFF2-40B4-BE49-F238E27FC236}">
              <a16:creationId xmlns:a16="http://schemas.microsoft.com/office/drawing/2014/main" id="{00000000-0008-0000-0500-0000F7110000}"/>
            </a:ext>
          </a:extLst>
        </xdr:cNvPr>
        <xdr:cNvSpPr txBox="1">
          <a:spLocks noChangeArrowheads="1"/>
        </xdr:cNvSpPr>
      </xdr:nvSpPr>
      <xdr:spPr bwMode="auto">
        <a:xfrm>
          <a:off x="4972050" y="447897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122</xdr:row>
      <xdr:rowOff>504825</xdr:rowOff>
    </xdr:from>
    <xdr:ext cx="95250" cy="213632"/>
    <xdr:sp macro="" textlink="">
      <xdr:nvSpPr>
        <xdr:cNvPr id="4600" name="Text Box 15">
          <a:extLst>
            <a:ext uri="{FF2B5EF4-FFF2-40B4-BE49-F238E27FC236}">
              <a16:creationId xmlns:a16="http://schemas.microsoft.com/office/drawing/2014/main" id="{00000000-0008-0000-0500-0000F8110000}"/>
            </a:ext>
          </a:extLst>
        </xdr:cNvPr>
        <xdr:cNvSpPr txBox="1">
          <a:spLocks noChangeArrowheads="1"/>
        </xdr:cNvSpPr>
      </xdr:nvSpPr>
      <xdr:spPr bwMode="auto">
        <a:xfrm>
          <a:off x="4972050" y="447897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124</xdr:row>
      <xdr:rowOff>504825</xdr:rowOff>
    </xdr:from>
    <xdr:ext cx="95250" cy="461691"/>
    <xdr:sp macro="" textlink="">
      <xdr:nvSpPr>
        <xdr:cNvPr id="4601" name="Text Box 15">
          <a:extLst>
            <a:ext uri="{FF2B5EF4-FFF2-40B4-BE49-F238E27FC236}">
              <a16:creationId xmlns:a16="http://schemas.microsoft.com/office/drawing/2014/main" id="{00000000-0008-0000-0500-0000F9110000}"/>
            </a:ext>
          </a:extLst>
        </xdr:cNvPr>
        <xdr:cNvSpPr txBox="1">
          <a:spLocks noChangeArrowheads="1"/>
        </xdr:cNvSpPr>
      </xdr:nvSpPr>
      <xdr:spPr bwMode="auto">
        <a:xfrm>
          <a:off x="4972050" y="44789725"/>
          <a:ext cx="95250" cy="461691"/>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124</xdr:row>
      <xdr:rowOff>504825</xdr:rowOff>
    </xdr:from>
    <xdr:ext cx="95250" cy="213632"/>
    <xdr:sp macro="" textlink="">
      <xdr:nvSpPr>
        <xdr:cNvPr id="4602" name="Text Box 15">
          <a:extLst>
            <a:ext uri="{FF2B5EF4-FFF2-40B4-BE49-F238E27FC236}">
              <a16:creationId xmlns:a16="http://schemas.microsoft.com/office/drawing/2014/main" id="{00000000-0008-0000-0500-0000FA110000}"/>
            </a:ext>
          </a:extLst>
        </xdr:cNvPr>
        <xdr:cNvSpPr txBox="1">
          <a:spLocks noChangeArrowheads="1"/>
        </xdr:cNvSpPr>
      </xdr:nvSpPr>
      <xdr:spPr bwMode="auto">
        <a:xfrm>
          <a:off x="4972050" y="447897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124</xdr:row>
      <xdr:rowOff>504825</xdr:rowOff>
    </xdr:from>
    <xdr:ext cx="95250" cy="444331"/>
    <xdr:sp macro="" textlink="">
      <xdr:nvSpPr>
        <xdr:cNvPr id="4603" name="Text Box 15">
          <a:extLst>
            <a:ext uri="{FF2B5EF4-FFF2-40B4-BE49-F238E27FC236}">
              <a16:creationId xmlns:a16="http://schemas.microsoft.com/office/drawing/2014/main" id="{00000000-0008-0000-0500-0000FB110000}"/>
            </a:ext>
          </a:extLst>
        </xdr:cNvPr>
        <xdr:cNvSpPr txBox="1">
          <a:spLocks noChangeArrowheads="1"/>
        </xdr:cNvSpPr>
      </xdr:nvSpPr>
      <xdr:spPr bwMode="auto">
        <a:xfrm>
          <a:off x="4972050" y="44789725"/>
          <a:ext cx="95250" cy="444331"/>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124</xdr:row>
      <xdr:rowOff>504825</xdr:rowOff>
    </xdr:from>
    <xdr:ext cx="95250" cy="448496"/>
    <xdr:sp macro="" textlink="">
      <xdr:nvSpPr>
        <xdr:cNvPr id="4604" name="Text Box 15">
          <a:extLst>
            <a:ext uri="{FF2B5EF4-FFF2-40B4-BE49-F238E27FC236}">
              <a16:creationId xmlns:a16="http://schemas.microsoft.com/office/drawing/2014/main" id="{00000000-0008-0000-0500-0000FC110000}"/>
            </a:ext>
          </a:extLst>
        </xdr:cNvPr>
        <xdr:cNvSpPr txBox="1">
          <a:spLocks noChangeArrowheads="1"/>
        </xdr:cNvSpPr>
      </xdr:nvSpPr>
      <xdr:spPr bwMode="auto">
        <a:xfrm>
          <a:off x="4972050" y="44789725"/>
          <a:ext cx="95250" cy="448496"/>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124</xdr:row>
      <xdr:rowOff>504825</xdr:rowOff>
    </xdr:from>
    <xdr:ext cx="95250" cy="213632"/>
    <xdr:sp macro="" textlink="">
      <xdr:nvSpPr>
        <xdr:cNvPr id="4605" name="Text Box 15">
          <a:extLst>
            <a:ext uri="{FF2B5EF4-FFF2-40B4-BE49-F238E27FC236}">
              <a16:creationId xmlns:a16="http://schemas.microsoft.com/office/drawing/2014/main" id="{00000000-0008-0000-0500-0000FD110000}"/>
            </a:ext>
          </a:extLst>
        </xdr:cNvPr>
        <xdr:cNvSpPr txBox="1">
          <a:spLocks noChangeArrowheads="1"/>
        </xdr:cNvSpPr>
      </xdr:nvSpPr>
      <xdr:spPr bwMode="auto">
        <a:xfrm>
          <a:off x="4972050" y="447897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124</xdr:row>
      <xdr:rowOff>504825</xdr:rowOff>
    </xdr:from>
    <xdr:ext cx="95250" cy="444331"/>
    <xdr:sp macro="" textlink="">
      <xdr:nvSpPr>
        <xdr:cNvPr id="4606" name="Text Box 15">
          <a:extLst>
            <a:ext uri="{FF2B5EF4-FFF2-40B4-BE49-F238E27FC236}">
              <a16:creationId xmlns:a16="http://schemas.microsoft.com/office/drawing/2014/main" id="{00000000-0008-0000-0500-0000FE110000}"/>
            </a:ext>
          </a:extLst>
        </xdr:cNvPr>
        <xdr:cNvSpPr txBox="1">
          <a:spLocks noChangeArrowheads="1"/>
        </xdr:cNvSpPr>
      </xdr:nvSpPr>
      <xdr:spPr bwMode="auto">
        <a:xfrm>
          <a:off x="4972050" y="44789725"/>
          <a:ext cx="95250" cy="444331"/>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124</xdr:row>
      <xdr:rowOff>504825</xdr:rowOff>
    </xdr:from>
    <xdr:ext cx="95250" cy="456743"/>
    <xdr:sp macro="" textlink="">
      <xdr:nvSpPr>
        <xdr:cNvPr id="4607" name="Text Box 15">
          <a:extLst>
            <a:ext uri="{FF2B5EF4-FFF2-40B4-BE49-F238E27FC236}">
              <a16:creationId xmlns:a16="http://schemas.microsoft.com/office/drawing/2014/main" id="{00000000-0008-0000-0500-0000FF110000}"/>
            </a:ext>
          </a:extLst>
        </xdr:cNvPr>
        <xdr:cNvSpPr txBox="1">
          <a:spLocks noChangeArrowheads="1"/>
        </xdr:cNvSpPr>
      </xdr:nvSpPr>
      <xdr:spPr bwMode="auto">
        <a:xfrm>
          <a:off x="4972050" y="44789725"/>
          <a:ext cx="95250" cy="456743"/>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124</xdr:row>
      <xdr:rowOff>504825</xdr:rowOff>
    </xdr:from>
    <xdr:ext cx="95250" cy="213632"/>
    <xdr:sp macro="" textlink="">
      <xdr:nvSpPr>
        <xdr:cNvPr id="4608" name="Text Box 15">
          <a:extLst>
            <a:ext uri="{FF2B5EF4-FFF2-40B4-BE49-F238E27FC236}">
              <a16:creationId xmlns:a16="http://schemas.microsoft.com/office/drawing/2014/main" id="{00000000-0008-0000-0500-000000120000}"/>
            </a:ext>
          </a:extLst>
        </xdr:cNvPr>
        <xdr:cNvSpPr txBox="1">
          <a:spLocks noChangeArrowheads="1"/>
        </xdr:cNvSpPr>
      </xdr:nvSpPr>
      <xdr:spPr bwMode="auto">
        <a:xfrm>
          <a:off x="4972050" y="447897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124</xdr:row>
      <xdr:rowOff>504825</xdr:rowOff>
    </xdr:from>
    <xdr:ext cx="95250" cy="444331"/>
    <xdr:sp macro="" textlink="">
      <xdr:nvSpPr>
        <xdr:cNvPr id="4609" name="Text Box 15">
          <a:extLst>
            <a:ext uri="{FF2B5EF4-FFF2-40B4-BE49-F238E27FC236}">
              <a16:creationId xmlns:a16="http://schemas.microsoft.com/office/drawing/2014/main" id="{00000000-0008-0000-0500-000001120000}"/>
            </a:ext>
          </a:extLst>
        </xdr:cNvPr>
        <xdr:cNvSpPr txBox="1">
          <a:spLocks noChangeArrowheads="1"/>
        </xdr:cNvSpPr>
      </xdr:nvSpPr>
      <xdr:spPr bwMode="auto">
        <a:xfrm>
          <a:off x="4972050" y="44789725"/>
          <a:ext cx="95250" cy="444331"/>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124</xdr:row>
      <xdr:rowOff>504825</xdr:rowOff>
    </xdr:from>
    <xdr:ext cx="95250" cy="213632"/>
    <xdr:sp macro="" textlink="">
      <xdr:nvSpPr>
        <xdr:cNvPr id="4610" name="Text Box 15">
          <a:extLst>
            <a:ext uri="{FF2B5EF4-FFF2-40B4-BE49-F238E27FC236}">
              <a16:creationId xmlns:a16="http://schemas.microsoft.com/office/drawing/2014/main" id="{00000000-0008-0000-0500-000002120000}"/>
            </a:ext>
          </a:extLst>
        </xdr:cNvPr>
        <xdr:cNvSpPr txBox="1">
          <a:spLocks noChangeArrowheads="1"/>
        </xdr:cNvSpPr>
      </xdr:nvSpPr>
      <xdr:spPr bwMode="auto">
        <a:xfrm>
          <a:off x="4972050" y="447897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124</xdr:row>
      <xdr:rowOff>504825</xdr:rowOff>
    </xdr:from>
    <xdr:ext cx="95250" cy="213632"/>
    <xdr:sp macro="" textlink="">
      <xdr:nvSpPr>
        <xdr:cNvPr id="4611" name="Text Box 15">
          <a:extLst>
            <a:ext uri="{FF2B5EF4-FFF2-40B4-BE49-F238E27FC236}">
              <a16:creationId xmlns:a16="http://schemas.microsoft.com/office/drawing/2014/main" id="{00000000-0008-0000-0500-000003120000}"/>
            </a:ext>
          </a:extLst>
        </xdr:cNvPr>
        <xdr:cNvSpPr txBox="1">
          <a:spLocks noChangeArrowheads="1"/>
        </xdr:cNvSpPr>
      </xdr:nvSpPr>
      <xdr:spPr bwMode="auto">
        <a:xfrm>
          <a:off x="4972050" y="447897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124</xdr:row>
      <xdr:rowOff>504825</xdr:rowOff>
    </xdr:from>
    <xdr:ext cx="95250" cy="213632"/>
    <xdr:sp macro="" textlink="">
      <xdr:nvSpPr>
        <xdr:cNvPr id="4612" name="Text Box 15">
          <a:extLst>
            <a:ext uri="{FF2B5EF4-FFF2-40B4-BE49-F238E27FC236}">
              <a16:creationId xmlns:a16="http://schemas.microsoft.com/office/drawing/2014/main" id="{00000000-0008-0000-0500-000004120000}"/>
            </a:ext>
          </a:extLst>
        </xdr:cNvPr>
        <xdr:cNvSpPr txBox="1">
          <a:spLocks noChangeArrowheads="1"/>
        </xdr:cNvSpPr>
      </xdr:nvSpPr>
      <xdr:spPr bwMode="auto">
        <a:xfrm>
          <a:off x="4972050" y="447897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124</xdr:row>
      <xdr:rowOff>504825</xdr:rowOff>
    </xdr:from>
    <xdr:ext cx="95250" cy="213632"/>
    <xdr:sp macro="" textlink="">
      <xdr:nvSpPr>
        <xdr:cNvPr id="4613" name="Text Box 15">
          <a:extLst>
            <a:ext uri="{FF2B5EF4-FFF2-40B4-BE49-F238E27FC236}">
              <a16:creationId xmlns:a16="http://schemas.microsoft.com/office/drawing/2014/main" id="{00000000-0008-0000-0500-000005120000}"/>
            </a:ext>
          </a:extLst>
        </xdr:cNvPr>
        <xdr:cNvSpPr txBox="1">
          <a:spLocks noChangeArrowheads="1"/>
        </xdr:cNvSpPr>
      </xdr:nvSpPr>
      <xdr:spPr bwMode="auto">
        <a:xfrm>
          <a:off x="4972050" y="447897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124</xdr:row>
      <xdr:rowOff>504825</xdr:rowOff>
    </xdr:from>
    <xdr:ext cx="95250" cy="213632"/>
    <xdr:sp macro="" textlink="">
      <xdr:nvSpPr>
        <xdr:cNvPr id="4614" name="Text Box 15">
          <a:extLst>
            <a:ext uri="{FF2B5EF4-FFF2-40B4-BE49-F238E27FC236}">
              <a16:creationId xmlns:a16="http://schemas.microsoft.com/office/drawing/2014/main" id="{00000000-0008-0000-0500-000006120000}"/>
            </a:ext>
          </a:extLst>
        </xdr:cNvPr>
        <xdr:cNvSpPr txBox="1">
          <a:spLocks noChangeArrowheads="1"/>
        </xdr:cNvSpPr>
      </xdr:nvSpPr>
      <xdr:spPr bwMode="auto">
        <a:xfrm>
          <a:off x="4972050" y="447897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124</xdr:row>
      <xdr:rowOff>504825</xdr:rowOff>
    </xdr:from>
    <xdr:ext cx="95250" cy="213632"/>
    <xdr:sp macro="" textlink="">
      <xdr:nvSpPr>
        <xdr:cNvPr id="4615" name="Text Box 15">
          <a:extLst>
            <a:ext uri="{FF2B5EF4-FFF2-40B4-BE49-F238E27FC236}">
              <a16:creationId xmlns:a16="http://schemas.microsoft.com/office/drawing/2014/main" id="{00000000-0008-0000-0500-000007120000}"/>
            </a:ext>
          </a:extLst>
        </xdr:cNvPr>
        <xdr:cNvSpPr txBox="1">
          <a:spLocks noChangeArrowheads="1"/>
        </xdr:cNvSpPr>
      </xdr:nvSpPr>
      <xdr:spPr bwMode="auto">
        <a:xfrm>
          <a:off x="4972050" y="447897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124</xdr:row>
      <xdr:rowOff>504825</xdr:rowOff>
    </xdr:from>
    <xdr:ext cx="95250" cy="213632"/>
    <xdr:sp macro="" textlink="">
      <xdr:nvSpPr>
        <xdr:cNvPr id="4616" name="Text Box 15">
          <a:extLst>
            <a:ext uri="{FF2B5EF4-FFF2-40B4-BE49-F238E27FC236}">
              <a16:creationId xmlns:a16="http://schemas.microsoft.com/office/drawing/2014/main" id="{00000000-0008-0000-0500-000008120000}"/>
            </a:ext>
          </a:extLst>
        </xdr:cNvPr>
        <xdr:cNvSpPr txBox="1">
          <a:spLocks noChangeArrowheads="1"/>
        </xdr:cNvSpPr>
      </xdr:nvSpPr>
      <xdr:spPr bwMode="auto">
        <a:xfrm>
          <a:off x="4972050" y="447897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124</xdr:row>
      <xdr:rowOff>504825</xdr:rowOff>
    </xdr:from>
    <xdr:ext cx="95250" cy="213632"/>
    <xdr:sp macro="" textlink="">
      <xdr:nvSpPr>
        <xdr:cNvPr id="4617" name="Text Box 15">
          <a:extLst>
            <a:ext uri="{FF2B5EF4-FFF2-40B4-BE49-F238E27FC236}">
              <a16:creationId xmlns:a16="http://schemas.microsoft.com/office/drawing/2014/main" id="{00000000-0008-0000-0500-000009120000}"/>
            </a:ext>
          </a:extLst>
        </xdr:cNvPr>
        <xdr:cNvSpPr txBox="1">
          <a:spLocks noChangeArrowheads="1"/>
        </xdr:cNvSpPr>
      </xdr:nvSpPr>
      <xdr:spPr bwMode="auto">
        <a:xfrm>
          <a:off x="4972050" y="447897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126</xdr:row>
      <xdr:rowOff>504825</xdr:rowOff>
    </xdr:from>
    <xdr:ext cx="95250" cy="213632"/>
    <xdr:sp macro="" textlink="">
      <xdr:nvSpPr>
        <xdr:cNvPr id="4618" name="Text Box 15">
          <a:extLst>
            <a:ext uri="{FF2B5EF4-FFF2-40B4-BE49-F238E27FC236}">
              <a16:creationId xmlns:a16="http://schemas.microsoft.com/office/drawing/2014/main" id="{00000000-0008-0000-0500-00000A120000}"/>
            </a:ext>
          </a:extLst>
        </xdr:cNvPr>
        <xdr:cNvSpPr txBox="1">
          <a:spLocks noChangeArrowheads="1"/>
        </xdr:cNvSpPr>
      </xdr:nvSpPr>
      <xdr:spPr bwMode="auto">
        <a:xfrm>
          <a:off x="4972050" y="455390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126</xdr:row>
      <xdr:rowOff>504825</xdr:rowOff>
    </xdr:from>
    <xdr:ext cx="95250" cy="213632"/>
    <xdr:sp macro="" textlink="">
      <xdr:nvSpPr>
        <xdr:cNvPr id="4619" name="Text Box 15">
          <a:extLst>
            <a:ext uri="{FF2B5EF4-FFF2-40B4-BE49-F238E27FC236}">
              <a16:creationId xmlns:a16="http://schemas.microsoft.com/office/drawing/2014/main" id="{00000000-0008-0000-0500-00000B120000}"/>
            </a:ext>
          </a:extLst>
        </xdr:cNvPr>
        <xdr:cNvSpPr txBox="1">
          <a:spLocks noChangeArrowheads="1"/>
        </xdr:cNvSpPr>
      </xdr:nvSpPr>
      <xdr:spPr bwMode="auto">
        <a:xfrm>
          <a:off x="4972050" y="455390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126</xdr:row>
      <xdr:rowOff>504825</xdr:rowOff>
    </xdr:from>
    <xdr:ext cx="95250" cy="213632"/>
    <xdr:sp macro="" textlink="">
      <xdr:nvSpPr>
        <xdr:cNvPr id="4620" name="Text Box 15">
          <a:extLst>
            <a:ext uri="{FF2B5EF4-FFF2-40B4-BE49-F238E27FC236}">
              <a16:creationId xmlns:a16="http://schemas.microsoft.com/office/drawing/2014/main" id="{00000000-0008-0000-0500-00000C120000}"/>
            </a:ext>
          </a:extLst>
        </xdr:cNvPr>
        <xdr:cNvSpPr txBox="1">
          <a:spLocks noChangeArrowheads="1"/>
        </xdr:cNvSpPr>
      </xdr:nvSpPr>
      <xdr:spPr bwMode="auto">
        <a:xfrm>
          <a:off x="4972050" y="455390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126</xdr:row>
      <xdr:rowOff>504825</xdr:rowOff>
    </xdr:from>
    <xdr:ext cx="95250" cy="213632"/>
    <xdr:sp macro="" textlink="">
      <xdr:nvSpPr>
        <xdr:cNvPr id="4621" name="Text Box 15">
          <a:extLst>
            <a:ext uri="{FF2B5EF4-FFF2-40B4-BE49-F238E27FC236}">
              <a16:creationId xmlns:a16="http://schemas.microsoft.com/office/drawing/2014/main" id="{00000000-0008-0000-0500-00000D120000}"/>
            </a:ext>
          </a:extLst>
        </xdr:cNvPr>
        <xdr:cNvSpPr txBox="1">
          <a:spLocks noChangeArrowheads="1"/>
        </xdr:cNvSpPr>
      </xdr:nvSpPr>
      <xdr:spPr bwMode="auto">
        <a:xfrm>
          <a:off x="4972050" y="455390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126</xdr:row>
      <xdr:rowOff>504825</xdr:rowOff>
    </xdr:from>
    <xdr:ext cx="95250" cy="213632"/>
    <xdr:sp macro="" textlink="">
      <xdr:nvSpPr>
        <xdr:cNvPr id="4622" name="Text Box 15">
          <a:extLst>
            <a:ext uri="{FF2B5EF4-FFF2-40B4-BE49-F238E27FC236}">
              <a16:creationId xmlns:a16="http://schemas.microsoft.com/office/drawing/2014/main" id="{00000000-0008-0000-0500-00000E120000}"/>
            </a:ext>
          </a:extLst>
        </xdr:cNvPr>
        <xdr:cNvSpPr txBox="1">
          <a:spLocks noChangeArrowheads="1"/>
        </xdr:cNvSpPr>
      </xdr:nvSpPr>
      <xdr:spPr bwMode="auto">
        <a:xfrm>
          <a:off x="4972050" y="455390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126</xdr:row>
      <xdr:rowOff>504825</xdr:rowOff>
    </xdr:from>
    <xdr:ext cx="95250" cy="213632"/>
    <xdr:sp macro="" textlink="">
      <xdr:nvSpPr>
        <xdr:cNvPr id="4623" name="Text Box 15">
          <a:extLst>
            <a:ext uri="{FF2B5EF4-FFF2-40B4-BE49-F238E27FC236}">
              <a16:creationId xmlns:a16="http://schemas.microsoft.com/office/drawing/2014/main" id="{00000000-0008-0000-0500-00000F120000}"/>
            </a:ext>
          </a:extLst>
        </xdr:cNvPr>
        <xdr:cNvSpPr txBox="1">
          <a:spLocks noChangeArrowheads="1"/>
        </xdr:cNvSpPr>
      </xdr:nvSpPr>
      <xdr:spPr bwMode="auto">
        <a:xfrm>
          <a:off x="4972050" y="455390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126</xdr:row>
      <xdr:rowOff>504825</xdr:rowOff>
    </xdr:from>
    <xdr:ext cx="95250" cy="213632"/>
    <xdr:sp macro="" textlink="">
      <xdr:nvSpPr>
        <xdr:cNvPr id="4624" name="Text Box 15">
          <a:extLst>
            <a:ext uri="{FF2B5EF4-FFF2-40B4-BE49-F238E27FC236}">
              <a16:creationId xmlns:a16="http://schemas.microsoft.com/office/drawing/2014/main" id="{00000000-0008-0000-0500-000010120000}"/>
            </a:ext>
          </a:extLst>
        </xdr:cNvPr>
        <xdr:cNvSpPr txBox="1">
          <a:spLocks noChangeArrowheads="1"/>
        </xdr:cNvSpPr>
      </xdr:nvSpPr>
      <xdr:spPr bwMode="auto">
        <a:xfrm>
          <a:off x="4972050" y="455390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126</xdr:row>
      <xdr:rowOff>504825</xdr:rowOff>
    </xdr:from>
    <xdr:ext cx="95250" cy="213632"/>
    <xdr:sp macro="" textlink="">
      <xdr:nvSpPr>
        <xdr:cNvPr id="4625" name="Text Box 15">
          <a:extLst>
            <a:ext uri="{FF2B5EF4-FFF2-40B4-BE49-F238E27FC236}">
              <a16:creationId xmlns:a16="http://schemas.microsoft.com/office/drawing/2014/main" id="{00000000-0008-0000-0500-000011120000}"/>
            </a:ext>
          </a:extLst>
        </xdr:cNvPr>
        <xdr:cNvSpPr txBox="1">
          <a:spLocks noChangeArrowheads="1"/>
        </xdr:cNvSpPr>
      </xdr:nvSpPr>
      <xdr:spPr bwMode="auto">
        <a:xfrm>
          <a:off x="4972050" y="455390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126</xdr:row>
      <xdr:rowOff>504825</xdr:rowOff>
    </xdr:from>
    <xdr:ext cx="95250" cy="213632"/>
    <xdr:sp macro="" textlink="">
      <xdr:nvSpPr>
        <xdr:cNvPr id="4626" name="Text Box 15">
          <a:extLst>
            <a:ext uri="{FF2B5EF4-FFF2-40B4-BE49-F238E27FC236}">
              <a16:creationId xmlns:a16="http://schemas.microsoft.com/office/drawing/2014/main" id="{00000000-0008-0000-0500-000012120000}"/>
            </a:ext>
          </a:extLst>
        </xdr:cNvPr>
        <xdr:cNvSpPr txBox="1">
          <a:spLocks noChangeArrowheads="1"/>
        </xdr:cNvSpPr>
      </xdr:nvSpPr>
      <xdr:spPr bwMode="auto">
        <a:xfrm>
          <a:off x="4972050" y="455390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126</xdr:row>
      <xdr:rowOff>504825</xdr:rowOff>
    </xdr:from>
    <xdr:ext cx="95250" cy="213632"/>
    <xdr:sp macro="" textlink="">
      <xdr:nvSpPr>
        <xdr:cNvPr id="4627" name="Text Box 15">
          <a:extLst>
            <a:ext uri="{FF2B5EF4-FFF2-40B4-BE49-F238E27FC236}">
              <a16:creationId xmlns:a16="http://schemas.microsoft.com/office/drawing/2014/main" id="{00000000-0008-0000-0500-000013120000}"/>
            </a:ext>
          </a:extLst>
        </xdr:cNvPr>
        <xdr:cNvSpPr txBox="1">
          <a:spLocks noChangeArrowheads="1"/>
        </xdr:cNvSpPr>
      </xdr:nvSpPr>
      <xdr:spPr bwMode="auto">
        <a:xfrm>
          <a:off x="4972050" y="455390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126</xdr:row>
      <xdr:rowOff>504825</xdr:rowOff>
    </xdr:from>
    <xdr:ext cx="95250" cy="213632"/>
    <xdr:sp macro="" textlink="">
      <xdr:nvSpPr>
        <xdr:cNvPr id="4628" name="Text Box 15">
          <a:extLst>
            <a:ext uri="{FF2B5EF4-FFF2-40B4-BE49-F238E27FC236}">
              <a16:creationId xmlns:a16="http://schemas.microsoft.com/office/drawing/2014/main" id="{00000000-0008-0000-0500-000014120000}"/>
            </a:ext>
          </a:extLst>
        </xdr:cNvPr>
        <xdr:cNvSpPr txBox="1">
          <a:spLocks noChangeArrowheads="1"/>
        </xdr:cNvSpPr>
      </xdr:nvSpPr>
      <xdr:spPr bwMode="auto">
        <a:xfrm>
          <a:off x="4972050" y="455390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38</xdr:row>
      <xdr:rowOff>504825</xdr:rowOff>
    </xdr:from>
    <xdr:ext cx="95250" cy="448496"/>
    <xdr:sp macro="" textlink="">
      <xdr:nvSpPr>
        <xdr:cNvPr id="4629" name="Text Box 15">
          <a:extLst>
            <a:ext uri="{FF2B5EF4-FFF2-40B4-BE49-F238E27FC236}">
              <a16:creationId xmlns:a16="http://schemas.microsoft.com/office/drawing/2014/main" id="{00000000-0008-0000-0500-000015120000}"/>
            </a:ext>
          </a:extLst>
        </xdr:cNvPr>
        <xdr:cNvSpPr txBox="1">
          <a:spLocks noChangeArrowheads="1"/>
        </xdr:cNvSpPr>
      </xdr:nvSpPr>
      <xdr:spPr bwMode="auto">
        <a:xfrm>
          <a:off x="4972050" y="14068425"/>
          <a:ext cx="95250" cy="448496"/>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38</xdr:row>
      <xdr:rowOff>504825</xdr:rowOff>
    </xdr:from>
    <xdr:ext cx="95250" cy="213632"/>
    <xdr:sp macro="" textlink="">
      <xdr:nvSpPr>
        <xdr:cNvPr id="4630" name="Text Box 15">
          <a:extLst>
            <a:ext uri="{FF2B5EF4-FFF2-40B4-BE49-F238E27FC236}">
              <a16:creationId xmlns:a16="http://schemas.microsoft.com/office/drawing/2014/main" id="{00000000-0008-0000-0500-000016120000}"/>
            </a:ext>
          </a:extLst>
        </xdr:cNvPr>
        <xdr:cNvSpPr txBox="1">
          <a:spLocks noChangeArrowheads="1"/>
        </xdr:cNvSpPr>
      </xdr:nvSpPr>
      <xdr:spPr bwMode="auto">
        <a:xfrm>
          <a:off x="4972050" y="140684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38</xdr:row>
      <xdr:rowOff>504825</xdr:rowOff>
    </xdr:from>
    <xdr:ext cx="95250" cy="444331"/>
    <xdr:sp macro="" textlink="">
      <xdr:nvSpPr>
        <xdr:cNvPr id="4631" name="Text Box 15">
          <a:extLst>
            <a:ext uri="{FF2B5EF4-FFF2-40B4-BE49-F238E27FC236}">
              <a16:creationId xmlns:a16="http://schemas.microsoft.com/office/drawing/2014/main" id="{00000000-0008-0000-0500-000017120000}"/>
            </a:ext>
          </a:extLst>
        </xdr:cNvPr>
        <xdr:cNvSpPr txBox="1">
          <a:spLocks noChangeArrowheads="1"/>
        </xdr:cNvSpPr>
      </xdr:nvSpPr>
      <xdr:spPr bwMode="auto">
        <a:xfrm>
          <a:off x="4972050" y="14068425"/>
          <a:ext cx="95250" cy="444331"/>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38</xdr:row>
      <xdr:rowOff>504825</xdr:rowOff>
    </xdr:from>
    <xdr:ext cx="95250" cy="448496"/>
    <xdr:sp macro="" textlink="">
      <xdr:nvSpPr>
        <xdr:cNvPr id="4632" name="Text Box 15">
          <a:extLst>
            <a:ext uri="{FF2B5EF4-FFF2-40B4-BE49-F238E27FC236}">
              <a16:creationId xmlns:a16="http://schemas.microsoft.com/office/drawing/2014/main" id="{00000000-0008-0000-0500-000018120000}"/>
            </a:ext>
          </a:extLst>
        </xdr:cNvPr>
        <xdr:cNvSpPr txBox="1">
          <a:spLocks noChangeArrowheads="1"/>
        </xdr:cNvSpPr>
      </xdr:nvSpPr>
      <xdr:spPr bwMode="auto">
        <a:xfrm>
          <a:off x="4972050" y="14068425"/>
          <a:ext cx="95250" cy="448496"/>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38</xdr:row>
      <xdr:rowOff>504825</xdr:rowOff>
    </xdr:from>
    <xdr:ext cx="95250" cy="213632"/>
    <xdr:sp macro="" textlink="">
      <xdr:nvSpPr>
        <xdr:cNvPr id="4633" name="Text Box 15">
          <a:extLst>
            <a:ext uri="{FF2B5EF4-FFF2-40B4-BE49-F238E27FC236}">
              <a16:creationId xmlns:a16="http://schemas.microsoft.com/office/drawing/2014/main" id="{00000000-0008-0000-0500-000019120000}"/>
            </a:ext>
          </a:extLst>
        </xdr:cNvPr>
        <xdr:cNvSpPr txBox="1">
          <a:spLocks noChangeArrowheads="1"/>
        </xdr:cNvSpPr>
      </xdr:nvSpPr>
      <xdr:spPr bwMode="auto">
        <a:xfrm>
          <a:off x="4972050" y="140684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38</xdr:row>
      <xdr:rowOff>504825</xdr:rowOff>
    </xdr:from>
    <xdr:ext cx="95250" cy="444331"/>
    <xdr:sp macro="" textlink="">
      <xdr:nvSpPr>
        <xdr:cNvPr id="4634" name="Text Box 15">
          <a:extLst>
            <a:ext uri="{FF2B5EF4-FFF2-40B4-BE49-F238E27FC236}">
              <a16:creationId xmlns:a16="http://schemas.microsoft.com/office/drawing/2014/main" id="{00000000-0008-0000-0500-00001A120000}"/>
            </a:ext>
          </a:extLst>
        </xdr:cNvPr>
        <xdr:cNvSpPr txBox="1">
          <a:spLocks noChangeArrowheads="1"/>
        </xdr:cNvSpPr>
      </xdr:nvSpPr>
      <xdr:spPr bwMode="auto">
        <a:xfrm>
          <a:off x="4972050" y="14068425"/>
          <a:ext cx="95250" cy="444331"/>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38</xdr:row>
      <xdr:rowOff>504825</xdr:rowOff>
    </xdr:from>
    <xdr:ext cx="95250" cy="456743"/>
    <xdr:sp macro="" textlink="">
      <xdr:nvSpPr>
        <xdr:cNvPr id="4635" name="Text Box 15">
          <a:extLst>
            <a:ext uri="{FF2B5EF4-FFF2-40B4-BE49-F238E27FC236}">
              <a16:creationId xmlns:a16="http://schemas.microsoft.com/office/drawing/2014/main" id="{00000000-0008-0000-0500-00001B120000}"/>
            </a:ext>
          </a:extLst>
        </xdr:cNvPr>
        <xdr:cNvSpPr txBox="1">
          <a:spLocks noChangeArrowheads="1"/>
        </xdr:cNvSpPr>
      </xdr:nvSpPr>
      <xdr:spPr bwMode="auto">
        <a:xfrm>
          <a:off x="4972050" y="14068425"/>
          <a:ext cx="95250" cy="456743"/>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38</xdr:row>
      <xdr:rowOff>504825</xdr:rowOff>
    </xdr:from>
    <xdr:ext cx="95250" cy="213632"/>
    <xdr:sp macro="" textlink="">
      <xdr:nvSpPr>
        <xdr:cNvPr id="4636" name="Text Box 15">
          <a:extLst>
            <a:ext uri="{FF2B5EF4-FFF2-40B4-BE49-F238E27FC236}">
              <a16:creationId xmlns:a16="http://schemas.microsoft.com/office/drawing/2014/main" id="{00000000-0008-0000-0500-00001C120000}"/>
            </a:ext>
          </a:extLst>
        </xdr:cNvPr>
        <xdr:cNvSpPr txBox="1">
          <a:spLocks noChangeArrowheads="1"/>
        </xdr:cNvSpPr>
      </xdr:nvSpPr>
      <xdr:spPr bwMode="auto">
        <a:xfrm>
          <a:off x="4972050" y="140684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38</xdr:row>
      <xdr:rowOff>504825</xdr:rowOff>
    </xdr:from>
    <xdr:ext cx="95250" cy="444331"/>
    <xdr:sp macro="" textlink="">
      <xdr:nvSpPr>
        <xdr:cNvPr id="4637" name="Text Box 15">
          <a:extLst>
            <a:ext uri="{FF2B5EF4-FFF2-40B4-BE49-F238E27FC236}">
              <a16:creationId xmlns:a16="http://schemas.microsoft.com/office/drawing/2014/main" id="{00000000-0008-0000-0500-00001D120000}"/>
            </a:ext>
          </a:extLst>
        </xdr:cNvPr>
        <xdr:cNvSpPr txBox="1">
          <a:spLocks noChangeArrowheads="1"/>
        </xdr:cNvSpPr>
      </xdr:nvSpPr>
      <xdr:spPr bwMode="auto">
        <a:xfrm>
          <a:off x="4972050" y="14068425"/>
          <a:ext cx="95250" cy="444331"/>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38</xdr:row>
      <xdr:rowOff>504825</xdr:rowOff>
    </xdr:from>
    <xdr:ext cx="95250" cy="213632"/>
    <xdr:sp macro="" textlink="">
      <xdr:nvSpPr>
        <xdr:cNvPr id="4638" name="Text Box 15">
          <a:extLst>
            <a:ext uri="{FF2B5EF4-FFF2-40B4-BE49-F238E27FC236}">
              <a16:creationId xmlns:a16="http://schemas.microsoft.com/office/drawing/2014/main" id="{00000000-0008-0000-0500-00001E120000}"/>
            </a:ext>
          </a:extLst>
        </xdr:cNvPr>
        <xdr:cNvSpPr txBox="1">
          <a:spLocks noChangeArrowheads="1"/>
        </xdr:cNvSpPr>
      </xdr:nvSpPr>
      <xdr:spPr bwMode="auto">
        <a:xfrm>
          <a:off x="4972050" y="140684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38</xdr:row>
      <xdr:rowOff>504825</xdr:rowOff>
    </xdr:from>
    <xdr:ext cx="95250" cy="213632"/>
    <xdr:sp macro="" textlink="">
      <xdr:nvSpPr>
        <xdr:cNvPr id="4639" name="Text Box 15">
          <a:extLst>
            <a:ext uri="{FF2B5EF4-FFF2-40B4-BE49-F238E27FC236}">
              <a16:creationId xmlns:a16="http://schemas.microsoft.com/office/drawing/2014/main" id="{00000000-0008-0000-0500-00001F120000}"/>
            </a:ext>
          </a:extLst>
        </xdr:cNvPr>
        <xdr:cNvSpPr txBox="1">
          <a:spLocks noChangeArrowheads="1"/>
        </xdr:cNvSpPr>
      </xdr:nvSpPr>
      <xdr:spPr bwMode="auto">
        <a:xfrm>
          <a:off x="4972050" y="140684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38</xdr:row>
      <xdr:rowOff>504825</xdr:rowOff>
    </xdr:from>
    <xdr:ext cx="95250" cy="213632"/>
    <xdr:sp macro="" textlink="">
      <xdr:nvSpPr>
        <xdr:cNvPr id="4640" name="Text Box 15">
          <a:extLst>
            <a:ext uri="{FF2B5EF4-FFF2-40B4-BE49-F238E27FC236}">
              <a16:creationId xmlns:a16="http://schemas.microsoft.com/office/drawing/2014/main" id="{00000000-0008-0000-0500-000020120000}"/>
            </a:ext>
          </a:extLst>
        </xdr:cNvPr>
        <xdr:cNvSpPr txBox="1">
          <a:spLocks noChangeArrowheads="1"/>
        </xdr:cNvSpPr>
      </xdr:nvSpPr>
      <xdr:spPr bwMode="auto">
        <a:xfrm>
          <a:off x="4972050" y="140684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38</xdr:row>
      <xdr:rowOff>504825</xdr:rowOff>
    </xdr:from>
    <xdr:ext cx="95250" cy="213632"/>
    <xdr:sp macro="" textlink="">
      <xdr:nvSpPr>
        <xdr:cNvPr id="4641" name="Text Box 15">
          <a:extLst>
            <a:ext uri="{FF2B5EF4-FFF2-40B4-BE49-F238E27FC236}">
              <a16:creationId xmlns:a16="http://schemas.microsoft.com/office/drawing/2014/main" id="{00000000-0008-0000-0500-000021120000}"/>
            </a:ext>
          </a:extLst>
        </xdr:cNvPr>
        <xdr:cNvSpPr txBox="1">
          <a:spLocks noChangeArrowheads="1"/>
        </xdr:cNvSpPr>
      </xdr:nvSpPr>
      <xdr:spPr bwMode="auto">
        <a:xfrm>
          <a:off x="4972050" y="140684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38</xdr:row>
      <xdr:rowOff>504825</xdr:rowOff>
    </xdr:from>
    <xdr:ext cx="95250" cy="213632"/>
    <xdr:sp macro="" textlink="">
      <xdr:nvSpPr>
        <xdr:cNvPr id="4642" name="Text Box 15">
          <a:extLst>
            <a:ext uri="{FF2B5EF4-FFF2-40B4-BE49-F238E27FC236}">
              <a16:creationId xmlns:a16="http://schemas.microsoft.com/office/drawing/2014/main" id="{00000000-0008-0000-0500-000022120000}"/>
            </a:ext>
          </a:extLst>
        </xdr:cNvPr>
        <xdr:cNvSpPr txBox="1">
          <a:spLocks noChangeArrowheads="1"/>
        </xdr:cNvSpPr>
      </xdr:nvSpPr>
      <xdr:spPr bwMode="auto">
        <a:xfrm>
          <a:off x="4972050" y="140684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38</xdr:row>
      <xdr:rowOff>504825</xdr:rowOff>
    </xdr:from>
    <xdr:ext cx="95250" cy="213632"/>
    <xdr:sp macro="" textlink="">
      <xdr:nvSpPr>
        <xdr:cNvPr id="4643" name="Text Box 15">
          <a:extLst>
            <a:ext uri="{FF2B5EF4-FFF2-40B4-BE49-F238E27FC236}">
              <a16:creationId xmlns:a16="http://schemas.microsoft.com/office/drawing/2014/main" id="{00000000-0008-0000-0500-000023120000}"/>
            </a:ext>
          </a:extLst>
        </xdr:cNvPr>
        <xdr:cNvSpPr txBox="1">
          <a:spLocks noChangeArrowheads="1"/>
        </xdr:cNvSpPr>
      </xdr:nvSpPr>
      <xdr:spPr bwMode="auto">
        <a:xfrm>
          <a:off x="4972050" y="140684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38</xdr:row>
      <xdr:rowOff>504825</xdr:rowOff>
    </xdr:from>
    <xdr:ext cx="95250" cy="213632"/>
    <xdr:sp macro="" textlink="">
      <xdr:nvSpPr>
        <xdr:cNvPr id="4644" name="Text Box 15">
          <a:extLst>
            <a:ext uri="{FF2B5EF4-FFF2-40B4-BE49-F238E27FC236}">
              <a16:creationId xmlns:a16="http://schemas.microsoft.com/office/drawing/2014/main" id="{00000000-0008-0000-0500-000024120000}"/>
            </a:ext>
          </a:extLst>
        </xdr:cNvPr>
        <xdr:cNvSpPr txBox="1">
          <a:spLocks noChangeArrowheads="1"/>
        </xdr:cNvSpPr>
      </xdr:nvSpPr>
      <xdr:spPr bwMode="auto">
        <a:xfrm>
          <a:off x="4972050" y="140684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38</xdr:row>
      <xdr:rowOff>504825</xdr:rowOff>
    </xdr:from>
    <xdr:ext cx="95250" cy="213632"/>
    <xdr:sp macro="" textlink="">
      <xdr:nvSpPr>
        <xdr:cNvPr id="4645" name="Text Box 15">
          <a:extLst>
            <a:ext uri="{FF2B5EF4-FFF2-40B4-BE49-F238E27FC236}">
              <a16:creationId xmlns:a16="http://schemas.microsoft.com/office/drawing/2014/main" id="{00000000-0008-0000-0500-000025120000}"/>
            </a:ext>
          </a:extLst>
        </xdr:cNvPr>
        <xdr:cNvSpPr txBox="1">
          <a:spLocks noChangeArrowheads="1"/>
        </xdr:cNvSpPr>
      </xdr:nvSpPr>
      <xdr:spPr bwMode="auto">
        <a:xfrm>
          <a:off x="4972050" y="140684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38</xdr:row>
      <xdr:rowOff>504825</xdr:rowOff>
    </xdr:from>
    <xdr:ext cx="95250" cy="213632"/>
    <xdr:sp macro="" textlink="">
      <xdr:nvSpPr>
        <xdr:cNvPr id="4646" name="Text Box 15">
          <a:extLst>
            <a:ext uri="{FF2B5EF4-FFF2-40B4-BE49-F238E27FC236}">
              <a16:creationId xmlns:a16="http://schemas.microsoft.com/office/drawing/2014/main" id="{00000000-0008-0000-0500-000026120000}"/>
            </a:ext>
          </a:extLst>
        </xdr:cNvPr>
        <xdr:cNvSpPr txBox="1">
          <a:spLocks noChangeArrowheads="1"/>
        </xdr:cNvSpPr>
      </xdr:nvSpPr>
      <xdr:spPr bwMode="auto">
        <a:xfrm>
          <a:off x="4972050" y="140684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38</xdr:row>
      <xdr:rowOff>504825</xdr:rowOff>
    </xdr:from>
    <xdr:ext cx="95250" cy="213632"/>
    <xdr:sp macro="" textlink="">
      <xdr:nvSpPr>
        <xdr:cNvPr id="4647" name="Text Box 15">
          <a:extLst>
            <a:ext uri="{FF2B5EF4-FFF2-40B4-BE49-F238E27FC236}">
              <a16:creationId xmlns:a16="http://schemas.microsoft.com/office/drawing/2014/main" id="{00000000-0008-0000-0500-000027120000}"/>
            </a:ext>
          </a:extLst>
        </xdr:cNvPr>
        <xdr:cNvSpPr txBox="1">
          <a:spLocks noChangeArrowheads="1"/>
        </xdr:cNvSpPr>
      </xdr:nvSpPr>
      <xdr:spPr bwMode="auto">
        <a:xfrm>
          <a:off x="4972050" y="140684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38</xdr:row>
      <xdr:rowOff>504825</xdr:rowOff>
    </xdr:from>
    <xdr:ext cx="95250" cy="213632"/>
    <xdr:sp macro="" textlink="">
      <xdr:nvSpPr>
        <xdr:cNvPr id="4648" name="Text Box 15">
          <a:extLst>
            <a:ext uri="{FF2B5EF4-FFF2-40B4-BE49-F238E27FC236}">
              <a16:creationId xmlns:a16="http://schemas.microsoft.com/office/drawing/2014/main" id="{00000000-0008-0000-0500-000028120000}"/>
            </a:ext>
          </a:extLst>
        </xdr:cNvPr>
        <xdr:cNvSpPr txBox="1">
          <a:spLocks noChangeArrowheads="1"/>
        </xdr:cNvSpPr>
      </xdr:nvSpPr>
      <xdr:spPr bwMode="auto">
        <a:xfrm>
          <a:off x="4972050" y="140684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38</xdr:row>
      <xdr:rowOff>504825</xdr:rowOff>
    </xdr:from>
    <xdr:ext cx="95250" cy="213632"/>
    <xdr:sp macro="" textlink="">
      <xdr:nvSpPr>
        <xdr:cNvPr id="4649" name="Text Box 15">
          <a:extLst>
            <a:ext uri="{FF2B5EF4-FFF2-40B4-BE49-F238E27FC236}">
              <a16:creationId xmlns:a16="http://schemas.microsoft.com/office/drawing/2014/main" id="{00000000-0008-0000-0500-000029120000}"/>
            </a:ext>
          </a:extLst>
        </xdr:cNvPr>
        <xdr:cNvSpPr txBox="1">
          <a:spLocks noChangeArrowheads="1"/>
        </xdr:cNvSpPr>
      </xdr:nvSpPr>
      <xdr:spPr bwMode="auto">
        <a:xfrm>
          <a:off x="4972050" y="140684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38</xdr:row>
      <xdr:rowOff>504825</xdr:rowOff>
    </xdr:from>
    <xdr:ext cx="95250" cy="213632"/>
    <xdr:sp macro="" textlink="">
      <xdr:nvSpPr>
        <xdr:cNvPr id="4650" name="Text Box 15">
          <a:extLst>
            <a:ext uri="{FF2B5EF4-FFF2-40B4-BE49-F238E27FC236}">
              <a16:creationId xmlns:a16="http://schemas.microsoft.com/office/drawing/2014/main" id="{00000000-0008-0000-0500-00002A120000}"/>
            </a:ext>
          </a:extLst>
        </xdr:cNvPr>
        <xdr:cNvSpPr txBox="1">
          <a:spLocks noChangeArrowheads="1"/>
        </xdr:cNvSpPr>
      </xdr:nvSpPr>
      <xdr:spPr bwMode="auto">
        <a:xfrm>
          <a:off x="4972050" y="140684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38</xdr:row>
      <xdr:rowOff>504825</xdr:rowOff>
    </xdr:from>
    <xdr:ext cx="95250" cy="213632"/>
    <xdr:sp macro="" textlink="">
      <xdr:nvSpPr>
        <xdr:cNvPr id="4651" name="Text Box 15">
          <a:extLst>
            <a:ext uri="{FF2B5EF4-FFF2-40B4-BE49-F238E27FC236}">
              <a16:creationId xmlns:a16="http://schemas.microsoft.com/office/drawing/2014/main" id="{00000000-0008-0000-0500-00002B120000}"/>
            </a:ext>
          </a:extLst>
        </xdr:cNvPr>
        <xdr:cNvSpPr txBox="1">
          <a:spLocks noChangeArrowheads="1"/>
        </xdr:cNvSpPr>
      </xdr:nvSpPr>
      <xdr:spPr bwMode="auto">
        <a:xfrm>
          <a:off x="4972050" y="140684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38</xdr:row>
      <xdr:rowOff>504825</xdr:rowOff>
    </xdr:from>
    <xdr:ext cx="95250" cy="213632"/>
    <xdr:sp macro="" textlink="">
      <xdr:nvSpPr>
        <xdr:cNvPr id="4652" name="Text Box 15">
          <a:extLst>
            <a:ext uri="{FF2B5EF4-FFF2-40B4-BE49-F238E27FC236}">
              <a16:creationId xmlns:a16="http://schemas.microsoft.com/office/drawing/2014/main" id="{00000000-0008-0000-0500-00002C120000}"/>
            </a:ext>
          </a:extLst>
        </xdr:cNvPr>
        <xdr:cNvSpPr txBox="1">
          <a:spLocks noChangeArrowheads="1"/>
        </xdr:cNvSpPr>
      </xdr:nvSpPr>
      <xdr:spPr bwMode="auto">
        <a:xfrm>
          <a:off x="4972050" y="140684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38</xdr:row>
      <xdr:rowOff>504825</xdr:rowOff>
    </xdr:from>
    <xdr:ext cx="95250" cy="213632"/>
    <xdr:sp macro="" textlink="">
      <xdr:nvSpPr>
        <xdr:cNvPr id="4653" name="Text Box 15">
          <a:extLst>
            <a:ext uri="{FF2B5EF4-FFF2-40B4-BE49-F238E27FC236}">
              <a16:creationId xmlns:a16="http://schemas.microsoft.com/office/drawing/2014/main" id="{00000000-0008-0000-0500-00002D120000}"/>
            </a:ext>
          </a:extLst>
        </xdr:cNvPr>
        <xdr:cNvSpPr txBox="1">
          <a:spLocks noChangeArrowheads="1"/>
        </xdr:cNvSpPr>
      </xdr:nvSpPr>
      <xdr:spPr bwMode="auto">
        <a:xfrm>
          <a:off x="4972050" y="140684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38</xdr:row>
      <xdr:rowOff>504825</xdr:rowOff>
    </xdr:from>
    <xdr:ext cx="95250" cy="213632"/>
    <xdr:sp macro="" textlink="">
      <xdr:nvSpPr>
        <xdr:cNvPr id="4654" name="Text Box 15">
          <a:extLst>
            <a:ext uri="{FF2B5EF4-FFF2-40B4-BE49-F238E27FC236}">
              <a16:creationId xmlns:a16="http://schemas.microsoft.com/office/drawing/2014/main" id="{00000000-0008-0000-0500-00002E120000}"/>
            </a:ext>
          </a:extLst>
        </xdr:cNvPr>
        <xdr:cNvSpPr txBox="1">
          <a:spLocks noChangeArrowheads="1"/>
        </xdr:cNvSpPr>
      </xdr:nvSpPr>
      <xdr:spPr bwMode="auto">
        <a:xfrm>
          <a:off x="4972050" y="140684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38</xdr:row>
      <xdr:rowOff>504825</xdr:rowOff>
    </xdr:from>
    <xdr:ext cx="95250" cy="213632"/>
    <xdr:sp macro="" textlink="">
      <xdr:nvSpPr>
        <xdr:cNvPr id="4655" name="Text Box 15">
          <a:extLst>
            <a:ext uri="{FF2B5EF4-FFF2-40B4-BE49-F238E27FC236}">
              <a16:creationId xmlns:a16="http://schemas.microsoft.com/office/drawing/2014/main" id="{00000000-0008-0000-0500-00002F120000}"/>
            </a:ext>
          </a:extLst>
        </xdr:cNvPr>
        <xdr:cNvSpPr txBox="1">
          <a:spLocks noChangeArrowheads="1"/>
        </xdr:cNvSpPr>
      </xdr:nvSpPr>
      <xdr:spPr bwMode="auto">
        <a:xfrm>
          <a:off x="4972050" y="140684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38</xdr:row>
      <xdr:rowOff>504825</xdr:rowOff>
    </xdr:from>
    <xdr:ext cx="95250" cy="213632"/>
    <xdr:sp macro="" textlink="">
      <xdr:nvSpPr>
        <xdr:cNvPr id="4656" name="Text Box 15">
          <a:extLst>
            <a:ext uri="{FF2B5EF4-FFF2-40B4-BE49-F238E27FC236}">
              <a16:creationId xmlns:a16="http://schemas.microsoft.com/office/drawing/2014/main" id="{00000000-0008-0000-0500-000030120000}"/>
            </a:ext>
          </a:extLst>
        </xdr:cNvPr>
        <xdr:cNvSpPr txBox="1">
          <a:spLocks noChangeArrowheads="1"/>
        </xdr:cNvSpPr>
      </xdr:nvSpPr>
      <xdr:spPr bwMode="auto">
        <a:xfrm>
          <a:off x="4972050" y="140684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38</xdr:row>
      <xdr:rowOff>504825</xdr:rowOff>
    </xdr:from>
    <xdr:ext cx="95250" cy="213632"/>
    <xdr:sp macro="" textlink="">
      <xdr:nvSpPr>
        <xdr:cNvPr id="4657" name="Text Box 15">
          <a:extLst>
            <a:ext uri="{FF2B5EF4-FFF2-40B4-BE49-F238E27FC236}">
              <a16:creationId xmlns:a16="http://schemas.microsoft.com/office/drawing/2014/main" id="{00000000-0008-0000-0500-000031120000}"/>
            </a:ext>
          </a:extLst>
        </xdr:cNvPr>
        <xdr:cNvSpPr txBox="1">
          <a:spLocks noChangeArrowheads="1"/>
        </xdr:cNvSpPr>
      </xdr:nvSpPr>
      <xdr:spPr bwMode="auto">
        <a:xfrm>
          <a:off x="4972050" y="140684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38</xdr:row>
      <xdr:rowOff>504825</xdr:rowOff>
    </xdr:from>
    <xdr:ext cx="95250" cy="213632"/>
    <xdr:sp macro="" textlink="">
      <xdr:nvSpPr>
        <xdr:cNvPr id="4658" name="Text Box 15">
          <a:extLst>
            <a:ext uri="{FF2B5EF4-FFF2-40B4-BE49-F238E27FC236}">
              <a16:creationId xmlns:a16="http://schemas.microsoft.com/office/drawing/2014/main" id="{00000000-0008-0000-0500-000032120000}"/>
            </a:ext>
          </a:extLst>
        </xdr:cNvPr>
        <xdr:cNvSpPr txBox="1">
          <a:spLocks noChangeArrowheads="1"/>
        </xdr:cNvSpPr>
      </xdr:nvSpPr>
      <xdr:spPr bwMode="auto">
        <a:xfrm>
          <a:off x="4972050" y="140684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40</xdr:row>
      <xdr:rowOff>504825</xdr:rowOff>
    </xdr:from>
    <xdr:ext cx="95250" cy="448496"/>
    <xdr:sp macro="" textlink="">
      <xdr:nvSpPr>
        <xdr:cNvPr id="4659" name="Text Box 15">
          <a:extLst>
            <a:ext uri="{FF2B5EF4-FFF2-40B4-BE49-F238E27FC236}">
              <a16:creationId xmlns:a16="http://schemas.microsoft.com/office/drawing/2014/main" id="{00000000-0008-0000-0500-000033120000}"/>
            </a:ext>
          </a:extLst>
        </xdr:cNvPr>
        <xdr:cNvSpPr txBox="1">
          <a:spLocks noChangeArrowheads="1"/>
        </xdr:cNvSpPr>
      </xdr:nvSpPr>
      <xdr:spPr bwMode="auto">
        <a:xfrm>
          <a:off x="4972050" y="14068425"/>
          <a:ext cx="95250" cy="448496"/>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40</xdr:row>
      <xdr:rowOff>504825</xdr:rowOff>
    </xdr:from>
    <xdr:ext cx="95250" cy="213632"/>
    <xdr:sp macro="" textlink="">
      <xdr:nvSpPr>
        <xdr:cNvPr id="4660" name="Text Box 15">
          <a:extLst>
            <a:ext uri="{FF2B5EF4-FFF2-40B4-BE49-F238E27FC236}">
              <a16:creationId xmlns:a16="http://schemas.microsoft.com/office/drawing/2014/main" id="{00000000-0008-0000-0500-000034120000}"/>
            </a:ext>
          </a:extLst>
        </xdr:cNvPr>
        <xdr:cNvSpPr txBox="1">
          <a:spLocks noChangeArrowheads="1"/>
        </xdr:cNvSpPr>
      </xdr:nvSpPr>
      <xdr:spPr bwMode="auto">
        <a:xfrm>
          <a:off x="4972050" y="140684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40</xdr:row>
      <xdr:rowOff>504825</xdr:rowOff>
    </xdr:from>
    <xdr:ext cx="95250" cy="444331"/>
    <xdr:sp macro="" textlink="">
      <xdr:nvSpPr>
        <xdr:cNvPr id="4661" name="Text Box 15">
          <a:extLst>
            <a:ext uri="{FF2B5EF4-FFF2-40B4-BE49-F238E27FC236}">
              <a16:creationId xmlns:a16="http://schemas.microsoft.com/office/drawing/2014/main" id="{00000000-0008-0000-0500-000035120000}"/>
            </a:ext>
          </a:extLst>
        </xdr:cNvPr>
        <xdr:cNvSpPr txBox="1">
          <a:spLocks noChangeArrowheads="1"/>
        </xdr:cNvSpPr>
      </xdr:nvSpPr>
      <xdr:spPr bwMode="auto">
        <a:xfrm>
          <a:off x="4972050" y="14068425"/>
          <a:ext cx="95250" cy="444331"/>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40</xdr:row>
      <xdr:rowOff>504825</xdr:rowOff>
    </xdr:from>
    <xdr:ext cx="95250" cy="448496"/>
    <xdr:sp macro="" textlink="">
      <xdr:nvSpPr>
        <xdr:cNvPr id="4662" name="Text Box 15">
          <a:extLst>
            <a:ext uri="{FF2B5EF4-FFF2-40B4-BE49-F238E27FC236}">
              <a16:creationId xmlns:a16="http://schemas.microsoft.com/office/drawing/2014/main" id="{00000000-0008-0000-0500-000036120000}"/>
            </a:ext>
          </a:extLst>
        </xdr:cNvPr>
        <xdr:cNvSpPr txBox="1">
          <a:spLocks noChangeArrowheads="1"/>
        </xdr:cNvSpPr>
      </xdr:nvSpPr>
      <xdr:spPr bwMode="auto">
        <a:xfrm>
          <a:off x="4972050" y="14068425"/>
          <a:ext cx="95250" cy="448496"/>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40</xdr:row>
      <xdr:rowOff>504825</xdr:rowOff>
    </xdr:from>
    <xdr:ext cx="95250" cy="213632"/>
    <xdr:sp macro="" textlink="">
      <xdr:nvSpPr>
        <xdr:cNvPr id="4663" name="Text Box 15">
          <a:extLst>
            <a:ext uri="{FF2B5EF4-FFF2-40B4-BE49-F238E27FC236}">
              <a16:creationId xmlns:a16="http://schemas.microsoft.com/office/drawing/2014/main" id="{00000000-0008-0000-0500-000037120000}"/>
            </a:ext>
          </a:extLst>
        </xdr:cNvPr>
        <xdr:cNvSpPr txBox="1">
          <a:spLocks noChangeArrowheads="1"/>
        </xdr:cNvSpPr>
      </xdr:nvSpPr>
      <xdr:spPr bwMode="auto">
        <a:xfrm>
          <a:off x="4972050" y="140684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40</xdr:row>
      <xdr:rowOff>504825</xdr:rowOff>
    </xdr:from>
    <xdr:ext cx="95250" cy="444331"/>
    <xdr:sp macro="" textlink="">
      <xdr:nvSpPr>
        <xdr:cNvPr id="4664" name="Text Box 15">
          <a:extLst>
            <a:ext uri="{FF2B5EF4-FFF2-40B4-BE49-F238E27FC236}">
              <a16:creationId xmlns:a16="http://schemas.microsoft.com/office/drawing/2014/main" id="{00000000-0008-0000-0500-000038120000}"/>
            </a:ext>
          </a:extLst>
        </xdr:cNvPr>
        <xdr:cNvSpPr txBox="1">
          <a:spLocks noChangeArrowheads="1"/>
        </xdr:cNvSpPr>
      </xdr:nvSpPr>
      <xdr:spPr bwMode="auto">
        <a:xfrm>
          <a:off x="4972050" y="14068425"/>
          <a:ext cx="95250" cy="444331"/>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40</xdr:row>
      <xdr:rowOff>504825</xdr:rowOff>
    </xdr:from>
    <xdr:ext cx="95250" cy="456743"/>
    <xdr:sp macro="" textlink="">
      <xdr:nvSpPr>
        <xdr:cNvPr id="4665" name="Text Box 15">
          <a:extLst>
            <a:ext uri="{FF2B5EF4-FFF2-40B4-BE49-F238E27FC236}">
              <a16:creationId xmlns:a16="http://schemas.microsoft.com/office/drawing/2014/main" id="{00000000-0008-0000-0500-000039120000}"/>
            </a:ext>
          </a:extLst>
        </xdr:cNvPr>
        <xdr:cNvSpPr txBox="1">
          <a:spLocks noChangeArrowheads="1"/>
        </xdr:cNvSpPr>
      </xdr:nvSpPr>
      <xdr:spPr bwMode="auto">
        <a:xfrm>
          <a:off x="4972050" y="14068425"/>
          <a:ext cx="95250" cy="456743"/>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40</xdr:row>
      <xdr:rowOff>504825</xdr:rowOff>
    </xdr:from>
    <xdr:ext cx="95250" cy="213632"/>
    <xdr:sp macro="" textlink="">
      <xdr:nvSpPr>
        <xdr:cNvPr id="4666" name="Text Box 15">
          <a:extLst>
            <a:ext uri="{FF2B5EF4-FFF2-40B4-BE49-F238E27FC236}">
              <a16:creationId xmlns:a16="http://schemas.microsoft.com/office/drawing/2014/main" id="{00000000-0008-0000-0500-00003A120000}"/>
            </a:ext>
          </a:extLst>
        </xdr:cNvPr>
        <xdr:cNvSpPr txBox="1">
          <a:spLocks noChangeArrowheads="1"/>
        </xdr:cNvSpPr>
      </xdr:nvSpPr>
      <xdr:spPr bwMode="auto">
        <a:xfrm>
          <a:off x="4972050" y="140684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40</xdr:row>
      <xdr:rowOff>504825</xdr:rowOff>
    </xdr:from>
    <xdr:ext cx="95250" cy="444331"/>
    <xdr:sp macro="" textlink="">
      <xdr:nvSpPr>
        <xdr:cNvPr id="4667" name="Text Box 15">
          <a:extLst>
            <a:ext uri="{FF2B5EF4-FFF2-40B4-BE49-F238E27FC236}">
              <a16:creationId xmlns:a16="http://schemas.microsoft.com/office/drawing/2014/main" id="{00000000-0008-0000-0500-00003B120000}"/>
            </a:ext>
          </a:extLst>
        </xdr:cNvPr>
        <xdr:cNvSpPr txBox="1">
          <a:spLocks noChangeArrowheads="1"/>
        </xdr:cNvSpPr>
      </xdr:nvSpPr>
      <xdr:spPr bwMode="auto">
        <a:xfrm>
          <a:off x="4972050" y="14068425"/>
          <a:ext cx="95250" cy="444331"/>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40</xdr:row>
      <xdr:rowOff>504825</xdr:rowOff>
    </xdr:from>
    <xdr:ext cx="95250" cy="213632"/>
    <xdr:sp macro="" textlink="">
      <xdr:nvSpPr>
        <xdr:cNvPr id="4668" name="Text Box 15">
          <a:extLst>
            <a:ext uri="{FF2B5EF4-FFF2-40B4-BE49-F238E27FC236}">
              <a16:creationId xmlns:a16="http://schemas.microsoft.com/office/drawing/2014/main" id="{00000000-0008-0000-0500-00003C120000}"/>
            </a:ext>
          </a:extLst>
        </xdr:cNvPr>
        <xdr:cNvSpPr txBox="1">
          <a:spLocks noChangeArrowheads="1"/>
        </xdr:cNvSpPr>
      </xdr:nvSpPr>
      <xdr:spPr bwMode="auto">
        <a:xfrm>
          <a:off x="4972050" y="140684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40</xdr:row>
      <xdr:rowOff>504825</xdr:rowOff>
    </xdr:from>
    <xdr:ext cx="95250" cy="213632"/>
    <xdr:sp macro="" textlink="">
      <xdr:nvSpPr>
        <xdr:cNvPr id="4669" name="Text Box 15">
          <a:extLst>
            <a:ext uri="{FF2B5EF4-FFF2-40B4-BE49-F238E27FC236}">
              <a16:creationId xmlns:a16="http://schemas.microsoft.com/office/drawing/2014/main" id="{00000000-0008-0000-0500-00003D120000}"/>
            </a:ext>
          </a:extLst>
        </xdr:cNvPr>
        <xdr:cNvSpPr txBox="1">
          <a:spLocks noChangeArrowheads="1"/>
        </xdr:cNvSpPr>
      </xdr:nvSpPr>
      <xdr:spPr bwMode="auto">
        <a:xfrm>
          <a:off x="4972050" y="140684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40</xdr:row>
      <xdr:rowOff>504825</xdr:rowOff>
    </xdr:from>
    <xdr:ext cx="95250" cy="213632"/>
    <xdr:sp macro="" textlink="">
      <xdr:nvSpPr>
        <xdr:cNvPr id="4670" name="Text Box 15">
          <a:extLst>
            <a:ext uri="{FF2B5EF4-FFF2-40B4-BE49-F238E27FC236}">
              <a16:creationId xmlns:a16="http://schemas.microsoft.com/office/drawing/2014/main" id="{00000000-0008-0000-0500-00003E120000}"/>
            </a:ext>
          </a:extLst>
        </xdr:cNvPr>
        <xdr:cNvSpPr txBox="1">
          <a:spLocks noChangeArrowheads="1"/>
        </xdr:cNvSpPr>
      </xdr:nvSpPr>
      <xdr:spPr bwMode="auto">
        <a:xfrm>
          <a:off x="4972050" y="140684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40</xdr:row>
      <xdr:rowOff>504825</xdr:rowOff>
    </xdr:from>
    <xdr:ext cx="95250" cy="213632"/>
    <xdr:sp macro="" textlink="">
      <xdr:nvSpPr>
        <xdr:cNvPr id="4671" name="Text Box 15">
          <a:extLst>
            <a:ext uri="{FF2B5EF4-FFF2-40B4-BE49-F238E27FC236}">
              <a16:creationId xmlns:a16="http://schemas.microsoft.com/office/drawing/2014/main" id="{00000000-0008-0000-0500-00003F120000}"/>
            </a:ext>
          </a:extLst>
        </xdr:cNvPr>
        <xdr:cNvSpPr txBox="1">
          <a:spLocks noChangeArrowheads="1"/>
        </xdr:cNvSpPr>
      </xdr:nvSpPr>
      <xdr:spPr bwMode="auto">
        <a:xfrm>
          <a:off x="4972050" y="140684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40</xdr:row>
      <xdr:rowOff>504825</xdr:rowOff>
    </xdr:from>
    <xdr:ext cx="95250" cy="213632"/>
    <xdr:sp macro="" textlink="">
      <xdr:nvSpPr>
        <xdr:cNvPr id="4672" name="Text Box 15">
          <a:extLst>
            <a:ext uri="{FF2B5EF4-FFF2-40B4-BE49-F238E27FC236}">
              <a16:creationId xmlns:a16="http://schemas.microsoft.com/office/drawing/2014/main" id="{00000000-0008-0000-0500-000040120000}"/>
            </a:ext>
          </a:extLst>
        </xdr:cNvPr>
        <xdr:cNvSpPr txBox="1">
          <a:spLocks noChangeArrowheads="1"/>
        </xdr:cNvSpPr>
      </xdr:nvSpPr>
      <xdr:spPr bwMode="auto">
        <a:xfrm>
          <a:off x="4972050" y="140684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40</xdr:row>
      <xdr:rowOff>504825</xdr:rowOff>
    </xdr:from>
    <xdr:ext cx="95250" cy="213632"/>
    <xdr:sp macro="" textlink="">
      <xdr:nvSpPr>
        <xdr:cNvPr id="4673" name="Text Box 15">
          <a:extLst>
            <a:ext uri="{FF2B5EF4-FFF2-40B4-BE49-F238E27FC236}">
              <a16:creationId xmlns:a16="http://schemas.microsoft.com/office/drawing/2014/main" id="{00000000-0008-0000-0500-000041120000}"/>
            </a:ext>
          </a:extLst>
        </xdr:cNvPr>
        <xdr:cNvSpPr txBox="1">
          <a:spLocks noChangeArrowheads="1"/>
        </xdr:cNvSpPr>
      </xdr:nvSpPr>
      <xdr:spPr bwMode="auto">
        <a:xfrm>
          <a:off x="4972050" y="140684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40</xdr:row>
      <xdr:rowOff>504825</xdr:rowOff>
    </xdr:from>
    <xdr:ext cx="95250" cy="213632"/>
    <xdr:sp macro="" textlink="">
      <xdr:nvSpPr>
        <xdr:cNvPr id="4674" name="Text Box 15">
          <a:extLst>
            <a:ext uri="{FF2B5EF4-FFF2-40B4-BE49-F238E27FC236}">
              <a16:creationId xmlns:a16="http://schemas.microsoft.com/office/drawing/2014/main" id="{00000000-0008-0000-0500-000042120000}"/>
            </a:ext>
          </a:extLst>
        </xdr:cNvPr>
        <xdr:cNvSpPr txBox="1">
          <a:spLocks noChangeArrowheads="1"/>
        </xdr:cNvSpPr>
      </xdr:nvSpPr>
      <xdr:spPr bwMode="auto">
        <a:xfrm>
          <a:off x="4972050" y="140684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40</xdr:row>
      <xdr:rowOff>504825</xdr:rowOff>
    </xdr:from>
    <xdr:ext cx="95250" cy="213632"/>
    <xdr:sp macro="" textlink="">
      <xdr:nvSpPr>
        <xdr:cNvPr id="4675" name="Text Box 15">
          <a:extLst>
            <a:ext uri="{FF2B5EF4-FFF2-40B4-BE49-F238E27FC236}">
              <a16:creationId xmlns:a16="http://schemas.microsoft.com/office/drawing/2014/main" id="{00000000-0008-0000-0500-000043120000}"/>
            </a:ext>
          </a:extLst>
        </xdr:cNvPr>
        <xdr:cNvSpPr txBox="1">
          <a:spLocks noChangeArrowheads="1"/>
        </xdr:cNvSpPr>
      </xdr:nvSpPr>
      <xdr:spPr bwMode="auto">
        <a:xfrm>
          <a:off x="4972050" y="140684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40</xdr:row>
      <xdr:rowOff>504825</xdr:rowOff>
    </xdr:from>
    <xdr:ext cx="95250" cy="213632"/>
    <xdr:sp macro="" textlink="">
      <xdr:nvSpPr>
        <xdr:cNvPr id="4676" name="Text Box 15">
          <a:extLst>
            <a:ext uri="{FF2B5EF4-FFF2-40B4-BE49-F238E27FC236}">
              <a16:creationId xmlns:a16="http://schemas.microsoft.com/office/drawing/2014/main" id="{00000000-0008-0000-0500-000044120000}"/>
            </a:ext>
          </a:extLst>
        </xdr:cNvPr>
        <xdr:cNvSpPr txBox="1">
          <a:spLocks noChangeArrowheads="1"/>
        </xdr:cNvSpPr>
      </xdr:nvSpPr>
      <xdr:spPr bwMode="auto">
        <a:xfrm>
          <a:off x="4972050" y="140684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40</xdr:row>
      <xdr:rowOff>504825</xdr:rowOff>
    </xdr:from>
    <xdr:ext cx="95250" cy="213632"/>
    <xdr:sp macro="" textlink="">
      <xdr:nvSpPr>
        <xdr:cNvPr id="4677" name="Text Box 15">
          <a:extLst>
            <a:ext uri="{FF2B5EF4-FFF2-40B4-BE49-F238E27FC236}">
              <a16:creationId xmlns:a16="http://schemas.microsoft.com/office/drawing/2014/main" id="{00000000-0008-0000-0500-000045120000}"/>
            </a:ext>
          </a:extLst>
        </xdr:cNvPr>
        <xdr:cNvSpPr txBox="1">
          <a:spLocks noChangeArrowheads="1"/>
        </xdr:cNvSpPr>
      </xdr:nvSpPr>
      <xdr:spPr bwMode="auto">
        <a:xfrm>
          <a:off x="4972050" y="140684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40</xdr:row>
      <xdr:rowOff>504825</xdr:rowOff>
    </xdr:from>
    <xdr:ext cx="95250" cy="213632"/>
    <xdr:sp macro="" textlink="">
      <xdr:nvSpPr>
        <xdr:cNvPr id="4678" name="Text Box 15">
          <a:extLst>
            <a:ext uri="{FF2B5EF4-FFF2-40B4-BE49-F238E27FC236}">
              <a16:creationId xmlns:a16="http://schemas.microsoft.com/office/drawing/2014/main" id="{00000000-0008-0000-0500-000046120000}"/>
            </a:ext>
          </a:extLst>
        </xdr:cNvPr>
        <xdr:cNvSpPr txBox="1">
          <a:spLocks noChangeArrowheads="1"/>
        </xdr:cNvSpPr>
      </xdr:nvSpPr>
      <xdr:spPr bwMode="auto">
        <a:xfrm>
          <a:off x="4972050" y="140684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40</xdr:row>
      <xdr:rowOff>504825</xdr:rowOff>
    </xdr:from>
    <xdr:ext cx="95250" cy="213632"/>
    <xdr:sp macro="" textlink="">
      <xdr:nvSpPr>
        <xdr:cNvPr id="4679" name="Text Box 15">
          <a:extLst>
            <a:ext uri="{FF2B5EF4-FFF2-40B4-BE49-F238E27FC236}">
              <a16:creationId xmlns:a16="http://schemas.microsoft.com/office/drawing/2014/main" id="{00000000-0008-0000-0500-000047120000}"/>
            </a:ext>
          </a:extLst>
        </xdr:cNvPr>
        <xdr:cNvSpPr txBox="1">
          <a:spLocks noChangeArrowheads="1"/>
        </xdr:cNvSpPr>
      </xdr:nvSpPr>
      <xdr:spPr bwMode="auto">
        <a:xfrm>
          <a:off x="4972050" y="140684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40</xdr:row>
      <xdr:rowOff>504825</xdr:rowOff>
    </xdr:from>
    <xdr:ext cx="95250" cy="213632"/>
    <xdr:sp macro="" textlink="">
      <xdr:nvSpPr>
        <xdr:cNvPr id="4680" name="Text Box 15">
          <a:extLst>
            <a:ext uri="{FF2B5EF4-FFF2-40B4-BE49-F238E27FC236}">
              <a16:creationId xmlns:a16="http://schemas.microsoft.com/office/drawing/2014/main" id="{00000000-0008-0000-0500-000048120000}"/>
            </a:ext>
          </a:extLst>
        </xdr:cNvPr>
        <xdr:cNvSpPr txBox="1">
          <a:spLocks noChangeArrowheads="1"/>
        </xdr:cNvSpPr>
      </xdr:nvSpPr>
      <xdr:spPr bwMode="auto">
        <a:xfrm>
          <a:off x="4972050" y="140684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40</xdr:row>
      <xdr:rowOff>504825</xdr:rowOff>
    </xdr:from>
    <xdr:ext cx="95250" cy="213632"/>
    <xdr:sp macro="" textlink="">
      <xdr:nvSpPr>
        <xdr:cNvPr id="4681" name="Text Box 15">
          <a:extLst>
            <a:ext uri="{FF2B5EF4-FFF2-40B4-BE49-F238E27FC236}">
              <a16:creationId xmlns:a16="http://schemas.microsoft.com/office/drawing/2014/main" id="{00000000-0008-0000-0500-000049120000}"/>
            </a:ext>
          </a:extLst>
        </xdr:cNvPr>
        <xdr:cNvSpPr txBox="1">
          <a:spLocks noChangeArrowheads="1"/>
        </xdr:cNvSpPr>
      </xdr:nvSpPr>
      <xdr:spPr bwMode="auto">
        <a:xfrm>
          <a:off x="4972050" y="140684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40</xdr:row>
      <xdr:rowOff>504825</xdr:rowOff>
    </xdr:from>
    <xdr:ext cx="95250" cy="213632"/>
    <xdr:sp macro="" textlink="">
      <xdr:nvSpPr>
        <xdr:cNvPr id="4682" name="Text Box 15">
          <a:extLst>
            <a:ext uri="{FF2B5EF4-FFF2-40B4-BE49-F238E27FC236}">
              <a16:creationId xmlns:a16="http://schemas.microsoft.com/office/drawing/2014/main" id="{00000000-0008-0000-0500-00004A120000}"/>
            </a:ext>
          </a:extLst>
        </xdr:cNvPr>
        <xdr:cNvSpPr txBox="1">
          <a:spLocks noChangeArrowheads="1"/>
        </xdr:cNvSpPr>
      </xdr:nvSpPr>
      <xdr:spPr bwMode="auto">
        <a:xfrm>
          <a:off x="4972050" y="140684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40</xdr:row>
      <xdr:rowOff>504825</xdr:rowOff>
    </xdr:from>
    <xdr:ext cx="95250" cy="213632"/>
    <xdr:sp macro="" textlink="">
      <xdr:nvSpPr>
        <xdr:cNvPr id="4683" name="Text Box 15">
          <a:extLst>
            <a:ext uri="{FF2B5EF4-FFF2-40B4-BE49-F238E27FC236}">
              <a16:creationId xmlns:a16="http://schemas.microsoft.com/office/drawing/2014/main" id="{00000000-0008-0000-0500-00004B120000}"/>
            </a:ext>
          </a:extLst>
        </xdr:cNvPr>
        <xdr:cNvSpPr txBox="1">
          <a:spLocks noChangeArrowheads="1"/>
        </xdr:cNvSpPr>
      </xdr:nvSpPr>
      <xdr:spPr bwMode="auto">
        <a:xfrm>
          <a:off x="4972050" y="140684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40</xdr:row>
      <xdr:rowOff>504825</xdr:rowOff>
    </xdr:from>
    <xdr:ext cx="95250" cy="213632"/>
    <xdr:sp macro="" textlink="">
      <xdr:nvSpPr>
        <xdr:cNvPr id="4684" name="Text Box 15">
          <a:extLst>
            <a:ext uri="{FF2B5EF4-FFF2-40B4-BE49-F238E27FC236}">
              <a16:creationId xmlns:a16="http://schemas.microsoft.com/office/drawing/2014/main" id="{00000000-0008-0000-0500-00004C120000}"/>
            </a:ext>
          </a:extLst>
        </xdr:cNvPr>
        <xdr:cNvSpPr txBox="1">
          <a:spLocks noChangeArrowheads="1"/>
        </xdr:cNvSpPr>
      </xdr:nvSpPr>
      <xdr:spPr bwMode="auto">
        <a:xfrm>
          <a:off x="4972050" y="140684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40</xdr:row>
      <xdr:rowOff>504825</xdr:rowOff>
    </xdr:from>
    <xdr:ext cx="95250" cy="213632"/>
    <xdr:sp macro="" textlink="">
      <xdr:nvSpPr>
        <xdr:cNvPr id="4685" name="Text Box 15">
          <a:extLst>
            <a:ext uri="{FF2B5EF4-FFF2-40B4-BE49-F238E27FC236}">
              <a16:creationId xmlns:a16="http://schemas.microsoft.com/office/drawing/2014/main" id="{00000000-0008-0000-0500-00004D120000}"/>
            </a:ext>
          </a:extLst>
        </xdr:cNvPr>
        <xdr:cNvSpPr txBox="1">
          <a:spLocks noChangeArrowheads="1"/>
        </xdr:cNvSpPr>
      </xdr:nvSpPr>
      <xdr:spPr bwMode="auto">
        <a:xfrm>
          <a:off x="4972050" y="140684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40</xdr:row>
      <xdr:rowOff>504825</xdr:rowOff>
    </xdr:from>
    <xdr:ext cx="95250" cy="213632"/>
    <xdr:sp macro="" textlink="">
      <xdr:nvSpPr>
        <xdr:cNvPr id="4686" name="Text Box 15">
          <a:extLst>
            <a:ext uri="{FF2B5EF4-FFF2-40B4-BE49-F238E27FC236}">
              <a16:creationId xmlns:a16="http://schemas.microsoft.com/office/drawing/2014/main" id="{00000000-0008-0000-0500-00004E120000}"/>
            </a:ext>
          </a:extLst>
        </xdr:cNvPr>
        <xdr:cNvSpPr txBox="1">
          <a:spLocks noChangeArrowheads="1"/>
        </xdr:cNvSpPr>
      </xdr:nvSpPr>
      <xdr:spPr bwMode="auto">
        <a:xfrm>
          <a:off x="4972050" y="140684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40</xdr:row>
      <xdr:rowOff>504825</xdr:rowOff>
    </xdr:from>
    <xdr:ext cx="95250" cy="213632"/>
    <xdr:sp macro="" textlink="">
      <xdr:nvSpPr>
        <xdr:cNvPr id="4687" name="Text Box 15">
          <a:extLst>
            <a:ext uri="{FF2B5EF4-FFF2-40B4-BE49-F238E27FC236}">
              <a16:creationId xmlns:a16="http://schemas.microsoft.com/office/drawing/2014/main" id="{00000000-0008-0000-0500-00004F120000}"/>
            </a:ext>
          </a:extLst>
        </xdr:cNvPr>
        <xdr:cNvSpPr txBox="1">
          <a:spLocks noChangeArrowheads="1"/>
        </xdr:cNvSpPr>
      </xdr:nvSpPr>
      <xdr:spPr bwMode="auto">
        <a:xfrm>
          <a:off x="4972050" y="140684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40</xdr:row>
      <xdr:rowOff>504825</xdr:rowOff>
    </xdr:from>
    <xdr:ext cx="95250" cy="213632"/>
    <xdr:sp macro="" textlink="">
      <xdr:nvSpPr>
        <xdr:cNvPr id="4688" name="Text Box 15">
          <a:extLst>
            <a:ext uri="{FF2B5EF4-FFF2-40B4-BE49-F238E27FC236}">
              <a16:creationId xmlns:a16="http://schemas.microsoft.com/office/drawing/2014/main" id="{00000000-0008-0000-0500-000050120000}"/>
            </a:ext>
          </a:extLst>
        </xdr:cNvPr>
        <xdr:cNvSpPr txBox="1">
          <a:spLocks noChangeArrowheads="1"/>
        </xdr:cNvSpPr>
      </xdr:nvSpPr>
      <xdr:spPr bwMode="auto">
        <a:xfrm>
          <a:off x="4972050" y="140684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42</xdr:row>
      <xdr:rowOff>504825</xdr:rowOff>
    </xdr:from>
    <xdr:ext cx="95250" cy="213632"/>
    <xdr:sp macro="" textlink="">
      <xdr:nvSpPr>
        <xdr:cNvPr id="4689" name="Text Box 15">
          <a:extLst>
            <a:ext uri="{FF2B5EF4-FFF2-40B4-BE49-F238E27FC236}">
              <a16:creationId xmlns:a16="http://schemas.microsoft.com/office/drawing/2014/main" id="{00000000-0008-0000-0500-000051120000}"/>
            </a:ext>
          </a:extLst>
        </xdr:cNvPr>
        <xdr:cNvSpPr txBox="1">
          <a:spLocks noChangeArrowheads="1"/>
        </xdr:cNvSpPr>
      </xdr:nvSpPr>
      <xdr:spPr bwMode="auto">
        <a:xfrm>
          <a:off x="4972050" y="148177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42</xdr:row>
      <xdr:rowOff>504825</xdr:rowOff>
    </xdr:from>
    <xdr:ext cx="95250" cy="213632"/>
    <xdr:sp macro="" textlink="">
      <xdr:nvSpPr>
        <xdr:cNvPr id="4690" name="Text Box 15">
          <a:extLst>
            <a:ext uri="{FF2B5EF4-FFF2-40B4-BE49-F238E27FC236}">
              <a16:creationId xmlns:a16="http://schemas.microsoft.com/office/drawing/2014/main" id="{00000000-0008-0000-0500-000052120000}"/>
            </a:ext>
          </a:extLst>
        </xdr:cNvPr>
        <xdr:cNvSpPr txBox="1">
          <a:spLocks noChangeArrowheads="1"/>
        </xdr:cNvSpPr>
      </xdr:nvSpPr>
      <xdr:spPr bwMode="auto">
        <a:xfrm>
          <a:off x="4972050" y="148177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42</xdr:row>
      <xdr:rowOff>504825</xdr:rowOff>
    </xdr:from>
    <xdr:ext cx="95250" cy="213632"/>
    <xdr:sp macro="" textlink="">
      <xdr:nvSpPr>
        <xdr:cNvPr id="4691" name="Text Box 15">
          <a:extLst>
            <a:ext uri="{FF2B5EF4-FFF2-40B4-BE49-F238E27FC236}">
              <a16:creationId xmlns:a16="http://schemas.microsoft.com/office/drawing/2014/main" id="{00000000-0008-0000-0500-000053120000}"/>
            </a:ext>
          </a:extLst>
        </xdr:cNvPr>
        <xdr:cNvSpPr txBox="1">
          <a:spLocks noChangeArrowheads="1"/>
        </xdr:cNvSpPr>
      </xdr:nvSpPr>
      <xdr:spPr bwMode="auto">
        <a:xfrm>
          <a:off x="4972050" y="148177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42</xdr:row>
      <xdr:rowOff>504825</xdr:rowOff>
    </xdr:from>
    <xdr:ext cx="95250" cy="213632"/>
    <xdr:sp macro="" textlink="">
      <xdr:nvSpPr>
        <xdr:cNvPr id="4692" name="Text Box 15">
          <a:extLst>
            <a:ext uri="{FF2B5EF4-FFF2-40B4-BE49-F238E27FC236}">
              <a16:creationId xmlns:a16="http://schemas.microsoft.com/office/drawing/2014/main" id="{00000000-0008-0000-0500-000054120000}"/>
            </a:ext>
          </a:extLst>
        </xdr:cNvPr>
        <xdr:cNvSpPr txBox="1">
          <a:spLocks noChangeArrowheads="1"/>
        </xdr:cNvSpPr>
      </xdr:nvSpPr>
      <xdr:spPr bwMode="auto">
        <a:xfrm>
          <a:off x="4972050" y="148177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42</xdr:row>
      <xdr:rowOff>504825</xdr:rowOff>
    </xdr:from>
    <xdr:ext cx="95250" cy="213632"/>
    <xdr:sp macro="" textlink="">
      <xdr:nvSpPr>
        <xdr:cNvPr id="4693" name="Text Box 15">
          <a:extLst>
            <a:ext uri="{FF2B5EF4-FFF2-40B4-BE49-F238E27FC236}">
              <a16:creationId xmlns:a16="http://schemas.microsoft.com/office/drawing/2014/main" id="{00000000-0008-0000-0500-000055120000}"/>
            </a:ext>
          </a:extLst>
        </xdr:cNvPr>
        <xdr:cNvSpPr txBox="1">
          <a:spLocks noChangeArrowheads="1"/>
        </xdr:cNvSpPr>
      </xdr:nvSpPr>
      <xdr:spPr bwMode="auto">
        <a:xfrm>
          <a:off x="4972050" y="148177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42</xdr:row>
      <xdr:rowOff>504825</xdr:rowOff>
    </xdr:from>
    <xdr:ext cx="95250" cy="213632"/>
    <xdr:sp macro="" textlink="">
      <xdr:nvSpPr>
        <xdr:cNvPr id="4694" name="Text Box 15">
          <a:extLst>
            <a:ext uri="{FF2B5EF4-FFF2-40B4-BE49-F238E27FC236}">
              <a16:creationId xmlns:a16="http://schemas.microsoft.com/office/drawing/2014/main" id="{00000000-0008-0000-0500-000056120000}"/>
            </a:ext>
          </a:extLst>
        </xdr:cNvPr>
        <xdr:cNvSpPr txBox="1">
          <a:spLocks noChangeArrowheads="1"/>
        </xdr:cNvSpPr>
      </xdr:nvSpPr>
      <xdr:spPr bwMode="auto">
        <a:xfrm>
          <a:off x="4972050" y="148177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42</xdr:row>
      <xdr:rowOff>504825</xdr:rowOff>
    </xdr:from>
    <xdr:ext cx="95250" cy="213632"/>
    <xdr:sp macro="" textlink="">
      <xdr:nvSpPr>
        <xdr:cNvPr id="4695" name="Text Box 15">
          <a:extLst>
            <a:ext uri="{FF2B5EF4-FFF2-40B4-BE49-F238E27FC236}">
              <a16:creationId xmlns:a16="http://schemas.microsoft.com/office/drawing/2014/main" id="{00000000-0008-0000-0500-000057120000}"/>
            </a:ext>
          </a:extLst>
        </xdr:cNvPr>
        <xdr:cNvSpPr txBox="1">
          <a:spLocks noChangeArrowheads="1"/>
        </xdr:cNvSpPr>
      </xdr:nvSpPr>
      <xdr:spPr bwMode="auto">
        <a:xfrm>
          <a:off x="4972050" y="148177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42</xdr:row>
      <xdr:rowOff>504825</xdr:rowOff>
    </xdr:from>
    <xdr:ext cx="95250" cy="213632"/>
    <xdr:sp macro="" textlink="">
      <xdr:nvSpPr>
        <xdr:cNvPr id="4696" name="Text Box 15">
          <a:extLst>
            <a:ext uri="{FF2B5EF4-FFF2-40B4-BE49-F238E27FC236}">
              <a16:creationId xmlns:a16="http://schemas.microsoft.com/office/drawing/2014/main" id="{00000000-0008-0000-0500-000058120000}"/>
            </a:ext>
          </a:extLst>
        </xdr:cNvPr>
        <xdr:cNvSpPr txBox="1">
          <a:spLocks noChangeArrowheads="1"/>
        </xdr:cNvSpPr>
      </xdr:nvSpPr>
      <xdr:spPr bwMode="auto">
        <a:xfrm>
          <a:off x="4972050" y="148177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42</xdr:row>
      <xdr:rowOff>504825</xdr:rowOff>
    </xdr:from>
    <xdr:ext cx="95250" cy="213632"/>
    <xdr:sp macro="" textlink="">
      <xdr:nvSpPr>
        <xdr:cNvPr id="4697" name="Text Box 15">
          <a:extLst>
            <a:ext uri="{FF2B5EF4-FFF2-40B4-BE49-F238E27FC236}">
              <a16:creationId xmlns:a16="http://schemas.microsoft.com/office/drawing/2014/main" id="{00000000-0008-0000-0500-000059120000}"/>
            </a:ext>
          </a:extLst>
        </xdr:cNvPr>
        <xdr:cNvSpPr txBox="1">
          <a:spLocks noChangeArrowheads="1"/>
        </xdr:cNvSpPr>
      </xdr:nvSpPr>
      <xdr:spPr bwMode="auto">
        <a:xfrm>
          <a:off x="4972050" y="148177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42</xdr:row>
      <xdr:rowOff>504825</xdr:rowOff>
    </xdr:from>
    <xdr:ext cx="95250" cy="213632"/>
    <xdr:sp macro="" textlink="">
      <xdr:nvSpPr>
        <xdr:cNvPr id="4698" name="Text Box 15">
          <a:extLst>
            <a:ext uri="{FF2B5EF4-FFF2-40B4-BE49-F238E27FC236}">
              <a16:creationId xmlns:a16="http://schemas.microsoft.com/office/drawing/2014/main" id="{00000000-0008-0000-0500-00005A120000}"/>
            </a:ext>
          </a:extLst>
        </xdr:cNvPr>
        <xdr:cNvSpPr txBox="1">
          <a:spLocks noChangeArrowheads="1"/>
        </xdr:cNvSpPr>
      </xdr:nvSpPr>
      <xdr:spPr bwMode="auto">
        <a:xfrm>
          <a:off x="4972050" y="148177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42</xdr:row>
      <xdr:rowOff>504825</xdr:rowOff>
    </xdr:from>
    <xdr:ext cx="95250" cy="213632"/>
    <xdr:sp macro="" textlink="">
      <xdr:nvSpPr>
        <xdr:cNvPr id="4699" name="Text Box 15">
          <a:extLst>
            <a:ext uri="{FF2B5EF4-FFF2-40B4-BE49-F238E27FC236}">
              <a16:creationId xmlns:a16="http://schemas.microsoft.com/office/drawing/2014/main" id="{00000000-0008-0000-0500-00005B120000}"/>
            </a:ext>
          </a:extLst>
        </xdr:cNvPr>
        <xdr:cNvSpPr txBox="1">
          <a:spLocks noChangeArrowheads="1"/>
        </xdr:cNvSpPr>
      </xdr:nvSpPr>
      <xdr:spPr bwMode="auto">
        <a:xfrm>
          <a:off x="4972050" y="148177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42</xdr:row>
      <xdr:rowOff>504825</xdr:rowOff>
    </xdr:from>
    <xdr:ext cx="95250" cy="213632"/>
    <xdr:sp macro="" textlink="">
      <xdr:nvSpPr>
        <xdr:cNvPr id="4700" name="Text Box 15">
          <a:extLst>
            <a:ext uri="{FF2B5EF4-FFF2-40B4-BE49-F238E27FC236}">
              <a16:creationId xmlns:a16="http://schemas.microsoft.com/office/drawing/2014/main" id="{00000000-0008-0000-0500-00005C120000}"/>
            </a:ext>
          </a:extLst>
        </xdr:cNvPr>
        <xdr:cNvSpPr txBox="1">
          <a:spLocks noChangeArrowheads="1"/>
        </xdr:cNvSpPr>
      </xdr:nvSpPr>
      <xdr:spPr bwMode="auto">
        <a:xfrm>
          <a:off x="4972050" y="148177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42</xdr:row>
      <xdr:rowOff>504825</xdr:rowOff>
    </xdr:from>
    <xdr:ext cx="95250" cy="213632"/>
    <xdr:sp macro="" textlink="">
      <xdr:nvSpPr>
        <xdr:cNvPr id="4701" name="Text Box 15">
          <a:extLst>
            <a:ext uri="{FF2B5EF4-FFF2-40B4-BE49-F238E27FC236}">
              <a16:creationId xmlns:a16="http://schemas.microsoft.com/office/drawing/2014/main" id="{00000000-0008-0000-0500-00005D120000}"/>
            </a:ext>
          </a:extLst>
        </xdr:cNvPr>
        <xdr:cNvSpPr txBox="1">
          <a:spLocks noChangeArrowheads="1"/>
        </xdr:cNvSpPr>
      </xdr:nvSpPr>
      <xdr:spPr bwMode="auto">
        <a:xfrm>
          <a:off x="4972050" y="148177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42</xdr:row>
      <xdr:rowOff>504825</xdr:rowOff>
    </xdr:from>
    <xdr:ext cx="95250" cy="213632"/>
    <xdr:sp macro="" textlink="">
      <xdr:nvSpPr>
        <xdr:cNvPr id="4702" name="Text Box 15">
          <a:extLst>
            <a:ext uri="{FF2B5EF4-FFF2-40B4-BE49-F238E27FC236}">
              <a16:creationId xmlns:a16="http://schemas.microsoft.com/office/drawing/2014/main" id="{00000000-0008-0000-0500-00005E120000}"/>
            </a:ext>
          </a:extLst>
        </xdr:cNvPr>
        <xdr:cNvSpPr txBox="1">
          <a:spLocks noChangeArrowheads="1"/>
        </xdr:cNvSpPr>
      </xdr:nvSpPr>
      <xdr:spPr bwMode="auto">
        <a:xfrm>
          <a:off x="4972050" y="148177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42</xdr:row>
      <xdr:rowOff>504825</xdr:rowOff>
    </xdr:from>
    <xdr:ext cx="95250" cy="213632"/>
    <xdr:sp macro="" textlink="">
      <xdr:nvSpPr>
        <xdr:cNvPr id="4703" name="Text Box 15">
          <a:extLst>
            <a:ext uri="{FF2B5EF4-FFF2-40B4-BE49-F238E27FC236}">
              <a16:creationId xmlns:a16="http://schemas.microsoft.com/office/drawing/2014/main" id="{00000000-0008-0000-0500-00005F120000}"/>
            </a:ext>
          </a:extLst>
        </xdr:cNvPr>
        <xdr:cNvSpPr txBox="1">
          <a:spLocks noChangeArrowheads="1"/>
        </xdr:cNvSpPr>
      </xdr:nvSpPr>
      <xdr:spPr bwMode="auto">
        <a:xfrm>
          <a:off x="4972050" y="148177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42</xdr:row>
      <xdr:rowOff>504825</xdr:rowOff>
    </xdr:from>
    <xdr:ext cx="95250" cy="213632"/>
    <xdr:sp macro="" textlink="">
      <xdr:nvSpPr>
        <xdr:cNvPr id="4704" name="Text Box 15">
          <a:extLst>
            <a:ext uri="{FF2B5EF4-FFF2-40B4-BE49-F238E27FC236}">
              <a16:creationId xmlns:a16="http://schemas.microsoft.com/office/drawing/2014/main" id="{00000000-0008-0000-0500-000060120000}"/>
            </a:ext>
          </a:extLst>
        </xdr:cNvPr>
        <xdr:cNvSpPr txBox="1">
          <a:spLocks noChangeArrowheads="1"/>
        </xdr:cNvSpPr>
      </xdr:nvSpPr>
      <xdr:spPr bwMode="auto">
        <a:xfrm>
          <a:off x="4972050" y="148177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42</xdr:row>
      <xdr:rowOff>504825</xdr:rowOff>
    </xdr:from>
    <xdr:ext cx="95250" cy="213632"/>
    <xdr:sp macro="" textlink="">
      <xdr:nvSpPr>
        <xdr:cNvPr id="4705" name="Text Box 15">
          <a:extLst>
            <a:ext uri="{FF2B5EF4-FFF2-40B4-BE49-F238E27FC236}">
              <a16:creationId xmlns:a16="http://schemas.microsoft.com/office/drawing/2014/main" id="{00000000-0008-0000-0500-000061120000}"/>
            </a:ext>
          </a:extLst>
        </xdr:cNvPr>
        <xdr:cNvSpPr txBox="1">
          <a:spLocks noChangeArrowheads="1"/>
        </xdr:cNvSpPr>
      </xdr:nvSpPr>
      <xdr:spPr bwMode="auto">
        <a:xfrm>
          <a:off x="4972050" y="148177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42</xdr:row>
      <xdr:rowOff>504825</xdr:rowOff>
    </xdr:from>
    <xdr:ext cx="95250" cy="213632"/>
    <xdr:sp macro="" textlink="">
      <xdr:nvSpPr>
        <xdr:cNvPr id="4706" name="Text Box 15">
          <a:extLst>
            <a:ext uri="{FF2B5EF4-FFF2-40B4-BE49-F238E27FC236}">
              <a16:creationId xmlns:a16="http://schemas.microsoft.com/office/drawing/2014/main" id="{00000000-0008-0000-0500-000062120000}"/>
            </a:ext>
          </a:extLst>
        </xdr:cNvPr>
        <xdr:cNvSpPr txBox="1">
          <a:spLocks noChangeArrowheads="1"/>
        </xdr:cNvSpPr>
      </xdr:nvSpPr>
      <xdr:spPr bwMode="auto">
        <a:xfrm>
          <a:off x="4972050" y="148177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42</xdr:row>
      <xdr:rowOff>504825</xdr:rowOff>
    </xdr:from>
    <xdr:ext cx="95250" cy="213632"/>
    <xdr:sp macro="" textlink="">
      <xdr:nvSpPr>
        <xdr:cNvPr id="4707" name="Text Box 15">
          <a:extLst>
            <a:ext uri="{FF2B5EF4-FFF2-40B4-BE49-F238E27FC236}">
              <a16:creationId xmlns:a16="http://schemas.microsoft.com/office/drawing/2014/main" id="{00000000-0008-0000-0500-000063120000}"/>
            </a:ext>
          </a:extLst>
        </xdr:cNvPr>
        <xdr:cNvSpPr txBox="1">
          <a:spLocks noChangeArrowheads="1"/>
        </xdr:cNvSpPr>
      </xdr:nvSpPr>
      <xdr:spPr bwMode="auto">
        <a:xfrm>
          <a:off x="4972050" y="148177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42</xdr:row>
      <xdr:rowOff>504825</xdr:rowOff>
    </xdr:from>
    <xdr:ext cx="95250" cy="213632"/>
    <xdr:sp macro="" textlink="">
      <xdr:nvSpPr>
        <xdr:cNvPr id="4708" name="Text Box 15">
          <a:extLst>
            <a:ext uri="{FF2B5EF4-FFF2-40B4-BE49-F238E27FC236}">
              <a16:creationId xmlns:a16="http://schemas.microsoft.com/office/drawing/2014/main" id="{00000000-0008-0000-0500-000064120000}"/>
            </a:ext>
          </a:extLst>
        </xdr:cNvPr>
        <xdr:cNvSpPr txBox="1">
          <a:spLocks noChangeArrowheads="1"/>
        </xdr:cNvSpPr>
      </xdr:nvSpPr>
      <xdr:spPr bwMode="auto">
        <a:xfrm>
          <a:off x="4972050" y="148177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42</xdr:row>
      <xdr:rowOff>504825</xdr:rowOff>
    </xdr:from>
    <xdr:ext cx="95250" cy="213632"/>
    <xdr:sp macro="" textlink="">
      <xdr:nvSpPr>
        <xdr:cNvPr id="4709" name="Text Box 15">
          <a:extLst>
            <a:ext uri="{FF2B5EF4-FFF2-40B4-BE49-F238E27FC236}">
              <a16:creationId xmlns:a16="http://schemas.microsoft.com/office/drawing/2014/main" id="{00000000-0008-0000-0500-000065120000}"/>
            </a:ext>
          </a:extLst>
        </xdr:cNvPr>
        <xdr:cNvSpPr txBox="1">
          <a:spLocks noChangeArrowheads="1"/>
        </xdr:cNvSpPr>
      </xdr:nvSpPr>
      <xdr:spPr bwMode="auto">
        <a:xfrm>
          <a:off x="4972050" y="148177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42</xdr:row>
      <xdr:rowOff>504825</xdr:rowOff>
    </xdr:from>
    <xdr:ext cx="95250" cy="213632"/>
    <xdr:sp macro="" textlink="">
      <xdr:nvSpPr>
        <xdr:cNvPr id="4710" name="Text Box 15">
          <a:extLst>
            <a:ext uri="{FF2B5EF4-FFF2-40B4-BE49-F238E27FC236}">
              <a16:creationId xmlns:a16="http://schemas.microsoft.com/office/drawing/2014/main" id="{00000000-0008-0000-0500-000066120000}"/>
            </a:ext>
          </a:extLst>
        </xdr:cNvPr>
        <xdr:cNvSpPr txBox="1">
          <a:spLocks noChangeArrowheads="1"/>
        </xdr:cNvSpPr>
      </xdr:nvSpPr>
      <xdr:spPr bwMode="auto">
        <a:xfrm>
          <a:off x="4972050" y="148177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42</xdr:row>
      <xdr:rowOff>504825</xdr:rowOff>
    </xdr:from>
    <xdr:ext cx="95250" cy="213632"/>
    <xdr:sp macro="" textlink="">
      <xdr:nvSpPr>
        <xdr:cNvPr id="4711" name="Text Box 15">
          <a:extLst>
            <a:ext uri="{FF2B5EF4-FFF2-40B4-BE49-F238E27FC236}">
              <a16:creationId xmlns:a16="http://schemas.microsoft.com/office/drawing/2014/main" id="{00000000-0008-0000-0500-000067120000}"/>
            </a:ext>
          </a:extLst>
        </xdr:cNvPr>
        <xdr:cNvSpPr txBox="1">
          <a:spLocks noChangeArrowheads="1"/>
        </xdr:cNvSpPr>
      </xdr:nvSpPr>
      <xdr:spPr bwMode="auto">
        <a:xfrm>
          <a:off x="4972050" y="148177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42</xdr:row>
      <xdr:rowOff>504825</xdr:rowOff>
    </xdr:from>
    <xdr:ext cx="95250" cy="213632"/>
    <xdr:sp macro="" textlink="">
      <xdr:nvSpPr>
        <xdr:cNvPr id="4712" name="Text Box 15">
          <a:extLst>
            <a:ext uri="{FF2B5EF4-FFF2-40B4-BE49-F238E27FC236}">
              <a16:creationId xmlns:a16="http://schemas.microsoft.com/office/drawing/2014/main" id="{00000000-0008-0000-0500-000068120000}"/>
            </a:ext>
          </a:extLst>
        </xdr:cNvPr>
        <xdr:cNvSpPr txBox="1">
          <a:spLocks noChangeArrowheads="1"/>
        </xdr:cNvSpPr>
      </xdr:nvSpPr>
      <xdr:spPr bwMode="auto">
        <a:xfrm>
          <a:off x="4972050" y="14817725"/>
          <a:ext cx="95250" cy="21363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21</xdr:col>
      <xdr:colOff>0</xdr:colOff>
      <xdr:row>13</xdr:row>
      <xdr:rowOff>0</xdr:rowOff>
    </xdr:from>
    <xdr:ext cx="95250" cy="171450"/>
    <xdr:sp macro="" textlink="">
      <xdr:nvSpPr>
        <xdr:cNvPr id="2" name="Text Box 16">
          <a:extLst>
            <a:ext uri="{FF2B5EF4-FFF2-40B4-BE49-F238E27FC236}">
              <a16:creationId xmlns:a16="http://schemas.microsoft.com/office/drawing/2014/main" id="{1C87DB70-1A6A-485F-9B3B-938441AD29A8}"/>
            </a:ext>
          </a:extLst>
        </xdr:cNvPr>
        <xdr:cNvSpPr txBox="1">
          <a:spLocks noChangeArrowheads="1"/>
        </xdr:cNvSpPr>
      </xdr:nvSpPr>
      <xdr:spPr bwMode="auto">
        <a:xfrm>
          <a:off x="26537478" y="2816087"/>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21</xdr:col>
      <xdr:colOff>0</xdr:colOff>
      <xdr:row>13</xdr:row>
      <xdr:rowOff>0</xdr:rowOff>
    </xdr:from>
    <xdr:ext cx="95250" cy="171450"/>
    <xdr:sp macro="" textlink="">
      <xdr:nvSpPr>
        <xdr:cNvPr id="3" name="Text Box 17">
          <a:extLst>
            <a:ext uri="{FF2B5EF4-FFF2-40B4-BE49-F238E27FC236}">
              <a16:creationId xmlns:a16="http://schemas.microsoft.com/office/drawing/2014/main" id="{7579B2A7-F832-41ED-A50D-737B017BD085}"/>
            </a:ext>
          </a:extLst>
        </xdr:cNvPr>
        <xdr:cNvSpPr txBox="1">
          <a:spLocks noChangeArrowheads="1"/>
        </xdr:cNvSpPr>
      </xdr:nvSpPr>
      <xdr:spPr bwMode="auto">
        <a:xfrm>
          <a:off x="26537478" y="2816087"/>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21</xdr:col>
      <xdr:colOff>0</xdr:colOff>
      <xdr:row>13</xdr:row>
      <xdr:rowOff>0</xdr:rowOff>
    </xdr:from>
    <xdr:ext cx="95250" cy="171450"/>
    <xdr:sp macro="" textlink="">
      <xdr:nvSpPr>
        <xdr:cNvPr id="4" name="Text Box 18">
          <a:extLst>
            <a:ext uri="{FF2B5EF4-FFF2-40B4-BE49-F238E27FC236}">
              <a16:creationId xmlns:a16="http://schemas.microsoft.com/office/drawing/2014/main" id="{00BF3F4A-8A37-443B-B474-2AC2CD6F0887}"/>
            </a:ext>
          </a:extLst>
        </xdr:cNvPr>
        <xdr:cNvSpPr txBox="1">
          <a:spLocks noChangeArrowheads="1"/>
        </xdr:cNvSpPr>
      </xdr:nvSpPr>
      <xdr:spPr bwMode="auto">
        <a:xfrm>
          <a:off x="26537478" y="2816087"/>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21</xdr:col>
      <xdr:colOff>0</xdr:colOff>
      <xdr:row>13</xdr:row>
      <xdr:rowOff>0</xdr:rowOff>
    </xdr:from>
    <xdr:ext cx="95250" cy="171450"/>
    <xdr:sp macro="" textlink="">
      <xdr:nvSpPr>
        <xdr:cNvPr id="5" name="Text Box 19">
          <a:extLst>
            <a:ext uri="{FF2B5EF4-FFF2-40B4-BE49-F238E27FC236}">
              <a16:creationId xmlns:a16="http://schemas.microsoft.com/office/drawing/2014/main" id="{5E0F50AC-EFE6-42F1-B8BF-2C82A773B455}"/>
            </a:ext>
          </a:extLst>
        </xdr:cNvPr>
        <xdr:cNvSpPr txBox="1">
          <a:spLocks noChangeArrowheads="1"/>
        </xdr:cNvSpPr>
      </xdr:nvSpPr>
      <xdr:spPr bwMode="auto">
        <a:xfrm>
          <a:off x="26537478" y="2816087"/>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21</xdr:col>
      <xdr:colOff>364435</xdr:colOff>
      <xdr:row>24</xdr:row>
      <xdr:rowOff>66260</xdr:rowOff>
    </xdr:from>
    <xdr:ext cx="95250" cy="171450"/>
    <xdr:sp macro="" textlink="">
      <xdr:nvSpPr>
        <xdr:cNvPr id="6" name="Text Box 16">
          <a:extLst>
            <a:ext uri="{FF2B5EF4-FFF2-40B4-BE49-F238E27FC236}">
              <a16:creationId xmlns:a16="http://schemas.microsoft.com/office/drawing/2014/main" id="{054FB7A9-3CA3-410E-A8A9-A7B46CF9C295}"/>
            </a:ext>
          </a:extLst>
        </xdr:cNvPr>
        <xdr:cNvSpPr txBox="1">
          <a:spLocks noChangeArrowheads="1"/>
        </xdr:cNvSpPr>
      </xdr:nvSpPr>
      <xdr:spPr bwMode="auto">
        <a:xfrm>
          <a:off x="26901913" y="8439977"/>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21</xdr:col>
      <xdr:colOff>0</xdr:colOff>
      <xdr:row>24</xdr:row>
      <xdr:rowOff>157370</xdr:rowOff>
    </xdr:from>
    <xdr:ext cx="95250" cy="171450"/>
    <xdr:sp macro="" textlink="">
      <xdr:nvSpPr>
        <xdr:cNvPr id="7" name="Text Box 17">
          <a:extLst>
            <a:ext uri="{FF2B5EF4-FFF2-40B4-BE49-F238E27FC236}">
              <a16:creationId xmlns:a16="http://schemas.microsoft.com/office/drawing/2014/main" id="{2B845CCF-9CDC-4BD0-8731-1B822FC8AC49}"/>
            </a:ext>
          </a:extLst>
        </xdr:cNvPr>
        <xdr:cNvSpPr txBox="1">
          <a:spLocks noChangeArrowheads="1"/>
        </xdr:cNvSpPr>
      </xdr:nvSpPr>
      <xdr:spPr bwMode="auto">
        <a:xfrm>
          <a:off x="26537478" y="8531087"/>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21</xdr:col>
      <xdr:colOff>182218</xdr:colOff>
      <xdr:row>23</xdr:row>
      <xdr:rowOff>347869</xdr:rowOff>
    </xdr:from>
    <xdr:ext cx="95250" cy="171450"/>
    <xdr:sp macro="" textlink="">
      <xdr:nvSpPr>
        <xdr:cNvPr id="8" name="Text Box 18">
          <a:extLst>
            <a:ext uri="{FF2B5EF4-FFF2-40B4-BE49-F238E27FC236}">
              <a16:creationId xmlns:a16="http://schemas.microsoft.com/office/drawing/2014/main" id="{0F51EE84-E9E1-415D-B961-6ADBA9DD7C21}"/>
            </a:ext>
          </a:extLst>
        </xdr:cNvPr>
        <xdr:cNvSpPr txBox="1">
          <a:spLocks noChangeArrowheads="1"/>
        </xdr:cNvSpPr>
      </xdr:nvSpPr>
      <xdr:spPr bwMode="auto">
        <a:xfrm>
          <a:off x="26719696" y="8348869"/>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21</xdr:col>
      <xdr:colOff>190500</xdr:colOff>
      <xdr:row>24</xdr:row>
      <xdr:rowOff>132521</xdr:rowOff>
    </xdr:from>
    <xdr:ext cx="95250" cy="171450"/>
    <xdr:sp macro="" textlink="">
      <xdr:nvSpPr>
        <xdr:cNvPr id="10" name="Text Box 19">
          <a:extLst>
            <a:ext uri="{FF2B5EF4-FFF2-40B4-BE49-F238E27FC236}">
              <a16:creationId xmlns:a16="http://schemas.microsoft.com/office/drawing/2014/main" id="{3AC6D49A-7D1A-4D2C-BC01-827BA3272D70}"/>
            </a:ext>
          </a:extLst>
        </xdr:cNvPr>
        <xdr:cNvSpPr txBox="1">
          <a:spLocks noChangeArrowheads="1"/>
        </xdr:cNvSpPr>
      </xdr:nvSpPr>
      <xdr:spPr bwMode="auto">
        <a:xfrm>
          <a:off x="26727978" y="8506238"/>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21</xdr:col>
      <xdr:colOff>0</xdr:colOff>
      <xdr:row>19</xdr:row>
      <xdr:rowOff>0</xdr:rowOff>
    </xdr:from>
    <xdr:ext cx="95250" cy="171450"/>
    <xdr:sp macro="" textlink="">
      <xdr:nvSpPr>
        <xdr:cNvPr id="25" name="Text Box 16">
          <a:extLst>
            <a:ext uri="{FF2B5EF4-FFF2-40B4-BE49-F238E27FC236}">
              <a16:creationId xmlns:a16="http://schemas.microsoft.com/office/drawing/2014/main" id="{36659632-7294-48A1-B61A-C551C26F3CD1}"/>
            </a:ext>
          </a:extLst>
        </xdr:cNvPr>
        <xdr:cNvSpPr txBox="1">
          <a:spLocks noChangeArrowheads="1"/>
        </xdr:cNvSpPr>
      </xdr:nvSpPr>
      <xdr:spPr bwMode="auto">
        <a:xfrm>
          <a:off x="26537478" y="5955196"/>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21</xdr:col>
      <xdr:colOff>0</xdr:colOff>
      <xdr:row>19</xdr:row>
      <xdr:rowOff>0</xdr:rowOff>
    </xdr:from>
    <xdr:ext cx="95250" cy="171450"/>
    <xdr:sp macro="" textlink="">
      <xdr:nvSpPr>
        <xdr:cNvPr id="36" name="Text Box 17">
          <a:extLst>
            <a:ext uri="{FF2B5EF4-FFF2-40B4-BE49-F238E27FC236}">
              <a16:creationId xmlns:a16="http://schemas.microsoft.com/office/drawing/2014/main" id="{4E79C286-9DAF-43D1-B212-15978FD277DA}"/>
            </a:ext>
          </a:extLst>
        </xdr:cNvPr>
        <xdr:cNvSpPr txBox="1">
          <a:spLocks noChangeArrowheads="1"/>
        </xdr:cNvSpPr>
      </xdr:nvSpPr>
      <xdr:spPr bwMode="auto">
        <a:xfrm>
          <a:off x="26537478" y="5955196"/>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21</xdr:col>
      <xdr:colOff>0</xdr:colOff>
      <xdr:row>19</xdr:row>
      <xdr:rowOff>0</xdr:rowOff>
    </xdr:from>
    <xdr:ext cx="95250" cy="171450"/>
    <xdr:sp macro="" textlink="">
      <xdr:nvSpPr>
        <xdr:cNvPr id="37" name="Text Box 18">
          <a:extLst>
            <a:ext uri="{FF2B5EF4-FFF2-40B4-BE49-F238E27FC236}">
              <a16:creationId xmlns:a16="http://schemas.microsoft.com/office/drawing/2014/main" id="{AECA59D9-6B89-4BA6-AA19-4AE98617530C}"/>
            </a:ext>
          </a:extLst>
        </xdr:cNvPr>
        <xdr:cNvSpPr txBox="1">
          <a:spLocks noChangeArrowheads="1"/>
        </xdr:cNvSpPr>
      </xdr:nvSpPr>
      <xdr:spPr bwMode="auto">
        <a:xfrm>
          <a:off x="26537478" y="5955196"/>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21</xdr:col>
      <xdr:colOff>0</xdr:colOff>
      <xdr:row>19</xdr:row>
      <xdr:rowOff>0</xdr:rowOff>
    </xdr:from>
    <xdr:ext cx="95250" cy="171450"/>
    <xdr:sp macro="" textlink="">
      <xdr:nvSpPr>
        <xdr:cNvPr id="38" name="Text Box 19">
          <a:extLst>
            <a:ext uri="{FF2B5EF4-FFF2-40B4-BE49-F238E27FC236}">
              <a16:creationId xmlns:a16="http://schemas.microsoft.com/office/drawing/2014/main" id="{D429AC40-D57B-499D-8129-1C4AB5F5C2FD}"/>
            </a:ext>
          </a:extLst>
        </xdr:cNvPr>
        <xdr:cNvSpPr txBox="1">
          <a:spLocks noChangeArrowheads="1"/>
        </xdr:cNvSpPr>
      </xdr:nvSpPr>
      <xdr:spPr bwMode="auto">
        <a:xfrm>
          <a:off x="26537478" y="5955196"/>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21</xdr:col>
      <xdr:colOff>0</xdr:colOff>
      <xdr:row>42</xdr:row>
      <xdr:rowOff>0</xdr:rowOff>
    </xdr:from>
    <xdr:ext cx="95250" cy="171450"/>
    <xdr:sp macro="" textlink="">
      <xdr:nvSpPr>
        <xdr:cNvPr id="39" name="Text Box 16">
          <a:extLst>
            <a:ext uri="{FF2B5EF4-FFF2-40B4-BE49-F238E27FC236}">
              <a16:creationId xmlns:a16="http://schemas.microsoft.com/office/drawing/2014/main" id="{8C53317F-F5E9-47BE-BAEE-A41E7C092F3A}"/>
            </a:ext>
          </a:extLst>
        </xdr:cNvPr>
        <xdr:cNvSpPr txBox="1">
          <a:spLocks noChangeArrowheads="1"/>
        </xdr:cNvSpPr>
      </xdr:nvSpPr>
      <xdr:spPr bwMode="auto">
        <a:xfrm>
          <a:off x="26537478" y="15082630"/>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21</xdr:col>
      <xdr:colOff>0</xdr:colOff>
      <xdr:row>42</xdr:row>
      <xdr:rowOff>0</xdr:rowOff>
    </xdr:from>
    <xdr:ext cx="95250" cy="171450"/>
    <xdr:sp macro="" textlink="">
      <xdr:nvSpPr>
        <xdr:cNvPr id="40" name="Text Box 17">
          <a:extLst>
            <a:ext uri="{FF2B5EF4-FFF2-40B4-BE49-F238E27FC236}">
              <a16:creationId xmlns:a16="http://schemas.microsoft.com/office/drawing/2014/main" id="{8E281CC3-27D2-46A4-A9F9-A1FED39C1B59}"/>
            </a:ext>
          </a:extLst>
        </xdr:cNvPr>
        <xdr:cNvSpPr txBox="1">
          <a:spLocks noChangeArrowheads="1"/>
        </xdr:cNvSpPr>
      </xdr:nvSpPr>
      <xdr:spPr bwMode="auto">
        <a:xfrm>
          <a:off x="26537478" y="15082630"/>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21</xdr:col>
      <xdr:colOff>0</xdr:colOff>
      <xdr:row>42</xdr:row>
      <xdr:rowOff>0</xdr:rowOff>
    </xdr:from>
    <xdr:ext cx="95250" cy="171450"/>
    <xdr:sp macro="" textlink="">
      <xdr:nvSpPr>
        <xdr:cNvPr id="4592" name="Text Box 18">
          <a:extLst>
            <a:ext uri="{FF2B5EF4-FFF2-40B4-BE49-F238E27FC236}">
              <a16:creationId xmlns:a16="http://schemas.microsoft.com/office/drawing/2014/main" id="{088F2E3E-CC44-46DC-8EAB-4E65F92505E7}"/>
            </a:ext>
          </a:extLst>
        </xdr:cNvPr>
        <xdr:cNvSpPr txBox="1">
          <a:spLocks noChangeArrowheads="1"/>
        </xdr:cNvSpPr>
      </xdr:nvSpPr>
      <xdr:spPr bwMode="auto">
        <a:xfrm>
          <a:off x="26537478" y="15082630"/>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21</xdr:col>
      <xdr:colOff>0</xdr:colOff>
      <xdr:row>42</xdr:row>
      <xdr:rowOff>0</xdr:rowOff>
    </xdr:from>
    <xdr:ext cx="95250" cy="171450"/>
    <xdr:sp macro="" textlink="">
      <xdr:nvSpPr>
        <xdr:cNvPr id="74" name="Text Box 19">
          <a:extLst>
            <a:ext uri="{FF2B5EF4-FFF2-40B4-BE49-F238E27FC236}">
              <a16:creationId xmlns:a16="http://schemas.microsoft.com/office/drawing/2014/main" id="{13B06C03-77E9-4DF7-821F-07F0471E9779}"/>
            </a:ext>
          </a:extLst>
        </xdr:cNvPr>
        <xdr:cNvSpPr txBox="1">
          <a:spLocks noChangeArrowheads="1"/>
        </xdr:cNvSpPr>
      </xdr:nvSpPr>
      <xdr:spPr bwMode="auto">
        <a:xfrm>
          <a:off x="26537478" y="15082630"/>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21</xdr:col>
      <xdr:colOff>0</xdr:colOff>
      <xdr:row>42</xdr:row>
      <xdr:rowOff>0</xdr:rowOff>
    </xdr:from>
    <xdr:ext cx="95250" cy="171450"/>
    <xdr:sp macro="" textlink="">
      <xdr:nvSpPr>
        <xdr:cNvPr id="4713" name="Text Box 16">
          <a:extLst>
            <a:ext uri="{FF2B5EF4-FFF2-40B4-BE49-F238E27FC236}">
              <a16:creationId xmlns:a16="http://schemas.microsoft.com/office/drawing/2014/main" id="{FEE587D1-60F6-417B-83A2-430303862897}"/>
            </a:ext>
          </a:extLst>
        </xdr:cNvPr>
        <xdr:cNvSpPr txBox="1">
          <a:spLocks noChangeArrowheads="1"/>
        </xdr:cNvSpPr>
      </xdr:nvSpPr>
      <xdr:spPr bwMode="auto">
        <a:xfrm>
          <a:off x="26537478" y="15082630"/>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21</xdr:col>
      <xdr:colOff>0</xdr:colOff>
      <xdr:row>42</xdr:row>
      <xdr:rowOff>0</xdr:rowOff>
    </xdr:from>
    <xdr:ext cx="95250" cy="171450"/>
    <xdr:sp macro="" textlink="">
      <xdr:nvSpPr>
        <xdr:cNvPr id="4714" name="Text Box 17">
          <a:extLst>
            <a:ext uri="{FF2B5EF4-FFF2-40B4-BE49-F238E27FC236}">
              <a16:creationId xmlns:a16="http://schemas.microsoft.com/office/drawing/2014/main" id="{115E6D02-117A-41DF-BCCE-AA4F7F288A83}"/>
            </a:ext>
          </a:extLst>
        </xdr:cNvPr>
        <xdr:cNvSpPr txBox="1">
          <a:spLocks noChangeArrowheads="1"/>
        </xdr:cNvSpPr>
      </xdr:nvSpPr>
      <xdr:spPr bwMode="auto">
        <a:xfrm>
          <a:off x="26537478" y="15082630"/>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21</xdr:col>
      <xdr:colOff>0</xdr:colOff>
      <xdr:row>42</xdr:row>
      <xdr:rowOff>0</xdr:rowOff>
    </xdr:from>
    <xdr:ext cx="95250" cy="171450"/>
    <xdr:sp macro="" textlink="">
      <xdr:nvSpPr>
        <xdr:cNvPr id="4715" name="Text Box 18">
          <a:extLst>
            <a:ext uri="{FF2B5EF4-FFF2-40B4-BE49-F238E27FC236}">
              <a16:creationId xmlns:a16="http://schemas.microsoft.com/office/drawing/2014/main" id="{98B13A70-792D-41CF-8DEA-4846E648D452}"/>
            </a:ext>
          </a:extLst>
        </xdr:cNvPr>
        <xdr:cNvSpPr txBox="1">
          <a:spLocks noChangeArrowheads="1"/>
        </xdr:cNvSpPr>
      </xdr:nvSpPr>
      <xdr:spPr bwMode="auto">
        <a:xfrm>
          <a:off x="26537478" y="15082630"/>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21</xdr:col>
      <xdr:colOff>0</xdr:colOff>
      <xdr:row>42</xdr:row>
      <xdr:rowOff>0</xdr:rowOff>
    </xdr:from>
    <xdr:ext cx="95250" cy="171450"/>
    <xdr:sp macro="" textlink="">
      <xdr:nvSpPr>
        <xdr:cNvPr id="4716" name="Text Box 19">
          <a:extLst>
            <a:ext uri="{FF2B5EF4-FFF2-40B4-BE49-F238E27FC236}">
              <a16:creationId xmlns:a16="http://schemas.microsoft.com/office/drawing/2014/main" id="{EFD21534-FA22-4CE9-B15E-97263D83056A}"/>
            </a:ext>
          </a:extLst>
        </xdr:cNvPr>
        <xdr:cNvSpPr txBox="1">
          <a:spLocks noChangeArrowheads="1"/>
        </xdr:cNvSpPr>
      </xdr:nvSpPr>
      <xdr:spPr bwMode="auto">
        <a:xfrm>
          <a:off x="26537478" y="15082630"/>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21</xdr:col>
      <xdr:colOff>0</xdr:colOff>
      <xdr:row>42</xdr:row>
      <xdr:rowOff>0</xdr:rowOff>
    </xdr:from>
    <xdr:ext cx="95250" cy="171450"/>
    <xdr:sp macro="" textlink="">
      <xdr:nvSpPr>
        <xdr:cNvPr id="4717" name="Text Box 16">
          <a:extLst>
            <a:ext uri="{FF2B5EF4-FFF2-40B4-BE49-F238E27FC236}">
              <a16:creationId xmlns:a16="http://schemas.microsoft.com/office/drawing/2014/main" id="{62C0DFBC-5554-40EA-A61D-9FC5CD08224A}"/>
            </a:ext>
          </a:extLst>
        </xdr:cNvPr>
        <xdr:cNvSpPr txBox="1">
          <a:spLocks noChangeArrowheads="1"/>
        </xdr:cNvSpPr>
      </xdr:nvSpPr>
      <xdr:spPr bwMode="auto">
        <a:xfrm>
          <a:off x="26537478" y="15082630"/>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21</xdr:col>
      <xdr:colOff>0</xdr:colOff>
      <xdr:row>42</xdr:row>
      <xdr:rowOff>0</xdr:rowOff>
    </xdr:from>
    <xdr:ext cx="95250" cy="171450"/>
    <xdr:sp macro="" textlink="">
      <xdr:nvSpPr>
        <xdr:cNvPr id="4718" name="Text Box 17">
          <a:extLst>
            <a:ext uri="{FF2B5EF4-FFF2-40B4-BE49-F238E27FC236}">
              <a16:creationId xmlns:a16="http://schemas.microsoft.com/office/drawing/2014/main" id="{4EF9F3E7-8521-4F1D-B735-FA744E0F0F8F}"/>
            </a:ext>
          </a:extLst>
        </xdr:cNvPr>
        <xdr:cNvSpPr txBox="1">
          <a:spLocks noChangeArrowheads="1"/>
        </xdr:cNvSpPr>
      </xdr:nvSpPr>
      <xdr:spPr bwMode="auto">
        <a:xfrm>
          <a:off x="26537478" y="15082630"/>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21</xdr:col>
      <xdr:colOff>0</xdr:colOff>
      <xdr:row>37</xdr:row>
      <xdr:rowOff>0</xdr:rowOff>
    </xdr:from>
    <xdr:ext cx="95250" cy="171450"/>
    <xdr:sp macro="" textlink="">
      <xdr:nvSpPr>
        <xdr:cNvPr id="4719" name="Text Box 16">
          <a:extLst>
            <a:ext uri="{FF2B5EF4-FFF2-40B4-BE49-F238E27FC236}">
              <a16:creationId xmlns:a16="http://schemas.microsoft.com/office/drawing/2014/main" id="{3E0ED31A-1823-49EA-9E52-65D7690D4EC4}"/>
            </a:ext>
          </a:extLst>
        </xdr:cNvPr>
        <xdr:cNvSpPr txBox="1">
          <a:spLocks noChangeArrowheads="1"/>
        </xdr:cNvSpPr>
      </xdr:nvSpPr>
      <xdr:spPr bwMode="auto">
        <a:xfrm>
          <a:off x="26537478" y="13219043"/>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21</xdr:col>
      <xdr:colOff>0</xdr:colOff>
      <xdr:row>37</xdr:row>
      <xdr:rowOff>0</xdr:rowOff>
    </xdr:from>
    <xdr:ext cx="95250" cy="171450"/>
    <xdr:sp macro="" textlink="">
      <xdr:nvSpPr>
        <xdr:cNvPr id="4720" name="Text Box 17">
          <a:extLst>
            <a:ext uri="{FF2B5EF4-FFF2-40B4-BE49-F238E27FC236}">
              <a16:creationId xmlns:a16="http://schemas.microsoft.com/office/drawing/2014/main" id="{E13DB8F7-12AC-4C59-A67C-3E3738B55E67}"/>
            </a:ext>
          </a:extLst>
        </xdr:cNvPr>
        <xdr:cNvSpPr txBox="1">
          <a:spLocks noChangeArrowheads="1"/>
        </xdr:cNvSpPr>
      </xdr:nvSpPr>
      <xdr:spPr bwMode="auto">
        <a:xfrm>
          <a:off x="26537478" y="13219043"/>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21</xdr:col>
      <xdr:colOff>0</xdr:colOff>
      <xdr:row>37</xdr:row>
      <xdr:rowOff>0</xdr:rowOff>
    </xdr:from>
    <xdr:ext cx="95250" cy="171450"/>
    <xdr:sp macro="" textlink="">
      <xdr:nvSpPr>
        <xdr:cNvPr id="4721" name="Text Box 18">
          <a:extLst>
            <a:ext uri="{FF2B5EF4-FFF2-40B4-BE49-F238E27FC236}">
              <a16:creationId xmlns:a16="http://schemas.microsoft.com/office/drawing/2014/main" id="{FEEFCD45-739A-42CE-A8F8-5D928D94F39D}"/>
            </a:ext>
          </a:extLst>
        </xdr:cNvPr>
        <xdr:cNvSpPr txBox="1">
          <a:spLocks noChangeArrowheads="1"/>
        </xdr:cNvSpPr>
      </xdr:nvSpPr>
      <xdr:spPr bwMode="auto">
        <a:xfrm>
          <a:off x="26537478" y="13219043"/>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21</xdr:col>
      <xdr:colOff>0</xdr:colOff>
      <xdr:row>37</xdr:row>
      <xdr:rowOff>0</xdr:rowOff>
    </xdr:from>
    <xdr:ext cx="95250" cy="171450"/>
    <xdr:sp macro="" textlink="">
      <xdr:nvSpPr>
        <xdr:cNvPr id="4722" name="Text Box 19">
          <a:extLst>
            <a:ext uri="{FF2B5EF4-FFF2-40B4-BE49-F238E27FC236}">
              <a16:creationId xmlns:a16="http://schemas.microsoft.com/office/drawing/2014/main" id="{353F76DA-3AD8-4A16-B3CC-06DEA0BBF10D}"/>
            </a:ext>
          </a:extLst>
        </xdr:cNvPr>
        <xdr:cNvSpPr txBox="1">
          <a:spLocks noChangeArrowheads="1"/>
        </xdr:cNvSpPr>
      </xdr:nvSpPr>
      <xdr:spPr bwMode="auto">
        <a:xfrm>
          <a:off x="26537478" y="13219043"/>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21</xdr:col>
      <xdr:colOff>0</xdr:colOff>
      <xdr:row>42</xdr:row>
      <xdr:rowOff>0</xdr:rowOff>
    </xdr:from>
    <xdr:ext cx="95250" cy="171450"/>
    <xdr:sp macro="" textlink="">
      <xdr:nvSpPr>
        <xdr:cNvPr id="4723" name="Text Box 16">
          <a:extLst>
            <a:ext uri="{FF2B5EF4-FFF2-40B4-BE49-F238E27FC236}">
              <a16:creationId xmlns:a16="http://schemas.microsoft.com/office/drawing/2014/main" id="{9D318CBC-FC62-43EF-82DA-9E5D1BB2E56F}"/>
            </a:ext>
          </a:extLst>
        </xdr:cNvPr>
        <xdr:cNvSpPr txBox="1">
          <a:spLocks noChangeArrowheads="1"/>
        </xdr:cNvSpPr>
      </xdr:nvSpPr>
      <xdr:spPr bwMode="auto">
        <a:xfrm>
          <a:off x="26537478" y="15082630"/>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21</xdr:col>
      <xdr:colOff>0</xdr:colOff>
      <xdr:row>42</xdr:row>
      <xdr:rowOff>0</xdr:rowOff>
    </xdr:from>
    <xdr:ext cx="95250" cy="171450"/>
    <xdr:sp macro="" textlink="">
      <xdr:nvSpPr>
        <xdr:cNvPr id="4724" name="Text Box 17">
          <a:extLst>
            <a:ext uri="{FF2B5EF4-FFF2-40B4-BE49-F238E27FC236}">
              <a16:creationId xmlns:a16="http://schemas.microsoft.com/office/drawing/2014/main" id="{E099DBED-D187-4DA0-936F-06512DB16691}"/>
            </a:ext>
          </a:extLst>
        </xdr:cNvPr>
        <xdr:cNvSpPr txBox="1">
          <a:spLocks noChangeArrowheads="1"/>
        </xdr:cNvSpPr>
      </xdr:nvSpPr>
      <xdr:spPr bwMode="auto">
        <a:xfrm>
          <a:off x="26537478" y="15082630"/>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21</xdr:col>
      <xdr:colOff>0</xdr:colOff>
      <xdr:row>42</xdr:row>
      <xdr:rowOff>0</xdr:rowOff>
    </xdr:from>
    <xdr:ext cx="95250" cy="171450"/>
    <xdr:sp macro="" textlink="">
      <xdr:nvSpPr>
        <xdr:cNvPr id="4725" name="Text Box 18">
          <a:extLst>
            <a:ext uri="{FF2B5EF4-FFF2-40B4-BE49-F238E27FC236}">
              <a16:creationId xmlns:a16="http://schemas.microsoft.com/office/drawing/2014/main" id="{9A36A422-3EA5-45FE-BD9D-B2802DF40CE4}"/>
            </a:ext>
          </a:extLst>
        </xdr:cNvPr>
        <xdr:cNvSpPr txBox="1">
          <a:spLocks noChangeArrowheads="1"/>
        </xdr:cNvSpPr>
      </xdr:nvSpPr>
      <xdr:spPr bwMode="auto">
        <a:xfrm>
          <a:off x="26537478" y="15082630"/>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21</xdr:col>
      <xdr:colOff>0</xdr:colOff>
      <xdr:row>42</xdr:row>
      <xdr:rowOff>0</xdr:rowOff>
    </xdr:from>
    <xdr:ext cx="95250" cy="171450"/>
    <xdr:sp macro="" textlink="">
      <xdr:nvSpPr>
        <xdr:cNvPr id="4726" name="Text Box 19">
          <a:extLst>
            <a:ext uri="{FF2B5EF4-FFF2-40B4-BE49-F238E27FC236}">
              <a16:creationId xmlns:a16="http://schemas.microsoft.com/office/drawing/2014/main" id="{87E01918-0AA9-414C-AE18-D45A892C000F}"/>
            </a:ext>
          </a:extLst>
        </xdr:cNvPr>
        <xdr:cNvSpPr txBox="1">
          <a:spLocks noChangeArrowheads="1"/>
        </xdr:cNvSpPr>
      </xdr:nvSpPr>
      <xdr:spPr bwMode="auto">
        <a:xfrm>
          <a:off x="26537478" y="15082630"/>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21</xdr:col>
      <xdr:colOff>0</xdr:colOff>
      <xdr:row>42</xdr:row>
      <xdr:rowOff>0</xdr:rowOff>
    </xdr:from>
    <xdr:ext cx="95250" cy="171450"/>
    <xdr:sp macro="" textlink="">
      <xdr:nvSpPr>
        <xdr:cNvPr id="4727" name="Text Box 16">
          <a:extLst>
            <a:ext uri="{FF2B5EF4-FFF2-40B4-BE49-F238E27FC236}">
              <a16:creationId xmlns:a16="http://schemas.microsoft.com/office/drawing/2014/main" id="{1627AECC-B88F-4738-AEA4-0D45F1822B4B}"/>
            </a:ext>
          </a:extLst>
        </xdr:cNvPr>
        <xdr:cNvSpPr txBox="1">
          <a:spLocks noChangeArrowheads="1"/>
        </xdr:cNvSpPr>
      </xdr:nvSpPr>
      <xdr:spPr bwMode="auto">
        <a:xfrm>
          <a:off x="26537478" y="15082630"/>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21</xdr:col>
      <xdr:colOff>0</xdr:colOff>
      <xdr:row>42</xdr:row>
      <xdr:rowOff>0</xdr:rowOff>
    </xdr:from>
    <xdr:ext cx="95250" cy="171450"/>
    <xdr:sp macro="" textlink="">
      <xdr:nvSpPr>
        <xdr:cNvPr id="4728" name="Text Box 17">
          <a:extLst>
            <a:ext uri="{FF2B5EF4-FFF2-40B4-BE49-F238E27FC236}">
              <a16:creationId xmlns:a16="http://schemas.microsoft.com/office/drawing/2014/main" id="{B4FA5F2A-E120-41FF-B955-7018F8567ED0}"/>
            </a:ext>
          </a:extLst>
        </xdr:cNvPr>
        <xdr:cNvSpPr txBox="1">
          <a:spLocks noChangeArrowheads="1"/>
        </xdr:cNvSpPr>
      </xdr:nvSpPr>
      <xdr:spPr bwMode="auto">
        <a:xfrm>
          <a:off x="26537478" y="15082630"/>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21</xdr:col>
      <xdr:colOff>0</xdr:colOff>
      <xdr:row>42</xdr:row>
      <xdr:rowOff>0</xdr:rowOff>
    </xdr:from>
    <xdr:ext cx="95250" cy="171450"/>
    <xdr:sp macro="" textlink="">
      <xdr:nvSpPr>
        <xdr:cNvPr id="4729" name="Text Box 18">
          <a:extLst>
            <a:ext uri="{FF2B5EF4-FFF2-40B4-BE49-F238E27FC236}">
              <a16:creationId xmlns:a16="http://schemas.microsoft.com/office/drawing/2014/main" id="{73E1E20D-E3FA-406A-9482-A6D51B6DA843}"/>
            </a:ext>
          </a:extLst>
        </xdr:cNvPr>
        <xdr:cNvSpPr txBox="1">
          <a:spLocks noChangeArrowheads="1"/>
        </xdr:cNvSpPr>
      </xdr:nvSpPr>
      <xdr:spPr bwMode="auto">
        <a:xfrm>
          <a:off x="26537478" y="15082630"/>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21</xdr:col>
      <xdr:colOff>0</xdr:colOff>
      <xdr:row>42</xdr:row>
      <xdr:rowOff>0</xdr:rowOff>
    </xdr:from>
    <xdr:ext cx="95250" cy="171450"/>
    <xdr:sp macro="" textlink="">
      <xdr:nvSpPr>
        <xdr:cNvPr id="4730" name="Text Box 19">
          <a:extLst>
            <a:ext uri="{FF2B5EF4-FFF2-40B4-BE49-F238E27FC236}">
              <a16:creationId xmlns:a16="http://schemas.microsoft.com/office/drawing/2014/main" id="{92A7ADD7-B832-4C38-8F83-E203501E58D1}"/>
            </a:ext>
          </a:extLst>
        </xdr:cNvPr>
        <xdr:cNvSpPr txBox="1">
          <a:spLocks noChangeArrowheads="1"/>
        </xdr:cNvSpPr>
      </xdr:nvSpPr>
      <xdr:spPr bwMode="auto">
        <a:xfrm>
          <a:off x="26537478" y="15082630"/>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21</xdr:col>
      <xdr:colOff>0</xdr:colOff>
      <xdr:row>42</xdr:row>
      <xdr:rowOff>0</xdr:rowOff>
    </xdr:from>
    <xdr:ext cx="95250" cy="171450"/>
    <xdr:sp macro="" textlink="">
      <xdr:nvSpPr>
        <xdr:cNvPr id="4731" name="Text Box 16">
          <a:extLst>
            <a:ext uri="{FF2B5EF4-FFF2-40B4-BE49-F238E27FC236}">
              <a16:creationId xmlns:a16="http://schemas.microsoft.com/office/drawing/2014/main" id="{D0EE1A12-6540-424A-A528-7DA384CFECD9}"/>
            </a:ext>
          </a:extLst>
        </xdr:cNvPr>
        <xdr:cNvSpPr txBox="1">
          <a:spLocks noChangeArrowheads="1"/>
        </xdr:cNvSpPr>
      </xdr:nvSpPr>
      <xdr:spPr bwMode="auto">
        <a:xfrm>
          <a:off x="26537478" y="15082630"/>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21</xdr:col>
      <xdr:colOff>0</xdr:colOff>
      <xdr:row>42</xdr:row>
      <xdr:rowOff>0</xdr:rowOff>
    </xdr:from>
    <xdr:ext cx="95250" cy="171450"/>
    <xdr:sp macro="" textlink="">
      <xdr:nvSpPr>
        <xdr:cNvPr id="4732" name="Text Box 17">
          <a:extLst>
            <a:ext uri="{FF2B5EF4-FFF2-40B4-BE49-F238E27FC236}">
              <a16:creationId xmlns:a16="http://schemas.microsoft.com/office/drawing/2014/main" id="{EADA1E5A-1E54-4578-85FA-47902ED28479}"/>
            </a:ext>
          </a:extLst>
        </xdr:cNvPr>
        <xdr:cNvSpPr txBox="1">
          <a:spLocks noChangeArrowheads="1"/>
        </xdr:cNvSpPr>
      </xdr:nvSpPr>
      <xdr:spPr bwMode="auto">
        <a:xfrm>
          <a:off x="26537478" y="15082630"/>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21</xdr:col>
      <xdr:colOff>0</xdr:colOff>
      <xdr:row>37</xdr:row>
      <xdr:rowOff>0</xdr:rowOff>
    </xdr:from>
    <xdr:ext cx="95250" cy="171450"/>
    <xdr:sp macro="" textlink="">
      <xdr:nvSpPr>
        <xdr:cNvPr id="4733" name="Text Box 16">
          <a:extLst>
            <a:ext uri="{FF2B5EF4-FFF2-40B4-BE49-F238E27FC236}">
              <a16:creationId xmlns:a16="http://schemas.microsoft.com/office/drawing/2014/main" id="{70AC685F-05C2-4C31-860E-14FB1EC3E4DE}"/>
            </a:ext>
          </a:extLst>
        </xdr:cNvPr>
        <xdr:cNvSpPr txBox="1">
          <a:spLocks noChangeArrowheads="1"/>
        </xdr:cNvSpPr>
      </xdr:nvSpPr>
      <xdr:spPr bwMode="auto">
        <a:xfrm>
          <a:off x="26537478" y="13219043"/>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21</xdr:col>
      <xdr:colOff>0</xdr:colOff>
      <xdr:row>37</xdr:row>
      <xdr:rowOff>0</xdr:rowOff>
    </xdr:from>
    <xdr:ext cx="95250" cy="171450"/>
    <xdr:sp macro="" textlink="">
      <xdr:nvSpPr>
        <xdr:cNvPr id="4734" name="Text Box 17">
          <a:extLst>
            <a:ext uri="{FF2B5EF4-FFF2-40B4-BE49-F238E27FC236}">
              <a16:creationId xmlns:a16="http://schemas.microsoft.com/office/drawing/2014/main" id="{0B2DE42F-5754-4062-89CB-1D7B220F295D}"/>
            </a:ext>
          </a:extLst>
        </xdr:cNvPr>
        <xdr:cNvSpPr txBox="1">
          <a:spLocks noChangeArrowheads="1"/>
        </xdr:cNvSpPr>
      </xdr:nvSpPr>
      <xdr:spPr bwMode="auto">
        <a:xfrm>
          <a:off x="26537478" y="13219043"/>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21</xdr:col>
      <xdr:colOff>0</xdr:colOff>
      <xdr:row>37</xdr:row>
      <xdr:rowOff>0</xdr:rowOff>
    </xdr:from>
    <xdr:ext cx="95250" cy="171450"/>
    <xdr:sp macro="" textlink="">
      <xdr:nvSpPr>
        <xdr:cNvPr id="4735" name="Text Box 18">
          <a:extLst>
            <a:ext uri="{FF2B5EF4-FFF2-40B4-BE49-F238E27FC236}">
              <a16:creationId xmlns:a16="http://schemas.microsoft.com/office/drawing/2014/main" id="{29ACFDE8-44E8-4B0A-8252-688F0E212BB7}"/>
            </a:ext>
          </a:extLst>
        </xdr:cNvPr>
        <xdr:cNvSpPr txBox="1">
          <a:spLocks noChangeArrowheads="1"/>
        </xdr:cNvSpPr>
      </xdr:nvSpPr>
      <xdr:spPr bwMode="auto">
        <a:xfrm>
          <a:off x="26537478" y="13219043"/>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21</xdr:col>
      <xdr:colOff>0</xdr:colOff>
      <xdr:row>37</xdr:row>
      <xdr:rowOff>0</xdr:rowOff>
    </xdr:from>
    <xdr:ext cx="95250" cy="171450"/>
    <xdr:sp macro="" textlink="">
      <xdr:nvSpPr>
        <xdr:cNvPr id="763" name="Text Box 19">
          <a:extLst>
            <a:ext uri="{FF2B5EF4-FFF2-40B4-BE49-F238E27FC236}">
              <a16:creationId xmlns:a16="http://schemas.microsoft.com/office/drawing/2014/main" id="{C7C1E6F8-B682-411E-A4CE-F866BFDC7781}"/>
            </a:ext>
          </a:extLst>
        </xdr:cNvPr>
        <xdr:cNvSpPr txBox="1">
          <a:spLocks noChangeArrowheads="1"/>
        </xdr:cNvSpPr>
      </xdr:nvSpPr>
      <xdr:spPr bwMode="auto">
        <a:xfrm>
          <a:off x="26537478" y="13219043"/>
          <a:ext cx="9525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wsDr>
</file>

<file path=xl/drawings/drawing3.xml><?xml version="1.0" encoding="utf-8"?>
<xdr:wsDr xmlns:xdr="http://schemas.openxmlformats.org/drawingml/2006/spreadsheetDrawing" xmlns:a="http://schemas.openxmlformats.org/drawingml/2006/main">
  <xdr:twoCellAnchor editAs="oneCell">
    <xdr:from>
      <xdr:col>25</xdr:col>
      <xdr:colOff>0</xdr:colOff>
      <xdr:row>26</xdr:row>
      <xdr:rowOff>128588</xdr:rowOff>
    </xdr:from>
    <xdr:to>
      <xdr:col>25</xdr:col>
      <xdr:colOff>0</xdr:colOff>
      <xdr:row>29</xdr:row>
      <xdr:rowOff>0</xdr:rowOff>
    </xdr:to>
    <xdr:pic>
      <xdr:nvPicPr>
        <xdr:cNvPr id="2" name="Imagen 1">
          <a:extLst>
            <a:ext uri="{FF2B5EF4-FFF2-40B4-BE49-F238E27FC236}">
              <a16:creationId xmlns:a16="http://schemas.microsoft.com/office/drawing/2014/main" id="{00000000-0008-0000-0600-000002000000}"/>
            </a:ext>
          </a:extLst>
        </xdr:cNvPr>
        <xdr:cNvPicPr>
          <a:picLocks noChangeAspect="1"/>
        </xdr:cNvPicPr>
      </xdr:nvPicPr>
      <xdr:blipFill>
        <a:blip xmlns:r="http://schemas.openxmlformats.org/officeDocument/2006/relationships" r:embed="rId1"/>
        <a:stretch>
          <a:fillRect/>
        </a:stretch>
      </xdr:blipFill>
      <xdr:spPr>
        <a:xfrm>
          <a:off x="20431918" y="5360988"/>
          <a:ext cx="7516517" cy="7110992"/>
        </a:xfrm>
        <a:prstGeom prst="rect">
          <a:avLst/>
        </a:prstGeom>
      </xdr:spPr>
    </xdr:pic>
    <xdr:clientData/>
  </xdr:twoCellAnchor>
  <xdr:twoCellAnchor editAs="oneCell">
    <xdr:from>
      <xdr:col>25</xdr:col>
      <xdr:colOff>0</xdr:colOff>
      <xdr:row>28</xdr:row>
      <xdr:rowOff>0</xdr:rowOff>
    </xdr:from>
    <xdr:to>
      <xdr:col>25</xdr:col>
      <xdr:colOff>0</xdr:colOff>
      <xdr:row>29</xdr:row>
      <xdr:rowOff>0</xdr:rowOff>
    </xdr:to>
    <xdr:pic>
      <xdr:nvPicPr>
        <xdr:cNvPr id="3" name="Imagen 2">
          <a:extLst>
            <a:ext uri="{FF2B5EF4-FFF2-40B4-BE49-F238E27FC236}">
              <a16:creationId xmlns:a16="http://schemas.microsoft.com/office/drawing/2014/main" id="{00000000-0008-0000-0600-000003000000}"/>
            </a:ext>
          </a:extLst>
        </xdr:cNvPr>
        <xdr:cNvPicPr>
          <a:picLocks noChangeAspect="1"/>
        </xdr:cNvPicPr>
      </xdr:nvPicPr>
      <xdr:blipFill rotWithShape="1">
        <a:blip xmlns:r="http://schemas.openxmlformats.org/officeDocument/2006/relationships" r:embed="rId2"/>
        <a:srcRect l="6425" t="17904" r="5370" b="16965"/>
        <a:stretch/>
      </xdr:blipFill>
      <xdr:spPr>
        <a:xfrm>
          <a:off x="25768300" y="5549900"/>
          <a:ext cx="16163927" cy="6387232"/>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406738</xdr:colOff>
      <xdr:row>17</xdr:row>
      <xdr:rowOff>74160</xdr:rowOff>
    </xdr:from>
    <xdr:to>
      <xdr:col>11</xdr:col>
      <xdr:colOff>222251</xdr:colOff>
      <xdr:row>56</xdr:row>
      <xdr:rowOff>137558</xdr:rowOff>
    </xdr:to>
    <xdr:pic>
      <xdr:nvPicPr>
        <xdr:cNvPr id="2" name="Imagen 1">
          <a:extLst>
            <a:ext uri="{FF2B5EF4-FFF2-40B4-BE49-F238E27FC236}">
              <a16:creationId xmlns:a16="http://schemas.microsoft.com/office/drawing/2014/main" id="{00000000-0008-0000-0700-000002000000}"/>
            </a:ext>
          </a:extLst>
        </xdr:cNvPr>
        <xdr:cNvPicPr>
          <a:picLocks noChangeAspect="1"/>
        </xdr:cNvPicPr>
      </xdr:nvPicPr>
      <xdr:blipFill>
        <a:blip xmlns:r="http://schemas.openxmlformats.org/officeDocument/2006/relationships" r:embed="rId1"/>
        <a:stretch>
          <a:fillRect/>
        </a:stretch>
      </xdr:blipFill>
      <xdr:spPr>
        <a:xfrm>
          <a:off x="1277595" y="6750731"/>
          <a:ext cx="9322370" cy="7193541"/>
        </a:xfrm>
        <a:prstGeom prst="rect">
          <a:avLst/>
        </a:prstGeom>
      </xdr:spPr>
    </xdr:pic>
    <xdr:clientData/>
  </xdr:twoCellAnchor>
  <xdr:twoCellAnchor editAs="oneCell">
    <xdr:from>
      <xdr:col>6</xdr:col>
      <xdr:colOff>421821</xdr:colOff>
      <xdr:row>33</xdr:row>
      <xdr:rowOff>177781</xdr:rowOff>
    </xdr:from>
    <xdr:to>
      <xdr:col>31</xdr:col>
      <xdr:colOff>247197</xdr:colOff>
      <xdr:row>68</xdr:row>
      <xdr:rowOff>24530</xdr:rowOff>
    </xdr:to>
    <xdr:pic>
      <xdr:nvPicPr>
        <xdr:cNvPr id="3" name="Imagen 2">
          <a:extLst>
            <a:ext uri="{FF2B5EF4-FFF2-40B4-BE49-F238E27FC236}">
              <a16:creationId xmlns:a16="http://schemas.microsoft.com/office/drawing/2014/main" id="{00000000-0008-0000-0700-000003000000}"/>
            </a:ext>
          </a:extLst>
        </xdr:cNvPr>
        <xdr:cNvPicPr>
          <a:picLocks noChangeAspect="1"/>
        </xdr:cNvPicPr>
      </xdr:nvPicPr>
      <xdr:blipFill rotWithShape="1">
        <a:blip xmlns:r="http://schemas.openxmlformats.org/officeDocument/2006/relationships" r:embed="rId2"/>
        <a:srcRect l="6425" t="17904" r="5370" b="16965"/>
        <a:stretch/>
      </xdr:blipFill>
      <xdr:spPr>
        <a:xfrm>
          <a:off x="6644821" y="9702781"/>
          <a:ext cx="15065376" cy="4672749"/>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d.docs.live.net/Users/romulo%20mu&#241;oz/Downloads/MAPA%20DE%20RIESGOS.%20BIENES%20Y%20SERVICIOS%20VIC.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d.docs.live.net/Users/BENAVIDES%20SALAS/Dropbox/VICTOR%20BENAVIDES/GOBERNACION%202018/PRODUCTOS/F-ES-05%20MAPA%20DE%20RIESGOS%20V4.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ja1"/>
      <sheetName val="CONTROL DE CAMBIOS"/>
      <sheetName val="GLOSARIO DAFP RIESGOS"/>
      <sheetName val="FACTORES CRITICOS DEL RIESGO"/>
      <sheetName val="CONTEXTO E IDENTIFICACIÓN"/>
      <sheetName val="PROBABILIDAD"/>
      <sheetName val="IMPACTO RIESGOS CORRUPCION"/>
      <sheetName val="IMPACTO"/>
      <sheetName val="ANALISIS R. INHERENTE"/>
      <sheetName val="VALORACIÓN DEL CONTROL"/>
      <sheetName val="MAPA DE RIESGOS"/>
      <sheetName val="ANALISIS R. RESIDUAL"/>
      <sheetName val="RIESGO DEL PROCESO"/>
      <sheetName val="LISTAS FORMULAS"/>
    </sheetNames>
    <sheetDataSet>
      <sheetData sheetId="0" refreshError="1"/>
      <sheetData sheetId="1" refreshError="1"/>
      <sheetData sheetId="2" refreshError="1"/>
      <sheetData sheetId="3" refreshError="1"/>
      <sheetData sheetId="4"/>
      <sheetData sheetId="5"/>
      <sheetData sheetId="6" refreshError="1"/>
      <sheetData sheetId="7"/>
      <sheetData sheetId="8" refreshError="1"/>
      <sheetData sheetId="9" refreshError="1"/>
      <sheetData sheetId="10"/>
      <sheetData sheetId="11" refreshError="1"/>
      <sheetData sheetId="12" refreshError="1"/>
      <sheetData sheetId="13"/>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ROL DE CAMBIOS"/>
      <sheetName val="CONTEXTO E IDENTIFICACIÓN"/>
      <sheetName val="ANALISIS"/>
      <sheetName val="VALORACIÓN DEL RIESGO"/>
      <sheetName val="MAPA DE RIESGOS"/>
      <sheetName val="DEFINICIONES "/>
    </sheetNames>
    <sheetDataSet>
      <sheetData sheetId="0"/>
      <sheetData sheetId="1"/>
      <sheetData sheetId="2"/>
      <sheetData sheetId="3"/>
      <sheetData sheetId="4"/>
      <sheetData sheetId="5"/>
    </sheetDataSet>
  </externalBook>
</externalLink>
</file>

<file path=xl/persons/person.xml><?xml version="1.0" encoding="utf-8"?>
<personList xmlns="http://schemas.microsoft.com/office/spreadsheetml/2018/threadedcomments" xmlns:x="http://schemas.openxmlformats.org/spreadsheetml/2006/main">
  <person displayName="sandra patricia" id="{94673C44-3576-4F45-A763-0D7EB5C0FA06}" userId="6f69fa3d667cab0b" providerId="Windows Live"/>
</personList>
</file>

<file path=xl/tables/table1.xml><?xml version="1.0" encoding="utf-8"?>
<table xmlns="http://schemas.openxmlformats.org/spreadsheetml/2006/main" id="4" name="Table_1" displayName="Table_1" ref="BX13:BX18">
  <tableColumns count="1">
    <tableColumn id="1" name="Direccionamiento Estratégico"/>
  </tableColumns>
  <tableStyleInfo name=" ACTIVOS DE INFORMACION DIGITAL-style" showFirstColumn="1" showLastColumn="1" showRowStripes="1" showColumnStripes="0"/>
</table>
</file>

<file path=xl/tables/table2.xml><?xml version="1.0" encoding="utf-8"?>
<table xmlns="http://schemas.openxmlformats.org/spreadsheetml/2006/main" id="5" name="Table_2" displayName="Table_2" ref="BY13:BY15">
  <tableColumns count="1">
    <tableColumn id="1" name="Gestión de la Información y las Comunicaciones"/>
  </tableColumns>
  <tableStyleInfo name=" ACTIVOS DE INFORMACION DIGITAL-style 2" showFirstColumn="1" showLastColumn="1" showRowStripes="1" showColumnStripes="0"/>
</table>
</file>

<file path=xl/tables/table3.xml><?xml version="1.0" encoding="utf-8"?>
<table xmlns="http://schemas.openxmlformats.org/spreadsheetml/2006/main" id="7" name="Table_3" displayName="Table_3" ref="BZ13:BZ17">
  <tableColumns count="1">
    <tableColumn id="1" name="Gestión de Servicios de Salud"/>
  </tableColumns>
  <tableStyleInfo name=" ACTIVOS DE INFORMACION DIGITAL-style 3" showFirstColumn="1" showLastColumn="1" showRowStripes="1" showColumnStripes="0"/>
</table>
</file>

<file path=xl/tables/table4.xml><?xml version="1.0" encoding="utf-8"?>
<table xmlns="http://schemas.openxmlformats.org/spreadsheetml/2006/main" id="8" name="Table_4" displayName="Table_4" ref="CA13:CA16">
  <tableColumns count="1">
    <tableColumn id="1" name="Gestión Educativa"/>
  </tableColumns>
  <tableStyleInfo name=" ACTIVOS DE INFORMACION DIGITAL-style 4" showFirstColumn="1" showLastColumn="1" showRowStripes="1" showColumnStripes="0"/>
</table>
</file>

<file path=xl/tables/table5.xml><?xml version="1.0" encoding="utf-8"?>
<table xmlns="http://schemas.openxmlformats.org/spreadsheetml/2006/main" id="9" name="Table_5" displayName="Table_5" ref="CB13:CB17">
  <tableColumns count="1">
    <tableColumn id="1" name="Convivencia Ciudadana, Seguridad y Orden Público"/>
  </tableColumns>
  <tableStyleInfo name=" ACTIVOS DE INFORMACION DIGITAL-style 5" showFirstColumn="1" showLastColumn="1" showRowStripes="1" showColumnStripes="0"/>
</table>
</file>

<file path=xl/tables/table6.xml><?xml version="1.0" encoding="utf-8"?>
<table xmlns="http://schemas.openxmlformats.org/spreadsheetml/2006/main" id="10" name="Table_6" displayName="Table_6" ref="CC13:CC22">
  <tableColumns count="1">
    <tableColumn id="1" name="Desarrollo Social Integral y Ambiental del Territorio"/>
  </tableColumns>
  <tableStyleInfo name=" ACTIVOS DE INFORMACION DIGITAL-style 6" showFirstColumn="1" showLastColumn="1" showRowStripes="1" showColumnStripes="0"/>
</table>
</file>

<file path=xl/tables/table7.xml><?xml version="1.0" encoding="utf-8"?>
<table xmlns="http://schemas.openxmlformats.org/spreadsheetml/2006/main" id="11" name="Table_7" displayName="Table_7" ref="CD13:CD17">
  <tableColumns count="1">
    <tableColumn id="1" name="Gestión Financiera"/>
  </tableColumns>
  <tableStyleInfo name=" ACTIVOS DE INFORMACION DIGITAL-style 7" showFirstColumn="1" showLastColumn="1" showRowStripes="1" showColumnStripes="0"/>
</table>
</file>

<file path=xl/tables/table8.xml><?xml version="1.0" encoding="utf-8"?>
<table xmlns="http://schemas.openxmlformats.org/spreadsheetml/2006/main" id="12" name="Table_8" displayName="Table_8" ref="CE13:CE15">
  <tableColumns count="1">
    <tableColumn id="1" name="Gestión Catastral"/>
  </tableColumns>
  <tableStyleInfo name=" ACTIVOS DE INFORMACION DIGITAL-style 8" showFirstColumn="1" showLastColumn="1" showRowStripes="1" showColumnStripes="0"/>
</table>
</file>

<file path=xl/tables/table9.xml><?xml version="1.0" encoding="utf-8"?>
<table xmlns="http://schemas.openxmlformats.org/spreadsheetml/2006/main" id="13" name="Table_9" displayName="Table_9" ref="CF13:CF17">
  <tableColumns count="1">
    <tableColumn id="1" name="Gestión Administrativa"/>
  </tableColumns>
  <tableStyleInfo name=" ACTIVOS DE INFORMACION DIGITAL-style 9" showFirstColumn="1" showLastColumn="1" showRowStripes="1" showColumnStripes="0"/>
</table>
</file>

<file path=xl/tables/table10.xml><?xml version="1.0" encoding="utf-8"?>
<table xmlns="http://schemas.openxmlformats.org/spreadsheetml/2006/main" id="14" name="Table_10" displayName="Table_10" ref="CG13:CG16">
  <tableColumns count="1">
    <tableColumn id="1" name="Gestión del Talento Humano"/>
  </tableColumns>
  <tableStyleInfo name=" ACTIVOS DE INFORMACION DIGITAL-style 10" showFirstColumn="1" showLastColumn="1" showRowStripes="1" showColumnStripes="0"/>
</table>
</file>

<file path=xl/tables/table11.xml><?xml version="1.0" encoding="utf-8"?>
<table xmlns="http://schemas.openxmlformats.org/spreadsheetml/2006/main" id="15" name="Table_11" displayName="Table_11" ref="CH13:CH16">
  <tableColumns count="1">
    <tableColumn id="1" name="Gestión Jurídica"/>
  </tableColumns>
  <tableStyleInfo name=" ACTIVOS DE INFORMACION DIGITAL-style 11" showFirstColumn="1" showLastColumn="1" showRowStripes="1" showColumnStripes="0"/>
</table>
</file>

<file path=xl/tables/table12.xml><?xml version="1.0" encoding="utf-8"?>
<table xmlns="http://schemas.openxmlformats.org/spreadsheetml/2006/main" id="16" name="Table_12" displayName="Table_12" ref="CI13:CI15">
  <tableColumns count="1">
    <tableColumn id="1" name="Gestión Estadística"/>
  </tableColumns>
  <tableStyleInfo name=" ACTIVOS DE INFORMACION DIGITAL-style 12" showFirstColumn="1" showLastColumn="1" showRowStripes="1" showColumnStripes="0"/>
</table>
</file>

<file path=xl/tables/table13.xml><?xml version="1.0" encoding="utf-8"?>
<table xmlns="http://schemas.openxmlformats.org/spreadsheetml/2006/main" id="17" name="Table_13" displayName="Table_13" ref="CJ13:CJ14">
  <tableColumns count="1">
    <tableColumn id="1" name="Control Interno"/>
  </tableColumns>
  <tableStyleInfo name=" ACTIVOS DE INFORMACION DIGITAL-style 13" showFirstColumn="1" showLastColumn="1" showRowStripes="1" showColumnStripes="0"/>
</table>
</file>

<file path=xl/tables/table14.xml><?xml version="1.0" encoding="utf-8"?>
<table xmlns="http://schemas.openxmlformats.org/spreadsheetml/2006/main" id="18" name="Table_14" displayName="Table_14" ref="CM14:CM18" headerRowCount="0">
  <tableColumns count="1">
    <tableColumn id="1" name="Column1"/>
  </tableColumns>
  <tableStyleInfo name=" ACTIVOS DE INFORMACION DIGITAL-style 14" showFirstColumn="1" showLastColumn="1" showRowStripes="1" showColumnStripes="0"/>
</table>
</file>

<file path=xl/tables/table15.xml><?xml version="1.0" encoding="utf-8"?>
<table xmlns="http://schemas.openxmlformats.org/spreadsheetml/2006/main" id="19" name="Table_15" displayName="Table_15" ref="CM19:CM20" headerRowCount="0">
  <tableColumns count="1">
    <tableColumn id="1" name="Column1"/>
  </tableColumns>
  <tableStyleInfo name=" ACTIVOS DE INFORMACION DIGITAL-style 15" showFirstColumn="1" showLastColumn="1" showRowStripes="1" showColumnStripes="0"/>
</table>
</file>

<file path=xl/tables/table16.xml><?xml version="1.0" encoding="utf-8"?>
<table xmlns="http://schemas.openxmlformats.org/spreadsheetml/2006/main" id="20" name="Table_16" displayName="Table_16" ref="CM21:CM24" headerRowCount="0">
  <tableColumns count="1">
    <tableColumn id="1" name="Column1"/>
  </tableColumns>
  <tableStyleInfo name=" ACTIVOS DE INFORMACION DIGITAL-style 16" showFirstColumn="1" showLastColumn="1" showRowStripes="1" showColumnStripes="0"/>
</table>
</file>

<file path=xl/tables/table17.xml><?xml version="1.0" encoding="utf-8"?>
<table xmlns="http://schemas.openxmlformats.org/spreadsheetml/2006/main" id="21" name="Table_17" displayName="Table_17" ref="CM25:CM59" headerRowCount="0">
  <tableColumns count="1">
    <tableColumn id="1" name="Column1"/>
  </tableColumns>
  <tableStyleInfo name=" ACTIVOS DE INFORMACION DIGITAL-style 17" showFirstColumn="1" showLastColumn="1" showRowStripes="1" showColumnStripes="0"/>
</table>
</file>

<file path=xl/tables/table18.xml><?xml version="1.0" encoding="utf-8"?>
<table xmlns="http://schemas.openxmlformats.org/spreadsheetml/2006/main" id="1" name="Tabla1" displayName="Tabla1" ref="F8:L28" totalsRowShown="0" headerRowDxfId="168" tableBorderDxfId="167" headerRowCellStyle="Normal 2">
  <autoFilter ref="F8:L28"/>
  <tableColumns count="7">
    <tableColumn id="2" name="TIPOLOGÍA" dataDxfId="166" dataCellStyle="Normal 2"/>
    <tableColumn id="7" name="ACTIVO DE INFORMACION (Diligenciar solo si Tipologia es Seguridad_Información)" dataDxfId="165" dataCellStyle="Normal 2"/>
    <tableColumn id="3" name="¿QUÉ? _x000a_IMPACTO" dataDxfId="164" dataCellStyle="Normal 2"/>
    <tableColumn id="4" name="¿CÓMO?_x000a_CAUSA INMEDIATA _x000a_(Iniciar con la palabra _x000a_por)" dataDxfId="163" dataCellStyle="Normal 2"/>
    <tableColumn id="5" name="¿PORQUÉ?_x000a_CAUSA RAÍZ_x000a_(Iniciar con _x000a_debido a/a causa de)" dataDxfId="162" dataCellStyle="Normal 2"/>
    <tableColumn id="6" name="DESCRIPCIÓN DEL RIESGO" dataDxfId="161">
      <calculatedColumnFormula>(CONCATENATE(Tabla1[[#This Row],[¿QUÉ? 
IMPACTO]]," ",Tabla1[[#This Row],[¿CÓMO?
CAUSA INMEDIATA 
(Iniciar con la palabra 
por)]]," "," ",Tabla1[[#This Row],[¿PORQUÉ?
CAUSA RAÍZ
(Iniciar con 
debido a/a causa de)]]))</calculatedColumnFormula>
    </tableColumn>
    <tableColumn id="1" name="SUB CAUSAS (Si aplica)" dataDxfId="160" dataCellStyle="Normal 2"/>
  </tableColumns>
  <tableStyleInfo showFirstColumn="0" showLastColumn="0" showRowStripes="1" showColumnStripes="0"/>
</table>
</file>

<file path=xl/tables/table19.xml><?xml version="1.0" encoding="utf-8"?>
<table xmlns="http://schemas.openxmlformats.org/spreadsheetml/2006/main" id="6" name="Tabla6" displayName="Tabla6" ref="A31:G43" totalsRowShown="0" headerRowDxfId="159" dataDxfId="158">
  <autoFilter ref="A31:G43"/>
  <tableColumns count="7">
    <tableColumn id="1" name="Gestión" dataDxfId="157"/>
    <tableColumn id="2" name="Fiscal" dataDxfId="156"/>
    <tableColumn id="3" name="Seguridad_Información" dataDxfId="155"/>
    <tableColumn id="4" name="Integridad_Pública_Corrupción" dataDxfId="154"/>
    <tableColumn id="5" name="Integridad_Pública_LA_FT_FP" dataDxfId="153"/>
    <tableColumn id="6" name="Soborno_entrante" dataDxfId="152"/>
    <tableColumn id="7" name="Soborno_saliente" dataDxfId="151"/>
  </tableColumns>
  <tableStyleInfo name="TableStyleLight9" showFirstColumn="0" showLastColumn="0" showRowStripes="1" showColumnStripes="0"/>
</table>
</file>

<file path=xl/tables/table20.xml><?xml version="1.0" encoding="utf-8"?>
<table xmlns="http://schemas.openxmlformats.org/spreadsheetml/2006/main" id="2" name="Tabla2" displayName="Tabla2" ref="A44:F53" totalsRowShown="0" headerRowDxfId="150" dataDxfId="149">
  <autoFilter ref="A44:F53"/>
  <tableColumns count="6">
    <tableColumn id="1" name="Ejecución_administración_de_procesos" dataDxfId="148"/>
    <tableColumn id="2" name="Integridad_Pública_LA_FT_FP" dataDxfId="147"/>
    <tableColumn id="3" name="Talento_Humano" dataDxfId="146"/>
    <tableColumn id="4" name="Tecnología" dataDxfId="145"/>
    <tableColumn id="5" name="Infraestructura" dataDxfId="144"/>
    <tableColumn id="6" name="Evento_externo" dataDxfId="143"/>
  </tableColumns>
  <tableStyleInfo name="TableStyleLight16" showFirstColumn="0" showLastColumn="0" showRowStripes="1" showColumnStripes="0"/>
</table>
</file>

<file path=xl/tables/table21.xml><?xml version="1.0" encoding="utf-8"?>
<table xmlns="http://schemas.openxmlformats.org/spreadsheetml/2006/main" id="3" name="Tabla3" displayName="Tabla3" ref="H43:I49" totalsRowShown="0" headerRowDxfId="142" dataDxfId="141">
  <autoFilter ref="H43:I49"/>
  <tableColumns count="2">
    <tableColumn id="1" name="FACTOR DE RIESGO" dataDxfId="140"/>
    <tableColumn id="2" name="Descripción" dataDxfId="139"/>
  </tableColumns>
  <tableStyleInfo name="TableStyleLight9"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M2" dT="2025-11-03T20:04:52.97" personId="{94673C44-3576-4F45-A763-0D7EB5C0FA06}" id="{328DCD8F-2BC7-40E3-9BD1-16944617103A}">
    <text>Si escoge otra tipologia diferente a la tabla de esa hoja, entonces muestre la lista según el indirecto F9 en la hoja de contexto</text>
  </threadedComment>
  <threadedComment ref="N2" dT="2025-11-03T20:19:53.57" personId="{94673C44-3576-4F45-A763-0D7EB5C0FA06}" id="{81F5701B-CEFE-4DD6-99A5-58125D1F532F}">
    <text>Para mostrar lista en la columna afectacion hoja 3.</text>
  </threadedComment>
  <threadedComment ref="V2" dT="2025-11-17T23:33:39.38" personId="{94673C44-3576-4F45-A763-0D7EB5C0FA06}" id="{04B42A38-D706-4C70-ADC8-8D887BDD66B9}">
    <text xml:space="preserve">Si TIPOLOGIA = FISCAL Y ¿Qué IMPACTO ? = “Posibilidad  de efecto dañoso sobre bienes de uso fiscal” ENTONCES  se inhabilite con N/A la tabla de impacto reputacional Hoja 3 – Columna J.
</text>
  </threadedComment>
</ThreadedComments>
</file>

<file path=xl/threadedComments/threadedComment2.xml><?xml version="1.0" encoding="utf-8"?>
<ThreadedComments xmlns="http://schemas.microsoft.com/office/spreadsheetml/2018/threadedcomments" xmlns:x="http://schemas.openxmlformats.org/spreadsheetml/2006/main">
  <threadedComment ref="A44" dT="2025-11-03T16:10:15.56" personId="{94673C44-3576-4F45-A763-0D7EB5C0FA06}" id="{9E28237E-1158-4B7E-A4DB-5F3F4FF7AA7A}">
    <text>Lista de la columna FACTOR DE RIESGO</text>
  </threadedComment>
</ThreadedComments>
</file>

<file path=xl/worksheets/_rels/sheet2.xml.rels><?xml version="1.0" encoding="UTF-8" standalone="yes"?>
<Relationships xmlns="http://schemas.openxmlformats.org/package/2006/relationships"><Relationship Id="rId8" Type="http://schemas.openxmlformats.org/officeDocument/2006/relationships/table" Target="../tables/table6.xml"/><Relationship Id="rId13" Type="http://schemas.openxmlformats.org/officeDocument/2006/relationships/table" Target="../tables/table11.xml"/><Relationship Id="rId18" Type="http://schemas.openxmlformats.org/officeDocument/2006/relationships/table" Target="../tables/table16.xml"/><Relationship Id="rId3" Type="http://schemas.openxmlformats.org/officeDocument/2006/relationships/table" Target="../tables/table1.xml"/><Relationship Id="rId7" Type="http://schemas.openxmlformats.org/officeDocument/2006/relationships/table" Target="../tables/table5.xml"/><Relationship Id="rId12" Type="http://schemas.openxmlformats.org/officeDocument/2006/relationships/table" Target="../tables/table10.xml"/><Relationship Id="rId17" Type="http://schemas.openxmlformats.org/officeDocument/2006/relationships/table" Target="../tables/table15.xml"/><Relationship Id="rId2" Type="http://schemas.openxmlformats.org/officeDocument/2006/relationships/vmlDrawing" Target="../drawings/vmlDrawing1.vml"/><Relationship Id="rId16" Type="http://schemas.openxmlformats.org/officeDocument/2006/relationships/table" Target="../tables/table14.xml"/><Relationship Id="rId20" Type="http://schemas.openxmlformats.org/officeDocument/2006/relationships/comments" Target="../comments1.xml"/><Relationship Id="rId1" Type="http://schemas.openxmlformats.org/officeDocument/2006/relationships/drawing" Target="../drawings/drawing1.xml"/><Relationship Id="rId6" Type="http://schemas.openxmlformats.org/officeDocument/2006/relationships/table" Target="../tables/table4.xml"/><Relationship Id="rId11" Type="http://schemas.openxmlformats.org/officeDocument/2006/relationships/table" Target="../tables/table9.xml"/><Relationship Id="rId5" Type="http://schemas.openxmlformats.org/officeDocument/2006/relationships/table" Target="../tables/table3.xml"/><Relationship Id="rId15" Type="http://schemas.openxmlformats.org/officeDocument/2006/relationships/table" Target="../tables/table13.xml"/><Relationship Id="rId10" Type="http://schemas.openxmlformats.org/officeDocument/2006/relationships/table" Target="../tables/table8.xml"/><Relationship Id="rId19" Type="http://schemas.openxmlformats.org/officeDocument/2006/relationships/table" Target="../tables/table17.xml"/><Relationship Id="rId4" Type="http://schemas.openxmlformats.org/officeDocument/2006/relationships/table" Target="../tables/table2.xml"/><Relationship Id="rId9" Type="http://schemas.openxmlformats.org/officeDocument/2006/relationships/table" Target="../tables/table7.xml"/><Relationship Id="rId14" Type="http://schemas.openxmlformats.org/officeDocument/2006/relationships/table" Target="../tables/table12.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openxmlformats.org/officeDocument/2006/relationships/table" Target="../tables/table18.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6.xml.rels><?xml version="1.0" encoding="UTF-8" standalone="yes"?>
<Relationships xmlns="http://schemas.openxmlformats.org/package/2006/relationships"><Relationship Id="rId3" Type="http://schemas.openxmlformats.org/officeDocument/2006/relationships/table" Target="../tables/table19.xml"/><Relationship Id="rId7" Type="http://schemas.microsoft.com/office/2017/10/relationships/threadedComment" Target="../threadedComments/threadedComment2.xml"/><Relationship Id="rId2" Type="http://schemas.openxmlformats.org/officeDocument/2006/relationships/vmlDrawing" Target="../drawings/vmlDrawing3.vml"/><Relationship Id="rId1" Type="http://schemas.openxmlformats.org/officeDocument/2006/relationships/printerSettings" Target="../printerSettings/printerSettings3.bin"/><Relationship Id="rId6" Type="http://schemas.openxmlformats.org/officeDocument/2006/relationships/comments" Target="../comments3.xml"/><Relationship Id="rId5" Type="http://schemas.openxmlformats.org/officeDocument/2006/relationships/table" Target="../tables/table21.xml"/><Relationship Id="rId4" Type="http://schemas.openxmlformats.org/officeDocument/2006/relationships/table" Target="../tables/table20.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7.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8.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35"/>
  <sheetViews>
    <sheetView workbookViewId="0">
      <selection activeCell="D73" sqref="D73"/>
    </sheetView>
  </sheetViews>
  <sheetFormatPr baseColWidth="10" defaultRowHeight="14.4"/>
  <cols>
    <col min="2" max="2" width="37.77734375" customWidth="1"/>
    <col min="3" max="3" width="56.33203125" customWidth="1"/>
  </cols>
  <sheetData>
    <row r="1" spans="1:3" ht="19.8">
      <c r="A1" s="497" t="s">
        <v>650</v>
      </c>
      <c r="B1" s="495"/>
      <c r="C1" s="495"/>
    </row>
    <row r="2" spans="1:3">
      <c r="A2" s="498" t="s">
        <v>651</v>
      </c>
      <c r="B2" s="495"/>
      <c r="C2" s="495"/>
    </row>
    <row r="3" spans="1:3" ht="15.6">
      <c r="A3" s="471" t="s">
        <v>652</v>
      </c>
      <c r="B3" s="472" t="s">
        <v>10</v>
      </c>
      <c r="C3" s="472" t="s">
        <v>11</v>
      </c>
    </row>
    <row r="4" spans="1:3" ht="15.6">
      <c r="A4" s="499" t="s">
        <v>653</v>
      </c>
      <c r="B4" s="473" t="s">
        <v>654</v>
      </c>
      <c r="C4" s="473" t="s">
        <v>655</v>
      </c>
    </row>
    <row r="5" spans="1:3" ht="15.6">
      <c r="A5" s="500"/>
      <c r="B5" s="474" t="s">
        <v>656</v>
      </c>
      <c r="C5" s="473" t="s">
        <v>657</v>
      </c>
    </row>
    <row r="6" spans="1:3" ht="15.6">
      <c r="A6" s="500"/>
      <c r="B6" s="474" t="s">
        <v>658</v>
      </c>
      <c r="C6" s="473" t="s">
        <v>659</v>
      </c>
    </row>
    <row r="7" spans="1:3" ht="15.6">
      <c r="A7" s="500"/>
      <c r="B7" s="474" t="s">
        <v>660</v>
      </c>
      <c r="C7" s="473" t="s">
        <v>661</v>
      </c>
    </row>
    <row r="8" spans="1:3" ht="15.6">
      <c r="A8" s="500"/>
      <c r="B8" s="474" t="s">
        <v>138</v>
      </c>
      <c r="C8" s="473" t="s">
        <v>662</v>
      </c>
    </row>
    <row r="9" spans="1:3" ht="15.6">
      <c r="A9" s="500"/>
      <c r="B9" s="474" t="s">
        <v>663</v>
      </c>
      <c r="C9" s="473" t="s">
        <v>664</v>
      </c>
    </row>
    <row r="10" spans="1:3" ht="15.6">
      <c r="A10" s="500"/>
      <c r="B10" s="474" t="s">
        <v>665</v>
      </c>
      <c r="C10" s="473" t="s">
        <v>666</v>
      </c>
    </row>
    <row r="11" spans="1:3" ht="15.6">
      <c r="A11" s="500"/>
      <c r="B11" s="474" t="s">
        <v>667</v>
      </c>
      <c r="C11" s="473" t="s">
        <v>668</v>
      </c>
    </row>
    <row r="12" spans="1:3" ht="15.6">
      <c r="A12" s="500"/>
      <c r="B12" s="474" t="s">
        <v>669</v>
      </c>
      <c r="C12" s="473" t="s">
        <v>670</v>
      </c>
    </row>
    <row r="13" spans="1:3" ht="15.6">
      <c r="A13" s="500"/>
      <c r="B13" s="474" t="s">
        <v>671</v>
      </c>
      <c r="C13" s="473" t="s">
        <v>672</v>
      </c>
    </row>
    <row r="14" spans="1:3" ht="15.6">
      <c r="A14" s="500"/>
      <c r="B14" s="474" t="s">
        <v>673</v>
      </c>
      <c r="C14" s="473" t="s">
        <v>674</v>
      </c>
    </row>
    <row r="15" spans="1:3" ht="15.6">
      <c r="A15" s="500"/>
      <c r="B15" s="474" t="s">
        <v>675</v>
      </c>
      <c r="C15" s="473" t="s">
        <v>676</v>
      </c>
    </row>
    <row r="16" spans="1:3" ht="15.6">
      <c r="A16" s="500"/>
      <c r="B16" s="474" t="s">
        <v>677</v>
      </c>
      <c r="C16" s="473" t="s">
        <v>678</v>
      </c>
    </row>
    <row r="17" spans="1:3" ht="15.6">
      <c r="A17" s="500"/>
      <c r="B17" s="474" t="s">
        <v>679</v>
      </c>
      <c r="C17" s="473" t="s">
        <v>680</v>
      </c>
    </row>
    <row r="18" spans="1:3" ht="15.6">
      <c r="A18" s="500"/>
      <c r="B18" s="474" t="s">
        <v>681</v>
      </c>
      <c r="C18" s="473" t="s">
        <v>682</v>
      </c>
    </row>
    <row r="19" spans="1:3" ht="15.6">
      <c r="A19" s="500"/>
      <c r="B19" s="474" t="s">
        <v>683</v>
      </c>
      <c r="C19" s="473" t="s">
        <v>684</v>
      </c>
    </row>
    <row r="20" spans="1:3" ht="15.6">
      <c r="A20" s="500"/>
      <c r="B20" s="474" t="s">
        <v>685</v>
      </c>
      <c r="C20" s="473" t="s">
        <v>686</v>
      </c>
    </row>
    <row r="21" spans="1:3" ht="15.6">
      <c r="A21" s="475"/>
      <c r="B21" s="476"/>
      <c r="C21" s="477"/>
    </row>
    <row r="22" spans="1:3" ht="15.6">
      <c r="A22" s="501" t="s">
        <v>687</v>
      </c>
      <c r="B22" s="474" t="s">
        <v>688</v>
      </c>
      <c r="C22" s="478" t="s">
        <v>689</v>
      </c>
    </row>
    <row r="23" spans="1:3" ht="15.6">
      <c r="A23" s="500"/>
      <c r="B23" s="474" t="s">
        <v>690</v>
      </c>
      <c r="C23" s="473" t="s">
        <v>691</v>
      </c>
    </row>
    <row r="24" spans="1:3" ht="15.6">
      <c r="A24" s="500"/>
      <c r="B24" s="474" t="s">
        <v>692</v>
      </c>
      <c r="C24" s="473" t="s">
        <v>693</v>
      </c>
    </row>
    <row r="25" spans="1:3" ht="15.6">
      <c r="A25" s="500"/>
      <c r="B25" s="474" t="s">
        <v>694</v>
      </c>
      <c r="C25" s="473" t="s">
        <v>695</v>
      </c>
    </row>
    <row r="26" spans="1:3" ht="15.6">
      <c r="A26" s="500"/>
      <c r="B26" s="474" t="s">
        <v>696</v>
      </c>
      <c r="C26" s="473" t="s">
        <v>697</v>
      </c>
    </row>
    <row r="27" spans="1:3" ht="15.6">
      <c r="A27" s="475"/>
      <c r="B27" s="476"/>
      <c r="C27" s="477"/>
    </row>
    <row r="28" spans="1:3" ht="15.6">
      <c r="A28" s="501" t="s">
        <v>698</v>
      </c>
      <c r="B28" s="474" t="s">
        <v>699</v>
      </c>
      <c r="C28" s="478" t="s">
        <v>700</v>
      </c>
    </row>
    <row r="29" spans="1:3" ht="15.6">
      <c r="A29" s="500"/>
      <c r="B29" s="474" t="s">
        <v>701</v>
      </c>
      <c r="C29" s="473" t="s">
        <v>702</v>
      </c>
    </row>
    <row r="30" spans="1:3" ht="15.6">
      <c r="A30" s="500"/>
      <c r="B30" s="474" t="s">
        <v>703</v>
      </c>
      <c r="C30" s="473" t="s">
        <v>704</v>
      </c>
    </row>
    <row r="31" spans="1:3" ht="15.6">
      <c r="A31" s="500"/>
      <c r="B31" s="474" t="s">
        <v>705</v>
      </c>
      <c r="C31" s="473" t="s">
        <v>706</v>
      </c>
    </row>
    <row r="32" spans="1:3" ht="15.6">
      <c r="A32" s="500"/>
      <c r="B32" s="474" t="s">
        <v>707</v>
      </c>
      <c r="C32" s="473" t="s">
        <v>708</v>
      </c>
    </row>
    <row r="33" spans="1:3" ht="15.6">
      <c r="A33" s="475"/>
      <c r="B33" s="476"/>
      <c r="C33" s="477"/>
    </row>
    <row r="34" spans="1:3" ht="15.6">
      <c r="A34" s="501" t="s">
        <v>709</v>
      </c>
      <c r="B34" s="474" t="s">
        <v>710</v>
      </c>
      <c r="C34" s="478" t="s">
        <v>711</v>
      </c>
    </row>
    <row r="35" spans="1:3" ht="15.6">
      <c r="A35" s="500"/>
      <c r="B35" s="474" t="s">
        <v>712</v>
      </c>
      <c r="C35" s="473" t="s">
        <v>713</v>
      </c>
    </row>
    <row r="36" spans="1:3" ht="15.6">
      <c r="A36" s="500"/>
      <c r="B36" s="474" t="s">
        <v>714</v>
      </c>
      <c r="C36" s="473" t="s">
        <v>715</v>
      </c>
    </row>
    <row r="37" spans="1:3" ht="15.6">
      <c r="A37" s="500"/>
      <c r="B37" s="474" t="s">
        <v>716</v>
      </c>
      <c r="C37" s="473" t="s">
        <v>717</v>
      </c>
    </row>
    <row r="38" spans="1:3" ht="15.6">
      <c r="A38" s="500"/>
      <c r="B38" s="473" t="s">
        <v>718</v>
      </c>
      <c r="C38" s="473" t="s">
        <v>719</v>
      </c>
    </row>
    <row r="39" spans="1:3" ht="15.6">
      <c r="A39" s="476"/>
      <c r="B39" s="476"/>
      <c r="C39" s="476"/>
    </row>
    <row r="40" spans="1:3" ht="15.6">
      <c r="A40" s="494" t="s">
        <v>720</v>
      </c>
      <c r="B40" s="495"/>
      <c r="C40" s="495"/>
    </row>
    <row r="41" spans="1:3" ht="15.6">
      <c r="A41" s="476"/>
      <c r="B41" s="476"/>
      <c r="C41" s="476"/>
    </row>
    <row r="42" spans="1:3" ht="15.6">
      <c r="A42" s="496"/>
      <c r="B42" s="495"/>
      <c r="C42" s="495"/>
    </row>
    <row r="43" spans="1:3">
      <c r="A43" s="479"/>
      <c r="B43" s="480"/>
      <c r="C43" s="455"/>
    </row>
    <row r="44" spans="1:3">
      <c r="A44" s="479"/>
      <c r="B44" s="480"/>
      <c r="C44" s="455"/>
    </row>
    <row r="45" spans="1:3">
      <c r="A45" s="479"/>
      <c r="B45" s="480"/>
      <c r="C45" s="455"/>
    </row>
    <row r="46" spans="1:3">
      <c r="A46" s="479"/>
      <c r="B46" s="480"/>
      <c r="C46" s="455"/>
    </row>
    <row r="47" spans="1:3">
      <c r="A47" s="479"/>
      <c r="B47" s="480"/>
      <c r="C47" s="455"/>
    </row>
    <row r="48" spans="1:3">
      <c r="A48" s="479"/>
      <c r="B48" s="480"/>
      <c r="C48" s="455"/>
    </row>
    <row r="49" spans="1:3">
      <c r="A49" s="479"/>
      <c r="B49" s="480"/>
      <c r="C49" s="455"/>
    </row>
    <row r="50" spans="1:3">
      <c r="A50" s="479"/>
      <c r="B50" s="480"/>
      <c r="C50" s="455"/>
    </row>
    <row r="51" spans="1:3">
      <c r="A51" s="479"/>
      <c r="B51" s="480"/>
      <c r="C51" s="455"/>
    </row>
    <row r="52" spans="1:3">
      <c r="A52" s="479"/>
      <c r="B52" s="480"/>
      <c r="C52" s="455"/>
    </row>
    <row r="53" spans="1:3">
      <c r="A53" s="479"/>
      <c r="B53" s="480"/>
      <c r="C53" s="455"/>
    </row>
    <row r="54" spans="1:3">
      <c r="A54" s="479"/>
      <c r="B54" s="480"/>
      <c r="C54" s="455"/>
    </row>
    <row r="55" spans="1:3">
      <c r="A55" s="479"/>
      <c r="B55" s="480"/>
      <c r="C55" s="455"/>
    </row>
    <row r="56" spans="1:3">
      <c r="A56" s="479"/>
      <c r="B56" s="480"/>
      <c r="C56" s="455"/>
    </row>
    <row r="57" spans="1:3">
      <c r="A57" s="479"/>
      <c r="B57" s="480"/>
      <c r="C57" s="455"/>
    </row>
    <row r="58" spans="1:3">
      <c r="A58" s="479"/>
      <c r="B58" s="480"/>
      <c r="C58" s="455"/>
    </row>
    <row r="59" spans="1:3">
      <c r="A59" s="479"/>
      <c r="B59" s="480"/>
      <c r="C59" s="455"/>
    </row>
    <row r="60" spans="1:3">
      <c r="A60" s="479"/>
      <c r="B60" s="480"/>
      <c r="C60" s="455"/>
    </row>
    <row r="61" spans="1:3">
      <c r="A61" s="479"/>
      <c r="B61" s="480"/>
      <c r="C61" s="455"/>
    </row>
    <row r="62" spans="1:3">
      <c r="A62" s="479"/>
      <c r="B62" s="480"/>
      <c r="C62" s="455"/>
    </row>
    <row r="63" spans="1:3">
      <c r="A63" s="479"/>
      <c r="B63" s="480"/>
      <c r="C63" s="455"/>
    </row>
    <row r="64" spans="1:3">
      <c r="A64" s="479"/>
      <c r="B64" s="480"/>
      <c r="C64" s="455"/>
    </row>
    <row r="65" spans="1:3">
      <c r="A65" s="479"/>
      <c r="B65" s="480"/>
      <c r="C65" s="455"/>
    </row>
    <row r="66" spans="1:3">
      <c r="A66" s="479"/>
      <c r="B66" s="480"/>
      <c r="C66" s="455"/>
    </row>
    <row r="67" spans="1:3">
      <c r="A67" s="479"/>
      <c r="B67" s="480"/>
      <c r="C67" s="455"/>
    </row>
    <row r="68" spans="1:3">
      <c r="A68" s="479"/>
      <c r="B68" s="480"/>
      <c r="C68" s="455"/>
    </row>
    <row r="69" spans="1:3">
      <c r="A69" s="479"/>
      <c r="B69" s="480"/>
      <c r="C69" s="455"/>
    </row>
    <row r="70" spans="1:3">
      <c r="A70" s="479"/>
      <c r="B70" s="480"/>
      <c r="C70" s="455"/>
    </row>
    <row r="71" spans="1:3">
      <c r="A71" s="479"/>
      <c r="B71" s="480"/>
      <c r="C71" s="455"/>
    </row>
    <row r="72" spans="1:3">
      <c r="A72" s="479"/>
      <c r="B72" s="480"/>
      <c r="C72" s="455"/>
    </row>
    <row r="73" spans="1:3">
      <c r="A73" s="479"/>
      <c r="B73" s="480"/>
      <c r="C73" s="455"/>
    </row>
    <row r="74" spans="1:3">
      <c r="A74" s="479"/>
      <c r="B74" s="480"/>
      <c r="C74" s="455"/>
    </row>
    <row r="75" spans="1:3">
      <c r="A75" s="479"/>
      <c r="B75" s="480"/>
      <c r="C75" s="455"/>
    </row>
    <row r="76" spans="1:3">
      <c r="A76" s="479"/>
      <c r="B76" s="480"/>
      <c r="C76" s="455"/>
    </row>
    <row r="77" spans="1:3">
      <c r="A77" s="479"/>
      <c r="B77" s="480"/>
      <c r="C77" s="455"/>
    </row>
    <row r="78" spans="1:3">
      <c r="A78" s="479"/>
      <c r="B78" s="480"/>
      <c r="C78" s="455"/>
    </row>
    <row r="79" spans="1:3">
      <c r="A79" s="479"/>
      <c r="B79" s="480"/>
      <c r="C79" s="455"/>
    </row>
    <row r="80" spans="1:3">
      <c r="A80" s="479"/>
      <c r="B80" s="480"/>
      <c r="C80" s="455"/>
    </row>
    <row r="81" spans="1:3">
      <c r="A81" s="479"/>
      <c r="B81" s="480"/>
      <c r="C81" s="455"/>
    </row>
    <row r="82" spans="1:3">
      <c r="A82" s="479"/>
      <c r="B82" s="480"/>
      <c r="C82" s="455"/>
    </row>
    <row r="83" spans="1:3">
      <c r="A83" s="479"/>
      <c r="B83" s="480"/>
      <c r="C83" s="455"/>
    </row>
    <row r="84" spans="1:3">
      <c r="A84" s="479"/>
      <c r="B84" s="480"/>
      <c r="C84" s="455"/>
    </row>
    <row r="85" spans="1:3">
      <c r="A85" s="479"/>
      <c r="B85" s="480"/>
      <c r="C85" s="455"/>
    </row>
    <row r="86" spans="1:3">
      <c r="A86" s="479"/>
      <c r="B86" s="480"/>
      <c r="C86" s="455"/>
    </row>
    <row r="87" spans="1:3">
      <c r="A87" s="479"/>
      <c r="B87" s="480"/>
      <c r="C87" s="455"/>
    </row>
    <row r="88" spans="1:3">
      <c r="A88" s="479"/>
      <c r="B88" s="480"/>
      <c r="C88" s="455"/>
    </row>
    <row r="89" spans="1:3">
      <c r="A89" s="479"/>
      <c r="B89" s="480"/>
      <c r="C89" s="455"/>
    </row>
    <row r="90" spans="1:3">
      <c r="A90" s="479"/>
      <c r="B90" s="480"/>
      <c r="C90" s="455"/>
    </row>
    <row r="91" spans="1:3">
      <c r="A91" s="479"/>
      <c r="B91" s="480"/>
      <c r="C91" s="455"/>
    </row>
    <row r="92" spans="1:3">
      <c r="A92" s="479"/>
      <c r="B92" s="480"/>
      <c r="C92" s="455"/>
    </row>
    <row r="93" spans="1:3">
      <c r="A93" s="479"/>
      <c r="B93" s="480"/>
      <c r="C93" s="455"/>
    </row>
    <row r="94" spans="1:3">
      <c r="A94" s="479"/>
      <c r="B94" s="480"/>
      <c r="C94" s="455"/>
    </row>
    <row r="95" spans="1:3">
      <c r="A95" s="479"/>
      <c r="B95" s="480"/>
      <c r="C95" s="455"/>
    </row>
    <row r="96" spans="1:3">
      <c r="A96" s="479"/>
      <c r="B96" s="480"/>
      <c r="C96" s="455"/>
    </row>
    <row r="97" spans="1:3">
      <c r="A97" s="479"/>
      <c r="B97" s="480"/>
      <c r="C97" s="455"/>
    </row>
    <row r="98" spans="1:3">
      <c r="A98" s="479"/>
      <c r="B98" s="480"/>
      <c r="C98" s="455"/>
    </row>
    <row r="99" spans="1:3">
      <c r="A99" s="479"/>
      <c r="B99" s="480"/>
      <c r="C99" s="455"/>
    </row>
    <row r="100" spans="1:3">
      <c r="A100" s="479"/>
      <c r="B100" s="480"/>
      <c r="C100" s="455"/>
    </row>
    <row r="101" spans="1:3">
      <c r="A101" s="479"/>
      <c r="B101" s="480"/>
      <c r="C101" s="455"/>
    </row>
    <row r="102" spans="1:3">
      <c r="A102" s="479"/>
      <c r="B102" s="480"/>
      <c r="C102" s="455"/>
    </row>
    <row r="103" spans="1:3">
      <c r="A103" s="479"/>
      <c r="B103" s="480"/>
      <c r="C103" s="455"/>
    </row>
    <row r="104" spans="1:3">
      <c r="A104" s="479"/>
      <c r="B104" s="480"/>
      <c r="C104" s="455"/>
    </row>
    <row r="105" spans="1:3">
      <c r="A105" s="479"/>
      <c r="B105" s="480"/>
      <c r="C105" s="455"/>
    </row>
    <row r="106" spans="1:3">
      <c r="A106" s="479"/>
      <c r="B106" s="480"/>
      <c r="C106" s="455"/>
    </row>
    <row r="107" spans="1:3">
      <c r="A107" s="479"/>
      <c r="B107" s="480"/>
      <c r="C107" s="455"/>
    </row>
    <row r="108" spans="1:3">
      <c r="A108" s="479"/>
      <c r="B108" s="480"/>
      <c r="C108" s="455"/>
    </row>
    <row r="109" spans="1:3">
      <c r="A109" s="479"/>
      <c r="B109" s="480"/>
      <c r="C109" s="455"/>
    </row>
    <row r="110" spans="1:3">
      <c r="A110" s="479"/>
      <c r="B110" s="480"/>
      <c r="C110" s="455"/>
    </row>
    <row r="111" spans="1:3">
      <c r="A111" s="479"/>
      <c r="B111" s="480"/>
      <c r="C111" s="455"/>
    </row>
    <row r="112" spans="1:3">
      <c r="A112" s="479"/>
      <c r="B112" s="480"/>
      <c r="C112" s="455"/>
    </row>
    <row r="113" spans="1:3">
      <c r="A113" s="479"/>
      <c r="B113" s="480"/>
      <c r="C113" s="455"/>
    </row>
    <row r="114" spans="1:3">
      <c r="A114" s="479"/>
      <c r="B114" s="480"/>
      <c r="C114" s="455"/>
    </row>
    <row r="115" spans="1:3">
      <c r="A115" s="479"/>
      <c r="B115" s="480"/>
      <c r="C115" s="455"/>
    </row>
    <row r="116" spans="1:3">
      <c r="A116" s="479"/>
      <c r="B116" s="480"/>
      <c r="C116" s="455"/>
    </row>
    <row r="117" spans="1:3">
      <c r="A117" s="479"/>
      <c r="B117" s="480"/>
      <c r="C117" s="455"/>
    </row>
    <row r="118" spans="1:3">
      <c r="A118" s="479"/>
      <c r="B118" s="480"/>
      <c r="C118" s="455"/>
    </row>
    <row r="119" spans="1:3">
      <c r="A119" s="479"/>
      <c r="B119" s="480"/>
      <c r="C119" s="455"/>
    </row>
    <row r="120" spans="1:3">
      <c r="A120" s="479"/>
      <c r="B120" s="480"/>
      <c r="C120" s="455"/>
    </row>
    <row r="121" spans="1:3">
      <c r="A121" s="479"/>
      <c r="B121" s="480"/>
      <c r="C121" s="455"/>
    </row>
    <row r="122" spans="1:3">
      <c r="A122" s="479"/>
      <c r="B122" s="480"/>
      <c r="C122" s="455"/>
    </row>
    <row r="123" spans="1:3">
      <c r="A123" s="479"/>
      <c r="B123" s="480"/>
      <c r="C123" s="455"/>
    </row>
    <row r="124" spans="1:3">
      <c r="A124" s="479"/>
      <c r="B124" s="480"/>
      <c r="C124" s="455"/>
    </row>
    <row r="125" spans="1:3">
      <c r="A125" s="479"/>
      <c r="B125" s="480"/>
      <c r="C125" s="455"/>
    </row>
    <row r="126" spans="1:3">
      <c r="A126" s="479"/>
      <c r="B126" s="480"/>
      <c r="C126" s="455"/>
    </row>
    <row r="127" spans="1:3">
      <c r="A127" s="479"/>
      <c r="B127" s="480"/>
      <c r="C127" s="455"/>
    </row>
    <row r="128" spans="1:3">
      <c r="A128" s="479"/>
      <c r="B128" s="480"/>
      <c r="C128" s="455"/>
    </row>
    <row r="129" spans="1:3">
      <c r="A129" s="479"/>
      <c r="B129" s="480"/>
      <c r="C129" s="455"/>
    </row>
    <row r="130" spans="1:3">
      <c r="A130" s="479"/>
      <c r="B130" s="480"/>
      <c r="C130" s="455"/>
    </row>
    <row r="131" spans="1:3">
      <c r="A131" s="479"/>
      <c r="B131" s="480"/>
      <c r="C131" s="455"/>
    </row>
    <row r="132" spans="1:3">
      <c r="A132" s="479"/>
      <c r="B132" s="480"/>
      <c r="C132" s="455"/>
    </row>
    <row r="133" spans="1:3">
      <c r="A133" s="479"/>
      <c r="B133" s="480"/>
      <c r="C133" s="455"/>
    </row>
    <row r="134" spans="1:3">
      <c r="A134" s="479"/>
      <c r="B134" s="480"/>
      <c r="C134" s="455"/>
    </row>
    <row r="135" spans="1:3">
      <c r="A135" s="479"/>
      <c r="B135" s="480"/>
      <c r="C135" s="455"/>
    </row>
    <row r="136" spans="1:3">
      <c r="A136" s="479"/>
      <c r="B136" s="480"/>
      <c r="C136" s="455"/>
    </row>
    <row r="137" spans="1:3">
      <c r="A137" s="479"/>
      <c r="B137" s="480"/>
      <c r="C137" s="455"/>
    </row>
    <row r="138" spans="1:3">
      <c r="A138" s="479"/>
      <c r="B138" s="480"/>
      <c r="C138" s="455"/>
    </row>
    <row r="139" spans="1:3">
      <c r="A139" s="479"/>
      <c r="B139" s="480"/>
      <c r="C139" s="455"/>
    </row>
    <row r="140" spans="1:3">
      <c r="A140" s="479"/>
      <c r="B140" s="480"/>
      <c r="C140" s="455"/>
    </row>
    <row r="141" spans="1:3">
      <c r="A141" s="479"/>
      <c r="B141" s="480"/>
      <c r="C141" s="455"/>
    </row>
    <row r="142" spans="1:3">
      <c r="A142" s="479"/>
      <c r="B142" s="480"/>
      <c r="C142" s="455"/>
    </row>
    <row r="143" spans="1:3">
      <c r="A143" s="479"/>
      <c r="B143" s="480"/>
      <c r="C143" s="455"/>
    </row>
    <row r="144" spans="1:3">
      <c r="A144" s="479"/>
      <c r="B144" s="480"/>
      <c r="C144" s="455"/>
    </row>
    <row r="145" spans="1:3">
      <c r="A145" s="479"/>
      <c r="B145" s="480"/>
      <c r="C145" s="455"/>
    </row>
    <row r="146" spans="1:3">
      <c r="A146" s="479"/>
      <c r="B146" s="480"/>
      <c r="C146" s="455"/>
    </row>
    <row r="147" spans="1:3">
      <c r="A147" s="479"/>
      <c r="B147" s="480"/>
      <c r="C147" s="455"/>
    </row>
    <row r="148" spans="1:3">
      <c r="A148" s="455"/>
      <c r="B148" s="455"/>
      <c r="C148" s="455"/>
    </row>
    <row r="149" spans="1:3">
      <c r="A149" s="455"/>
      <c r="B149" s="455"/>
      <c r="C149" s="455"/>
    </row>
    <row r="150" spans="1:3">
      <c r="A150" s="455"/>
      <c r="B150" s="455"/>
      <c r="C150" s="455"/>
    </row>
    <row r="151" spans="1:3">
      <c r="A151" s="455"/>
      <c r="B151" s="455"/>
      <c r="C151" s="455"/>
    </row>
    <row r="152" spans="1:3">
      <c r="A152" s="455"/>
      <c r="B152" s="455"/>
      <c r="C152" s="455"/>
    </row>
    <row r="153" spans="1:3">
      <c r="A153" s="455"/>
      <c r="B153" s="455"/>
      <c r="C153" s="455"/>
    </row>
    <row r="154" spans="1:3">
      <c r="A154" s="455"/>
      <c r="B154" s="455"/>
      <c r="C154" s="455"/>
    </row>
    <row r="155" spans="1:3">
      <c r="A155" s="455"/>
      <c r="B155" s="455"/>
      <c r="C155" s="455"/>
    </row>
    <row r="156" spans="1:3">
      <c r="A156" s="455"/>
      <c r="B156" s="455"/>
      <c r="C156" s="455"/>
    </row>
    <row r="157" spans="1:3">
      <c r="A157" s="455"/>
      <c r="B157" s="455"/>
      <c r="C157" s="455"/>
    </row>
    <row r="158" spans="1:3">
      <c r="A158" s="455"/>
      <c r="B158" s="455"/>
      <c r="C158" s="455"/>
    </row>
    <row r="159" spans="1:3">
      <c r="A159" s="455"/>
      <c r="B159" s="455"/>
      <c r="C159" s="455"/>
    </row>
    <row r="160" spans="1:3">
      <c r="A160" s="455"/>
      <c r="B160" s="455"/>
      <c r="C160" s="455"/>
    </row>
    <row r="161" spans="1:3">
      <c r="A161" s="455"/>
      <c r="B161" s="455"/>
      <c r="C161" s="455"/>
    </row>
    <row r="162" spans="1:3">
      <c r="A162" s="455"/>
      <c r="B162" s="455"/>
      <c r="C162" s="455"/>
    </row>
    <row r="163" spans="1:3">
      <c r="A163" s="455"/>
      <c r="B163" s="455"/>
      <c r="C163" s="455"/>
    </row>
    <row r="164" spans="1:3">
      <c r="A164" s="455"/>
      <c r="B164" s="455"/>
      <c r="C164" s="455"/>
    </row>
    <row r="165" spans="1:3">
      <c r="A165" s="455"/>
      <c r="B165" s="455"/>
      <c r="C165" s="455"/>
    </row>
    <row r="166" spans="1:3">
      <c r="A166" s="455"/>
      <c r="B166" s="455"/>
      <c r="C166" s="455"/>
    </row>
    <row r="167" spans="1:3">
      <c r="A167" s="455"/>
      <c r="B167" s="455"/>
      <c r="C167" s="455"/>
    </row>
    <row r="168" spans="1:3">
      <c r="A168" s="455"/>
      <c r="B168" s="455"/>
      <c r="C168" s="455"/>
    </row>
    <row r="169" spans="1:3">
      <c r="A169" s="455"/>
      <c r="B169" s="455"/>
      <c r="C169" s="455"/>
    </row>
    <row r="170" spans="1:3">
      <c r="A170" s="455"/>
      <c r="B170" s="455"/>
      <c r="C170" s="455"/>
    </row>
    <row r="171" spans="1:3">
      <c r="A171" s="455"/>
      <c r="B171" s="455"/>
      <c r="C171" s="455"/>
    </row>
    <row r="172" spans="1:3">
      <c r="A172" s="455"/>
      <c r="B172" s="455"/>
      <c r="C172" s="455"/>
    </row>
    <row r="173" spans="1:3">
      <c r="A173" s="455"/>
      <c r="B173" s="455"/>
      <c r="C173" s="455"/>
    </row>
    <row r="174" spans="1:3">
      <c r="A174" s="455"/>
      <c r="B174" s="455"/>
      <c r="C174" s="455"/>
    </row>
    <row r="175" spans="1:3">
      <c r="A175" s="455"/>
      <c r="B175" s="455"/>
      <c r="C175" s="455"/>
    </row>
    <row r="176" spans="1:3">
      <c r="A176" s="455"/>
      <c r="B176" s="455"/>
      <c r="C176" s="455"/>
    </row>
    <row r="177" spans="1:3">
      <c r="A177" s="455"/>
      <c r="B177" s="455"/>
      <c r="C177" s="455"/>
    </row>
    <row r="178" spans="1:3">
      <c r="A178" s="455"/>
      <c r="B178" s="455"/>
      <c r="C178" s="455"/>
    </row>
    <row r="179" spans="1:3">
      <c r="A179" s="455"/>
      <c r="B179" s="455"/>
      <c r="C179" s="455"/>
    </row>
    <row r="180" spans="1:3">
      <c r="A180" s="455"/>
      <c r="B180" s="455"/>
      <c r="C180" s="455"/>
    </row>
    <row r="181" spans="1:3">
      <c r="A181" s="455"/>
      <c r="B181" s="455"/>
      <c r="C181" s="455"/>
    </row>
    <row r="182" spans="1:3">
      <c r="A182" s="455"/>
      <c r="B182" s="455"/>
      <c r="C182" s="455"/>
    </row>
    <row r="183" spans="1:3">
      <c r="A183" s="455"/>
      <c r="B183" s="455"/>
      <c r="C183" s="455"/>
    </row>
    <row r="184" spans="1:3">
      <c r="A184" s="455"/>
      <c r="B184" s="455"/>
      <c r="C184" s="455"/>
    </row>
    <row r="185" spans="1:3">
      <c r="A185" s="455"/>
      <c r="B185" s="455"/>
      <c r="C185" s="455"/>
    </row>
    <row r="186" spans="1:3">
      <c r="A186" s="455"/>
      <c r="B186" s="455"/>
      <c r="C186" s="455"/>
    </row>
    <row r="187" spans="1:3">
      <c r="A187" s="455"/>
      <c r="B187" s="455"/>
      <c r="C187" s="455"/>
    </row>
    <row r="188" spans="1:3">
      <c r="A188" s="455"/>
      <c r="B188" s="455"/>
      <c r="C188" s="455"/>
    </row>
    <row r="189" spans="1:3">
      <c r="A189" s="455"/>
      <c r="B189" s="455"/>
      <c r="C189" s="455"/>
    </row>
    <row r="190" spans="1:3">
      <c r="A190" s="455"/>
      <c r="B190" s="455"/>
      <c r="C190" s="455"/>
    </row>
    <row r="191" spans="1:3">
      <c r="A191" s="455"/>
      <c r="B191" s="455"/>
      <c r="C191" s="455"/>
    </row>
    <row r="192" spans="1:3">
      <c r="A192" s="455"/>
      <c r="B192" s="455"/>
      <c r="C192" s="455"/>
    </row>
    <row r="193" spans="1:3">
      <c r="A193" s="455"/>
      <c r="B193" s="455"/>
      <c r="C193" s="455"/>
    </row>
    <row r="194" spans="1:3">
      <c r="A194" s="455"/>
      <c r="B194" s="455"/>
      <c r="C194" s="455"/>
    </row>
    <row r="195" spans="1:3">
      <c r="A195" s="455"/>
      <c r="B195" s="455"/>
      <c r="C195" s="455"/>
    </row>
    <row r="196" spans="1:3">
      <c r="A196" s="455"/>
      <c r="B196" s="455"/>
      <c r="C196" s="455"/>
    </row>
    <row r="197" spans="1:3">
      <c r="A197" s="455"/>
      <c r="B197" s="455"/>
      <c r="C197" s="455"/>
    </row>
    <row r="198" spans="1:3">
      <c r="A198" s="455"/>
      <c r="B198" s="455"/>
      <c r="C198" s="455"/>
    </row>
    <row r="199" spans="1:3">
      <c r="A199" s="455"/>
      <c r="B199" s="455"/>
      <c r="C199" s="455"/>
    </row>
    <row r="200" spans="1:3">
      <c r="A200" s="455"/>
      <c r="B200" s="455"/>
      <c r="C200" s="455"/>
    </row>
    <row r="201" spans="1:3">
      <c r="A201" s="455"/>
      <c r="B201" s="455"/>
      <c r="C201" s="455"/>
    </row>
    <row r="202" spans="1:3">
      <c r="A202" s="455"/>
      <c r="B202" s="455"/>
      <c r="C202" s="455"/>
    </row>
    <row r="203" spans="1:3">
      <c r="A203" s="455"/>
      <c r="B203" s="455"/>
      <c r="C203" s="455"/>
    </row>
    <row r="204" spans="1:3">
      <c r="A204" s="455"/>
      <c r="B204" s="455"/>
      <c r="C204" s="455"/>
    </row>
    <row r="205" spans="1:3">
      <c r="A205" s="455"/>
      <c r="B205" s="455"/>
      <c r="C205" s="455"/>
    </row>
    <row r="206" spans="1:3">
      <c r="A206" s="455"/>
      <c r="B206" s="455"/>
      <c r="C206" s="455"/>
    </row>
    <row r="207" spans="1:3">
      <c r="A207" s="455"/>
      <c r="B207" s="455"/>
      <c r="C207" s="455"/>
    </row>
    <row r="208" spans="1:3">
      <c r="A208" s="455"/>
      <c r="B208" s="455"/>
      <c r="C208" s="455"/>
    </row>
    <row r="209" spans="1:3">
      <c r="A209" s="455"/>
      <c r="B209" s="455"/>
      <c r="C209" s="455"/>
    </row>
    <row r="210" spans="1:3">
      <c r="A210" s="455"/>
      <c r="B210" s="455"/>
      <c r="C210" s="455"/>
    </row>
    <row r="211" spans="1:3">
      <c r="A211" s="455"/>
      <c r="B211" s="455"/>
      <c r="C211" s="455"/>
    </row>
    <row r="212" spans="1:3">
      <c r="A212" s="455"/>
      <c r="B212" s="455"/>
      <c r="C212" s="455"/>
    </row>
    <row r="213" spans="1:3">
      <c r="A213" s="455"/>
      <c r="B213" s="455"/>
      <c r="C213" s="455"/>
    </row>
    <row r="214" spans="1:3">
      <c r="A214" s="455"/>
      <c r="B214" s="455"/>
      <c r="C214" s="455"/>
    </row>
    <row r="215" spans="1:3">
      <c r="A215" s="455"/>
      <c r="B215" s="455"/>
      <c r="C215" s="455"/>
    </row>
    <row r="216" spans="1:3">
      <c r="A216" s="455"/>
      <c r="B216" s="455"/>
      <c r="C216" s="455"/>
    </row>
    <row r="217" spans="1:3">
      <c r="A217" s="455"/>
      <c r="B217" s="455"/>
      <c r="C217" s="455"/>
    </row>
    <row r="218" spans="1:3">
      <c r="A218" s="455"/>
      <c r="B218" s="455"/>
      <c r="C218" s="455"/>
    </row>
    <row r="219" spans="1:3">
      <c r="A219" s="455"/>
      <c r="B219" s="455"/>
      <c r="C219" s="455"/>
    </row>
    <row r="220" spans="1:3">
      <c r="A220" s="455"/>
      <c r="B220" s="455"/>
      <c r="C220" s="455"/>
    </row>
    <row r="221" spans="1:3">
      <c r="A221" s="455"/>
      <c r="B221" s="455"/>
      <c r="C221" s="455"/>
    </row>
    <row r="222" spans="1:3">
      <c r="A222" s="455"/>
      <c r="B222" s="455"/>
      <c r="C222" s="455"/>
    </row>
    <row r="223" spans="1:3">
      <c r="A223" s="455"/>
      <c r="B223" s="455"/>
      <c r="C223" s="455"/>
    </row>
    <row r="224" spans="1:3">
      <c r="A224" s="455"/>
      <c r="B224" s="455"/>
      <c r="C224" s="455"/>
    </row>
    <row r="225" spans="1:3">
      <c r="A225" s="455"/>
      <c r="B225" s="455"/>
      <c r="C225" s="455"/>
    </row>
    <row r="226" spans="1:3">
      <c r="A226" s="455"/>
      <c r="B226" s="455"/>
      <c r="C226" s="455"/>
    </row>
    <row r="227" spans="1:3">
      <c r="A227" s="455"/>
      <c r="B227" s="455"/>
      <c r="C227" s="455"/>
    </row>
    <row r="228" spans="1:3">
      <c r="A228" s="455"/>
      <c r="B228" s="455"/>
      <c r="C228" s="455"/>
    </row>
    <row r="229" spans="1:3">
      <c r="A229" s="481"/>
      <c r="B229" s="481"/>
      <c r="C229" s="481"/>
    </row>
    <row r="230" spans="1:3">
      <c r="A230" s="481"/>
      <c r="B230" s="481"/>
      <c r="C230" s="481"/>
    </row>
    <row r="231" spans="1:3">
      <c r="A231" s="481"/>
      <c r="B231" s="481"/>
      <c r="C231" s="481"/>
    </row>
    <row r="232" spans="1:3">
      <c r="A232" s="481"/>
      <c r="B232" s="481"/>
      <c r="C232" s="481"/>
    </row>
    <row r="233" spans="1:3">
      <c r="A233" s="481"/>
      <c r="B233" s="481"/>
      <c r="C233" s="481"/>
    </row>
    <row r="234" spans="1:3">
      <c r="A234" s="481"/>
      <c r="B234" s="481"/>
      <c r="C234" s="481"/>
    </row>
    <row r="235" spans="1:3">
      <c r="A235" s="481"/>
      <c r="B235" s="481"/>
      <c r="C235" s="481"/>
    </row>
  </sheetData>
  <mergeCells count="8">
    <mergeCell ref="A40:C40"/>
    <mergeCell ref="A42:C42"/>
    <mergeCell ref="A1:C1"/>
    <mergeCell ref="A2:C2"/>
    <mergeCell ref="A4:A20"/>
    <mergeCell ref="A22:A26"/>
    <mergeCell ref="A28:A32"/>
    <mergeCell ref="A34:A38"/>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CM319"/>
  <sheetViews>
    <sheetView topLeftCell="H8" zoomScale="62" zoomScaleNormal="62" workbookViewId="0">
      <selection activeCell="L14" sqref="L14"/>
    </sheetView>
  </sheetViews>
  <sheetFormatPr baseColWidth="10" defaultColWidth="14.44140625" defaultRowHeight="14.4"/>
  <cols>
    <col min="1" max="1" width="42.33203125" customWidth="1"/>
    <col min="2" max="2" width="36.44140625" customWidth="1"/>
    <col min="3" max="3" width="21.33203125" customWidth="1"/>
    <col min="4" max="4" width="24.33203125" customWidth="1"/>
    <col min="5" max="5" width="20.33203125" customWidth="1"/>
    <col min="6" max="6" width="33" customWidth="1"/>
    <col min="7" max="7" width="27.6640625" customWidth="1"/>
    <col min="8" max="8" width="20.33203125" customWidth="1"/>
    <col min="9" max="10" width="28.77734375" customWidth="1"/>
    <col min="11" max="11" width="68.77734375" customWidth="1"/>
    <col min="12" max="15" width="20.33203125" customWidth="1"/>
    <col min="16" max="16" width="20.33203125" hidden="1" customWidth="1"/>
    <col min="17" max="18" width="20.33203125" customWidth="1"/>
    <col min="19" max="19" width="21.44140625" hidden="1" customWidth="1"/>
    <col min="20" max="20" width="24.44140625" customWidth="1"/>
    <col min="21" max="21" width="2.44140625" hidden="1" customWidth="1"/>
    <col min="22" max="22" width="20.6640625" customWidth="1"/>
    <col min="23" max="23" width="2" hidden="1" customWidth="1"/>
    <col min="24" max="24" width="20.6640625" customWidth="1"/>
    <col min="25" max="25" width="3.6640625" hidden="1" customWidth="1"/>
    <col min="26" max="26" width="23.44140625" customWidth="1"/>
    <col min="27" max="38" width="20.6640625" customWidth="1"/>
    <col min="39" max="39" width="23.44140625" customWidth="1"/>
    <col min="40" max="40" width="12.33203125" customWidth="1"/>
    <col min="41" max="41" width="12.33203125" hidden="1" customWidth="1"/>
    <col min="42" max="42" width="55.6640625" hidden="1" customWidth="1"/>
    <col min="43" max="50" width="12.33203125" hidden="1" customWidth="1"/>
    <col min="52" max="57" width="20.6640625" hidden="1" customWidth="1"/>
    <col min="58" max="89" width="0" hidden="1" customWidth="1"/>
    <col min="90" max="90" width="26.6640625" hidden="1" customWidth="1"/>
    <col min="91" max="91" width="0" hidden="1" customWidth="1"/>
  </cols>
  <sheetData>
    <row r="1" spans="1:91" ht="14.25" hidden="1" customHeight="1">
      <c r="A1" s="443"/>
      <c r="B1" s="443"/>
      <c r="C1" s="443"/>
      <c r="D1" s="443"/>
      <c r="E1" s="443"/>
      <c r="F1" s="443"/>
      <c r="G1" s="443"/>
      <c r="H1" s="443"/>
      <c r="I1" s="443"/>
      <c r="J1" s="443"/>
      <c r="K1" s="443"/>
      <c r="L1" s="443"/>
      <c r="M1" s="443"/>
      <c r="N1" s="443"/>
      <c r="O1" s="443"/>
      <c r="P1" s="443"/>
      <c r="Q1" s="443"/>
      <c r="R1" s="443"/>
      <c r="S1" s="443"/>
      <c r="T1" s="443"/>
      <c r="U1" s="443"/>
      <c r="V1" s="443"/>
      <c r="W1" s="443"/>
      <c r="X1" s="443"/>
      <c r="Y1" s="443"/>
      <c r="Z1" s="443"/>
      <c r="AA1" s="443"/>
      <c r="AB1" s="443"/>
      <c r="AC1" s="443"/>
      <c r="AD1" s="443"/>
      <c r="AE1" s="443"/>
      <c r="AF1" s="444"/>
      <c r="AG1" s="443"/>
      <c r="AH1" s="443"/>
      <c r="AI1" s="443"/>
      <c r="AJ1" s="443"/>
      <c r="AK1" s="443"/>
      <c r="AL1" s="443"/>
      <c r="AM1" s="456"/>
      <c r="AN1" s="456"/>
      <c r="AO1" s="456"/>
      <c r="AP1" s="456"/>
      <c r="AQ1" s="456"/>
      <c r="AR1" s="456"/>
      <c r="AS1" s="456"/>
      <c r="AT1" s="456"/>
      <c r="AU1" s="456"/>
      <c r="AV1" s="456"/>
      <c r="AW1" s="456"/>
      <c r="AX1" s="456"/>
      <c r="AY1" s="456"/>
      <c r="AZ1" s="456"/>
      <c r="BA1" s="456"/>
      <c r="BB1" s="456"/>
      <c r="BC1" s="456"/>
      <c r="BD1" s="456"/>
      <c r="BE1" s="456"/>
      <c r="BF1" s="456"/>
      <c r="BG1" s="456"/>
      <c r="BH1" s="456"/>
      <c r="BI1" s="456"/>
      <c r="BJ1" s="456"/>
      <c r="BK1" s="456"/>
      <c r="BL1" s="456"/>
      <c r="BM1" s="456"/>
      <c r="BN1" s="456"/>
      <c r="BO1" s="456"/>
      <c r="BP1" s="456"/>
      <c r="BQ1" s="456"/>
      <c r="BR1" s="456"/>
      <c r="BS1" s="456"/>
      <c r="BT1" s="456"/>
      <c r="BU1" s="456"/>
      <c r="BV1" s="456"/>
      <c r="BW1" s="456"/>
      <c r="BX1" s="456"/>
      <c r="BY1" s="456"/>
      <c r="BZ1" s="456"/>
      <c r="CA1" s="456"/>
      <c r="CB1" s="456"/>
      <c r="CC1" s="456"/>
      <c r="CD1" s="456"/>
      <c r="CE1" s="456"/>
      <c r="CF1" s="456"/>
      <c r="CG1" s="456"/>
      <c r="CH1" s="456"/>
      <c r="CI1" s="456"/>
      <c r="CJ1" s="456"/>
      <c r="CK1" s="456"/>
      <c r="CL1" s="456"/>
      <c r="CM1" s="456"/>
    </row>
    <row r="2" spans="1:91" ht="14.25" hidden="1" customHeight="1">
      <c r="A2" s="443"/>
      <c r="B2" s="443"/>
      <c r="C2" s="443"/>
      <c r="D2" s="443"/>
      <c r="E2" s="443"/>
      <c r="F2" s="443"/>
      <c r="G2" s="443"/>
      <c r="H2" s="443"/>
      <c r="I2" s="443"/>
      <c r="J2" s="443"/>
      <c r="K2" s="443"/>
      <c r="L2" s="443"/>
      <c r="M2" s="443"/>
      <c r="N2" s="443"/>
      <c r="O2" s="443"/>
      <c r="P2" s="443"/>
      <c r="Q2" s="443"/>
      <c r="R2" s="443"/>
      <c r="S2" s="443"/>
      <c r="T2" s="443"/>
      <c r="U2" s="443"/>
      <c r="V2" s="443"/>
      <c r="W2" s="443"/>
      <c r="X2" s="443"/>
      <c r="Y2" s="443"/>
      <c r="Z2" s="443"/>
      <c r="AA2" s="443"/>
      <c r="AB2" s="443"/>
      <c r="AC2" s="443"/>
      <c r="AD2" s="443"/>
      <c r="AE2" s="443"/>
      <c r="AF2" s="444"/>
      <c r="AG2" s="443"/>
      <c r="AH2" s="443"/>
      <c r="AI2" s="443"/>
      <c r="AJ2" s="443"/>
      <c r="AK2" s="443"/>
      <c r="AL2" s="443"/>
      <c r="AM2" s="456"/>
      <c r="AN2" s="456"/>
      <c r="AO2" s="456"/>
      <c r="AP2" s="456"/>
      <c r="AQ2" s="456"/>
      <c r="AR2" s="456"/>
      <c r="AS2" s="456"/>
      <c r="AT2" s="456"/>
      <c r="AU2" s="456"/>
      <c r="AV2" s="456"/>
      <c r="AW2" s="456"/>
      <c r="AX2" s="456"/>
      <c r="AY2" s="456"/>
      <c r="AZ2" s="456"/>
      <c r="BA2" s="456"/>
      <c r="BB2" s="456"/>
      <c r="BC2" s="456"/>
      <c r="BD2" s="456"/>
      <c r="BE2" s="456"/>
      <c r="BF2" s="456"/>
      <c r="BG2" s="456"/>
      <c r="BH2" s="456"/>
      <c r="BI2" s="456"/>
      <c r="BJ2" s="456"/>
      <c r="BK2" s="456"/>
      <c r="BL2" s="456"/>
      <c r="BM2" s="456"/>
      <c r="BN2" s="456"/>
      <c r="BO2" s="456"/>
      <c r="BP2" s="456"/>
      <c r="BQ2" s="456"/>
      <c r="BR2" s="456"/>
      <c r="BS2" s="456"/>
      <c r="BT2" s="456"/>
      <c r="BU2" s="456"/>
      <c r="BV2" s="456"/>
      <c r="BW2" s="456"/>
      <c r="BX2" s="456"/>
      <c r="BY2" s="456"/>
      <c r="BZ2" s="456"/>
      <c r="CA2" s="456"/>
      <c r="CB2" s="456"/>
      <c r="CC2" s="456"/>
      <c r="CD2" s="456"/>
      <c r="CE2" s="456"/>
      <c r="CF2" s="456"/>
      <c r="CG2" s="456"/>
      <c r="CH2" s="456"/>
      <c r="CI2" s="456"/>
      <c r="CJ2" s="456"/>
      <c r="CK2" s="456"/>
      <c r="CL2" s="456"/>
      <c r="CM2" s="456"/>
    </row>
    <row r="3" spans="1:91" ht="14.25" hidden="1" customHeight="1">
      <c r="A3" s="443"/>
      <c r="B3" s="443"/>
      <c r="C3" s="443"/>
      <c r="D3" s="443"/>
      <c r="E3" s="443"/>
      <c r="F3" s="443"/>
      <c r="G3" s="443"/>
      <c r="H3" s="443"/>
      <c r="I3" s="443"/>
      <c r="J3" s="443"/>
      <c r="K3" s="443"/>
      <c r="L3" s="443"/>
      <c r="M3" s="443"/>
      <c r="N3" s="443"/>
      <c r="O3" s="443"/>
      <c r="P3" s="443"/>
      <c r="Q3" s="443"/>
      <c r="R3" s="443"/>
      <c r="S3" s="443"/>
      <c r="T3" s="443"/>
      <c r="U3" s="443"/>
      <c r="V3" s="443"/>
      <c r="W3" s="443"/>
      <c r="X3" s="443"/>
      <c r="Y3" s="443"/>
      <c r="Z3" s="443"/>
      <c r="AA3" s="443"/>
      <c r="AB3" s="443"/>
      <c r="AC3" s="443"/>
      <c r="AD3" s="443"/>
      <c r="AE3" s="443"/>
      <c r="AF3" s="444"/>
      <c r="AG3" s="443"/>
      <c r="AH3" s="443"/>
      <c r="AI3" s="443"/>
      <c r="AJ3" s="443"/>
      <c r="AK3" s="443"/>
      <c r="AL3" s="443"/>
      <c r="AM3" s="456"/>
      <c r="AN3" s="456"/>
      <c r="AO3" s="456"/>
      <c r="AP3" s="456"/>
      <c r="AQ3" s="456"/>
      <c r="AR3" s="456"/>
      <c r="AS3" s="456"/>
      <c r="AT3" s="456"/>
      <c r="AU3" s="456"/>
      <c r="AV3" s="456"/>
      <c r="AW3" s="456"/>
      <c r="AX3" s="456"/>
      <c r="AY3" s="456"/>
      <c r="AZ3" s="456"/>
      <c r="BA3" s="456"/>
      <c r="BB3" s="456"/>
      <c r="BC3" s="456"/>
      <c r="BD3" s="456"/>
      <c r="BE3" s="456"/>
      <c r="BF3" s="456"/>
      <c r="BG3" s="456"/>
      <c r="BH3" s="456"/>
      <c r="BI3" s="456"/>
      <c r="BJ3" s="456"/>
      <c r="BK3" s="456"/>
      <c r="BL3" s="456"/>
      <c r="BM3" s="456"/>
      <c r="BN3" s="456"/>
      <c r="BO3" s="456"/>
      <c r="BP3" s="456"/>
      <c r="BQ3" s="456"/>
      <c r="BR3" s="456"/>
      <c r="BS3" s="456"/>
      <c r="BT3" s="456"/>
      <c r="BU3" s="456"/>
      <c r="BV3" s="456"/>
      <c r="BW3" s="456"/>
      <c r="BX3" s="456"/>
      <c r="BY3" s="456"/>
      <c r="BZ3" s="456"/>
      <c r="CA3" s="456"/>
      <c r="CB3" s="456"/>
      <c r="CC3" s="456"/>
      <c r="CD3" s="456"/>
      <c r="CE3" s="456"/>
      <c r="CF3" s="456"/>
      <c r="CG3" s="456"/>
      <c r="CH3" s="456"/>
      <c r="CI3" s="456"/>
      <c r="CJ3" s="456"/>
      <c r="CK3" s="456"/>
      <c r="CL3" s="456"/>
      <c r="CM3" s="456"/>
    </row>
    <row r="4" spans="1:91" ht="14.25" hidden="1" customHeight="1">
      <c r="A4" s="443"/>
      <c r="B4" s="443"/>
      <c r="C4" s="443"/>
      <c r="D4" s="443"/>
      <c r="E4" s="443"/>
      <c r="F4" s="443"/>
      <c r="G4" s="443"/>
      <c r="H4" s="443"/>
      <c r="I4" s="443"/>
      <c r="J4" s="443"/>
      <c r="K4" s="443"/>
      <c r="L4" s="443"/>
      <c r="M4" s="443"/>
      <c r="N4" s="443"/>
      <c r="O4" s="443"/>
      <c r="P4" s="443"/>
      <c r="Q4" s="443"/>
      <c r="R4" s="443"/>
      <c r="S4" s="443"/>
      <c r="T4" s="443"/>
      <c r="U4" s="443"/>
      <c r="V4" s="443"/>
      <c r="W4" s="443"/>
      <c r="X4" s="443"/>
      <c r="Y4" s="443"/>
      <c r="Z4" s="443"/>
      <c r="AA4" s="443"/>
      <c r="AB4" s="443"/>
      <c r="AC4" s="443"/>
      <c r="AD4" s="443"/>
      <c r="AE4" s="443"/>
      <c r="AF4" s="444"/>
      <c r="AG4" s="443"/>
      <c r="AH4" s="443"/>
      <c r="AI4" s="443"/>
      <c r="AJ4" s="443"/>
      <c r="AK4" s="443"/>
      <c r="AL4" s="443"/>
      <c r="AM4" s="456"/>
      <c r="AN4" s="456"/>
      <c r="AO4" s="456"/>
      <c r="AP4" s="456"/>
      <c r="AQ4" s="456"/>
      <c r="AR4" s="456"/>
      <c r="AS4" s="456"/>
      <c r="AT4" s="456"/>
      <c r="AU4" s="456"/>
      <c r="AV4" s="456"/>
      <c r="AW4" s="456"/>
      <c r="AX4" s="456"/>
      <c r="AY4" s="456"/>
      <c r="AZ4" s="456"/>
      <c r="BA4" s="456"/>
      <c r="BB4" s="456"/>
      <c r="BC4" s="456"/>
      <c r="BD4" s="456"/>
      <c r="BE4" s="456"/>
      <c r="BF4" s="456"/>
      <c r="BG4" s="456"/>
      <c r="BH4" s="456"/>
      <c r="BI4" s="456"/>
      <c r="BJ4" s="456"/>
      <c r="BK4" s="456"/>
      <c r="BL4" s="456"/>
      <c r="BM4" s="456"/>
      <c r="BN4" s="456"/>
      <c r="BO4" s="456"/>
      <c r="BP4" s="456"/>
      <c r="BQ4" s="456"/>
      <c r="BR4" s="456"/>
      <c r="BS4" s="456"/>
      <c r="BT4" s="456"/>
      <c r="BU4" s="456"/>
      <c r="BV4" s="456"/>
      <c r="BW4" s="456"/>
      <c r="BX4" s="456"/>
      <c r="BY4" s="456"/>
      <c r="BZ4" s="456"/>
      <c r="CA4" s="456"/>
      <c r="CB4" s="456"/>
      <c r="CC4" s="456"/>
      <c r="CD4" s="456"/>
      <c r="CE4" s="456"/>
      <c r="CF4" s="456"/>
      <c r="CG4" s="456"/>
      <c r="CH4" s="456"/>
      <c r="CI4" s="456"/>
      <c r="CJ4" s="456"/>
      <c r="CK4" s="456"/>
      <c r="CL4" s="456"/>
      <c r="CM4" s="456"/>
    </row>
    <row r="5" spans="1:91" ht="14.25" hidden="1" customHeight="1">
      <c r="A5" s="443"/>
      <c r="B5" s="443"/>
      <c r="C5" s="443"/>
      <c r="D5" s="443"/>
      <c r="E5" s="443"/>
      <c r="F5" s="443"/>
      <c r="G5" s="443"/>
      <c r="H5" s="443"/>
      <c r="I5" s="443"/>
      <c r="J5" s="443"/>
      <c r="K5" s="443"/>
      <c r="L5" s="443"/>
      <c r="M5" s="443"/>
      <c r="N5" s="443"/>
      <c r="O5" s="443"/>
      <c r="P5" s="443"/>
      <c r="Q5" s="443"/>
      <c r="R5" s="443"/>
      <c r="S5" s="443"/>
      <c r="T5" s="443"/>
      <c r="U5" s="443"/>
      <c r="V5" s="443"/>
      <c r="W5" s="443"/>
      <c r="X5" s="443"/>
      <c r="Y5" s="443"/>
      <c r="Z5" s="443"/>
      <c r="AA5" s="443"/>
      <c r="AB5" s="443"/>
      <c r="AC5" s="443"/>
      <c r="AD5" s="443"/>
      <c r="AE5" s="443"/>
      <c r="AF5" s="444"/>
      <c r="AG5" s="443"/>
      <c r="AH5" s="443"/>
      <c r="AI5" s="443"/>
      <c r="AJ5" s="443"/>
      <c r="AK5" s="443"/>
      <c r="AL5" s="443"/>
      <c r="AM5" s="456"/>
      <c r="AN5" s="456"/>
      <c r="AO5" s="456"/>
      <c r="AP5" s="456"/>
      <c r="AQ5" s="456"/>
      <c r="AR5" s="456"/>
      <c r="AS5" s="456"/>
      <c r="AT5" s="456"/>
      <c r="AU5" s="456"/>
      <c r="AV5" s="456"/>
      <c r="AW5" s="456"/>
      <c r="AX5" s="456"/>
      <c r="AY5" s="456"/>
      <c r="AZ5" s="456"/>
      <c r="BA5" s="456"/>
      <c r="BB5" s="456"/>
      <c r="BC5" s="456"/>
      <c r="BD5" s="456"/>
      <c r="BE5" s="456"/>
      <c r="BF5" s="456"/>
      <c r="BG5" s="456"/>
      <c r="BH5" s="456"/>
      <c r="BI5" s="456"/>
      <c r="BJ5" s="456"/>
      <c r="BK5" s="456"/>
      <c r="BL5" s="456"/>
      <c r="BM5" s="456"/>
      <c r="BN5" s="456"/>
      <c r="BO5" s="456"/>
      <c r="BP5" s="456"/>
      <c r="BQ5" s="456"/>
      <c r="BR5" s="456"/>
      <c r="BS5" s="456"/>
      <c r="BT5" s="456"/>
      <c r="BU5" s="456"/>
      <c r="BV5" s="456"/>
      <c r="BW5" s="456"/>
      <c r="BX5" s="456"/>
      <c r="BY5" s="456"/>
      <c r="BZ5" s="456"/>
      <c r="CA5" s="456"/>
      <c r="CB5" s="456"/>
      <c r="CC5" s="456"/>
      <c r="CD5" s="456"/>
      <c r="CE5" s="456"/>
      <c r="CF5" s="456"/>
      <c r="CG5" s="456"/>
      <c r="CH5" s="456"/>
      <c r="CI5" s="456"/>
      <c r="CJ5" s="456"/>
      <c r="CK5" s="456"/>
      <c r="CL5" s="456"/>
      <c r="CM5" s="456"/>
    </row>
    <row r="6" spans="1:91" ht="14.25" hidden="1" customHeight="1">
      <c r="A6" s="443"/>
      <c r="B6" s="443"/>
      <c r="C6" s="443"/>
      <c r="D6" s="443"/>
      <c r="E6" s="443"/>
      <c r="F6" s="443"/>
      <c r="G6" s="443"/>
      <c r="H6" s="443"/>
      <c r="I6" s="443"/>
      <c r="J6" s="443"/>
      <c r="K6" s="443"/>
      <c r="L6" s="443"/>
      <c r="M6" s="443"/>
      <c r="N6" s="443"/>
      <c r="O6" s="443"/>
      <c r="P6" s="443"/>
      <c r="Q6" s="443"/>
      <c r="R6" s="443"/>
      <c r="S6" s="443"/>
      <c r="T6" s="443"/>
      <c r="U6" s="443"/>
      <c r="V6" s="443"/>
      <c r="W6" s="443"/>
      <c r="X6" s="443"/>
      <c r="Y6" s="443"/>
      <c r="Z6" s="443"/>
      <c r="AA6" s="443"/>
      <c r="AB6" s="443"/>
      <c r="AC6" s="443"/>
      <c r="AD6" s="443"/>
      <c r="AE6" s="443"/>
      <c r="AF6" s="444"/>
      <c r="AG6" s="443"/>
      <c r="AH6" s="443"/>
      <c r="AI6" s="443"/>
      <c r="AJ6" s="443"/>
      <c r="AK6" s="443"/>
      <c r="AL6" s="443"/>
      <c r="AM6" s="456"/>
      <c r="AN6" s="456"/>
      <c r="AO6" s="456"/>
      <c r="AP6" s="456"/>
      <c r="AQ6" s="456"/>
      <c r="AR6" s="456"/>
      <c r="AS6" s="456"/>
      <c r="AT6" s="456"/>
      <c r="AU6" s="456"/>
      <c r="AV6" s="456"/>
      <c r="AW6" s="456"/>
      <c r="AX6" s="456"/>
      <c r="AY6" s="456"/>
      <c r="AZ6" s="456"/>
      <c r="BA6" s="456"/>
      <c r="BB6" s="456"/>
      <c r="BC6" s="456"/>
      <c r="BD6" s="456"/>
      <c r="BE6" s="456"/>
      <c r="BF6" s="456"/>
      <c r="BG6" s="456"/>
      <c r="BH6" s="456"/>
      <c r="BI6" s="456"/>
      <c r="BJ6" s="456"/>
      <c r="BK6" s="456"/>
      <c r="BL6" s="456"/>
      <c r="BM6" s="456"/>
      <c r="BN6" s="456"/>
      <c r="BO6" s="456"/>
      <c r="BP6" s="456"/>
      <c r="BQ6" s="456"/>
      <c r="BR6" s="456"/>
      <c r="BS6" s="456"/>
      <c r="BT6" s="456"/>
      <c r="BU6" s="456"/>
      <c r="BV6" s="456"/>
      <c r="BW6" s="456"/>
      <c r="BX6" s="456"/>
      <c r="BY6" s="456"/>
      <c r="BZ6" s="456"/>
      <c r="CA6" s="456"/>
      <c r="CB6" s="456"/>
      <c r="CC6" s="456"/>
      <c r="CD6" s="456"/>
      <c r="CE6" s="456"/>
      <c r="CF6" s="456"/>
      <c r="CG6" s="456"/>
      <c r="CH6" s="456"/>
      <c r="CI6" s="456"/>
      <c r="CJ6" s="456"/>
      <c r="CK6" s="456"/>
      <c r="CL6" s="456"/>
      <c r="CM6" s="456"/>
    </row>
    <row r="7" spans="1:91" ht="14.25" hidden="1" customHeight="1">
      <c r="A7" s="443"/>
      <c r="B7" s="443"/>
      <c r="C7" s="443"/>
      <c r="D7" s="443"/>
      <c r="E7" s="443"/>
      <c r="F7" s="443"/>
      <c r="G7" s="443"/>
      <c r="H7" s="443"/>
      <c r="I7" s="443"/>
      <c r="J7" s="443"/>
      <c r="K7" s="443"/>
      <c r="L7" s="443"/>
      <c r="M7" s="443"/>
      <c r="N7" s="443"/>
      <c r="O7" s="443"/>
      <c r="P7" s="443"/>
      <c r="Q7" s="443"/>
      <c r="R7" s="443"/>
      <c r="S7" s="443"/>
      <c r="T7" s="443"/>
      <c r="U7" s="443"/>
      <c r="V7" s="443"/>
      <c r="W7" s="443"/>
      <c r="X7" s="443"/>
      <c r="Y7" s="443"/>
      <c r="Z7" s="443"/>
      <c r="AA7" s="443"/>
      <c r="AB7" s="443"/>
      <c r="AC7" s="443"/>
      <c r="AD7" s="443"/>
      <c r="AE7" s="443"/>
      <c r="AF7" s="444"/>
      <c r="AG7" s="443"/>
      <c r="AH7" s="443"/>
      <c r="AI7" s="443"/>
      <c r="AJ7" s="443"/>
      <c r="AK7" s="443"/>
      <c r="AL7" s="443"/>
      <c r="AM7" s="456"/>
      <c r="AN7" s="456"/>
      <c r="AO7" s="456"/>
      <c r="AP7" s="456"/>
      <c r="AQ7" s="456"/>
      <c r="AR7" s="456"/>
      <c r="AS7" s="456"/>
      <c r="AT7" s="456"/>
      <c r="AU7" s="456"/>
      <c r="AV7" s="456"/>
      <c r="AW7" s="456"/>
      <c r="AX7" s="456"/>
      <c r="AY7" s="456"/>
      <c r="AZ7" s="456"/>
      <c r="BA7" s="456"/>
      <c r="BB7" s="456"/>
      <c r="BC7" s="456"/>
      <c r="BD7" s="456"/>
      <c r="BE7" s="456"/>
      <c r="BF7" s="456"/>
      <c r="BG7" s="456"/>
      <c r="BH7" s="456"/>
      <c r="BI7" s="456"/>
      <c r="BJ7" s="456"/>
      <c r="BK7" s="456"/>
      <c r="BL7" s="456"/>
      <c r="BM7" s="456"/>
      <c r="BN7" s="456"/>
      <c r="BO7" s="456"/>
      <c r="BP7" s="456"/>
      <c r="BQ7" s="456"/>
      <c r="BR7" s="456"/>
      <c r="BS7" s="456"/>
      <c r="BT7" s="456"/>
      <c r="BU7" s="456"/>
      <c r="BV7" s="456"/>
      <c r="BW7" s="456"/>
      <c r="BX7" s="456"/>
      <c r="BY7" s="456"/>
      <c r="BZ7" s="456"/>
      <c r="CA7" s="456"/>
      <c r="CB7" s="456"/>
      <c r="CC7" s="456"/>
      <c r="CD7" s="456"/>
      <c r="CE7" s="456"/>
      <c r="CF7" s="456"/>
      <c r="CG7" s="456"/>
      <c r="CH7" s="456"/>
      <c r="CI7" s="456"/>
      <c r="CJ7" s="456"/>
      <c r="CK7" s="456"/>
      <c r="CL7" s="456"/>
      <c r="CM7" s="456"/>
    </row>
    <row r="8" spans="1:91" ht="39" customHeight="1">
      <c r="A8" s="502" t="s">
        <v>649</v>
      </c>
      <c r="B8" s="505" t="s">
        <v>463</v>
      </c>
      <c r="C8" s="506"/>
      <c r="D8" s="506"/>
      <c r="E8" s="506"/>
      <c r="F8" s="506"/>
      <c r="G8" s="506"/>
      <c r="H8" s="506"/>
      <c r="I8" s="506"/>
      <c r="J8" s="506"/>
      <c r="K8" s="506"/>
      <c r="L8" s="506"/>
      <c r="M8" s="506"/>
      <c r="N8" s="506"/>
      <c r="O8" s="506"/>
      <c r="P8" s="506"/>
      <c r="Q8" s="506"/>
      <c r="R8" s="506"/>
      <c r="S8" s="506"/>
      <c r="T8" s="506"/>
      <c r="U8" s="506"/>
      <c r="V8" s="506"/>
      <c r="W8" s="506"/>
      <c r="X8" s="506"/>
      <c r="Y8" s="506"/>
      <c r="Z8" s="506"/>
      <c r="AA8" s="506"/>
      <c r="AB8" s="506"/>
      <c r="AC8" s="506"/>
      <c r="AD8" s="506"/>
      <c r="AE8" s="506"/>
      <c r="AF8" s="506"/>
      <c r="AG8" s="506"/>
      <c r="AH8" s="506"/>
      <c r="AI8" s="506"/>
      <c r="AJ8" s="506"/>
      <c r="AK8" s="507"/>
      <c r="AL8" s="514" t="s">
        <v>464</v>
      </c>
      <c r="AM8" s="515"/>
      <c r="AN8" s="516"/>
      <c r="AO8" s="467"/>
      <c r="AP8" s="467"/>
      <c r="AQ8" s="467"/>
      <c r="AR8" s="467"/>
      <c r="AS8" s="467"/>
      <c r="AT8" s="467"/>
      <c r="AU8" s="467"/>
      <c r="AV8" s="467"/>
      <c r="AW8" s="467"/>
      <c r="AX8" s="467"/>
      <c r="AY8" s="467"/>
      <c r="AZ8" s="467"/>
      <c r="BA8" s="467"/>
      <c r="BB8" s="467"/>
      <c r="BC8" s="445"/>
      <c r="BD8" s="456"/>
      <c r="BE8" s="456"/>
      <c r="BF8" s="456"/>
      <c r="BG8" s="456"/>
      <c r="BH8" s="456"/>
      <c r="BI8" s="456"/>
      <c r="BJ8" s="456"/>
      <c r="BK8" s="456"/>
      <c r="BL8" s="456"/>
      <c r="BM8" s="456"/>
      <c r="BN8" s="456"/>
      <c r="BO8" s="456"/>
      <c r="BP8" s="456"/>
      <c r="BQ8" s="456"/>
      <c r="BR8" s="456"/>
      <c r="BS8" s="456"/>
      <c r="BT8" s="456"/>
      <c r="BU8" s="456"/>
      <c r="BV8" s="456"/>
      <c r="BW8" s="456"/>
      <c r="BX8" s="456"/>
      <c r="BY8" s="456"/>
      <c r="BZ8" s="456"/>
      <c r="CA8" s="456"/>
      <c r="CB8" s="456"/>
      <c r="CC8" s="456"/>
      <c r="CD8" s="456"/>
      <c r="CE8" s="456"/>
      <c r="CF8" s="456"/>
      <c r="CG8" s="456"/>
      <c r="CH8" s="456"/>
      <c r="CI8" s="456"/>
      <c r="CJ8" s="456"/>
      <c r="CK8" s="456"/>
      <c r="CL8" s="456"/>
      <c r="CM8" s="456"/>
    </row>
    <row r="9" spans="1:91" ht="39.75" customHeight="1">
      <c r="A9" s="503"/>
      <c r="B9" s="508"/>
      <c r="C9" s="509"/>
      <c r="D9" s="509"/>
      <c r="E9" s="509"/>
      <c r="F9" s="509"/>
      <c r="G9" s="509"/>
      <c r="H9" s="509"/>
      <c r="I9" s="509"/>
      <c r="J9" s="509"/>
      <c r="K9" s="509"/>
      <c r="L9" s="509"/>
      <c r="M9" s="509"/>
      <c r="N9" s="509"/>
      <c r="O9" s="509"/>
      <c r="P9" s="509"/>
      <c r="Q9" s="509"/>
      <c r="R9" s="509"/>
      <c r="S9" s="509"/>
      <c r="T9" s="509"/>
      <c r="U9" s="509"/>
      <c r="V9" s="509"/>
      <c r="W9" s="509"/>
      <c r="X9" s="509"/>
      <c r="Y9" s="509"/>
      <c r="Z9" s="509"/>
      <c r="AA9" s="509"/>
      <c r="AB9" s="509"/>
      <c r="AC9" s="509"/>
      <c r="AD9" s="509"/>
      <c r="AE9" s="509"/>
      <c r="AF9" s="509"/>
      <c r="AG9" s="509"/>
      <c r="AH9" s="509"/>
      <c r="AI9" s="509"/>
      <c r="AJ9" s="509"/>
      <c r="AK9" s="510"/>
      <c r="AL9" s="514" t="s">
        <v>465</v>
      </c>
      <c r="AM9" s="515"/>
      <c r="AN9" s="509"/>
      <c r="AO9" s="467"/>
      <c r="AP9" s="467"/>
      <c r="AQ9" s="467"/>
      <c r="AR9" s="467"/>
      <c r="AS9" s="467"/>
      <c r="AT9" s="467"/>
      <c r="AU9" s="467"/>
      <c r="AV9" s="467"/>
      <c r="AW9" s="467"/>
      <c r="AX9" s="467"/>
      <c r="AY9" s="467"/>
      <c r="AZ9" s="467"/>
      <c r="BA9" s="467"/>
      <c r="BB9" s="467"/>
      <c r="BC9" s="445"/>
      <c r="BD9" s="456"/>
      <c r="BE9" s="456"/>
      <c r="BF9" s="456"/>
      <c r="BG9" s="456"/>
      <c r="BH9" s="456"/>
      <c r="BI9" s="456"/>
      <c r="BJ9" s="456"/>
      <c r="BK9" s="456"/>
      <c r="BL9" s="456"/>
      <c r="BM9" s="456"/>
      <c r="BN9" s="456"/>
      <c r="BO9" s="456"/>
      <c r="BP9" s="456"/>
      <c r="BQ9" s="456"/>
      <c r="BR9" s="456"/>
      <c r="BS9" s="456"/>
      <c r="BT9" s="456"/>
      <c r="BU9" s="456"/>
      <c r="BV9" s="456"/>
      <c r="BW9" s="456"/>
      <c r="BX9" s="456"/>
      <c r="BY9" s="456"/>
      <c r="BZ9" s="456"/>
      <c r="CA9" s="456"/>
      <c r="CB9" s="456"/>
      <c r="CC9" s="456"/>
      <c r="CD9" s="456"/>
      <c r="CE9" s="456"/>
      <c r="CF9" s="456"/>
      <c r="CG9" s="456"/>
      <c r="CH9" s="456"/>
      <c r="CI9" s="456"/>
      <c r="CJ9" s="456"/>
      <c r="CK9" s="456"/>
      <c r="CL9" s="456"/>
      <c r="CM9" s="456"/>
    </row>
    <row r="10" spans="1:91" ht="34.5" customHeight="1">
      <c r="A10" s="504"/>
      <c r="B10" s="511"/>
      <c r="C10" s="512"/>
      <c r="D10" s="512"/>
      <c r="E10" s="512"/>
      <c r="F10" s="512"/>
      <c r="G10" s="512"/>
      <c r="H10" s="512"/>
      <c r="I10" s="512"/>
      <c r="J10" s="512"/>
      <c r="K10" s="512"/>
      <c r="L10" s="512"/>
      <c r="M10" s="512"/>
      <c r="N10" s="512"/>
      <c r="O10" s="512"/>
      <c r="P10" s="512"/>
      <c r="Q10" s="512"/>
      <c r="R10" s="512"/>
      <c r="S10" s="512"/>
      <c r="T10" s="512"/>
      <c r="U10" s="512"/>
      <c r="V10" s="512"/>
      <c r="W10" s="512"/>
      <c r="X10" s="512"/>
      <c r="Y10" s="512"/>
      <c r="Z10" s="512"/>
      <c r="AA10" s="512"/>
      <c r="AB10" s="512"/>
      <c r="AC10" s="512"/>
      <c r="AD10" s="512"/>
      <c r="AE10" s="512"/>
      <c r="AF10" s="512"/>
      <c r="AG10" s="512"/>
      <c r="AH10" s="512"/>
      <c r="AI10" s="512"/>
      <c r="AJ10" s="512"/>
      <c r="AK10" s="513"/>
      <c r="AL10" s="514" t="s">
        <v>466</v>
      </c>
      <c r="AM10" s="515"/>
      <c r="AN10" s="509"/>
      <c r="AO10" s="467"/>
      <c r="AP10" s="467"/>
      <c r="AQ10" s="467"/>
      <c r="AR10" s="467"/>
      <c r="AS10" s="467"/>
      <c r="AT10" s="467"/>
      <c r="AU10" s="467"/>
      <c r="AV10" s="467"/>
      <c r="AW10" s="467"/>
      <c r="AX10" s="467"/>
      <c r="AY10" s="467"/>
      <c r="AZ10" s="467"/>
      <c r="BA10" s="467"/>
      <c r="BB10" s="467"/>
      <c r="BC10" s="445"/>
      <c r="BD10" s="456"/>
      <c r="BE10" s="456"/>
      <c r="BF10" s="456"/>
      <c r="BG10" s="456"/>
      <c r="BH10" s="456"/>
      <c r="BI10" s="456"/>
      <c r="BJ10" s="456"/>
      <c r="BK10" s="456"/>
      <c r="BL10" s="456"/>
      <c r="BM10" s="456"/>
      <c r="BN10" s="456"/>
      <c r="BO10" s="456"/>
      <c r="BP10" s="456"/>
      <c r="BQ10" s="456"/>
      <c r="BR10" s="456"/>
      <c r="BS10" s="456"/>
      <c r="BT10" s="456"/>
      <c r="BU10" s="456"/>
      <c r="BV10" s="456"/>
      <c r="BW10" s="456"/>
      <c r="BX10" s="456"/>
      <c r="BY10" s="456"/>
      <c r="BZ10" s="456"/>
      <c r="CA10" s="456"/>
      <c r="CB10" s="456"/>
      <c r="CC10" s="456"/>
      <c r="CD10" s="456"/>
      <c r="CE10" s="456"/>
      <c r="CF10" s="456"/>
      <c r="CG10" s="456"/>
      <c r="CH10" s="456"/>
      <c r="CI10" s="456"/>
      <c r="CJ10" s="456"/>
      <c r="CK10" s="456"/>
      <c r="CL10" s="456"/>
      <c r="CM10" s="456"/>
    </row>
    <row r="11" spans="1:91" ht="12" customHeight="1">
      <c r="A11" s="516"/>
      <c r="B11" s="509"/>
      <c r="C11" s="509"/>
      <c r="D11" s="509"/>
      <c r="E11" s="509"/>
      <c r="F11" s="509"/>
      <c r="G11" s="509"/>
      <c r="H11" s="509"/>
      <c r="I11" s="509"/>
      <c r="J11" s="509"/>
      <c r="K11" s="509"/>
      <c r="L11" s="509"/>
      <c r="M11" s="509"/>
      <c r="N11" s="509"/>
      <c r="O11" s="509"/>
      <c r="P11" s="509"/>
      <c r="Q11" s="509"/>
      <c r="R11" s="509"/>
      <c r="S11" s="509"/>
      <c r="T11" s="509"/>
      <c r="U11" s="509"/>
      <c r="V11" s="509"/>
      <c r="W11" s="509"/>
      <c r="X11" s="509"/>
      <c r="Y11" s="509"/>
      <c r="Z11" s="509"/>
      <c r="AA11" s="509"/>
      <c r="AB11" s="509"/>
      <c r="AC11" s="509"/>
      <c r="AD11" s="509"/>
      <c r="AE11" s="509"/>
      <c r="AF11" s="509"/>
      <c r="AG11" s="509"/>
      <c r="AH11" s="509"/>
      <c r="AI11" s="509"/>
      <c r="AJ11" s="509"/>
      <c r="AK11" s="509"/>
      <c r="AL11" s="509"/>
      <c r="AM11" s="509"/>
      <c r="AN11" s="509"/>
      <c r="AO11" s="509"/>
      <c r="AP11" s="509"/>
      <c r="AQ11" s="509"/>
      <c r="AR11" s="509"/>
      <c r="AS11" s="509"/>
      <c r="AT11" s="509"/>
      <c r="AU11" s="509"/>
      <c r="AV11" s="509"/>
      <c r="AW11" s="509"/>
      <c r="AX11" s="509"/>
      <c r="AY11" s="509"/>
      <c r="AZ11" s="509"/>
      <c r="BA11" s="509"/>
      <c r="BB11" s="509"/>
      <c r="BC11" s="509"/>
      <c r="BD11" s="456"/>
      <c r="BE11" s="456"/>
      <c r="BF11" s="456"/>
      <c r="BG11" s="456"/>
      <c r="BH11" s="456"/>
      <c r="BI11" s="456"/>
      <c r="BJ11" s="456"/>
      <c r="BK11" s="456"/>
      <c r="BL11" s="456"/>
      <c r="BM11" s="456"/>
      <c r="BN11" s="456"/>
      <c r="BO11" s="456"/>
      <c r="BP11" s="456"/>
      <c r="BQ11" s="456"/>
      <c r="BR11" s="456"/>
      <c r="BS11" s="456"/>
      <c r="BT11" s="456"/>
      <c r="BU11" s="456"/>
      <c r="BV11" s="456"/>
      <c r="BW11" s="456"/>
      <c r="BX11" s="456"/>
      <c r="BY11" s="456"/>
      <c r="BZ11" s="456"/>
      <c r="CA11" s="456"/>
      <c r="CB11" s="456"/>
      <c r="CC11" s="456"/>
      <c r="CD11" s="456"/>
      <c r="CE11" s="456"/>
      <c r="CF11" s="456"/>
      <c r="CG11" s="456"/>
      <c r="CH11" s="456"/>
      <c r="CI11" s="456"/>
      <c r="CJ11" s="456"/>
      <c r="CK11" s="456"/>
      <c r="CL11" s="456"/>
      <c r="CM11" s="456"/>
    </row>
    <row r="12" spans="1:91" ht="21" customHeight="1">
      <c r="A12" s="521" t="s">
        <v>467</v>
      </c>
      <c r="B12" s="518"/>
      <c r="C12" s="518"/>
      <c r="D12" s="518"/>
      <c r="E12" s="518"/>
      <c r="F12" s="518"/>
      <c r="G12" s="518"/>
      <c r="H12" s="518"/>
      <c r="I12" s="518"/>
      <c r="J12" s="518"/>
      <c r="K12" s="518"/>
      <c r="L12" s="518"/>
      <c r="M12" s="518"/>
      <c r="N12" s="518"/>
      <c r="O12" s="518"/>
      <c r="P12" s="518"/>
      <c r="Q12" s="518"/>
      <c r="R12" s="518"/>
      <c r="S12" s="515"/>
      <c r="T12" s="522" t="s">
        <v>468</v>
      </c>
      <c r="U12" s="518"/>
      <c r="V12" s="518"/>
      <c r="W12" s="518"/>
      <c r="X12" s="518"/>
      <c r="Y12" s="518"/>
      <c r="Z12" s="518"/>
      <c r="AA12" s="518"/>
      <c r="AB12" s="515"/>
      <c r="AC12" s="521" t="s">
        <v>469</v>
      </c>
      <c r="AD12" s="518"/>
      <c r="AE12" s="518"/>
      <c r="AF12" s="518"/>
      <c r="AG12" s="518"/>
      <c r="AH12" s="515"/>
      <c r="AI12" s="522" t="s">
        <v>470</v>
      </c>
      <c r="AJ12" s="518"/>
      <c r="AK12" s="518"/>
      <c r="AL12" s="518"/>
      <c r="AM12" s="515"/>
      <c r="AN12" s="523"/>
      <c r="AO12" s="467"/>
      <c r="AP12" s="467"/>
      <c r="AQ12" s="467"/>
      <c r="AR12" s="467"/>
      <c r="AS12" s="467"/>
      <c r="AT12" s="467"/>
      <c r="AU12" s="467"/>
      <c r="AV12" s="467"/>
      <c r="AW12" s="467"/>
      <c r="AX12" s="467"/>
      <c r="AY12" s="467"/>
      <c r="AZ12" s="524" t="s">
        <v>467</v>
      </c>
      <c r="BA12" s="518"/>
      <c r="BB12" s="518"/>
      <c r="BC12" s="518"/>
      <c r="BD12" s="518"/>
      <c r="BE12" s="515"/>
      <c r="BF12" s="456"/>
      <c r="BG12" s="517" t="s">
        <v>468</v>
      </c>
      <c r="BH12" s="518"/>
      <c r="BI12" s="518"/>
      <c r="BJ12" s="518"/>
      <c r="BK12" s="515"/>
      <c r="BL12" s="456"/>
      <c r="BM12" s="519" t="s">
        <v>591</v>
      </c>
      <c r="BN12" s="520"/>
      <c r="BO12" s="520"/>
      <c r="BP12" s="520"/>
      <c r="BQ12" s="456"/>
      <c r="BR12" s="456"/>
      <c r="BS12" s="456"/>
      <c r="BT12" s="456"/>
      <c r="BU12" s="456"/>
      <c r="BV12" s="456"/>
      <c r="BW12" s="456"/>
      <c r="BX12" s="456"/>
      <c r="BY12" s="456"/>
      <c r="BZ12" s="456"/>
      <c r="CA12" s="456"/>
      <c r="CB12" s="456"/>
      <c r="CC12" s="456"/>
      <c r="CD12" s="456"/>
      <c r="CE12" s="456"/>
      <c r="CF12" s="456"/>
      <c r="CG12" s="456"/>
      <c r="CH12" s="456"/>
      <c r="CI12" s="456"/>
      <c r="CJ12" s="456"/>
      <c r="CK12" s="456"/>
      <c r="CL12" s="456"/>
      <c r="CM12" s="456"/>
    </row>
    <row r="13" spans="1:91" ht="92.25" customHeight="1">
      <c r="A13" s="446" t="s">
        <v>12</v>
      </c>
      <c r="B13" s="446" t="s">
        <v>471</v>
      </c>
      <c r="C13" s="447" t="s">
        <v>472</v>
      </c>
      <c r="D13" s="447" t="s">
        <v>473</v>
      </c>
      <c r="E13" s="446" t="s">
        <v>242</v>
      </c>
      <c r="F13" s="446" t="s">
        <v>474</v>
      </c>
      <c r="G13" s="447" t="s">
        <v>475</v>
      </c>
      <c r="H13" s="447" t="s">
        <v>476</v>
      </c>
      <c r="I13" s="448" t="s">
        <v>477</v>
      </c>
      <c r="J13" s="448" t="s">
        <v>737</v>
      </c>
      <c r="K13" s="448" t="s">
        <v>201</v>
      </c>
      <c r="L13" s="446" t="s">
        <v>478</v>
      </c>
      <c r="M13" s="446" t="s">
        <v>479</v>
      </c>
      <c r="N13" s="446" t="s">
        <v>480</v>
      </c>
      <c r="O13" s="447" t="s">
        <v>481</v>
      </c>
      <c r="P13" s="447" t="s">
        <v>482</v>
      </c>
      <c r="Q13" s="446" t="s">
        <v>483</v>
      </c>
      <c r="R13" s="448" t="s">
        <v>484</v>
      </c>
      <c r="S13" s="447" t="s">
        <v>485</v>
      </c>
      <c r="T13" s="449" t="s">
        <v>486</v>
      </c>
      <c r="U13" s="450" t="s">
        <v>487</v>
      </c>
      <c r="V13" s="449" t="s">
        <v>488</v>
      </c>
      <c r="W13" s="450" t="s">
        <v>489</v>
      </c>
      <c r="X13" s="449" t="s">
        <v>490</v>
      </c>
      <c r="Y13" s="451" t="s">
        <v>491</v>
      </c>
      <c r="Z13" s="449" t="s">
        <v>492</v>
      </c>
      <c r="AA13" s="450" t="s">
        <v>493</v>
      </c>
      <c r="AB13" s="449" t="s">
        <v>494</v>
      </c>
      <c r="AC13" s="452" t="s">
        <v>495</v>
      </c>
      <c r="AD13" s="453" t="s">
        <v>496</v>
      </c>
      <c r="AE13" s="452" t="s">
        <v>497</v>
      </c>
      <c r="AF13" s="453" t="s">
        <v>498</v>
      </c>
      <c r="AG13" s="453" t="s">
        <v>499</v>
      </c>
      <c r="AH13" s="453" t="s">
        <v>500</v>
      </c>
      <c r="AI13" s="451" t="s">
        <v>501</v>
      </c>
      <c r="AJ13" s="451" t="s">
        <v>502</v>
      </c>
      <c r="AK13" s="454" t="s">
        <v>503</v>
      </c>
      <c r="AL13" s="451" t="s">
        <v>504</v>
      </c>
      <c r="AM13" s="454" t="s">
        <v>505</v>
      </c>
      <c r="AN13" s="509"/>
      <c r="AO13" s="456"/>
      <c r="AP13" s="467"/>
      <c r="AQ13" s="467"/>
      <c r="AR13" s="467"/>
      <c r="AS13" s="467"/>
      <c r="AT13" s="467"/>
      <c r="AU13" s="467"/>
      <c r="AV13" s="467"/>
      <c r="AW13" s="467"/>
      <c r="AX13" s="467"/>
      <c r="AY13" s="467"/>
      <c r="AZ13" s="457" t="s">
        <v>242</v>
      </c>
      <c r="BA13" s="457" t="s">
        <v>83</v>
      </c>
      <c r="BB13" s="458" t="s">
        <v>482</v>
      </c>
      <c r="BC13" s="458" t="s">
        <v>527</v>
      </c>
      <c r="BD13" s="458" t="s">
        <v>528</v>
      </c>
      <c r="BE13" s="458" t="s">
        <v>484</v>
      </c>
      <c r="BF13" s="456"/>
      <c r="BG13" s="457" t="s">
        <v>486</v>
      </c>
      <c r="BH13" s="457" t="s">
        <v>488</v>
      </c>
      <c r="BI13" s="457" t="s">
        <v>490</v>
      </c>
      <c r="BJ13" s="457" t="s">
        <v>493</v>
      </c>
      <c r="BK13" s="457" t="s">
        <v>494</v>
      </c>
      <c r="BL13" s="456"/>
      <c r="BM13" s="458" t="s">
        <v>495</v>
      </c>
      <c r="BN13" s="458" t="s">
        <v>498</v>
      </c>
      <c r="BO13" s="458" t="s">
        <v>580</v>
      </c>
      <c r="BP13" s="458"/>
      <c r="BQ13" s="463"/>
      <c r="BR13" s="457" t="s">
        <v>501</v>
      </c>
      <c r="BS13" s="457" t="s">
        <v>502</v>
      </c>
      <c r="BT13" s="457" t="s">
        <v>503</v>
      </c>
      <c r="BU13" s="457" t="s">
        <v>504</v>
      </c>
      <c r="BV13" s="457" t="s">
        <v>505</v>
      </c>
      <c r="BW13" s="456"/>
      <c r="BX13" s="464" t="s">
        <v>592</v>
      </c>
      <c r="BY13" s="464" t="s">
        <v>506</v>
      </c>
      <c r="BZ13" s="464" t="s">
        <v>593</v>
      </c>
      <c r="CA13" s="464" t="s">
        <v>594</v>
      </c>
      <c r="CB13" s="464" t="s">
        <v>595</v>
      </c>
      <c r="CC13" s="464" t="s">
        <v>596</v>
      </c>
      <c r="CD13" s="464" t="s">
        <v>597</v>
      </c>
      <c r="CE13" s="464" t="s">
        <v>571</v>
      </c>
      <c r="CF13" s="464" t="s">
        <v>598</v>
      </c>
      <c r="CG13" s="464" t="s">
        <v>599</v>
      </c>
      <c r="CH13" s="464" t="s">
        <v>600</v>
      </c>
      <c r="CI13" s="464" t="s">
        <v>601</v>
      </c>
      <c r="CJ13" s="464" t="s">
        <v>602</v>
      </c>
      <c r="CK13" s="456"/>
      <c r="CL13" s="468" t="s">
        <v>648</v>
      </c>
      <c r="CM13" s="468" t="s">
        <v>12</v>
      </c>
    </row>
    <row r="14" spans="1:91" ht="42" customHeight="1">
      <c r="A14" s="485" t="s">
        <v>596</v>
      </c>
      <c r="B14" s="485" t="s">
        <v>631</v>
      </c>
      <c r="C14" s="485"/>
      <c r="D14" s="485"/>
      <c r="E14" s="485" t="s">
        <v>518</v>
      </c>
      <c r="F14" s="485" t="s">
        <v>557</v>
      </c>
      <c r="G14" s="485"/>
      <c r="H14" s="485"/>
      <c r="I14" s="485" t="s">
        <v>738</v>
      </c>
      <c r="J14" s="485">
        <v>1</v>
      </c>
      <c r="K14" s="485" t="s">
        <v>739</v>
      </c>
      <c r="L14" s="485" t="s">
        <v>770</v>
      </c>
      <c r="M14" s="486">
        <v>46178</v>
      </c>
      <c r="N14" s="485" t="s">
        <v>740</v>
      </c>
      <c r="O14" s="485" t="s">
        <v>305</v>
      </c>
      <c r="P14" s="485" t="s">
        <v>510</v>
      </c>
      <c r="Q14" s="485" t="s">
        <v>521</v>
      </c>
      <c r="R14" s="485" t="s">
        <v>744</v>
      </c>
      <c r="S14" s="485"/>
      <c r="T14" s="485" t="s">
        <v>573</v>
      </c>
      <c r="U14" s="490">
        <f>IF(T14="No clasificada",5,IF(T14="Información pública clasificada",3,IF(T14="Información pública reservada",5,IF(T14="Información pública",1,))))</f>
        <v>3</v>
      </c>
      <c r="V14" s="485" t="s">
        <v>290</v>
      </c>
      <c r="W14" s="490">
        <f>IF(V14="No clasificada",5,IF(V14="Baja",1,IF(V14="Media",3,IF(V14="Alta",5,))))</f>
        <v>3</v>
      </c>
      <c r="X14" s="485" t="s">
        <v>286</v>
      </c>
      <c r="Y14" s="490">
        <f>IF(X14="No clasificada",5,IF(X14="Baja",1,IF(X14="Media",3,IF(X14="Alta",5,))))</f>
        <v>1</v>
      </c>
      <c r="Z14" s="469" t="str">
        <f t="shared" ref="Z14:Z88" si="0">IF(OR(T14=0,V14=0,X14=0),"FALTAN DATOS",IF(AND(U14=1,W14=1,Y14=1),"BAJA",(IF(OR(AND(U14=5,W14=5),AND(U14=5,Y14=5),AND(U14=5,Y14=5),AND(U14=5,W14=5,Y14=5)),"ALTA","MEDIA"))))</f>
        <v>MEDIA</v>
      </c>
      <c r="AA14" s="485" t="s">
        <v>523</v>
      </c>
      <c r="AB14" s="485" t="s">
        <v>524</v>
      </c>
      <c r="AC14" s="485" t="s">
        <v>515</v>
      </c>
      <c r="AD14" s="490" t="str">
        <f t="shared" ref="AD14:AD88" si="1">IF(AC14="Sí","Ley 1581 de 2012",IF(AC14="No","Ley 1755 de 2015",""))</f>
        <v>Ley 1581 de 2012</v>
      </c>
      <c r="AE14" s="490" t="str">
        <f t="shared" ref="AE14:AE15" si="2">IF(AC14="Sí","Artículo 10 y 13",IF(AC14="No","Artículo 27",""))</f>
        <v>Artículo 10 y 13</v>
      </c>
      <c r="AF14" s="485" t="s">
        <v>516</v>
      </c>
      <c r="AG14" s="485">
        <v>46167</v>
      </c>
      <c r="AH14" s="485" t="s">
        <v>517</v>
      </c>
      <c r="AI14" s="485"/>
      <c r="AJ14" s="485"/>
      <c r="AK14" s="485"/>
      <c r="AL14" s="485"/>
      <c r="AM14" s="485"/>
      <c r="AN14" s="516"/>
      <c r="AO14" s="456"/>
      <c r="AP14" s="456"/>
      <c r="AQ14" s="456"/>
      <c r="AR14" s="456"/>
      <c r="AS14" s="456"/>
      <c r="AT14" s="456"/>
      <c r="AU14" s="456"/>
      <c r="AV14" s="456"/>
      <c r="AW14" s="456"/>
      <c r="AX14" s="456"/>
      <c r="AY14" s="456"/>
      <c r="AZ14" s="470" t="s">
        <v>529</v>
      </c>
      <c r="BA14" s="470" t="s">
        <v>530</v>
      </c>
      <c r="BB14" s="470" t="s">
        <v>510</v>
      </c>
      <c r="BC14" s="470" t="s">
        <v>531</v>
      </c>
      <c r="BD14" s="470" t="s">
        <v>510</v>
      </c>
      <c r="BE14" s="470" t="s">
        <v>532</v>
      </c>
      <c r="BF14" s="456"/>
      <c r="BG14" s="470" t="s">
        <v>512</v>
      </c>
      <c r="BH14" s="470" t="s">
        <v>295</v>
      </c>
      <c r="BI14" s="470" t="s">
        <v>295</v>
      </c>
      <c r="BJ14" s="470" t="s">
        <v>572</v>
      </c>
      <c r="BK14" s="470" t="s">
        <v>514</v>
      </c>
      <c r="BL14" s="456"/>
      <c r="BM14" s="470" t="s">
        <v>515</v>
      </c>
      <c r="BN14" s="470" t="s">
        <v>368</v>
      </c>
      <c r="BO14" s="470" t="s">
        <v>581</v>
      </c>
      <c r="BP14" s="470" t="s">
        <v>582</v>
      </c>
      <c r="BQ14" s="463"/>
      <c r="BR14" s="470" t="s">
        <v>515</v>
      </c>
      <c r="BS14" s="470" t="s">
        <v>515</v>
      </c>
      <c r="BT14" s="470" t="s">
        <v>583</v>
      </c>
      <c r="BU14" s="470"/>
      <c r="BV14" s="470" t="s">
        <v>515</v>
      </c>
      <c r="BW14" s="456"/>
      <c r="BX14" s="466" t="s">
        <v>603</v>
      </c>
      <c r="BY14" s="466" t="s">
        <v>604</v>
      </c>
      <c r="BZ14" s="466" t="s">
        <v>605</v>
      </c>
      <c r="CA14" s="466" t="s">
        <v>606</v>
      </c>
      <c r="CB14" s="466" t="s">
        <v>607</v>
      </c>
      <c r="CC14" s="466" t="s">
        <v>608</v>
      </c>
      <c r="CD14" s="466" t="s">
        <v>609</v>
      </c>
      <c r="CE14" s="466" t="s">
        <v>610</v>
      </c>
      <c r="CF14" s="466" t="s">
        <v>611</v>
      </c>
      <c r="CG14" s="466" t="s">
        <v>612</v>
      </c>
      <c r="CH14" s="466" t="s">
        <v>613</v>
      </c>
      <c r="CI14" s="466" t="s">
        <v>614</v>
      </c>
      <c r="CJ14" s="466" t="s">
        <v>615</v>
      </c>
      <c r="CK14" s="456"/>
      <c r="CL14" s="466" t="s">
        <v>592</v>
      </c>
      <c r="CM14" s="466" t="s">
        <v>603</v>
      </c>
    </row>
    <row r="15" spans="1:91" ht="42" customHeight="1">
      <c r="A15" s="485" t="s">
        <v>596</v>
      </c>
      <c r="B15" s="485" t="s">
        <v>631</v>
      </c>
      <c r="C15" s="485"/>
      <c r="D15" s="485"/>
      <c r="E15" s="485" t="s">
        <v>540</v>
      </c>
      <c r="F15" s="485" t="s">
        <v>557</v>
      </c>
      <c r="G15" s="485"/>
      <c r="H15" s="485"/>
      <c r="I15" s="485" t="s">
        <v>519</v>
      </c>
      <c r="J15" s="485">
        <v>1</v>
      </c>
      <c r="K15" s="485" t="s">
        <v>520</v>
      </c>
      <c r="L15" s="485" t="s">
        <v>747</v>
      </c>
      <c r="M15" s="486">
        <v>46178</v>
      </c>
      <c r="N15" s="485" t="s">
        <v>741</v>
      </c>
      <c r="O15" s="485" t="s">
        <v>305</v>
      </c>
      <c r="P15" s="485"/>
      <c r="Q15" s="487" t="s">
        <v>521</v>
      </c>
      <c r="R15" s="488" t="s">
        <v>522</v>
      </c>
      <c r="S15" s="487"/>
      <c r="T15" s="485" t="s">
        <v>573</v>
      </c>
      <c r="U15" s="490">
        <f t="shared" ref="U15:U78" si="3">IF(T15="No clasificada",5,IF(T15="Información pública clasificada",3,IF(T15="Información pública reservada",5,IF(T15="Información pública",1,))))</f>
        <v>3</v>
      </c>
      <c r="V15" s="485" t="s">
        <v>295</v>
      </c>
      <c r="W15" s="490">
        <f t="shared" ref="W15:W78" si="4">IF(V15="No clasificada",5,IF(V15="Baja",1,IF(V15="Media",3,IF(V15="Alta",5,))))</f>
        <v>5</v>
      </c>
      <c r="X15" s="485" t="s">
        <v>295</v>
      </c>
      <c r="Y15" s="490">
        <f t="shared" ref="Y15:Y78" si="5">IF(X15="No clasificada",5,IF(X15="Baja",1,IF(X15="Media",3,IF(X15="Alta",5,))))</f>
        <v>5</v>
      </c>
      <c r="Z15" s="469" t="str">
        <f t="shared" si="0"/>
        <v>MEDIA</v>
      </c>
      <c r="AA15" s="485" t="s">
        <v>523</v>
      </c>
      <c r="AB15" s="485" t="s">
        <v>524</v>
      </c>
      <c r="AC15" s="485" t="s">
        <v>525</v>
      </c>
      <c r="AD15" s="490" t="str">
        <f t="shared" si="1"/>
        <v>Ley 1755 de 2015</v>
      </c>
      <c r="AE15" s="490" t="str">
        <f t="shared" si="2"/>
        <v>Artículo 27</v>
      </c>
      <c r="AF15" s="485" t="s">
        <v>516</v>
      </c>
      <c r="AG15" s="485">
        <v>46167</v>
      </c>
      <c r="AH15" s="485" t="s">
        <v>517</v>
      </c>
      <c r="AI15" s="485"/>
      <c r="AJ15" s="485"/>
      <c r="AK15" s="485"/>
      <c r="AL15" s="485"/>
      <c r="AM15" s="485"/>
      <c r="AN15" s="509"/>
      <c r="AO15" s="456"/>
      <c r="AP15" s="456"/>
      <c r="AQ15" s="456"/>
      <c r="AR15" s="456"/>
      <c r="AS15" s="456"/>
      <c r="AT15" s="456"/>
      <c r="AU15" s="456"/>
      <c r="AV15" s="456"/>
      <c r="AW15" s="456"/>
      <c r="AX15" s="456"/>
      <c r="AY15" s="456"/>
      <c r="AZ15" s="459" t="s">
        <v>518</v>
      </c>
      <c r="BA15" s="459" t="s">
        <v>533</v>
      </c>
      <c r="BB15" s="459" t="s">
        <v>521</v>
      </c>
      <c r="BC15" s="459" t="s">
        <v>534</v>
      </c>
      <c r="BD15" s="459" t="s">
        <v>521</v>
      </c>
      <c r="BE15" s="459" t="s">
        <v>535</v>
      </c>
      <c r="BF15" s="456"/>
      <c r="BG15" s="459" t="s">
        <v>573</v>
      </c>
      <c r="BH15" s="459" t="s">
        <v>290</v>
      </c>
      <c r="BI15" s="459" t="s">
        <v>290</v>
      </c>
      <c r="BJ15" s="459" t="s">
        <v>513</v>
      </c>
      <c r="BK15" s="459" t="s">
        <v>524</v>
      </c>
      <c r="BL15" s="456"/>
      <c r="BM15" s="459" t="s">
        <v>525</v>
      </c>
      <c r="BN15" s="459" t="s">
        <v>516</v>
      </c>
      <c r="BO15" s="459" t="s">
        <v>584</v>
      </c>
      <c r="BP15" s="459" t="s">
        <v>585</v>
      </c>
      <c r="BQ15" s="463"/>
      <c r="BR15" s="459" t="s">
        <v>525</v>
      </c>
      <c r="BS15" s="459" t="s">
        <v>525</v>
      </c>
      <c r="BT15" s="459" t="s">
        <v>586</v>
      </c>
      <c r="BU15" s="459"/>
      <c r="BV15" s="459" t="s">
        <v>525</v>
      </c>
      <c r="BW15" s="456"/>
      <c r="BX15" s="466" t="s">
        <v>616</v>
      </c>
      <c r="BY15" s="466" t="s">
        <v>507</v>
      </c>
      <c r="BZ15" s="466" t="s">
        <v>617</v>
      </c>
      <c r="CA15" s="466" t="s">
        <v>618</v>
      </c>
      <c r="CB15" s="466" t="s">
        <v>619</v>
      </c>
      <c r="CC15" s="466" t="s">
        <v>620</v>
      </c>
      <c r="CD15" s="466" t="s">
        <v>621</v>
      </c>
      <c r="CE15" s="466" t="s">
        <v>622</v>
      </c>
      <c r="CF15" s="466" t="s">
        <v>623</v>
      </c>
      <c r="CG15" s="466" t="s">
        <v>624</v>
      </c>
      <c r="CH15" s="466" t="s">
        <v>625</v>
      </c>
      <c r="CI15" s="466" t="s">
        <v>626</v>
      </c>
      <c r="CJ15" s="465"/>
      <c r="CK15" s="456"/>
      <c r="CL15" s="466" t="s">
        <v>506</v>
      </c>
      <c r="CM15" s="466" t="s">
        <v>616</v>
      </c>
    </row>
    <row r="16" spans="1:91" ht="42" customHeight="1">
      <c r="A16" s="485" t="s">
        <v>596</v>
      </c>
      <c r="B16" s="485" t="s">
        <v>631</v>
      </c>
      <c r="C16" s="485"/>
      <c r="D16" s="485"/>
      <c r="E16" s="485" t="s">
        <v>518</v>
      </c>
      <c r="F16" s="485" t="s">
        <v>557</v>
      </c>
      <c r="G16" s="485"/>
      <c r="H16" s="485"/>
      <c r="I16" s="485" t="s">
        <v>742</v>
      </c>
      <c r="J16" s="485">
        <v>1</v>
      </c>
      <c r="K16" s="485" t="s">
        <v>743</v>
      </c>
      <c r="L16" s="485" t="s">
        <v>747</v>
      </c>
      <c r="M16" s="486">
        <v>46178</v>
      </c>
      <c r="N16" s="485" t="s">
        <v>741</v>
      </c>
      <c r="O16" s="485" t="s">
        <v>305</v>
      </c>
      <c r="P16" s="485"/>
      <c r="Q16" s="487" t="s">
        <v>521</v>
      </c>
      <c r="R16" s="488" t="s">
        <v>744</v>
      </c>
      <c r="S16" s="487"/>
      <c r="T16" s="485" t="s">
        <v>512</v>
      </c>
      <c r="U16" s="490">
        <f t="shared" si="3"/>
        <v>5</v>
      </c>
      <c r="V16" s="485" t="s">
        <v>295</v>
      </c>
      <c r="W16" s="490">
        <f t="shared" si="4"/>
        <v>5</v>
      </c>
      <c r="X16" s="485" t="s">
        <v>295</v>
      </c>
      <c r="Y16" s="490">
        <f t="shared" si="5"/>
        <v>5</v>
      </c>
      <c r="Z16" s="469" t="str">
        <f t="shared" si="0"/>
        <v>ALTA</v>
      </c>
      <c r="AA16" s="485" t="s">
        <v>523</v>
      </c>
      <c r="AB16" s="485" t="s">
        <v>524</v>
      </c>
      <c r="AC16" s="485" t="s">
        <v>515</v>
      </c>
      <c r="AD16" s="490" t="str">
        <f t="shared" si="1"/>
        <v>Ley 1581 de 2012</v>
      </c>
      <c r="AE16" s="490"/>
      <c r="AF16" s="489" t="s">
        <v>368</v>
      </c>
      <c r="AG16" s="485">
        <v>46177</v>
      </c>
      <c r="AH16" s="485" t="s">
        <v>517</v>
      </c>
      <c r="AI16" s="485"/>
      <c r="AJ16" s="485"/>
      <c r="AK16" s="485"/>
      <c r="AL16" s="485"/>
      <c r="AM16" s="485"/>
      <c r="AN16" s="509"/>
      <c r="AO16" s="456"/>
      <c r="AP16" s="456"/>
      <c r="AQ16" s="456"/>
      <c r="AR16" s="456"/>
      <c r="AS16" s="456"/>
      <c r="AT16" s="456"/>
      <c r="AU16" s="456"/>
      <c r="AV16" s="456"/>
      <c r="AW16" s="456"/>
      <c r="AX16" s="456"/>
      <c r="AY16" s="456"/>
      <c r="AZ16" s="459" t="s">
        <v>508</v>
      </c>
      <c r="BA16" s="459" t="s">
        <v>522</v>
      </c>
      <c r="BB16" s="459" t="s">
        <v>536</v>
      </c>
      <c r="BC16" s="459" t="s">
        <v>537</v>
      </c>
      <c r="BD16" s="459" t="s">
        <v>538</v>
      </c>
      <c r="BE16" s="459" t="s">
        <v>539</v>
      </c>
      <c r="BF16" s="456"/>
      <c r="BG16" s="459" t="s">
        <v>574</v>
      </c>
      <c r="BH16" s="459" t="s">
        <v>286</v>
      </c>
      <c r="BI16" s="459" t="s">
        <v>286</v>
      </c>
      <c r="BJ16" s="459" t="s">
        <v>523</v>
      </c>
      <c r="BK16" s="459" t="s">
        <v>575</v>
      </c>
      <c r="BL16" s="456"/>
      <c r="BM16" s="459" t="s">
        <v>538</v>
      </c>
      <c r="BN16" s="459" t="s">
        <v>587</v>
      </c>
      <c r="BO16" s="459"/>
      <c r="BP16" s="459"/>
      <c r="BQ16" s="463"/>
      <c r="BR16" s="459"/>
      <c r="BS16" s="459"/>
      <c r="BT16" s="459" t="s">
        <v>588</v>
      </c>
      <c r="BU16" s="459"/>
      <c r="BV16" s="459"/>
      <c r="BW16" s="456"/>
      <c r="BX16" s="466" t="s">
        <v>627</v>
      </c>
      <c r="BY16" s="465"/>
      <c r="BZ16" s="466" t="s">
        <v>628</v>
      </c>
      <c r="CA16" s="466" t="s">
        <v>629</v>
      </c>
      <c r="CB16" s="466" t="s">
        <v>630</v>
      </c>
      <c r="CC16" s="466" t="s">
        <v>631</v>
      </c>
      <c r="CD16" s="466" t="s">
        <v>632</v>
      </c>
      <c r="CE16" s="465"/>
      <c r="CF16" s="466" t="s">
        <v>633</v>
      </c>
      <c r="CG16" s="466" t="s">
        <v>634</v>
      </c>
      <c r="CH16" s="466" t="s">
        <v>635</v>
      </c>
      <c r="CI16" s="465"/>
      <c r="CJ16" s="465"/>
      <c r="CK16" s="456"/>
      <c r="CL16" s="466" t="s">
        <v>593</v>
      </c>
      <c r="CM16" s="466" t="s">
        <v>627</v>
      </c>
    </row>
    <row r="17" spans="1:91" ht="42" customHeight="1">
      <c r="A17" s="485" t="s">
        <v>596</v>
      </c>
      <c r="B17" s="485" t="s">
        <v>631</v>
      </c>
      <c r="C17" s="485"/>
      <c r="D17" s="485"/>
      <c r="E17" s="485" t="s">
        <v>540</v>
      </c>
      <c r="F17" s="485" t="s">
        <v>557</v>
      </c>
      <c r="G17" s="485"/>
      <c r="H17" s="485"/>
      <c r="I17" s="485" t="s">
        <v>745</v>
      </c>
      <c r="J17" s="491">
        <v>1</v>
      </c>
      <c r="K17" s="491" t="s">
        <v>746</v>
      </c>
      <c r="L17" s="485" t="s">
        <v>747</v>
      </c>
      <c r="M17" s="486">
        <v>46178</v>
      </c>
      <c r="N17" s="485" t="s">
        <v>748</v>
      </c>
      <c r="O17" s="485" t="s">
        <v>305</v>
      </c>
      <c r="P17" s="492" t="s">
        <v>521</v>
      </c>
      <c r="Q17" s="493" t="s">
        <v>744</v>
      </c>
      <c r="R17" s="493" t="s">
        <v>744</v>
      </c>
      <c r="S17" s="492"/>
      <c r="T17" s="485" t="s">
        <v>512</v>
      </c>
      <c r="U17" s="490">
        <f t="shared" si="3"/>
        <v>5</v>
      </c>
      <c r="V17" s="485" t="s">
        <v>295</v>
      </c>
      <c r="W17" s="490">
        <f t="shared" si="4"/>
        <v>5</v>
      </c>
      <c r="X17" s="485" t="s">
        <v>286</v>
      </c>
      <c r="Y17" s="490">
        <f t="shared" si="5"/>
        <v>1</v>
      </c>
      <c r="Z17" s="469" t="str">
        <f t="shared" si="0"/>
        <v>ALTA</v>
      </c>
      <c r="AA17" s="485" t="s">
        <v>523</v>
      </c>
      <c r="AB17" s="485" t="s">
        <v>552</v>
      </c>
      <c r="AC17" s="485" t="s">
        <v>538</v>
      </c>
      <c r="AD17" s="490" t="str">
        <f t="shared" si="1"/>
        <v/>
      </c>
      <c r="AE17" s="490" t="str">
        <f t="shared" ref="AE17:AE88" si="6">IF(AC17="Sí","Artículo 10 y 13",IF(AC17="No","Artículo 27",""))</f>
        <v/>
      </c>
      <c r="AF17" s="489" t="s">
        <v>587</v>
      </c>
      <c r="AG17" s="485">
        <v>46177</v>
      </c>
      <c r="AH17" s="485" t="s">
        <v>517</v>
      </c>
      <c r="AI17" s="485"/>
      <c r="AJ17" s="485"/>
      <c r="AK17" s="485"/>
      <c r="AL17" s="485"/>
      <c r="AM17" s="485"/>
      <c r="AN17" s="509"/>
      <c r="AO17" s="456"/>
      <c r="AP17" s="456"/>
      <c r="AQ17" s="456"/>
      <c r="AR17" s="456"/>
      <c r="AS17" s="456"/>
      <c r="AT17" s="456"/>
      <c r="AU17" s="456"/>
      <c r="AV17" s="456"/>
      <c r="AW17" s="456"/>
      <c r="AX17" s="456"/>
      <c r="AY17" s="456"/>
      <c r="AZ17" s="459" t="s">
        <v>540</v>
      </c>
      <c r="BA17" s="459" t="s">
        <v>538</v>
      </c>
      <c r="BB17" s="459" t="s">
        <v>538</v>
      </c>
      <c r="BC17" s="459" t="s">
        <v>541</v>
      </c>
      <c r="BD17" s="459"/>
      <c r="BE17" s="459" t="s">
        <v>542</v>
      </c>
      <c r="BF17" s="456"/>
      <c r="BG17" s="459" t="s">
        <v>576</v>
      </c>
      <c r="BH17" s="459" t="s">
        <v>576</v>
      </c>
      <c r="BI17" s="459" t="s">
        <v>576</v>
      </c>
      <c r="BJ17" s="459"/>
      <c r="BK17" s="459" t="s">
        <v>577</v>
      </c>
      <c r="BL17" s="456"/>
      <c r="BM17" s="463"/>
      <c r="BN17" s="463"/>
      <c r="BO17" s="463"/>
      <c r="BP17" s="463"/>
      <c r="BQ17" s="463"/>
      <c r="BR17" s="459"/>
      <c r="BS17" s="459"/>
      <c r="BT17" s="459" t="s">
        <v>589</v>
      </c>
      <c r="BU17" s="459"/>
      <c r="BV17" s="459"/>
      <c r="BW17" s="456"/>
      <c r="BX17" s="466" t="s">
        <v>636</v>
      </c>
      <c r="BY17" s="465"/>
      <c r="BZ17" s="466" t="s">
        <v>637</v>
      </c>
      <c r="CA17" s="465"/>
      <c r="CB17" s="466" t="s">
        <v>638</v>
      </c>
      <c r="CC17" s="466" t="s">
        <v>639</v>
      </c>
      <c r="CD17" s="466" t="s">
        <v>640</v>
      </c>
      <c r="CE17" s="465"/>
      <c r="CF17" s="466" t="s">
        <v>641</v>
      </c>
      <c r="CG17" s="465"/>
      <c r="CH17" s="465"/>
      <c r="CI17" s="465"/>
      <c r="CJ17" s="465"/>
      <c r="CK17" s="456"/>
      <c r="CL17" s="466" t="s">
        <v>594</v>
      </c>
      <c r="CM17" s="466" t="s">
        <v>636</v>
      </c>
    </row>
    <row r="18" spans="1:91" ht="42" customHeight="1">
      <c r="A18" s="485" t="s">
        <v>596</v>
      </c>
      <c r="B18" s="485" t="s">
        <v>631</v>
      </c>
      <c r="C18" s="485"/>
      <c r="D18" s="485"/>
      <c r="E18" s="485" t="s">
        <v>508</v>
      </c>
      <c r="F18" s="485" t="s">
        <v>557</v>
      </c>
      <c r="G18" s="485"/>
      <c r="H18" s="485"/>
      <c r="I18" s="485" t="s">
        <v>749</v>
      </c>
      <c r="J18" s="485">
        <v>1</v>
      </c>
      <c r="K18" s="485" t="s">
        <v>750</v>
      </c>
      <c r="L18" s="485" t="s">
        <v>751</v>
      </c>
      <c r="M18" s="486">
        <v>46178</v>
      </c>
      <c r="N18" s="485" t="s">
        <v>752</v>
      </c>
      <c r="O18" s="485" t="s">
        <v>305</v>
      </c>
      <c r="P18" s="492" t="s">
        <v>521</v>
      </c>
      <c r="Q18" s="485" t="s">
        <v>521</v>
      </c>
      <c r="R18" s="485" t="s">
        <v>522</v>
      </c>
      <c r="S18" s="487"/>
      <c r="T18" s="485" t="s">
        <v>574</v>
      </c>
      <c r="U18" s="490">
        <f t="shared" si="3"/>
        <v>1</v>
      </c>
      <c r="V18" s="485" t="s">
        <v>290</v>
      </c>
      <c r="W18" s="490">
        <f t="shared" si="4"/>
        <v>3</v>
      </c>
      <c r="X18" s="485" t="s">
        <v>295</v>
      </c>
      <c r="Y18" s="490">
        <f t="shared" si="5"/>
        <v>5</v>
      </c>
      <c r="Z18" s="469" t="str">
        <f t="shared" si="0"/>
        <v>MEDIA</v>
      </c>
      <c r="AA18" s="485" t="s">
        <v>572</v>
      </c>
      <c r="AB18" s="485" t="s">
        <v>514</v>
      </c>
      <c r="AC18" s="485" t="s">
        <v>538</v>
      </c>
      <c r="AD18" s="490" t="str">
        <f t="shared" si="1"/>
        <v/>
      </c>
      <c r="AE18" s="490" t="str">
        <f t="shared" si="6"/>
        <v/>
      </c>
      <c r="AF18" s="489" t="s">
        <v>587</v>
      </c>
      <c r="AG18" s="485">
        <v>46177</v>
      </c>
      <c r="AH18" s="485" t="s">
        <v>517</v>
      </c>
      <c r="AI18" s="485"/>
      <c r="AJ18" s="485"/>
      <c r="AK18" s="485"/>
      <c r="AL18" s="485"/>
      <c r="AM18" s="485"/>
      <c r="AN18" s="509"/>
      <c r="AO18" s="456"/>
      <c r="AP18" s="456"/>
      <c r="AQ18" s="456"/>
      <c r="AR18" s="456"/>
      <c r="AS18" s="456"/>
      <c r="AT18" s="456"/>
      <c r="AU18" s="456"/>
      <c r="AV18" s="456"/>
      <c r="AW18" s="456"/>
      <c r="AX18" s="456"/>
      <c r="AY18" s="456"/>
      <c r="AZ18" s="459" t="s">
        <v>543</v>
      </c>
      <c r="BA18" s="459"/>
      <c r="BB18" s="459"/>
      <c r="BC18" s="459" t="s">
        <v>544</v>
      </c>
      <c r="BD18" s="459"/>
      <c r="BE18" s="459" t="s">
        <v>511</v>
      </c>
      <c r="BF18" s="456"/>
      <c r="BG18" s="459"/>
      <c r="BH18" s="459"/>
      <c r="BI18" s="459"/>
      <c r="BJ18" s="459"/>
      <c r="BK18" s="459" t="s">
        <v>578</v>
      </c>
      <c r="BL18" s="456"/>
      <c r="BM18" s="463"/>
      <c r="BN18" s="463"/>
      <c r="BO18" s="463"/>
      <c r="BP18" s="463"/>
      <c r="BQ18" s="463"/>
      <c r="BR18" s="459"/>
      <c r="BS18" s="459"/>
      <c r="BT18" s="459" t="s">
        <v>590</v>
      </c>
      <c r="BU18" s="459"/>
      <c r="BV18" s="459"/>
      <c r="BW18" s="456"/>
      <c r="BX18" s="466" t="s">
        <v>642</v>
      </c>
      <c r="BY18" s="465"/>
      <c r="BZ18" s="465"/>
      <c r="CA18" s="465"/>
      <c r="CB18" s="465"/>
      <c r="CC18" s="466" t="s">
        <v>643</v>
      </c>
      <c r="CD18" s="465"/>
      <c r="CE18" s="465"/>
      <c r="CF18" s="465"/>
      <c r="CG18" s="465"/>
      <c r="CH18" s="465"/>
      <c r="CI18" s="465"/>
      <c r="CJ18" s="465"/>
      <c r="CK18" s="456"/>
      <c r="CL18" s="466" t="s">
        <v>595</v>
      </c>
      <c r="CM18" s="466" t="s">
        <v>642</v>
      </c>
    </row>
    <row r="19" spans="1:91" ht="42" customHeight="1">
      <c r="A19" s="485"/>
      <c r="B19" s="485"/>
      <c r="C19" s="485"/>
      <c r="D19" s="485"/>
      <c r="E19" s="485"/>
      <c r="F19" s="485"/>
      <c r="G19" s="485"/>
      <c r="H19" s="485"/>
      <c r="I19" s="485"/>
      <c r="J19" s="485"/>
      <c r="K19" s="485"/>
      <c r="L19" s="485"/>
      <c r="M19" s="485"/>
      <c r="N19" s="485"/>
      <c r="O19" s="485"/>
      <c r="P19" s="485"/>
      <c r="Q19" s="487"/>
      <c r="R19" s="488"/>
      <c r="S19" s="487"/>
      <c r="T19" s="485"/>
      <c r="U19" s="490">
        <f t="shared" si="3"/>
        <v>0</v>
      </c>
      <c r="V19" s="485"/>
      <c r="W19" s="490">
        <f t="shared" si="4"/>
        <v>0</v>
      </c>
      <c r="X19" s="485"/>
      <c r="Y19" s="490">
        <f t="shared" si="5"/>
        <v>0</v>
      </c>
      <c r="Z19" s="469" t="str">
        <f t="shared" si="0"/>
        <v>FALTAN DATOS</v>
      </c>
      <c r="AA19" s="485"/>
      <c r="AB19" s="485"/>
      <c r="AC19" s="485"/>
      <c r="AD19" s="490" t="str">
        <f t="shared" si="1"/>
        <v/>
      </c>
      <c r="AE19" s="490" t="str">
        <f t="shared" si="6"/>
        <v/>
      </c>
      <c r="AF19" s="489"/>
      <c r="AG19" s="485"/>
      <c r="AH19" s="485"/>
      <c r="AI19" s="485"/>
      <c r="AJ19" s="485"/>
      <c r="AK19" s="485"/>
      <c r="AL19" s="485"/>
      <c r="AM19" s="485"/>
      <c r="AN19" s="509"/>
      <c r="AO19" s="456"/>
      <c r="AP19" s="456"/>
      <c r="AQ19" s="456"/>
      <c r="AR19" s="456"/>
      <c r="AS19" s="456"/>
      <c r="AT19" s="456"/>
      <c r="AU19" s="456"/>
      <c r="AV19" s="456"/>
      <c r="AW19" s="456"/>
      <c r="AX19" s="456"/>
      <c r="AY19" s="456"/>
      <c r="AZ19" s="459" t="s">
        <v>545</v>
      </c>
      <c r="BA19" s="459"/>
      <c r="BB19" s="459"/>
      <c r="BC19" s="459" t="s">
        <v>546</v>
      </c>
      <c r="BD19" s="459"/>
      <c r="BE19" s="459" t="s">
        <v>547</v>
      </c>
      <c r="BF19" s="456"/>
      <c r="BG19" s="459"/>
      <c r="BH19" s="459"/>
      <c r="BI19" s="459"/>
      <c r="BJ19" s="459"/>
      <c r="BK19" s="459" t="s">
        <v>579</v>
      </c>
      <c r="BL19" s="456"/>
      <c r="BM19" s="463"/>
      <c r="BN19" s="463"/>
      <c r="BO19" s="463"/>
      <c r="BP19" s="463"/>
      <c r="BQ19" s="463"/>
      <c r="BR19" s="459"/>
      <c r="BS19" s="459"/>
      <c r="BT19" s="459" t="s">
        <v>538</v>
      </c>
      <c r="BU19" s="459"/>
      <c r="BV19" s="459"/>
      <c r="BW19" s="456"/>
      <c r="BX19" s="465"/>
      <c r="BY19" s="465"/>
      <c r="BZ19" s="465"/>
      <c r="CA19" s="465"/>
      <c r="CB19" s="465"/>
      <c r="CC19" s="466" t="s">
        <v>644</v>
      </c>
      <c r="CD19" s="465"/>
      <c r="CE19" s="465"/>
      <c r="CF19" s="465"/>
      <c r="CG19" s="465"/>
      <c r="CH19" s="465"/>
      <c r="CI19" s="465"/>
      <c r="CJ19" s="465"/>
      <c r="CK19" s="456"/>
      <c r="CL19" s="466" t="s">
        <v>596</v>
      </c>
      <c r="CM19" s="466" t="s">
        <v>604</v>
      </c>
    </row>
    <row r="20" spans="1:91" ht="42" customHeight="1">
      <c r="A20" s="485"/>
      <c r="B20" s="485"/>
      <c r="C20" s="485"/>
      <c r="D20" s="485"/>
      <c r="E20" s="485"/>
      <c r="F20" s="485"/>
      <c r="G20" s="485"/>
      <c r="H20" s="485"/>
      <c r="I20" s="485"/>
      <c r="J20" s="485"/>
      <c r="K20" s="485"/>
      <c r="L20" s="485"/>
      <c r="M20" s="485"/>
      <c r="N20" s="485"/>
      <c r="O20" s="485"/>
      <c r="P20" s="485"/>
      <c r="Q20" s="487"/>
      <c r="R20" s="488"/>
      <c r="S20" s="487"/>
      <c r="T20" s="485"/>
      <c r="U20" s="490">
        <f t="shared" si="3"/>
        <v>0</v>
      </c>
      <c r="V20" s="485"/>
      <c r="W20" s="490">
        <f t="shared" si="4"/>
        <v>0</v>
      </c>
      <c r="X20" s="485"/>
      <c r="Y20" s="490">
        <f t="shared" si="5"/>
        <v>0</v>
      </c>
      <c r="Z20" s="469" t="str">
        <f t="shared" si="0"/>
        <v>FALTAN DATOS</v>
      </c>
      <c r="AA20" s="485"/>
      <c r="AB20" s="485"/>
      <c r="AC20" s="485"/>
      <c r="AD20" s="490" t="str">
        <f t="shared" si="1"/>
        <v/>
      </c>
      <c r="AE20" s="490" t="str">
        <f t="shared" si="6"/>
        <v/>
      </c>
      <c r="AF20" s="489"/>
      <c r="AG20" s="485"/>
      <c r="AH20" s="485"/>
      <c r="AI20" s="485"/>
      <c r="AJ20" s="485"/>
      <c r="AK20" s="485"/>
      <c r="AL20" s="485"/>
      <c r="AM20" s="485"/>
      <c r="AN20" s="509"/>
      <c r="AO20" s="456"/>
      <c r="AP20" s="456"/>
      <c r="AQ20" s="456"/>
      <c r="AR20" s="456"/>
      <c r="AS20" s="456"/>
      <c r="AT20" s="456"/>
      <c r="AU20" s="456"/>
      <c r="AV20" s="456"/>
      <c r="AW20" s="456"/>
      <c r="AX20" s="456"/>
      <c r="AY20" s="456"/>
      <c r="AZ20" s="459" t="s">
        <v>548</v>
      </c>
      <c r="BA20" s="459"/>
      <c r="BB20" s="459"/>
      <c r="BC20" s="459" t="s">
        <v>549</v>
      </c>
      <c r="BD20" s="459"/>
      <c r="BE20" s="459" t="s">
        <v>550</v>
      </c>
      <c r="BF20" s="456"/>
      <c r="BG20" s="459"/>
      <c r="BH20" s="459"/>
      <c r="BI20" s="459"/>
      <c r="BJ20" s="459"/>
      <c r="BK20" s="459" t="s">
        <v>552</v>
      </c>
      <c r="BL20" s="456"/>
      <c r="BM20" s="463"/>
      <c r="BN20" s="463"/>
      <c r="BO20" s="463"/>
      <c r="BP20" s="463"/>
      <c r="BQ20" s="463"/>
      <c r="BR20" s="459"/>
      <c r="BS20" s="459"/>
      <c r="BT20" s="459"/>
      <c r="BU20" s="459"/>
      <c r="BV20" s="459"/>
      <c r="BW20" s="456"/>
      <c r="BX20" s="465"/>
      <c r="BY20" s="465"/>
      <c r="BZ20" s="465"/>
      <c r="CA20" s="465"/>
      <c r="CB20" s="465"/>
      <c r="CC20" s="466" t="s">
        <v>645</v>
      </c>
      <c r="CD20" s="465"/>
      <c r="CE20" s="465"/>
      <c r="CF20" s="465"/>
      <c r="CG20" s="465"/>
      <c r="CH20" s="465"/>
      <c r="CI20" s="465"/>
      <c r="CJ20" s="465"/>
      <c r="CK20" s="456"/>
      <c r="CL20" s="466" t="s">
        <v>597</v>
      </c>
      <c r="CM20" s="466" t="s">
        <v>507</v>
      </c>
    </row>
    <row r="21" spans="1:91" ht="42" customHeight="1">
      <c r="A21" s="485"/>
      <c r="B21" s="485"/>
      <c r="C21" s="485"/>
      <c r="D21" s="485"/>
      <c r="E21" s="485"/>
      <c r="F21" s="485"/>
      <c r="G21" s="485"/>
      <c r="H21" s="485"/>
      <c r="I21" s="485"/>
      <c r="J21" s="485"/>
      <c r="K21" s="485"/>
      <c r="L21" s="485"/>
      <c r="M21" s="485"/>
      <c r="N21" s="485"/>
      <c r="O21" s="485"/>
      <c r="P21" s="485"/>
      <c r="Q21" s="487"/>
      <c r="R21" s="488"/>
      <c r="S21" s="487"/>
      <c r="T21" s="485"/>
      <c r="U21" s="490">
        <f t="shared" si="3"/>
        <v>0</v>
      </c>
      <c r="V21" s="485"/>
      <c r="W21" s="490">
        <f t="shared" si="4"/>
        <v>0</v>
      </c>
      <c r="X21" s="485"/>
      <c r="Y21" s="490">
        <f t="shared" si="5"/>
        <v>0</v>
      </c>
      <c r="Z21" s="469" t="str">
        <f t="shared" si="0"/>
        <v>FALTAN DATOS</v>
      </c>
      <c r="AA21" s="485"/>
      <c r="AB21" s="485"/>
      <c r="AC21" s="485"/>
      <c r="AD21" s="490" t="str">
        <f t="shared" si="1"/>
        <v/>
      </c>
      <c r="AE21" s="490" t="str">
        <f t="shared" si="6"/>
        <v/>
      </c>
      <c r="AF21" s="489"/>
      <c r="AG21" s="485"/>
      <c r="AH21" s="485"/>
      <c r="AI21" s="485"/>
      <c r="AJ21" s="485"/>
      <c r="AK21" s="485"/>
      <c r="AL21" s="485"/>
      <c r="AM21" s="485"/>
      <c r="AN21" s="509"/>
      <c r="AO21" s="456"/>
      <c r="AP21" s="456"/>
      <c r="AQ21" s="456"/>
      <c r="AR21" s="456"/>
      <c r="AS21" s="456"/>
      <c r="AT21" s="456"/>
      <c r="AU21" s="456"/>
      <c r="AV21" s="456"/>
      <c r="AW21" s="456"/>
      <c r="AX21" s="456"/>
      <c r="AY21" s="456"/>
      <c r="AZ21" s="459" t="s">
        <v>538</v>
      </c>
      <c r="BA21" s="459"/>
      <c r="BB21" s="459"/>
      <c r="BC21" s="459" t="s">
        <v>551</v>
      </c>
      <c r="BD21" s="459"/>
      <c r="BE21" s="459" t="s">
        <v>552</v>
      </c>
      <c r="BF21" s="456"/>
      <c r="BG21" s="459"/>
      <c r="BH21" s="459"/>
      <c r="BI21" s="459"/>
      <c r="BJ21" s="459"/>
      <c r="BK21" s="459"/>
      <c r="BL21" s="456"/>
      <c r="BM21" s="463"/>
      <c r="BN21" s="463"/>
      <c r="BO21" s="463"/>
      <c r="BP21" s="463"/>
      <c r="BQ21" s="463"/>
      <c r="BR21" s="459"/>
      <c r="BS21" s="459"/>
      <c r="BT21" s="459"/>
      <c r="BU21" s="459"/>
      <c r="BV21" s="459"/>
      <c r="BW21" s="456"/>
      <c r="BX21" s="465"/>
      <c r="BY21" s="465"/>
      <c r="BZ21" s="465"/>
      <c r="CA21" s="465"/>
      <c r="CB21" s="465"/>
      <c r="CC21" s="466" t="s">
        <v>646</v>
      </c>
      <c r="CD21" s="465"/>
      <c r="CE21" s="465"/>
      <c r="CF21" s="465"/>
      <c r="CG21" s="465"/>
      <c r="CH21" s="465"/>
      <c r="CI21" s="465"/>
      <c r="CJ21" s="465"/>
      <c r="CK21" s="456"/>
      <c r="CL21" s="466" t="s">
        <v>571</v>
      </c>
      <c r="CM21" s="466" t="s">
        <v>605</v>
      </c>
    </row>
    <row r="22" spans="1:91" ht="42" customHeight="1">
      <c r="A22" s="485"/>
      <c r="B22" s="485"/>
      <c r="C22" s="485"/>
      <c r="D22" s="485"/>
      <c r="E22" s="485"/>
      <c r="F22" s="485"/>
      <c r="G22" s="485"/>
      <c r="H22" s="485"/>
      <c r="I22" s="485"/>
      <c r="J22" s="485"/>
      <c r="K22" s="485"/>
      <c r="L22" s="485"/>
      <c r="M22" s="485"/>
      <c r="N22" s="485"/>
      <c r="O22" s="485"/>
      <c r="P22" s="485"/>
      <c r="Q22" s="487"/>
      <c r="R22" s="488"/>
      <c r="S22" s="487"/>
      <c r="T22" s="485"/>
      <c r="U22" s="490">
        <f t="shared" si="3"/>
        <v>0</v>
      </c>
      <c r="V22" s="485"/>
      <c r="W22" s="490">
        <f t="shared" si="4"/>
        <v>0</v>
      </c>
      <c r="X22" s="485"/>
      <c r="Y22" s="490">
        <f t="shared" si="5"/>
        <v>0</v>
      </c>
      <c r="Z22" s="469" t="str">
        <f t="shared" si="0"/>
        <v>FALTAN DATOS</v>
      </c>
      <c r="AA22" s="485"/>
      <c r="AB22" s="485"/>
      <c r="AC22" s="485"/>
      <c r="AD22" s="490" t="str">
        <f t="shared" si="1"/>
        <v/>
      </c>
      <c r="AE22" s="490" t="str">
        <f t="shared" si="6"/>
        <v/>
      </c>
      <c r="AF22" s="489"/>
      <c r="AG22" s="485"/>
      <c r="AH22" s="485"/>
      <c r="AI22" s="485"/>
      <c r="AJ22" s="485"/>
      <c r="AK22" s="485"/>
      <c r="AL22" s="485"/>
      <c r="AM22" s="485"/>
      <c r="AN22" s="509"/>
      <c r="AO22" s="456"/>
      <c r="AP22" s="456"/>
      <c r="AQ22" s="456"/>
      <c r="AR22" s="456"/>
      <c r="AS22" s="456"/>
      <c r="AT22" s="456"/>
      <c r="AU22" s="456"/>
      <c r="AV22" s="456"/>
      <c r="AW22" s="456"/>
      <c r="AX22" s="456"/>
      <c r="AY22" s="456"/>
      <c r="AZ22" s="459"/>
      <c r="BA22" s="459"/>
      <c r="BB22" s="459"/>
      <c r="BC22" s="459" t="s">
        <v>553</v>
      </c>
      <c r="BD22" s="459"/>
      <c r="BE22" s="459" t="s">
        <v>522</v>
      </c>
      <c r="BF22" s="456"/>
      <c r="BG22" s="459"/>
      <c r="BH22" s="459"/>
      <c r="BI22" s="459"/>
      <c r="BJ22" s="459"/>
      <c r="BK22" s="459"/>
      <c r="BL22" s="456"/>
      <c r="BM22" s="463"/>
      <c r="BN22" s="463"/>
      <c r="BO22" s="463"/>
      <c r="BP22" s="463"/>
      <c r="BQ22" s="463"/>
      <c r="BR22" s="459"/>
      <c r="BS22" s="459"/>
      <c r="BT22" s="459"/>
      <c r="BU22" s="459"/>
      <c r="BV22" s="459"/>
      <c r="BW22" s="456"/>
      <c r="BX22" s="465"/>
      <c r="BY22" s="465"/>
      <c r="BZ22" s="465"/>
      <c r="CA22" s="465"/>
      <c r="CB22" s="465"/>
      <c r="CC22" s="466" t="s">
        <v>647</v>
      </c>
      <c r="CD22" s="465"/>
      <c r="CE22" s="465"/>
      <c r="CF22" s="465"/>
      <c r="CG22" s="465"/>
      <c r="CH22" s="465"/>
      <c r="CI22" s="465"/>
      <c r="CJ22" s="465"/>
      <c r="CK22" s="456"/>
      <c r="CL22" s="466" t="s">
        <v>598</v>
      </c>
      <c r="CM22" s="466" t="s">
        <v>617</v>
      </c>
    </row>
    <row r="23" spans="1:91" ht="42" customHeight="1">
      <c r="A23" s="485"/>
      <c r="B23" s="485"/>
      <c r="C23" s="485"/>
      <c r="D23" s="485"/>
      <c r="E23" s="485"/>
      <c r="F23" s="485"/>
      <c r="G23" s="485"/>
      <c r="H23" s="485"/>
      <c r="I23" s="485"/>
      <c r="J23" s="485"/>
      <c r="K23" s="485"/>
      <c r="L23" s="485"/>
      <c r="M23" s="485"/>
      <c r="N23" s="485"/>
      <c r="O23" s="485"/>
      <c r="P23" s="485"/>
      <c r="Q23" s="487"/>
      <c r="R23" s="488"/>
      <c r="S23" s="487"/>
      <c r="T23" s="485"/>
      <c r="U23" s="490">
        <f t="shared" si="3"/>
        <v>0</v>
      </c>
      <c r="V23" s="485"/>
      <c r="W23" s="490">
        <f t="shared" si="4"/>
        <v>0</v>
      </c>
      <c r="X23" s="485"/>
      <c r="Y23" s="490">
        <f t="shared" si="5"/>
        <v>0</v>
      </c>
      <c r="Z23" s="469" t="str">
        <f t="shared" si="0"/>
        <v>FALTAN DATOS</v>
      </c>
      <c r="AA23" s="485"/>
      <c r="AB23" s="485"/>
      <c r="AC23" s="485"/>
      <c r="AD23" s="490" t="str">
        <f t="shared" si="1"/>
        <v/>
      </c>
      <c r="AE23" s="490" t="str">
        <f t="shared" si="6"/>
        <v/>
      </c>
      <c r="AF23" s="489"/>
      <c r="AG23" s="485"/>
      <c r="AH23" s="485"/>
      <c r="AI23" s="485"/>
      <c r="AJ23" s="485"/>
      <c r="AK23" s="485"/>
      <c r="AL23" s="485"/>
      <c r="AM23" s="485"/>
      <c r="AN23" s="509"/>
      <c r="AO23" s="456"/>
      <c r="AP23" s="456"/>
      <c r="AQ23" s="456"/>
      <c r="AR23" s="456"/>
      <c r="AS23" s="456"/>
      <c r="AT23" s="456"/>
      <c r="AU23" s="456"/>
      <c r="AV23" s="456"/>
      <c r="AW23" s="456"/>
      <c r="AX23" s="456"/>
      <c r="AY23" s="456"/>
      <c r="AZ23" s="459"/>
      <c r="BA23" s="459"/>
      <c r="BB23" s="459"/>
      <c r="BC23" s="459" t="s">
        <v>554</v>
      </c>
      <c r="BD23" s="459"/>
      <c r="BE23" s="459" t="s">
        <v>538</v>
      </c>
      <c r="BF23" s="456"/>
      <c r="BG23" s="459"/>
      <c r="BH23" s="459"/>
      <c r="BI23" s="459"/>
      <c r="BJ23" s="459"/>
      <c r="BK23" s="459"/>
      <c r="BL23" s="456"/>
      <c r="BM23" s="463"/>
      <c r="BN23" s="463"/>
      <c r="BO23" s="463"/>
      <c r="BP23" s="463"/>
      <c r="BQ23" s="463"/>
      <c r="BR23" s="459"/>
      <c r="BS23" s="459"/>
      <c r="BT23" s="459"/>
      <c r="BU23" s="459"/>
      <c r="BV23" s="459"/>
      <c r="BW23" s="456"/>
      <c r="BX23" s="456"/>
      <c r="BY23" s="456"/>
      <c r="BZ23" s="456"/>
      <c r="CA23" s="456"/>
      <c r="CB23" s="456"/>
      <c r="CC23" s="456"/>
      <c r="CD23" s="456"/>
      <c r="CE23" s="456"/>
      <c r="CF23" s="456"/>
      <c r="CG23" s="456"/>
      <c r="CH23" s="456"/>
      <c r="CI23" s="456"/>
      <c r="CJ23" s="456"/>
      <c r="CK23" s="456"/>
      <c r="CL23" s="466" t="s">
        <v>599</v>
      </c>
      <c r="CM23" s="466" t="s">
        <v>628</v>
      </c>
    </row>
    <row r="24" spans="1:91" ht="42" customHeight="1">
      <c r="A24" s="485"/>
      <c r="B24" s="485"/>
      <c r="C24" s="485"/>
      <c r="D24" s="485"/>
      <c r="E24" s="485"/>
      <c r="F24" s="485"/>
      <c r="G24" s="485"/>
      <c r="H24" s="485"/>
      <c r="I24" s="485"/>
      <c r="J24" s="485"/>
      <c r="K24" s="485"/>
      <c r="L24" s="485"/>
      <c r="M24" s="485"/>
      <c r="N24" s="485"/>
      <c r="O24" s="485"/>
      <c r="P24" s="485"/>
      <c r="Q24" s="487"/>
      <c r="R24" s="488"/>
      <c r="S24" s="487"/>
      <c r="T24" s="485"/>
      <c r="U24" s="490">
        <f t="shared" si="3"/>
        <v>0</v>
      </c>
      <c r="V24" s="485"/>
      <c r="W24" s="490">
        <f t="shared" si="4"/>
        <v>0</v>
      </c>
      <c r="X24" s="485"/>
      <c r="Y24" s="490">
        <f t="shared" si="5"/>
        <v>0</v>
      </c>
      <c r="Z24" s="469" t="str">
        <f t="shared" si="0"/>
        <v>FALTAN DATOS</v>
      </c>
      <c r="AA24" s="485"/>
      <c r="AB24" s="485"/>
      <c r="AC24" s="485"/>
      <c r="AD24" s="490" t="str">
        <f t="shared" si="1"/>
        <v/>
      </c>
      <c r="AE24" s="490" t="str">
        <f t="shared" si="6"/>
        <v/>
      </c>
      <c r="AF24" s="489"/>
      <c r="AG24" s="485"/>
      <c r="AH24" s="485"/>
      <c r="AI24" s="485"/>
      <c r="AJ24" s="485"/>
      <c r="AK24" s="485"/>
      <c r="AL24" s="485"/>
      <c r="AM24" s="485"/>
      <c r="AN24" s="509"/>
      <c r="AO24" s="456"/>
      <c r="AP24" s="456"/>
      <c r="AQ24" s="456"/>
      <c r="AR24" s="456"/>
      <c r="AS24" s="456"/>
      <c r="AT24" s="456"/>
      <c r="AU24" s="456"/>
      <c r="AV24" s="456"/>
      <c r="AW24" s="456"/>
      <c r="AX24" s="456"/>
      <c r="AY24" s="456"/>
      <c r="AZ24" s="459"/>
      <c r="BA24" s="459"/>
      <c r="BB24" s="459"/>
      <c r="BC24" s="459" t="s">
        <v>186</v>
      </c>
      <c r="BD24" s="459"/>
      <c r="BE24" s="459"/>
      <c r="BF24" s="456"/>
      <c r="BG24" s="459"/>
      <c r="BH24" s="459"/>
      <c r="BI24" s="459"/>
      <c r="BJ24" s="459"/>
      <c r="BK24" s="459"/>
      <c r="BL24" s="456"/>
      <c r="BM24" s="463"/>
      <c r="BN24" s="463"/>
      <c r="BO24" s="463"/>
      <c r="BP24" s="463"/>
      <c r="BQ24" s="463"/>
      <c r="BR24" s="459"/>
      <c r="BS24" s="459"/>
      <c r="BT24" s="459"/>
      <c r="BU24" s="459"/>
      <c r="BV24" s="459"/>
      <c r="BW24" s="456"/>
      <c r="BX24" s="456"/>
      <c r="BY24" s="456"/>
      <c r="BZ24" s="456"/>
      <c r="CA24" s="456"/>
      <c r="CB24" s="456"/>
      <c r="CC24" s="456"/>
      <c r="CD24" s="456"/>
      <c r="CE24" s="456"/>
      <c r="CF24" s="456"/>
      <c r="CG24" s="456"/>
      <c r="CH24" s="456"/>
      <c r="CI24" s="456"/>
      <c r="CJ24" s="456"/>
      <c r="CK24" s="456"/>
      <c r="CL24" s="466" t="s">
        <v>600</v>
      </c>
      <c r="CM24" s="466" t="s">
        <v>637</v>
      </c>
    </row>
    <row r="25" spans="1:91" ht="42" customHeight="1">
      <c r="A25" s="485"/>
      <c r="B25" s="485"/>
      <c r="C25" s="485"/>
      <c r="D25" s="485"/>
      <c r="E25" s="485"/>
      <c r="F25" s="485"/>
      <c r="G25" s="485"/>
      <c r="H25" s="485"/>
      <c r="I25" s="485"/>
      <c r="J25" s="485"/>
      <c r="K25" s="485"/>
      <c r="L25" s="485"/>
      <c r="M25" s="485"/>
      <c r="N25" s="485"/>
      <c r="O25" s="485"/>
      <c r="P25" s="485"/>
      <c r="Q25" s="487"/>
      <c r="R25" s="488"/>
      <c r="S25" s="487"/>
      <c r="T25" s="485"/>
      <c r="U25" s="490">
        <f t="shared" si="3"/>
        <v>0</v>
      </c>
      <c r="V25" s="485"/>
      <c r="W25" s="490">
        <f t="shared" si="4"/>
        <v>0</v>
      </c>
      <c r="X25" s="485"/>
      <c r="Y25" s="490">
        <f t="shared" si="5"/>
        <v>0</v>
      </c>
      <c r="Z25" s="469" t="str">
        <f t="shared" si="0"/>
        <v>FALTAN DATOS</v>
      </c>
      <c r="AA25" s="485"/>
      <c r="AB25" s="485"/>
      <c r="AC25" s="485"/>
      <c r="AD25" s="490" t="str">
        <f t="shared" si="1"/>
        <v/>
      </c>
      <c r="AE25" s="490" t="str">
        <f t="shared" si="6"/>
        <v/>
      </c>
      <c r="AF25" s="489"/>
      <c r="AG25" s="485"/>
      <c r="AH25" s="485"/>
      <c r="AI25" s="485"/>
      <c r="AJ25" s="485"/>
      <c r="AK25" s="485"/>
      <c r="AL25" s="485"/>
      <c r="AM25" s="485"/>
      <c r="AN25" s="509"/>
      <c r="AO25" s="456"/>
      <c r="AP25" s="456"/>
      <c r="AQ25" s="456"/>
      <c r="AR25" s="456"/>
      <c r="AS25" s="456"/>
      <c r="AT25" s="456"/>
      <c r="AU25" s="456"/>
      <c r="AV25" s="456"/>
      <c r="AW25" s="456"/>
      <c r="AX25" s="456"/>
      <c r="AY25" s="456"/>
      <c r="AZ25" s="459"/>
      <c r="BA25" s="459"/>
      <c r="BB25" s="459"/>
      <c r="BC25" s="459" t="s">
        <v>555</v>
      </c>
      <c r="BD25" s="459"/>
      <c r="BE25" s="459"/>
      <c r="BF25" s="456"/>
      <c r="BG25" s="459"/>
      <c r="BH25" s="459"/>
      <c r="BI25" s="459"/>
      <c r="BJ25" s="459"/>
      <c r="BK25" s="459"/>
      <c r="BL25" s="456"/>
      <c r="BM25" s="461"/>
      <c r="BN25" s="461"/>
      <c r="BO25" s="461"/>
      <c r="BP25" s="461"/>
      <c r="BQ25" s="461"/>
      <c r="BR25" s="459"/>
      <c r="BS25" s="459"/>
      <c r="BT25" s="459"/>
      <c r="BU25" s="459"/>
      <c r="BV25" s="459"/>
      <c r="BW25" s="456"/>
      <c r="BX25" s="456"/>
      <c r="BY25" s="456"/>
      <c r="BZ25" s="456"/>
      <c r="CA25" s="456"/>
      <c r="CB25" s="456"/>
      <c r="CC25" s="456"/>
      <c r="CD25" s="456"/>
      <c r="CE25" s="456"/>
      <c r="CF25" s="456"/>
      <c r="CG25" s="456"/>
      <c r="CH25" s="456"/>
      <c r="CI25" s="456"/>
      <c r="CJ25" s="456"/>
      <c r="CK25" s="456"/>
      <c r="CL25" s="466" t="s">
        <v>601</v>
      </c>
      <c r="CM25" s="466" t="s">
        <v>606</v>
      </c>
    </row>
    <row r="26" spans="1:91" ht="42" customHeight="1">
      <c r="A26" s="485"/>
      <c r="B26" s="485"/>
      <c r="C26" s="485"/>
      <c r="D26" s="485"/>
      <c r="E26" s="485"/>
      <c r="F26" s="485"/>
      <c r="G26" s="485"/>
      <c r="H26" s="485"/>
      <c r="I26" s="485"/>
      <c r="J26" s="485"/>
      <c r="K26" s="485"/>
      <c r="L26" s="485"/>
      <c r="M26" s="485"/>
      <c r="N26" s="485"/>
      <c r="O26" s="485"/>
      <c r="P26" s="485"/>
      <c r="Q26" s="487"/>
      <c r="R26" s="488"/>
      <c r="S26" s="487"/>
      <c r="T26" s="485"/>
      <c r="U26" s="490">
        <f t="shared" si="3"/>
        <v>0</v>
      </c>
      <c r="V26" s="485"/>
      <c r="W26" s="490">
        <f t="shared" si="4"/>
        <v>0</v>
      </c>
      <c r="X26" s="485"/>
      <c r="Y26" s="490">
        <f t="shared" si="5"/>
        <v>0</v>
      </c>
      <c r="Z26" s="469" t="str">
        <f t="shared" si="0"/>
        <v>FALTAN DATOS</v>
      </c>
      <c r="AA26" s="485"/>
      <c r="AB26" s="485"/>
      <c r="AC26" s="485"/>
      <c r="AD26" s="490" t="str">
        <f t="shared" si="1"/>
        <v/>
      </c>
      <c r="AE26" s="490" t="str">
        <f t="shared" si="6"/>
        <v/>
      </c>
      <c r="AF26" s="489"/>
      <c r="AG26" s="485"/>
      <c r="AH26" s="485"/>
      <c r="AI26" s="485"/>
      <c r="AJ26" s="485"/>
      <c r="AK26" s="485"/>
      <c r="AL26" s="485"/>
      <c r="AM26" s="485"/>
      <c r="AN26" s="509"/>
      <c r="AO26" s="456"/>
      <c r="AP26" s="456"/>
      <c r="AQ26" s="456"/>
      <c r="AR26" s="456"/>
      <c r="AS26" s="456"/>
      <c r="AT26" s="456"/>
      <c r="AU26" s="456"/>
      <c r="AV26" s="456"/>
      <c r="AW26" s="456"/>
      <c r="AX26" s="456"/>
      <c r="AY26" s="456"/>
      <c r="AZ26" s="459"/>
      <c r="BA26" s="459"/>
      <c r="BB26" s="459"/>
      <c r="BC26" s="459" t="s">
        <v>556</v>
      </c>
      <c r="BD26" s="459"/>
      <c r="BE26" s="459"/>
      <c r="BF26" s="456"/>
      <c r="BG26" s="459"/>
      <c r="BH26" s="459"/>
      <c r="BI26" s="459"/>
      <c r="BJ26" s="459"/>
      <c r="BK26" s="459"/>
      <c r="BL26" s="456"/>
      <c r="BM26" s="461"/>
      <c r="BN26" s="461"/>
      <c r="BO26" s="461"/>
      <c r="BP26" s="461"/>
      <c r="BQ26" s="461"/>
      <c r="BR26" s="459"/>
      <c r="BS26" s="459"/>
      <c r="BT26" s="459"/>
      <c r="BU26" s="459"/>
      <c r="BV26" s="459"/>
      <c r="BW26" s="456"/>
      <c r="BX26" s="456"/>
      <c r="BY26" s="456"/>
      <c r="BZ26" s="456"/>
      <c r="CA26" s="456"/>
      <c r="CB26" s="456"/>
      <c r="CC26" s="456"/>
      <c r="CD26" s="456"/>
      <c r="CE26" s="456"/>
      <c r="CF26" s="456"/>
      <c r="CG26" s="456"/>
      <c r="CH26" s="456"/>
      <c r="CI26" s="456"/>
      <c r="CJ26" s="456"/>
      <c r="CK26" s="456"/>
      <c r="CL26" s="466" t="s">
        <v>602</v>
      </c>
      <c r="CM26" s="466" t="s">
        <v>618</v>
      </c>
    </row>
    <row r="27" spans="1:91" ht="42" customHeight="1">
      <c r="A27" s="485"/>
      <c r="B27" s="485"/>
      <c r="C27" s="485"/>
      <c r="D27" s="485"/>
      <c r="E27" s="485"/>
      <c r="F27" s="485"/>
      <c r="G27" s="485"/>
      <c r="H27" s="485"/>
      <c r="I27" s="485"/>
      <c r="J27" s="485"/>
      <c r="K27" s="485"/>
      <c r="L27" s="485"/>
      <c r="M27" s="485"/>
      <c r="N27" s="485"/>
      <c r="O27" s="485"/>
      <c r="P27" s="485"/>
      <c r="Q27" s="487"/>
      <c r="R27" s="488"/>
      <c r="S27" s="487"/>
      <c r="T27" s="485"/>
      <c r="U27" s="490">
        <f t="shared" si="3"/>
        <v>0</v>
      </c>
      <c r="V27" s="485"/>
      <c r="W27" s="490">
        <f t="shared" si="4"/>
        <v>0</v>
      </c>
      <c r="X27" s="485"/>
      <c r="Y27" s="490">
        <f t="shared" si="5"/>
        <v>0</v>
      </c>
      <c r="Z27" s="469" t="str">
        <f t="shared" si="0"/>
        <v>FALTAN DATOS</v>
      </c>
      <c r="AA27" s="485"/>
      <c r="AB27" s="485"/>
      <c r="AC27" s="485"/>
      <c r="AD27" s="490" t="str">
        <f t="shared" si="1"/>
        <v/>
      </c>
      <c r="AE27" s="490" t="str">
        <f t="shared" si="6"/>
        <v/>
      </c>
      <c r="AF27" s="489"/>
      <c r="AG27" s="485"/>
      <c r="AH27" s="485"/>
      <c r="AI27" s="485"/>
      <c r="AJ27" s="485"/>
      <c r="AK27" s="485"/>
      <c r="AL27" s="485"/>
      <c r="AM27" s="485"/>
      <c r="AN27" s="509"/>
      <c r="AO27" s="456"/>
      <c r="AP27" s="456"/>
      <c r="AQ27" s="456"/>
      <c r="AR27" s="456"/>
      <c r="AS27" s="456"/>
      <c r="AT27" s="456"/>
      <c r="AU27" s="456"/>
      <c r="AV27" s="456"/>
      <c r="AW27" s="456"/>
      <c r="AX27" s="456"/>
      <c r="AY27" s="456"/>
      <c r="AZ27" s="459"/>
      <c r="BA27" s="459"/>
      <c r="BB27" s="459"/>
      <c r="BC27" s="459" t="s">
        <v>557</v>
      </c>
      <c r="BD27" s="459"/>
      <c r="BE27" s="459"/>
      <c r="BF27" s="456"/>
      <c r="BG27" s="459"/>
      <c r="BH27" s="459"/>
      <c r="BI27" s="459"/>
      <c r="BJ27" s="459"/>
      <c r="BK27" s="459"/>
      <c r="BL27" s="456"/>
      <c r="BM27" s="461"/>
      <c r="BN27" s="461"/>
      <c r="BO27" s="461"/>
      <c r="BP27" s="461"/>
      <c r="BQ27" s="461"/>
      <c r="BR27" s="459"/>
      <c r="BS27" s="459"/>
      <c r="BT27" s="459"/>
      <c r="BU27" s="459"/>
      <c r="BV27" s="459"/>
      <c r="BW27" s="456"/>
      <c r="BX27" s="456"/>
      <c r="BY27" s="456"/>
      <c r="BZ27" s="456"/>
      <c r="CA27" s="456"/>
      <c r="CB27" s="456"/>
      <c r="CC27" s="456"/>
      <c r="CD27" s="456"/>
      <c r="CE27" s="456"/>
      <c r="CF27" s="456"/>
      <c r="CG27" s="456"/>
      <c r="CH27" s="456"/>
      <c r="CI27" s="456"/>
      <c r="CJ27" s="456"/>
      <c r="CK27" s="456"/>
      <c r="CL27" s="456"/>
      <c r="CM27" s="466" t="s">
        <v>629</v>
      </c>
    </row>
    <row r="28" spans="1:91" ht="42" customHeight="1">
      <c r="A28" s="485"/>
      <c r="B28" s="485"/>
      <c r="C28" s="485"/>
      <c r="D28" s="485"/>
      <c r="E28" s="485"/>
      <c r="F28" s="485"/>
      <c r="G28" s="485"/>
      <c r="H28" s="485"/>
      <c r="I28" s="485"/>
      <c r="J28" s="485"/>
      <c r="K28" s="485"/>
      <c r="L28" s="485"/>
      <c r="M28" s="485"/>
      <c r="N28" s="485"/>
      <c r="O28" s="485"/>
      <c r="P28" s="485"/>
      <c r="Q28" s="487"/>
      <c r="R28" s="488"/>
      <c r="S28" s="487"/>
      <c r="T28" s="485"/>
      <c r="U28" s="490">
        <f t="shared" si="3"/>
        <v>0</v>
      </c>
      <c r="V28" s="485"/>
      <c r="W28" s="490">
        <f t="shared" si="4"/>
        <v>0</v>
      </c>
      <c r="X28" s="485"/>
      <c r="Y28" s="490">
        <f t="shared" si="5"/>
        <v>0</v>
      </c>
      <c r="Z28" s="469" t="str">
        <f t="shared" si="0"/>
        <v>FALTAN DATOS</v>
      </c>
      <c r="AA28" s="485"/>
      <c r="AB28" s="485"/>
      <c r="AC28" s="485"/>
      <c r="AD28" s="490" t="str">
        <f t="shared" si="1"/>
        <v/>
      </c>
      <c r="AE28" s="490" t="str">
        <f t="shared" si="6"/>
        <v/>
      </c>
      <c r="AF28" s="489"/>
      <c r="AG28" s="485"/>
      <c r="AH28" s="485"/>
      <c r="AI28" s="485"/>
      <c r="AJ28" s="485"/>
      <c r="AK28" s="485"/>
      <c r="AL28" s="485"/>
      <c r="AM28" s="485"/>
      <c r="AN28" s="509"/>
      <c r="AO28" s="456"/>
      <c r="AP28" s="456"/>
      <c r="AQ28" s="456"/>
      <c r="AR28" s="456"/>
      <c r="AS28" s="456"/>
      <c r="AT28" s="456"/>
      <c r="AU28" s="456"/>
      <c r="AV28" s="456"/>
      <c r="AW28" s="456"/>
      <c r="AX28" s="456"/>
      <c r="AY28" s="456"/>
      <c r="AZ28" s="459"/>
      <c r="BA28" s="459"/>
      <c r="BB28" s="459"/>
      <c r="BC28" s="459" t="s">
        <v>558</v>
      </c>
      <c r="BD28" s="459"/>
      <c r="BE28" s="459"/>
      <c r="BF28" s="456"/>
      <c r="BG28" s="459"/>
      <c r="BH28" s="459"/>
      <c r="BI28" s="459"/>
      <c r="BJ28" s="459"/>
      <c r="BK28" s="459"/>
      <c r="BL28" s="456"/>
      <c r="BM28" s="461"/>
      <c r="BN28" s="461"/>
      <c r="BO28" s="461"/>
      <c r="BP28" s="461"/>
      <c r="BQ28" s="461"/>
      <c r="BR28" s="459"/>
      <c r="BS28" s="459"/>
      <c r="BT28" s="459"/>
      <c r="BU28" s="459"/>
      <c r="BV28" s="459"/>
      <c r="BW28" s="456"/>
      <c r="BX28" s="456"/>
      <c r="BY28" s="456"/>
      <c r="BZ28" s="456"/>
      <c r="CA28" s="456"/>
      <c r="CB28" s="456"/>
      <c r="CC28" s="456"/>
      <c r="CD28" s="456"/>
      <c r="CE28" s="456"/>
      <c r="CF28" s="456"/>
      <c r="CG28" s="456"/>
      <c r="CH28" s="456"/>
      <c r="CI28" s="456"/>
      <c r="CJ28" s="456"/>
      <c r="CK28" s="456"/>
      <c r="CL28" s="456"/>
      <c r="CM28" s="466" t="s">
        <v>607</v>
      </c>
    </row>
    <row r="29" spans="1:91" ht="42" customHeight="1">
      <c r="A29" s="485"/>
      <c r="B29" s="485"/>
      <c r="C29" s="485"/>
      <c r="D29" s="485"/>
      <c r="E29" s="485"/>
      <c r="F29" s="485"/>
      <c r="G29" s="485"/>
      <c r="H29" s="485"/>
      <c r="I29" s="485"/>
      <c r="J29" s="485"/>
      <c r="K29" s="485"/>
      <c r="L29" s="485"/>
      <c r="M29" s="485"/>
      <c r="N29" s="485"/>
      <c r="O29" s="485"/>
      <c r="P29" s="485"/>
      <c r="Q29" s="487"/>
      <c r="R29" s="488"/>
      <c r="S29" s="487"/>
      <c r="T29" s="485"/>
      <c r="U29" s="490">
        <f t="shared" si="3"/>
        <v>0</v>
      </c>
      <c r="V29" s="485"/>
      <c r="W29" s="490">
        <f t="shared" si="4"/>
        <v>0</v>
      </c>
      <c r="X29" s="485"/>
      <c r="Y29" s="490">
        <f t="shared" si="5"/>
        <v>0</v>
      </c>
      <c r="Z29" s="469" t="str">
        <f t="shared" si="0"/>
        <v>FALTAN DATOS</v>
      </c>
      <c r="AA29" s="485"/>
      <c r="AB29" s="485"/>
      <c r="AC29" s="485"/>
      <c r="AD29" s="490" t="str">
        <f t="shared" si="1"/>
        <v/>
      </c>
      <c r="AE29" s="490" t="str">
        <f t="shared" si="6"/>
        <v/>
      </c>
      <c r="AF29" s="489"/>
      <c r="AG29" s="485"/>
      <c r="AH29" s="485"/>
      <c r="AI29" s="485"/>
      <c r="AJ29" s="485"/>
      <c r="AK29" s="485"/>
      <c r="AL29" s="485"/>
      <c r="AM29" s="485"/>
      <c r="AN29" s="509"/>
      <c r="AO29" s="456"/>
      <c r="AP29" s="456"/>
      <c r="AQ29" s="456"/>
      <c r="AR29" s="456"/>
      <c r="AS29" s="456"/>
      <c r="AT29" s="456"/>
      <c r="AU29" s="456"/>
      <c r="AV29" s="456"/>
      <c r="AW29" s="456"/>
      <c r="AX29" s="456"/>
      <c r="AY29" s="456"/>
      <c r="AZ29" s="459"/>
      <c r="BA29" s="459"/>
      <c r="BB29" s="459"/>
      <c r="BC29" s="459" t="s">
        <v>559</v>
      </c>
      <c r="BD29" s="459"/>
      <c r="BE29" s="459"/>
      <c r="BF29" s="456"/>
      <c r="BG29" s="459"/>
      <c r="BH29" s="459"/>
      <c r="BI29" s="459"/>
      <c r="BJ29" s="459"/>
      <c r="BK29" s="459"/>
      <c r="BL29" s="456"/>
      <c r="BM29" s="461"/>
      <c r="BN29" s="461"/>
      <c r="BO29" s="461"/>
      <c r="BP29" s="461"/>
      <c r="BQ29" s="461"/>
      <c r="BR29" s="459"/>
      <c r="BS29" s="459"/>
      <c r="BT29" s="459"/>
      <c r="BU29" s="459"/>
      <c r="BV29" s="459"/>
      <c r="BW29" s="456"/>
      <c r="BX29" s="456"/>
      <c r="BY29" s="456"/>
      <c r="BZ29" s="456"/>
      <c r="CA29" s="456"/>
      <c r="CB29" s="456"/>
      <c r="CC29" s="456"/>
      <c r="CD29" s="456"/>
      <c r="CE29" s="456"/>
      <c r="CF29" s="456"/>
      <c r="CG29" s="456"/>
      <c r="CH29" s="456"/>
      <c r="CI29" s="456"/>
      <c r="CJ29" s="456"/>
      <c r="CK29" s="456"/>
      <c r="CL29" s="456"/>
      <c r="CM29" s="466" t="s">
        <v>619</v>
      </c>
    </row>
    <row r="30" spans="1:91" ht="42" customHeight="1">
      <c r="A30" s="485"/>
      <c r="B30" s="485"/>
      <c r="C30" s="485"/>
      <c r="D30" s="485"/>
      <c r="E30" s="485"/>
      <c r="F30" s="485"/>
      <c r="G30" s="485"/>
      <c r="H30" s="485"/>
      <c r="I30" s="485"/>
      <c r="J30" s="485"/>
      <c r="K30" s="485"/>
      <c r="L30" s="485"/>
      <c r="M30" s="485"/>
      <c r="N30" s="485"/>
      <c r="O30" s="485"/>
      <c r="P30" s="485"/>
      <c r="Q30" s="487"/>
      <c r="R30" s="488"/>
      <c r="S30" s="487"/>
      <c r="T30" s="485"/>
      <c r="U30" s="490">
        <f t="shared" si="3"/>
        <v>0</v>
      </c>
      <c r="V30" s="485"/>
      <c r="W30" s="490">
        <f t="shared" si="4"/>
        <v>0</v>
      </c>
      <c r="X30" s="485"/>
      <c r="Y30" s="490">
        <f t="shared" si="5"/>
        <v>0</v>
      </c>
      <c r="Z30" s="469" t="str">
        <f t="shared" si="0"/>
        <v>FALTAN DATOS</v>
      </c>
      <c r="AA30" s="485"/>
      <c r="AB30" s="485"/>
      <c r="AC30" s="485"/>
      <c r="AD30" s="490" t="str">
        <f t="shared" si="1"/>
        <v/>
      </c>
      <c r="AE30" s="490" t="str">
        <f t="shared" si="6"/>
        <v/>
      </c>
      <c r="AF30" s="489"/>
      <c r="AG30" s="485"/>
      <c r="AH30" s="485"/>
      <c r="AI30" s="485"/>
      <c r="AJ30" s="485"/>
      <c r="AK30" s="485"/>
      <c r="AL30" s="485"/>
      <c r="AM30" s="485"/>
      <c r="AN30" s="509"/>
      <c r="AO30" s="456"/>
      <c r="AP30" s="456"/>
      <c r="AQ30" s="456"/>
      <c r="AR30" s="456"/>
      <c r="AS30" s="456"/>
      <c r="AT30" s="456"/>
      <c r="AU30" s="456"/>
      <c r="AV30" s="456"/>
      <c r="AW30" s="456"/>
      <c r="AX30" s="456"/>
      <c r="AY30" s="456"/>
      <c r="AZ30" s="459"/>
      <c r="BA30" s="459"/>
      <c r="BB30" s="459"/>
      <c r="BC30" s="459" t="s">
        <v>560</v>
      </c>
      <c r="BD30" s="459"/>
      <c r="BE30" s="459"/>
      <c r="BF30" s="456"/>
      <c r="BG30" s="459"/>
      <c r="BH30" s="459"/>
      <c r="BI30" s="459"/>
      <c r="BJ30" s="459"/>
      <c r="BK30" s="459"/>
      <c r="BL30" s="456"/>
      <c r="BM30" s="461"/>
      <c r="BN30" s="461"/>
      <c r="BO30" s="461"/>
      <c r="BP30" s="461"/>
      <c r="BQ30" s="461"/>
      <c r="BR30" s="459"/>
      <c r="BS30" s="459"/>
      <c r="BT30" s="459"/>
      <c r="BU30" s="459"/>
      <c r="BV30" s="459"/>
      <c r="BW30" s="456"/>
      <c r="BX30" s="456"/>
      <c r="BY30" s="456"/>
      <c r="BZ30" s="456"/>
      <c r="CA30" s="456"/>
      <c r="CB30" s="456"/>
      <c r="CC30" s="456"/>
      <c r="CD30" s="456"/>
      <c r="CE30" s="456"/>
      <c r="CF30" s="456"/>
      <c r="CG30" s="456"/>
      <c r="CH30" s="456"/>
      <c r="CI30" s="456"/>
      <c r="CJ30" s="456"/>
      <c r="CK30" s="456"/>
      <c r="CL30" s="456"/>
      <c r="CM30" s="466" t="s">
        <v>630</v>
      </c>
    </row>
    <row r="31" spans="1:91" ht="42" customHeight="1">
      <c r="A31" s="485"/>
      <c r="B31" s="485"/>
      <c r="C31" s="485"/>
      <c r="D31" s="485"/>
      <c r="E31" s="485"/>
      <c r="F31" s="485"/>
      <c r="G31" s="485"/>
      <c r="H31" s="485"/>
      <c r="I31" s="485"/>
      <c r="J31" s="485"/>
      <c r="K31" s="485"/>
      <c r="L31" s="485"/>
      <c r="M31" s="485"/>
      <c r="N31" s="485"/>
      <c r="O31" s="485"/>
      <c r="P31" s="485"/>
      <c r="Q31" s="487"/>
      <c r="R31" s="488"/>
      <c r="S31" s="487"/>
      <c r="T31" s="485"/>
      <c r="U31" s="490">
        <f t="shared" si="3"/>
        <v>0</v>
      </c>
      <c r="V31" s="485"/>
      <c r="W31" s="490">
        <f t="shared" si="4"/>
        <v>0</v>
      </c>
      <c r="X31" s="485"/>
      <c r="Y31" s="490">
        <f t="shared" si="5"/>
        <v>0</v>
      </c>
      <c r="Z31" s="469" t="str">
        <f t="shared" si="0"/>
        <v>FALTAN DATOS</v>
      </c>
      <c r="AA31" s="485"/>
      <c r="AB31" s="485"/>
      <c r="AC31" s="485"/>
      <c r="AD31" s="490" t="str">
        <f t="shared" si="1"/>
        <v/>
      </c>
      <c r="AE31" s="490" t="str">
        <f t="shared" si="6"/>
        <v/>
      </c>
      <c r="AF31" s="489"/>
      <c r="AG31" s="485"/>
      <c r="AH31" s="485"/>
      <c r="AI31" s="485"/>
      <c r="AJ31" s="485"/>
      <c r="AK31" s="485"/>
      <c r="AL31" s="485"/>
      <c r="AM31" s="485"/>
      <c r="AN31" s="509"/>
      <c r="AO31" s="456"/>
      <c r="AP31" s="456"/>
      <c r="AQ31" s="456"/>
      <c r="AR31" s="456"/>
      <c r="AS31" s="456"/>
      <c r="AT31" s="456"/>
      <c r="AU31" s="456"/>
      <c r="AV31" s="456"/>
      <c r="AW31" s="456"/>
      <c r="AX31" s="456"/>
      <c r="AY31" s="456"/>
      <c r="AZ31" s="459"/>
      <c r="BA31" s="459"/>
      <c r="BB31" s="459"/>
      <c r="BC31" s="459" t="s">
        <v>561</v>
      </c>
      <c r="BD31" s="459"/>
      <c r="BE31" s="459"/>
      <c r="BF31" s="456"/>
      <c r="BG31" s="459"/>
      <c r="BH31" s="459"/>
      <c r="BI31" s="459"/>
      <c r="BJ31" s="459"/>
      <c r="BK31" s="459"/>
      <c r="BL31" s="456"/>
      <c r="BM31" s="461"/>
      <c r="BN31" s="461"/>
      <c r="BO31" s="461"/>
      <c r="BP31" s="461"/>
      <c r="BQ31" s="461"/>
      <c r="BR31" s="459"/>
      <c r="BS31" s="459"/>
      <c r="BT31" s="459"/>
      <c r="BU31" s="459"/>
      <c r="BV31" s="459"/>
      <c r="BW31" s="456"/>
      <c r="BX31" s="456"/>
      <c r="BY31" s="456"/>
      <c r="BZ31" s="456"/>
      <c r="CA31" s="456"/>
      <c r="CB31" s="456"/>
      <c r="CC31" s="456"/>
      <c r="CD31" s="456"/>
      <c r="CE31" s="456"/>
      <c r="CF31" s="456"/>
      <c r="CG31" s="456"/>
      <c r="CH31" s="456"/>
      <c r="CI31" s="456"/>
      <c r="CJ31" s="456"/>
      <c r="CK31" s="456"/>
      <c r="CL31" s="456"/>
      <c r="CM31" s="466" t="s">
        <v>638</v>
      </c>
    </row>
    <row r="32" spans="1:91" ht="42" customHeight="1">
      <c r="A32" s="485"/>
      <c r="B32" s="485"/>
      <c r="C32" s="485"/>
      <c r="D32" s="485"/>
      <c r="E32" s="485"/>
      <c r="F32" s="485"/>
      <c r="G32" s="485"/>
      <c r="H32" s="485"/>
      <c r="I32" s="485"/>
      <c r="J32" s="485"/>
      <c r="K32" s="485"/>
      <c r="L32" s="485"/>
      <c r="M32" s="485"/>
      <c r="N32" s="485"/>
      <c r="O32" s="485"/>
      <c r="P32" s="485"/>
      <c r="Q32" s="487"/>
      <c r="R32" s="488"/>
      <c r="S32" s="487"/>
      <c r="T32" s="485"/>
      <c r="U32" s="490">
        <f t="shared" si="3"/>
        <v>0</v>
      </c>
      <c r="V32" s="485"/>
      <c r="W32" s="490">
        <f t="shared" si="4"/>
        <v>0</v>
      </c>
      <c r="X32" s="485"/>
      <c r="Y32" s="490">
        <f t="shared" si="5"/>
        <v>0</v>
      </c>
      <c r="Z32" s="469" t="str">
        <f t="shared" si="0"/>
        <v>FALTAN DATOS</v>
      </c>
      <c r="AA32" s="485"/>
      <c r="AB32" s="485"/>
      <c r="AC32" s="485"/>
      <c r="AD32" s="490" t="str">
        <f t="shared" si="1"/>
        <v/>
      </c>
      <c r="AE32" s="490" t="str">
        <f t="shared" si="6"/>
        <v/>
      </c>
      <c r="AF32" s="489"/>
      <c r="AG32" s="485"/>
      <c r="AH32" s="485"/>
      <c r="AI32" s="485"/>
      <c r="AJ32" s="485"/>
      <c r="AK32" s="485"/>
      <c r="AL32" s="485"/>
      <c r="AM32" s="485"/>
      <c r="AN32" s="509"/>
      <c r="AO32" s="456"/>
      <c r="AP32" s="456"/>
      <c r="AQ32" s="456"/>
      <c r="AR32" s="456"/>
      <c r="AS32" s="456"/>
      <c r="AT32" s="456"/>
      <c r="AU32" s="456"/>
      <c r="AV32" s="456"/>
      <c r="AW32" s="456"/>
      <c r="AX32" s="456"/>
      <c r="AY32" s="456"/>
      <c r="AZ32" s="459"/>
      <c r="BA32" s="459"/>
      <c r="BB32" s="459"/>
      <c r="BC32" s="459" t="s">
        <v>562</v>
      </c>
      <c r="BD32" s="459"/>
      <c r="BE32" s="459"/>
      <c r="BF32" s="456"/>
      <c r="BG32" s="459"/>
      <c r="BH32" s="459"/>
      <c r="BI32" s="459"/>
      <c r="BJ32" s="459"/>
      <c r="BK32" s="459"/>
      <c r="BL32" s="456"/>
      <c r="BM32" s="461"/>
      <c r="BN32" s="461"/>
      <c r="BO32" s="461"/>
      <c r="BP32" s="461"/>
      <c r="BQ32" s="461"/>
      <c r="BR32" s="459"/>
      <c r="BS32" s="459"/>
      <c r="BT32" s="459"/>
      <c r="BU32" s="459"/>
      <c r="BV32" s="459"/>
      <c r="BW32" s="456"/>
      <c r="BX32" s="456"/>
      <c r="BY32" s="456"/>
      <c r="BZ32" s="456"/>
      <c r="CA32" s="456"/>
      <c r="CB32" s="456"/>
      <c r="CC32" s="456"/>
      <c r="CD32" s="456"/>
      <c r="CE32" s="456"/>
      <c r="CF32" s="456"/>
      <c r="CG32" s="456"/>
      <c r="CH32" s="456"/>
      <c r="CI32" s="456"/>
      <c r="CJ32" s="456"/>
      <c r="CK32" s="456"/>
      <c r="CL32" s="456"/>
      <c r="CM32" s="466" t="s">
        <v>608</v>
      </c>
    </row>
    <row r="33" spans="1:91" ht="42" customHeight="1">
      <c r="A33" s="485"/>
      <c r="B33" s="485"/>
      <c r="C33" s="485"/>
      <c r="D33" s="485"/>
      <c r="E33" s="485"/>
      <c r="F33" s="485"/>
      <c r="G33" s="485"/>
      <c r="H33" s="485"/>
      <c r="I33" s="485"/>
      <c r="J33" s="485"/>
      <c r="K33" s="485"/>
      <c r="L33" s="485"/>
      <c r="M33" s="485"/>
      <c r="N33" s="485"/>
      <c r="O33" s="485"/>
      <c r="P33" s="485"/>
      <c r="Q33" s="487"/>
      <c r="R33" s="488"/>
      <c r="S33" s="487"/>
      <c r="T33" s="485"/>
      <c r="U33" s="490">
        <f t="shared" si="3"/>
        <v>0</v>
      </c>
      <c r="V33" s="485"/>
      <c r="W33" s="490">
        <f t="shared" si="4"/>
        <v>0</v>
      </c>
      <c r="X33" s="485"/>
      <c r="Y33" s="490">
        <f t="shared" si="5"/>
        <v>0</v>
      </c>
      <c r="Z33" s="469" t="str">
        <f t="shared" si="0"/>
        <v>FALTAN DATOS</v>
      </c>
      <c r="AA33" s="485"/>
      <c r="AB33" s="485"/>
      <c r="AC33" s="485"/>
      <c r="AD33" s="490" t="str">
        <f t="shared" si="1"/>
        <v/>
      </c>
      <c r="AE33" s="490" t="str">
        <f t="shared" si="6"/>
        <v/>
      </c>
      <c r="AF33" s="489"/>
      <c r="AG33" s="485"/>
      <c r="AH33" s="485"/>
      <c r="AI33" s="485"/>
      <c r="AJ33" s="485"/>
      <c r="AK33" s="485"/>
      <c r="AL33" s="485"/>
      <c r="AM33" s="485"/>
      <c r="AN33" s="509"/>
      <c r="AO33" s="456"/>
      <c r="AP33" s="456"/>
      <c r="AQ33" s="456"/>
      <c r="AR33" s="456"/>
      <c r="AS33" s="456"/>
      <c r="AT33" s="456"/>
      <c r="AU33" s="456"/>
      <c r="AV33" s="456"/>
      <c r="AW33" s="456"/>
      <c r="AX33" s="456"/>
      <c r="AY33" s="456"/>
      <c r="AZ33" s="459"/>
      <c r="BA33" s="459"/>
      <c r="BB33" s="459"/>
      <c r="BC33" s="459" t="s">
        <v>563</v>
      </c>
      <c r="BD33" s="459"/>
      <c r="BE33" s="459"/>
      <c r="BF33" s="456"/>
      <c r="BG33" s="459"/>
      <c r="BH33" s="459"/>
      <c r="BI33" s="459"/>
      <c r="BJ33" s="459"/>
      <c r="BK33" s="459"/>
      <c r="BL33" s="456"/>
      <c r="BM33" s="461"/>
      <c r="BN33" s="461"/>
      <c r="BO33" s="461"/>
      <c r="BP33" s="461"/>
      <c r="BQ33" s="461"/>
      <c r="BR33" s="459"/>
      <c r="BS33" s="459"/>
      <c r="BT33" s="459"/>
      <c r="BU33" s="459"/>
      <c r="BV33" s="459"/>
      <c r="BW33" s="456"/>
      <c r="BX33" s="456"/>
      <c r="BY33" s="456"/>
      <c r="BZ33" s="456"/>
      <c r="CA33" s="456"/>
      <c r="CB33" s="456"/>
      <c r="CC33" s="456"/>
      <c r="CD33" s="456"/>
      <c r="CE33" s="456"/>
      <c r="CF33" s="456"/>
      <c r="CG33" s="456"/>
      <c r="CH33" s="456"/>
      <c r="CI33" s="456"/>
      <c r="CJ33" s="456"/>
      <c r="CK33" s="456"/>
      <c r="CL33" s="456"/>
      <c r="CM33" s="466" t="s">
        <v>620</v>
      </c>
    </row>
    <row r="34" spans="1:91" ht="42" customHeight="1">
      <c r="A34" s="485"/>
      <c r="B34" s="485"/>
      <c r="C34" s="485"/>
      <c r="D34" s="485"/>
      <c r="E34" s="485"/>
      <c r="F34" s="485"/>
      <c r="G34" s="485"/>
      <c r="H34" s="485"/>
      <c r="I34" s="485"/>
      <c r="J34" s="485"/>
      <c r="K34" s="485"/>
      <c r="L34" s="485"/>
      <c r="M34" s="485"/>
      <c r="N34" s="485"/>
      <c r="O34" s="485"/>
      <c r="P34" s="485"/>
      <c r="Q34" s="487"/>
      <c r="R34" s="488"/>
      <c r="S34" s="487"/>
      <c r="T34" s="485"/>
      <c r="U34" s="490">
        <f t="shared" si="3"/>
        <v>0</v>
      </c>
      <c r="V34" s="485"/>
      <c r="W34" s="490">
        <f t="shared" si="4"/>
        <v>0</v>
      </c>
      <c r="X34" s="485"/>
      <c r="Y34" s="490">
        <f t="shared" si="5"/>
        <v>0</v>
      </c>
      <c r="Z34" s="469" t="str">
        <f t="shared" si="0"/>
        <v>FALTAN DATOS</v>
      </c>
      <c r="AA34" s="485"/>
      <c r="AB34" s="485"/>
      <c r="AC34" s="485"/>
      <c r="AD34" s="490" t="str">
        <f t="shared" si="1"/>
        <v/>
      </c>
      <c r="AE34" s="490" t="str">
        <f t="shared" si="6"/>
        <v/>
      </c>
      <c r="AF34" s="489"/>
      <c r="AG34" s="485"/>
      <c r="AH34" s="485"/>
      <c r="AI34" s="485"/>
      <c r="AJ34" s="485"/>
      <c r="AK34" s="485"/>
      <c r="AL34" s="485"/>
      <c r="AM34" s="485"/>
      <c r="AN34" s="509"/>
      <c r="AO34" s="456"/>
      <c r="AP34" s="456"/>
      <c r="AQ34" s="456"/>
      <c r="AR34" s="456"/>
      <c r="AS34" s="456"/>
      <c r="AT34" s="456"/>
      <c r="AU34" s="456"/>
      <c r="AV34" s="456"/>
      <c r="AW34" s="456"/>
      <c r="AX34" s="456"/>
      <c r="AY34" s="456"/>
      <c r="AZ34" s="459"/>
      <c r="BA34" s="459"/>
      <c r="BB34" s="459"/>
      <c r="BC34" s="459" t="s">
        <v>564</v>
      </c>
      <c r="BD34" s="459"/>
      <c r="BE34" s="459"/>
      <c r="BF34" s="456"/>
      <c r="BG34" s="459"/>
      <c r="BH34" s="459"/>
      <c r="BI34" s="459"/>
      <c r="BJ34" s="459"/>
      <c r="BK34" s="459"/>
      <c r="BL34" s="456"/>
      <c r="BM34" s="461"/>
      <c r="BN34" s="461"/>
      <c r="BO34" s="461"/>
      <c r="BP34" s="461"/>
      <c r="BQ34" s="461"/>
      <c r="BR34" s="459"/>
      <c r="BS34" s="459"/>
      <c r="BT34" s="459"/>
      <c r="BU34" s="459"/>
      <c r="BV34" s="459"/>
      <c r="BW34" s="456"/>
      <c r="BX34" s="456"/>
      <c r="BY34" s="456"/>
      <c r="BZ34" s="456"/>
      <c r="CA34" s="456"/>
      <c r="CB34" s="456"/>
      <c r="CC34" s="456"/>
      <c r="CD34" s="456"/>
      <c r="CE34" s="456"/>
      <c r="CF34" s="456"/>
      <c r="CG34" s="456"/>
      <c r="CH34" s="456"/>
      <c r="CI34" s="456"/>
      <c r="CJ34" s="456"/>
      <c r="CK34" s="456"/>
      <c r="CL34" s="456"/>
      <c r="CM34" s="466" t="s">
        <v>631</v>
      </c>
    </row>
    <row r="35" spans="1:91" ht="42" customHeight="1">
      <c r="A35" s="485"/>
      <c r="B35" s="485"/>
      <c r="C35" s="485"/>
      <c r="D35" s="485"/>
      <c r="E35" s="485"/>
      <c r="F35" s="485"/>
      <c r="G35" s="485"/>
      <c r="H35" s="485"/>
      <c r="I35" s="485"/>
      <c r="J35" s="485"/>
      <c r="K35" s="485"/>
      <c r="L35" s="485"/>
      <c r="M35" s="485"/>
      <c r="N35" s="485"/>
      <c r="O35" s="485"/>
      <c r="P35" s="485"/>
      <c r="Q35" s="487"/>
      <c r="R35" s="488"/>
      <c r="S35" s="487"/>
      <c r="T35" s="485"/>
      <c r="U35" s="490">
        <f t="shared" si="3"/>
        <v>0</v>
      </c>
      <c r="V35" s="485"/>
      <c r="W35" s="490">
        <f t="shared" si="4"/>
        <v>0</v>
      </c>
      <c r="X35" s="485"/>
      <c r="Y35" s="490">
        <f t="shared" si="5"/>
        <v>0</v>
      </c>
      <c r="Z35" s="469" t="str">
        <f t="shared" si="0"/>
        <v>FALTAN DATOS</v>
      </c>
      <c r="AA35" s="485"/>
      <c r="AB35" s="485"/>
      <c r="AC35" s="485"/>
      <c r="AD35" s="490" t="str">
        <f t="shared" si="1"/>
        <v/>
      </c>
      <c r="AE35" s="490" t="str">
        <f t="shared" si="6"/>
        <v/>
      </c>
      <c r="AF35" s="489"/>
      <c r="AG35" s="485"/>
      <c r="AH35" s="485"/>
      <c r="AI35" s="485"/>
      <c r="AJ35" s="485"/>
      <c r="AK35" s="485"/>
      <c r="AL35" s="485"/>
      <c r="AM35" s="485"/>
      <c r="AN35" s="509"/>
      <c r="AO35" s="456"/>
      <c r="AP35" s="456"/>
      <c r="AQ35" s="456"/>
      <c r="AR35" s="456"/>
      <c r="AS35" s="456"/>
      <c r="AT35" s="456"/>
      <c r="AU35" s="456"/>
      <c r="AV35" s="456"/>
      <c r="AW35" s="456"/>
      <c r="AX35" s="456"/>
      <c r="AY35" s="456"/>
      <c r="AZ35" s="459"/>
      <c r="BA35" s="459"/>
      <c r="BB35" s="459"/>
      <c r="BC35" s="459" t="s">
        <v>565</v>
      </c>
      <c r="BD35" s="459"/>
      <c r="BE35" s="459"/>
      <c r="BF35" s="456"/>
      <c r="BG35" s="459"/>
      <c r="BH35" s="459"/>
      <c r="BI35" s="459"/>
      <c r="BJ35" s="459"/>
      <c r="BK35" s="459"/>
      <c r="BL35" s="456"/>
      <c r="BM35" s="461"/>
      <c r="BN35" s="461"/>
      <c r="BO35" s="461"/>
      <c r="BP35" s="461"/>
      <c r="BQ35" s="461"/>
      <c r="BR35" s="459"/>
      <c r="BS35" s="459"/>
      <c r="BT35" s="459"/>
      <c r="BU35" s="459"/>
      <c r="BV35" s="459"/>
      <c r="BW35" s="456"/>
      <c r="BX35" s="456"/>
      <c r="BY35" s="456"/>
      <c r="BZ35" s="456"/>
      <c r="CA35" s="456"/>
      <c r="CB35" s="456"/>
      <c r="CC35" s="456"/>
      <c r="CD35" s="456"/>
      <c r="CE35" s="456"/>
      <c r="CF35" s="456"/>
      <c r="CG35" s="456"/>
      <c r="CH35" s="456"/>
      <c r="CI35" s="456"/>
      <c r="CJ35" s="456"/>
      <c r="CK35" s="456"/>
      <c r="CL35" s="456"/>
      <c r="CM35" s="466" t="s">
        <v>639</v>
      </c>
    </row>
    <row r="36" spans="1:91" ht="42" customHeight="1">
      <c r="A36" s="485"/>
      <c r="B36" s="485"/>
      <c r="C36" s="485"/>
      <c r="D36" s="485"/>
      <c r="E36" s="485"/>
      <c r="F36" s="485"/>
      <c r="G36" s="485"/>
      <c r="H36" s="485"/>
      <c r="I36" s="485"/>
      <c r="J36" s="485"/>
      <c r="K36" s="485"/>
      <c r="L36" s="485"/>
      <c r="M36" s="485"/>
      <c r="N36" s="485"/>
      <c r="O36" s="485"/>
      <c r="P36" s="485"/>
      <c r="Q36" s="487"/>
      <c r="R36" s="488"/>
      <c r="S36" s="487"/>
      <c r="T36" s="485"/>
      <c r="U36" s="490">
        <f t="shared" si="3"/>
        <v>0</v>
      </c>
      <c r="V36" s="485"/>
      <c r="W36" s="490">
        <f t="shared" si="4"/>
        <v>0</v>
      </c>
      <c r="X36" s="485"/>
      <c r="Y36" s="490">
        <f t="shared" si="5"/>
        <v>0</v>
      </c>
      <c r="Z36" s="469" t="str">
        <f t="shared" si="0"/>
        <v>FALTAN DATOS</v>
      </c>
      <c r="AA36" s="485"/>
      <c r="AB36" s="485"/>
      <c r="AC36" s="485"/>
      <c r="AD36" s="490" t="str">
        <f t="shared" si="1"/>
        <v/>
      </c>
      <c r="AE36" s="490" t="str">
        <f t="shared" si="6"/>
        <v/>
      </c>
      <c r="AF36" s="489"/>
      <c r="AG36" s="485"/>
      <c r="AH36" s="485"/>
      <c r="AI36" s="485"/>
      <c r="AJ36" s="485"/>
      <c r="AK36" s="485"/>
      <c r="AL36" s="485"/>
      <c r="AM36" s="485"/>
      <c r="AN36" s="509"/>
      <c r="AO36" s="456"/>
      <c r="AP36" s="456"/>
      <c r="AQ36" s="456"/>
      <c r="AR36" s="456"/>
      <c r="AS36" s="456"/>
      <c r="AT36" s="456"/>
      <c r="AU36" s="456"/>
      <c r="AV36" s="456"/>
      <c r="AW36" s="456"/>
      <c r="AX36" s="456"/>
      <c r="AY36" s="456"/>
      <c r="AZ36" s="459"/>
      <c r="BA36" s="459"/>
      <c r="BB36" s="459"/>
      <c r="BC36" s="459" t="s">
        <v>509</v>
      </c>
      <c r="BD36" s="459"/>
      <c r="BE36" s="459"/>
      <c r="BF36" s="456"/>
      <c r="BG36" s="459"/>
      <c r="BH36" s="459"/>
      <c r="BI36" s="459"/>
      <c r="BJ36" s="459"/>
      <c r="BK36" s="459"/>
      <c r="BL36" s="456"/>
      <c r="BM36" s="461"/>
      <c r="BN36" s="461"/>
      <c r="BO36" s="461"/>
      <c r="BP36" s="461"/>
      <c r="BQ36" s="461"/>
      <c r="BR36" s="459"/>
      <c r="BS36" s="459"/>
      <c r="BT36" s="459"/>
      <c r="BU36" s="459"/>
      <c r="BV36" s="459"/>
      <c r="BW36" s="456"/>
      <c r="BX36" s="456"/>
      <c r="BY36" s="456"/>
      <c r="BZ36" s="456"/>
      <c r="CA36" s="456"/>
      <c r="CB36" s="456"/>
      <c r="CC36" s="456"/>
      <c r="CD36" s="456"/>
      <c r="CE36" s="456"/>
      <c r="CF36" s="456"/>
      <c r="CG36" s="456"/>
      <c r="CH36" s="456"/>
      <c r="CI36" s="456"/>
      <c r="CJ36" s="456"/>
      <c r="CK36" s="456"/>
      <c r="CL36" s="456"/>
      <c r="CM36" s="466" t="s">
        <v>643</v>
      </c>
    </row>
    <row r="37" spans="1:91" ht="42" customHeight="1">
      <c r="A37" s="485"/>
      <c r="B37" s="485"/>
      <c r="C37" s="485"/>
      <c r="D37" s="485"/>
      <c r="E37" s="485"/>
      <c r="F37" s="485"/>
      <c r="G37" s="485"/>
      <c r="H37" s="485"/>
      <c r="I37" s="485"/>
      <c r="J37" s="485"/>
      <c r="K37" s="485"/>
      <c r="L37" s="485"/>
      <c r="M37" s="485"/>
      <c r="N37" s="485"/>
      <c r="O37" s="485"/>
      <c r="P37" s="485"/>
      <c r="Q37" s="487"/>
      <c r="R37" s="488"/>
      <c r="S37" s="487"/>
      <c r="T37" s="485"/>
      <c r="U37" s="490">
        <f t="shared" si="3"/>
        <v>0</v>
      </c>
      <c r="V37" s="485"/>
      <c r="W37" s="490">
        <f t="shared" si="4"/>
        <v>0</v>
      </c>
      <c r="X37" s="485"/>
      <c r="Y37" s="490">
        <f t="shared" si="5"/>
        <v>0</v>
      </c>
      <c r="Z37" s="469" t="str">
        <f t="shared" si="0"/>
        <v>FALTAN DATOS</v>
      </c>
      <c r="AA37" s="485"/>
      <c r="AB37" s="485"/>
      <c r="AC37" s="485"/>
      <c r="AD37" s="490" t="str">
        <f t="shared" si="1"/>
        <v/>
      </c>
      <c r="AE37" s="490" t="str">
        <f t="shared" si="6"/>
        <v/>
      </c>
      <c r="AF37" s="489"/>
      <c r="AG37" s="485"/>
      <c r="AH37" s="485"/>
      <c r="AI37" s="485"/>
      <c r="AJ37" s="485"/>
      <c r="AK37" s="485"/>
      <c r="AL37" s="485"/>
      <c r="AM37" s="485"/>
      <c r="AN37" s="509"/>
      <c r="AO37" s="456"/>
      <c r="AP37" s="456"/>
      <c r="AQ37" s="456"/>
      <c r="AR37" s="456"/>
      <c r="AS37" s="456"/>
      <c r="AT37" s="456"/>
      <c r="AU37" s="456"/>
      <c r="AV37" s="456"/>
      <c r="AW37" s="456"/>
      <c r="AX37" s="456"/>
      <c r="AY37" s="456"/>
      <c r="AZ37" s="459"/>
      <c r="BA37" s="459"/>
      <c r="BB37" s="459"/>
      <c r="BC37" s="459" t="s">
        <v>566</v>
      </c>
      <c r="BD37" s="460"/>
      <c r="BE37" s="461"/>
      <c r="BF37" s="456"/>
      <c r="BG37" s="456"/>
      <c r="BH37" s="456"/>
      <c r="BI37" s="456"/>
      <c r="BJ37" s="456"/>
      <c r="BK37" s="456"/>
      <c r="BL37" s="456"/>
      <c r="BM37" s="456"/>
      <c r="BN37" s="456"/>
      <c r="BO37" s="456"/>
      <c r="BP37" s="456"/>
      <c r="BQ37" s="456"/>
      <c r="BR37" s="456"/>
      <c r="BS37" s="456"/>
      <c r="BT37" s="456"/>
      <c r="BU37" s="456"/>
      <c r="BV37" s="456"/>
      <c r="BW37" s="456"/>
      <c r="BX37" s="456"/>
      <c r="BY37" s="456"/>
      <c r="BZ37" s="456"/>
      <c r="CA37" s="456"/>
      <c r="CB37" s="456"/>
      <c r="CC37" s="456"/>
      <c r="CD37" s="456"/>
      <c r="CE37" s="456"/>
      <c r="CF37" s="456"/>
      <c r="CG37" s="456"/>
      <c r="CH37" s="456"/>
      <c r="CI37" s="456"/>
      <c r="CJ37" s="456"/>
      <c r="CK37" s="456"/>
      <c r="CL37" s="456"/>
      <c r="CM37" s="466" t="s">
        <v>644</v>
      </c>
    </row>
    <row r="38" spans="1:91" ht="42" customHeight="1">
      <c r="A38" s="485"/>
      <c r="B38" s="485"/>
      <c r="C38" s="485"/>
      <c r="D38" s="485"/>
      <c r="E38" s="485"/>
      <c r="F38" s="485"/>
      <c r="G38" s="485"/>
      <c r="H38" s="485"/>
      <c r="I38" s="485"/>
      <c r="J38" s="485"/>
      <c r="K38" s="485"/>
      <c r="L38" s="485"/>
      <c r="M38" s="485"/>
      <c r="N38" s="485"/>
      <c r="O38" s="485"/>
      <c r="P38" s="485"/>
      <c r="Q38" s="487"/>
      <c r="R38" s="488"/>
      <c r="S38" s="487"/>
      <c r="T38" s="485"/>
      <c r="U38" s="490">
        <f t="shared" si="3"/>
        <v>0</v>
      </c>
      <c r="V38" s="485"/>
      <c r="W38" s="490">
        <f t="shared" si="4"/>
        <v>0</v>
      </c>
      <c r="X38" s="485"/>
      <c r="Y38" s="490">
        <f t="shared" si="5"/>
        <v>0</v>
      </c>
      <c r="Z38" s="469" t="str">
        <f t="shared" si="0"/>
        <v>FALTAN DATOS</v>
      </c>
      <c r="AA38" s="485"/>
      <c r="AB38" s="485"/>
      <c r="AC38" s="485"/>
      <c r="AD38" s="490" t="str">
        <f t="shared" si="1"/>
        <v/>
      </c>
      <c r="AE38" s="490" t="str">
        <f t="shared" si="6"/>
        <v/>
      </c>
      <c r="AF38" s="489"/>
      <c r="AG38" s="485"/>
      <c r="AH38" s="485"/>
      <c r="AI38" s="485"/>
      <c r="AJ38" s="485"/>
      <c r="AK38" s="485"/>
      <c r="AL38" s="485"/>
      <c r="AM38" s="485"/>
      <c r="AN38" s="509"/>
      <c r="AO38" s="456"/>
      <c r="AP38" s="456"/>
      <c r="AQ38" s="456"/>
      <c r="AR38" s="456"/>
      <c r="AS38" s="456"/>
      <c r="AT38" s="456"/>
      <c r="AU38" s="456"/>
      <c r="AV38" s="456"/>
      <c r="AW38" s="456"/>
      <c r="AX38" s="456"/>
      <c r="AY38" s="456"/>
      <c r="AZ38" s="459"/>
      <c r="BA38" s="459"/>
      <c r="BB38" s="459"/>
      <c r="BC38" s="459" t="s">
        <v>567</v>
      </c>
      <c r="BD38" s="460"/>
      <c r="BE38" s="461"/>
      <c r="BF38" s="456"/>
      <c r="BG38" s="456"/>
      <c r="BH38" s="456"/>
      <c r="BI38" s="456"/>
      <c r="BJ38" s="456"/>
      <c r="BK38" s="456"/>
      <c r="BL38" s="456"/>
      <c r="BM38" s="456"/>
      <c r="BN38" s="456"/>
      <c r="BO38" s="456"/>
      <c r="BP38" s="456"/>
      <c r="BQ38" s="456"/>
      <c r="BR38" s="456"/>
      <c r="BS38" s="456"/>
      <c r="BT38" s="456"/>
      <c r="BU38" s="456"/>
      <c r="BV38" s="456"/>
      <c r="BW38" s="456"/>
      <c r="BX38" s="456"/>
      <c r="BY38" s="456"/>
      <c r="BZ38" s="456"/>
      <c r="CA38" s="456"/>
      <c r="CB38" s="456"/>
      <c r="CC38" s="456"/>
      <c r="CD38" s="456"/>
      <c r="CE38" s="456"/>
      <c r="CF38" s="456"/>
      <c r="CG38" s="456"/>
      <c r="CH38" s="456"/>
      <c r="CI38" s="456"/>
      <c r="CJ38" s="456"/>
      <c r="CK38" s="456"/>
      <c r="CL38" s="456"/>
      <c r="CM38" s="466" t="s">
        <v>645</v>
      </c>
    </row>
    <row r="39" spans="1:91" ht="42" customHeight="1">
      <c r="A39" s="485"/>
      <c r="B39" s="485"/>
      <c r="C39" s="485"/>
      <c r="D39" s="485"/>
      <c r="E39" s="485"/>
      <c r="F39" s="485"/>
      <c r="G39" s="485"/>
      <c r="H39" s="485"/>
      <c r="I39" s="485"/>
      <c r="J39" s="485"/>
      <c r="K39" s="485"/>
      <c r="L39" s="485"/>
      <c r="M39" s="485"/>
      <c r="N39" s="485"/>
      <c r="O39" s="485"/>
      <c r="P39" s="485"/>
      <c r="Q39" s="487"/>
      <c r="R39" s="488"/>
      <c r="S39" s="487"/>
      <c r="T39" s="485"/>
      <c r="U39" s="490">
        <f t="shared" si="3"/>
        <v>0</v>
      </c>
      <c r="V39" s="485"/>
      <c r="W39" s="490">
        <f t="shared" si="4"/>
        <v>0</v>
      </c>
      <c r="X39" s="485"/>
      <c r="Y39" s="490">
        <f t="shared" si="5"/>
        <v>0</v>
      </c>
      <c r="Z39" s="469" t="str">
        <f t="shared" si="0"/>
        <v>FALTAN DATOS</v>
      </c>
      <c r="AA39" s="485"/>
      <c r="AB39" s="485"/>
      <c r="AC39" s="485"/>
      <c r="AD39" s="490" t="str">
        <f t="shared" si="1"/>
        <v/>
      </c>
      <c r="AE39" s="490" t="str">
        <f t="shared" si="6"/>
        <v/>
      </c>
      <c r="AF39" s="489"/>
      <c r="AG39" s="485"/>
      <c r="AH39" s="485"/>
      <c r="AI39" s="485"/>
      <c r="AJ39" s="485"/>
      <c r="AK39" s="485"/>
      <c r="AL39" s="485"/>
      <c r="AM39" s="485"/>
      <c r="AN39" s="509"/>
      <c r="AO39" s="456"/>
      <c r="AP39" s="456"/>
      <c r="AQ39" s="456"/>
      <c r="AR39" s="456"/>
      <c r="AS39" s="456"/>
      <c r="AT39" s="456"/>
      <c r="AU39" s="456"/>
      <c r="AV39" s="456"/>
      <c r="AW39" s="456"/>
      <c r="AX39" s="456"/>
      <c r="AY39" s="456"/>
      <c r="AZ39" s="459"/>
      <c r="BA39" s="459"/>
      <c r="BB39" s="459"/>
      <c r="BC39" s="459" t="s">
        <v>568</v>
      </c>
      <c r="BD39" s="460"/>
      <c r="BE39" s="461"/>
      <c r="BF39" s="456"/>
      <c r="BG39" s="456"/>
      <c r="BH39" s="456"/>
      <c r="BI39" s="456"/>
      <c r="BJ39" s="456"/>
      <c r="BK39" s="456"/>
      <c r="BL39" s="456"/>
      <c r="BM39" s="456"/>
      <c r="BN39" s="456"/>
      <c r="BO39" s="456"/>
      <c r="BP39" s="456"/>
      <c r="BQ39" s="456"/>
      <c r="BR39" s="456"/>
      <c r="BS39" s="456"/>
      <c r="BT39" s="456"/>
      <c r="BU39" s="456"/>
      <c r="BV39" s="456"/>
      <c r="BW39" s="456"/>
      <c r="BX39" s="456"/>
      <c r="BY39" s="456"/>
      <c r="BZ39" s="456"/>
      <c r="CA39" s="456"/>
      <c r="CB39" s="456"/>
      <c r="CC39" s="456"/>
      <c r="CD39" s="456"/>
      <c r="CE39" s="456"/>
      <c r="CF39" s="456"/>
      <c r="CG39" s="456"/>
      <c r="CH39" s="456"/>
      <c r="CI39" s="456"/>
      <c r="CJ39" s="456"/>
      <c r="CK39" s="456"/>
      <c r="CL39" s="456"/>
      <c r="CM39" s="466" t="s">
        <v>646</v>
      </c>
    </row>
    <row r="40" spans="1:91" ht="42" customHeight="1">
      <c r="A40" s="485"/>
      <c r="B40" s="485"/>
      <c r="C40" s="485"/>
      <c r="D40" s="485"/>
      <c r="E40" s="485"/>
      <c r="F40" s="485"/>
      <c r="G40" s="485"/>
      <c r="H40" s="485"/>
      <c r="I40" s="485"/>
      <c r="J40" s="485"/>
      <c r="K40" s="485"/>
      <c r="L40" s="485"/>
      <c r="M40" s="485"/>
      <c r="N40" s="485"/>
      <c r="O40" s="485"/>
      <c r="P40" s="485"/>
      <c r="Q40" s="485"/>
      <c r="R40" s="485"/>
      <c r="S40" s="485"/>
      <c r="T40" s="485"/>
      <c r="U40" s="490">
        <f t="shared" si="3"/>
        <v>0</v>
      </c>
      <c r="V40" s="485"/>
      <c r="W40" s="490">
        <f t="shared" si="4"/>
        <v>0</v>
      </c>
      <c r="X40" s="485"/>
      <c r="Y40" s="490">
        <f t="shared" si="5"/>
        <v>0</v>
      </c>
      <c r="Z40" s="469" t="str">
        <f t="shared" si="0"/>
        <v>FALTAN DATOS</v>
      </c>
      <c r="AA40" s="485"/>
      <c r="AB40" s="485"/>
      <c r="AC40" s="485"/>
      <c r="AD40" s="490" t="str">
        <f t="shared" si="1"/>
        <v/>
      </c>
      <c r="AE40" s="490" t="str">
        <f t="shared" si="6"/>
        <v/>
      </c>
      <c r="AF40" s="489"/>
      <c r="AG40" s="485"/>
      <c r="AH40" s="485"/>
      <c r="AI40" s="485"/>
      <c r="AJ40" s="485"/>
      <c r="AK40" s="485"/>
      <c r="AL40" s="485"/>
      <c r="AM40" s="485"/>
      <c r="AN40" s="509"/>
      <c r="AO40" s="456"/>
      <c r="AP40" s="456"/>
      <c r="AQ40" s="456"/>
      <c r="AR40" s="456"/>
      <c r="AS40" s="456"/>
      <c r="AT40" s="456"/>
      <c r="AU40" s="456"/>
      <c r="AV40" s="456"/>
      <c r="AW40" s="456"/>
      <c r="AX40" s="456"/>
      <c r="AY40" s="456"/>
      <c r="AZ40" s="459"/>
      <c r="BA40" s="459"/>
      <c r="BB40" s="459"/>
      <c r="BC40" s="459" t="s">
        <v>569</v>
      </c>
      <c r="BD40" s="460"/>
      <c r="BE40" s="460"/>
      <c r="BF40" s="456"/>
      <c r="BG40" s="456"/>
      <c r="BH40" s="456"/>
      <c r="BI40" s="456"/>
      <c r="BJ40" s="456"/>
      <c r="BK40" s="456"/>
      <c r="BL40" s="456"/>
      <c r="BM40" s="456"/>
      <c r="BN40" s="456"/>
      <c r="BO40" s="456"/>
      <c r="BP40" s="456"/>
      <c r="BQ40" s="456"/>
      <c r="BR40" s="456"/>
      <c r="BS40" s="456"/>
      <c r="BT40" s="456"/>
      <c r="BU40" s="456"/>
      <c r="BV40" s="456"/>
      <c r="BW40" s="456"/>
      <c r="BX40" s="456"/>
      <c r="BY40" s="456"/>
      <c r="BZ40" s="456"/>
      <c r="CA40" s="456"/>
      <c r="CB40" s="456"/>
      <c r="CC40" s="456"/>
      <c r="CD40" s="456"/>
      <c r="CE40" s="456"/>
      <c r="CF40" s="456"/>
      <c r="CG40" s="456"/>
      <c r="CH40" s="456"/>
      <c r="CI40" s="456"/>
      <c r="CJ40" s="456"/>
      <c r="CK40" s="456"/>
      <c r="CL40" s="456"/>
      <c r="CM40" s="466" t="s">
        <v>647</v>
      </c>
    </row>
    <row r="41" spans="1:91" ht="42" customHeight="1">
      <c r="A41" s="485"/>
      <c r="B41" s="485"/>
      <c r="C41" s="485"/>
      <c r="D41" s="485"/>
      <c r="E41" s="485"/>
      <c r="F41" s="485"/>
      <c r="G41" s="485"/>
      <c r="H41" s="485"/>
      <c r="I41" s="485"/>
      <c r="J41" s="485"/>
      <c r="K41" s="485"/>
      <c r="L41" s="485"/>
      <c r="M41" s="485"/>
      <c r="N41" s="485"/>
      <c r="O41" s="485"/>
      <c r="P41" s="485"/>
      <c r="Q41" s="485"/>
      <c r="R41" s="485"/>
      <c r="S41" s="485"/>
      <c r="T41" s="485"/>
      <c r="U41" s="490">
        <f t="shared" si="3"/>
        <v>0</v>
      </c>
      <c r="V41" s="485"/>
      <c r="W41" s="490">
        <f t="shared" si="4"/>
        <v>0</v>
      </c>
      <c r="X41" s="485"/>
      <c r="Y41" s="490">
        <f t="shared" si="5"/>
        <v>0</v>
      </c>
      <c r="Z41" s="469" t="str">
        <f t="shared" si="0"/>
        <v>FALTAN DATOS</v>
      </c>
      <c r="AA41" s="485"/>
      <c r="AB41" s="485"/>
      <c r="AC41" s="485"/>
      <c r="AD41" s="490" t="str">
        <f t="shared" si="1"/>
        <v/>
      </c>
      <c r="AE41" s="490" t="str">
        <f t="shared" si="6"/>
        <v/>
      </c>
      <c r="AF41" s="489"/>
      <c r="AG41" s="485"/>
      <c r="AH41" s="485"/>
      <c r="AI41" s="485"/>
      <c r="AJ41" s="485"/>
      <c r="AK41" s="485"/>
      <c r="AL41" s="485"/>
      <c r="AM41" s="485"/>
      <c r="AN41" s="509"/>
      <c r="AO41" s="456"/>
      <c r="AP41" s="456"/>
      <c r="AQ41" s="456"/>
      <c r="AR41" s="456"/>
      <c r="AS41" s="456"/>
      <c r="AT41" s="456"/>
      <c r="AU41" s="456"/>
      <c r="AV41" s="456"/>
      <c r="AW41" s="456"/>
      <c r="AX41" s="456"/>
      <c r="AY41" s="456"/>
      <c r="AZ41" s="459"/>
      <c r="BA41" s="459"/>
      <c r="BB41" s="459"/>
      <c r="BC41" s="459" t="s">
        <v>570</v>
      </c>
      <c r="BD41" s="460"/>
      <c r="BE41" s="460"/>
      <c r="BF41" s="456"/>
      <c r="BG41" s="456"/>
      <c r="BH41" s="456"/>
      <c r="BI41" s="456"/>
      <c r="BJ41" s="456"/>
      <c r="BK41" s="456"/>
      <c r="BL41" s="456"/>
      <c r="BM41" s="456"/>
      <c r="BN41" s="456"/>
      <c r="BO41" s="456"/>
      <c r="BP41" s="456"/>
      <c r="BQ41" s="456"/>
      <c r="BR41" s="456"/>
      <c r="BS41" s="456"/>
      <c r="BT41" s="456"/>
      <c r="BU41" s="456"/>
      <c r="BV41" s="456"/>
      <c r="BW41" s="456"/>
      <c r="BX41" s="456"/>
      <c r="BY41" s="456"/>
      <c r="BZ41" s="456"/>
      <c r="CA41" s="456"/>
      <c r="CB41" s="456"/>
      <c r="CC41" s="456"/>
      <c r="CD41" s="456"/>
      <c r="CE41" s="456"/>
      <c r="CF41" s="456"/>
      <c r="CG41" s="456"/>
      <c r="CH41" s="456"/>
      <c r="CI41" s="456"/>
      <c r="CJ41" s="456"/>
      <c r="CK41" s="456"/>
      <c r="CL41" s="456"/>
      <c r="CM41" s="466" t="s">
        <v>609</v>
      </c>
    </row>
    <row r="42" spans="1:91" ht="42" customHeight="1">
      <c r="A42" s="485"/>
      <c r="B42" s="485"/>
      <c r="C42" s="485"/>
      <c r="D42" s="485"/>
      <c r="E42" s="485"/>
      <c r="F42" s="485"/>
      <c r="G42" s="485"/>
      <c r="H42" s="485"/>
      <c r="I42" s="485"/>
      <c r="J42" s="485"/>
      <c r="K42" s="485"/>
      <c r="L42" s="485"/>
      <c r="M42" s="485"/>
      <c r="N42" s="485"/>
      <c r="O42" s="485"/>
      <c r="P42" s="485"/>
      <c r="Q42" s="485"/>
      <c r="R42" s="485"/>
      <c r="S42" s="485"/>
      <c r="T42" s="485"/>
      <c r="U42" s="490">
        <f t="shared" si="3"/>
        <v>0</v>
      </c>
      <c r="V42" s="485"/>
      <c r="W42" s="490">
        <f t="shared" si="4"/>
        <v>0</v>
      </c>
      <c r="X42" s="485"/>
      <c r="Y42" s="490">
        <f t="shared" si="5"/>
        <v>0</v>
      </c>
      <c r="Z42" s="469" t="str">
        <f t="shared" si="0"/>
        <v>FALTAN DATOS</v>
      </c>
      <c r="AA42" s="485"/>
      <c r="AB42" s="485"/>
      <c r="AC42" s="485"/>
      <c r="AD42" s="490" t="str">
        <f t="shared" si="1"/>
        <v/>
      </c>
      <c r="AE42" s="490" t="str">
        <f t="shared" si="6"/>
        <v/>
      </c>
      <c r="AF42" s="489"/>
      <c r="AG42" s="485"/>
      <c r="AH42" s="485"/>
      <c r="AI42" s="485"/>
      <c r="AJ42" s="485"/>
      <c r="AK42" s="485"/>
      <c r="AL42" s="485"/>
      <c r="AM42" s="485"/>
      <c r="AN42" s="509"/>
      <c r="AO42" s="456"/>
      <c r="AP42" s="456"/>
      <c r="AQ42" s="456"/>
      <c r="AR42" s="456"/>
      <c r="AS42" s="456"/>
      <c r="AT42" s="456"/>
      <c r="AU42" s="456"/>
      <c r="AV42" s="456"/>
      <c r="AW42" s="456"/>
      <c r="AX42" s="456"/>
      <c r="AY42" s="456"/>
      <c r="AZ42" s="462"/>
      <c r="BA42" s="462"/>
      <c r="BB42" s="463"/>
      <c r="BC42" s="459" t="s">
        <v>571</v>
      </c>
      <c r="BD42" s="460"/>
      <c r="BE42" s="460"/>
      <c r="BF42" s="456"/>
      <c r="BG42" s="456"/>
      <c r="BH42" s="456"/>
      <c r="BI42" s="456"/>
      <c r="BJ42" s="456"/>
      <c r="BK42" s="456"/>
      <c r="BL42" s="456"/>
      <c r="BM42" s="456"/>
      <c r="BN42" s="456"/>
      <c r="BO42" s="456"/>
      <c r="BP42" s="456"/>
      <c r="BQ42" s="456"/>
      <c r="BR42" s="456"/>
      <c r="BS42" s="456"/>
      <c r="BT42" s="456"/>
      <c r="BU42" s="456"/>
      <c r="BV42" s="456"/>
      <c r="BW42" s="456"/>
      <c r="BX42" s="456"/>
      <c r="BY42" s="456"/>
      <c r="BZ42" s="456"/>
      <c r="CA42" s="456"/>
      <c r="CB42" s="456"/>
      <c r="CC42" s="456"/>
      <c r="CD42" s="456"/>
      <c r="CE42" s="456"/>
      <c r="CF42" s="456"/>
      <c r="CG42" s="456"/>
      <c r="CH42" s="456"/>
      <c r="CI42" s="456"/>
      <c r="CJ42" s="456"/>
      <c r="CK42" s="456"/>
      <c r="CL42" s="456"/>
      <c r="CM42" s="466" t="s">
        <v>621</v>
      </c>
    </row>
    <row r="43" spans="1:91" ht="42" customHeight="1">
      <c r="A43" s="485"/>
      <c r="B43" s="485"/>
      <c r="C43" s="485"/>
      <c r="D43" s="485"/>
      <c r="E43" s="485"/>
      <c r="F43" s="485"/>
      <c r="G43" s="485"/>
      <c r="H43" s="485"/>
      <c r="I43" s="485"/>
      <c r="J43" s="485"/>
      <c r="K43" s="485"/>
      <c r="L43" s="485"/>
      <c r="M43" s="485"/>
      <c r="N43" s="485"/>
      <c r="O43" s="485"/>
      <c r="P43" s="485"/>
      <c r="Q43" s="485"/>
      <c r="R43" s="485"/>
      <c r="S43" s="485"/>
      <c r="T43" s="485"/>
      <c r="U43" s="490">
        <f t="shared" si="3"/>
        <v>0</v>
      </c>
      <c r="V43" s="485"/>
      <c r="W43" s="490">
        <f t="shared" si="4"/>
        <v>0</v>
      </c>
      <c r="X43" s="485"/>
      <c r="Y43" s="490">
        <f t="shared" si="5"/>
        <v>0</v>
      </c>
      <c r="Z43" s="469" t="str">
        <f t="shared" si="0"/>
        <v>FALTAN DATOS</v>
      </c>
      <c r="AA43" s="485"/>
      <c r="AB43" s="485"/>
      <c r="AC43" s="485"/>
      <c r="AD43" s="490" t="str">
        <f t="shared" si="1"/>
        <v/>
      </c>
      <c r="AE43" s="490" t="str">
        <f t="shared" si="6"/>
        <v/>
      </c>
      <c r="AF43" s="489"/>
      <c r="AG43" s="485"/>
      <c r="AH43" s="485"/>
      <c r="AI43" s="485"/>
      <c r="AJ43" s="485"/>
      <c r="AK43" s="485"/>
      <c r="AL43" s="485"/>
      <c r="AM43" s="485"/>
      <c r="AN43" s="509"/>
      <c r="AO43" s="456"/>
      <c r="AP43" s="456"/>
      <c r="AQ43" s="456"/>
      <c r="AR43" s="456"/>
      <c r="AS43" s="456"/>
      <c r="AT43" s="456"/>
      <c r="AU43" s="456"/>
      <c r="AV43" s="456"/>
      <c r="AW43" s="456"/>
      <c r="AX43" s="456"/>
      <c r="AY43" s="456"/>
      <c r="AZ43" s="456"/>
      <c r="BA43" s="456"/>
      <c r="BB43" s="456"/>
      <c r="BC43" s="456"/>
      <c r="BD43" s="456"/>
      <c r="BE43" s="456"/>
      <c r="BF43" s="456"/>
      <c r="BG43" s="456"/>
      <c r="BH43" s="456"/>
      <c r="BI43" s="456"/>
      <c r="BJ43" s="456"/>
      <c r="BK43" s="456"/>
      <c r="BL43" s="456"/>
      <c r="BM43" s="456"/>
      <c r="BN43" s="456"/>
      <c r="BO43" s="456"/>
      <c r="BP43" s="456"/>
      <c r="BQ43" s="456"/>
      <c r="BR43" s="456"/>
      <c r="BS43" s="456"/>
      <c r="BT43" s="456"/>
      <c r="BU43" s="456"/>
      <c r="BV43" s="456"/>
      <c r="BW43" s="456"/>
      <c r="BX43" s="456"/>
      <c r="BY43" s="456"/>
      <c r="BZ43" s="456"/>
      <c r="CA43" s="456"/>
      <c r="CB43" s="456"/>
      <c r="CC43" s="456"/>
      <c r="CD43" s="456"/>
      <c r="CE43" s="456"/>
      <c r="CF43" s="456"/>
      <c r="CG43" s="456"/>
      <c r="CH43" s="456"/>
      <c r="CI43" s="456"/>
      <c r="CJ43" s="456"/>
      <c r="CK43" s="456"/>
      <c r="CL43" s="456"/>
      <c r="CM43" s="466" t="s">
        <v>632</v>
      </c>
    </row>
    <row r="44" spans="1:91" ht="42" customHeight="1">
      <c r="A44" s="485"/>
      <c r="B44" s="485"/>
      <c r="C44" s="485"/>
      <c r="D44" s="485"/>
      <c r="E44" s="485"/>
      <c r="F44" s="485"/>
      <c r="G44" s="485"/>
      <c r="H44" s="485"/>
      <c r="I44" s="485"/>
      <c r="J44" s="485"/>
      <c r="K44" s="485"/>
      <c r="L44" s="485"/>
      <c r="M44" s="485"/>
      <c r="N44" s="485"/>
      <c r="O44" s="485"/>
      <c r="P44" s="485"/>
      <c r="Q44" s="485"/>
      <c r="R44" s="485"/>
      <c r="S44" s="485"/>
      <c r="T44" s="485"/>
      <c r="U44" s="490">
        <f t="shared" si="3"/>
        <v>0</v>
      </c>
      <c r="V44" s="485"/>
      <c r="W44" s="490">
        <f t="shared" si="4"/>
        <v>0</v>
      </c>
      <c r="X44" s="485"/>
      <c r="Y44" s="490">
        <f t="shared" si="5"/>
        <v>0</v>
      </c>
      <c r="Z44" s="469" t="str">
        <f t="shared" si="0"/>
        <v>FALTAN DATOS</v>
      </c>
      <c r="AA44" s="485"/>
      <c r="AB44" s="485"/>
      <c r="AC44" s="485"/>
      <c r="AD44" s="490" t="str">
        <f t="shared" si="1"/>
        <v/>
      </c>
      <c r="AE44" s="490" t="str">
        <f t="shared" si="6"/>
        <v/>
      </c>
      <c r="AF44" s="489"/>
      <c r="AG44" s="485"/>
      <c r="AH44" s="485"/>
      <c r="AI44" s="485"/>
      <c r="AJ44" s="485"/>
      <c r="AK44" s="485"/>
      <c r="AL44" s="485"/>
      <c r="AM44" s="485"/>
      <c r="AN44" s="509"/>
      <c r="AO44" s="456"/>
      <c r="AP44" s="456"/>
      <c r="AQ44" s="456"/>
      <c r="AR44" s="456"/>
      <c r="AS44" s="456"/>
      <c r="AT44" s="456"/>
      <c r="AU44" s="456"/>
      <c r="AV44" s="456"/>
      <c r="AW44" s="456"/>
      <c r="AX44" s="456"/>
      <c r="AY44" s="456"/>
      <c r="AZ44" s="456"/>
      <c r="BA44" s="456"/>
      <c r="BB44" s="456"/>
      <c r="BC44" s="456"/>
      <c r="BD44" s="456"/>
      <c r="BE44" s="456"/>
      <c r="BF44" s="456"/>
      <c r="BG44" s="456"/>
      <c r="BH44" s="456"/>
      <c r="BI44" s="456"/>
      <c r="BJ44" s="456"/>
      <c r="BK44" s="456"/>
      <c r="BL44" s="456"/>
      <c r="BM44" s="456"/>
      <c r="BN44" s="456"/>
      <c r="BO44" s="456"/>
      <c r="BP44" s="456"/>
      <c r="BQ44" s="456"/>
      <c r="BR44" s="456"/>
      <c r="BS44" s="456"/>
      <c r="BT44" s="456"/>
      <c r="BU44" s="456"/>
      <c r="BV44" s="456"/>
      <c r="BW44" s="456"/>
      <c r="BX44" s="456"/>
      <c r="BY44" s="456"/>
      <c r="BZ44" s="456"/>
      <c r="CA44" s="456"/>
      <c r="CB44" s="456"/>
      <c r="CC44" s="456"/>
      <c r="CD44" s="456"/>
      <c r="CE44" s="456"/>
      <c r="CF44" s="456"/>
      <c r="CG44" s="456"/>
      <c r="CH44" s="456"/>
      <c r="CI44" s="456"/>
      <c r="CJ44" s="456"/>
      <c r="CK44" s="456"/>
      <c r="CL44" s="456"/>
      <c r="CM44" s="466" t="s">
        <v>640</v>
      </c>
    </row>
    <row r="45" spans="1:91" ht="42" customHeight="1">
      <c r="A45" s="485"/>
      <c r="B45" s="485"/>
      <c r="C45" s="485"/>
      <c r="D45" s="485"/>
      <c r="E45" s="485"/>
      <c r="F45" s="485"/>
      <c r="G45" s="485"/>
      <c r="H45" s="485"/>
      <c r="I45" s="485"/>
      <c r="J45" s="485"/>
      <c r="K45" s="485"/>
      <c r="L45" s="485"/>
      <c r="M45" s="485"/>
      <c r="N45" s="485"/>
      <c r="O45" s="485"/>
      <c r="P45" s="485"/>
      <c r="Q45" s="485"/>
      <c r="R45" s="485"/>
      <c r="S45" s="485"/>
      <c r="T45" s="485"/>
      <c r="U45" s="490">
        <f t="shared" si="3"/>
        <v>0</v>
      </c>
      <c r="V45" s="485"/>
      <c r="W45" s="490">
        <f t="shared" si="4"/>
        <v>0</v>
      </c>
      <c r="X45" s="485"/>
      <c r="Y45" s="490">
        <f t="shared" si="5"/>
        <v>0</v>
      </c>
      <c r="Z45" s="469" t="str">
        <f t="shared" si="0"/>
        <v>FALTAN DATOS</v>
      </c>
      <c r="AA45" s="485"/>
      <c r="AB45" s="485"/>
      <c r="AC45" s="485"/>
      <c r="AD45" s="490" t="str">
        <f t="shared" si="1"/>
        <v/>
      </c>
      <c r="AE45" s="490" t="str">
        <f t="shared" si="6"/>
        <v/>
      </c>
      <c r="AF45" s="489"/>
      <c r="AG45" s="485"/>
      <c r="AH45" s="485"/>
      <c r="AI45" s="485"/>
      <c r="AJ45" s="485"/>
      <c r="AK45" s="485"/>
      <c r="AL45" s="485"/>
      <c r="AM45" s="485"/>
      <c r="AN45" s="509"/>
      <c r="AO45" s="456"/>
      <c r="AP45" s="456"/>
      <c r="AQ45" s="456"/>
      <c r="AR45" s="456"/>
      <c r="AS45" s="456"/>
      <c r="AT45" s="456"/>
      <c r="AU45" s="456"/>
      <c r="AV45" s="456"/>
      <c r="AW45" s="456"/>
      <c r="AX45" s="456"/>
      <c r="AY45" s="456"/>
      <c r="AZ45" s="456"/>
      <c r="BA45" s="456"/>
      <c r="BB45" s="456"/>
      <c r="BC45" s="456"/>
      <c r="BD45" s="456"/>
      <c r="BE45" s="456"/>
      <c r="BF45" s="456"/>
      <c r="BG45" s="456"/>
      <c r="BH45" s="456"/>
      <c r="BI45" s="456"/>
      <c r="BJ45" s="456"/>
      <c r="BK45" s="456"/>
      <c r="BL45" s="456"/>
      <c r="BM45" s="456"/>
      <c r="BN45" s="456"/>
      <c r="BO45" s="456"/>
      <c r="BP45" s="456"/>
      <c r="BQ45" s="456"/>
      <c r="BR45" s="456"/>
      <c r="BS45" s="456"/>
      <c r="BT45" s="456"/>
      <c r="BU45" s="456"/>
      <c r="BV45" s="456"/>
      <c r="BW45" s="456"/>
      <c r="BX45" s="456"/>
      <c r="BY45" s="456"/>
      <c r="BZ45" s="456"/>
      <c r="CA45" s="456"/>
      <c r="CB45" s="456"/>
      <c r="CC45" s="456"/>
      <c r="CD45" s="456"/>
      <c r="CE45" s="456"/>
      <c r="CF45" s="456"/>
      <c r="CG45" s="456"/>
      <c r="CH45" s="456"/>
      <c r="CI45" s="456"/>
      <c r="CJ45" s="456"/>
      <c r="CK45" s="456"/>
      <c r="CL45" s="456"/>
      <c r="CM45" s="466" t="s">
        <v>610</v>
      </c>
    </row>
    <row r="46" spans="1:91" ht="42" customHeight="1">
      <c r="A46" s="485"/>
      <c r="B46" s="485"/>
      <c r="C46" s="485"/>
      <c r="D46" s="485"/>
      <c r="E46" s="485"/>
      <c r="F46" s="485"/>
      <c r="G46" s="485"/>
      <c r="H46" s="485"/>
      <c r="I46" s="485"/>
      <c r="J46" s="485"/>
      <c r="K46" s="485"/>
      <c r="L46" s="485"/>
      <c r="M46" s="485"/>
      <c r="N46" s="485"/>
      <c r="O46" s="485"/>
      <c r="P46" s="485"/>
      <c r="Q46" s="485"/>
      <c r="R46" s="485"/>
      <c r="S46" s="485"/>
      <c r="T46" s="485"/>
      <c r="U46" s="490">
        <f t="shared" si="3"/>
        <v>0</v>
      </c>
      <c r="V46" s="485"/>
      <c r="W46" s="490">
        <f t="shared" si="4"/>
        <v>0</v>
      </c>
      <c r="X46" s="485"/>
      <c r="Y46" s="490">
        <f t="shared" si="5"/>
        <v>0</v>
      </c>
      <c r="Z46" s="469" t="str">
        <f t="shared" si="0"/>
        <v>FALTAN DATOS</v>
      </c>
      <c r="AA46" s="485"/>
      <c r="AB46" s="485"/>
      <c r="AC46" s="485"/>
      <c r="AD46" s="490" t="str">
        <f t="shared" si="1"/>
        <v/>
      </c>
      <c r="AE46" s="490" t="str">
        <f t="shared" si="6"/>
        <v/>
      </c>
      <c r="AF46" s="489"/>
      <c r="AG46" s="485"/>
      <c r="AH46" s="485"/>
      <c r="AI46" s="485"/>
      <c r="AJ46" s="485"/>
      <c r="AK46" s="485"/>
      <c r="AL46" s="485"/>
      <c r="AM46" s="485"/>
      <c r="AN46" s="509"/>
      <c r="AO46" s="456"/>
      <c r="AP46" s="456"/>
      <c r="AQ46" s="456"/>
      <c r="AR46" s="456"/>
      <c r="AS46" s="456"/>
      <c r="AT46" s="456"/>
      <c r="AU46" s="456"/>
      <c r="AV46" s="456"/>
      <c r="AW46" s="456"/>
      <c r="AX46" s="456"/>
      <c r="AY46" s="456"/>
      <c r="AZ46" s="456"/>
      <c r="BA46" s="456"/>
      <c r="BB46" s="456"/>
      <c r="BC46" s="456"/>
      <c r="BD46" s="456"/>
      <c r="BE46" s="456"/>
      <c r="BF46" s="456"/>
      <c r="BG46" s="456"/>
      <c r="BH46" s="456"/>
      <c r="BI46" s="456"/>
      <c r="BJ46" s="456"/>
      <c r="BK46" s="456"/>
      <c r="BL46" s="456"/>
      <c r="BM46" s="456"/>
      <c r="BN46" s="456"/>
      <c r="BO46" s="456"/>
      <c r="BP46" s="456"/>
      <c r="BQ46" s="456"/>
      <c r="BR46" s="456"/>
      <c r="BS46" s="456"/>
      <c r="BT46" s="456"/>
      <c r="BU46" s="456"/>
      <c r="BV46" s="456"/>
      <c r="BW46" s="456"/>
      <c r="BX46" s="456"/>
      <c r="BY46" s="456"/>
      <c r="BZ46" s="456"/>
      <c r="CA46" s="456"/>
      <c r="CB46" s="456"/>
      <c r="CC46" s="456"/>
      <c r="CD46" s="456"/>
      <c r="CE46" s="456"/>
      <c r="CF46" s="456"/>
      <c r="CG46" s="456"/>
      <c r="CH46" s="456"/>
      <c r="CI46" s="456"/>
      <c r="CJ46" s="456"/>
      <c r="CK46" s="456"/>
      <c r="CL46" s="456"/>
      <c r="CM46" s="466" t="s">
        <v>622</v>
      </c>
    </row>
    <row r="47" spans="1:91" ht="42" customHeight="1">
      <c r="A47" s="485"/>
      <c r="B47" s="485"/>
      <c r="C47" s="485"/>
      <c r="D47" s="485"/>
      <c r="E47" s="485"/>
      <c r="F47" s="485"/>
      <c r="G47" s="485"/>
      <c r="H47" s="485"/>
      <c r="I47" s="485"/>
      <c r="J47" s="485"/>
      <c r="K47" s="485"/>
      <c r="L47" s="485"/>
      <c r="M47" s="485"/>
      <c r="N47" s="485"/>
      <c r="O47" s="485"/>
      <c r="P47" s="485"/>
      <c r="Q47" s="485"/>
      <c r="R47" s="485"/>
      <c r="S47" s="485"/>
      <c r="T47" s="485"/>
      <c r="U47" s="490">
        <f t="shared" si="3"/>
        <v>0</v>
      </c>
      <c r="V47" s="485"/>
      <c r="W47" s="490">
        <f t="shared" si="4"/>
        <v>0</v>
      </c>
      <c r="X47" s="485"/>
      <c r="Y47" s="490">
        <f t="shared" si="5"/>
        <v>0</v>
      </c>
      <c r="Z47" s="469" t="str">
        <f t="shared" si="0"/>
        <v>FALTAN DATOS</v>
      </c>
      <c r="AA47" s="485"/>
      <c r="AB47" s="485"/>
      <c r="AC47" s="485"/>
      <c r="AD47" s="490" t="str">
        <f t="shared" si="1"/>
        <v/>
      </c>
      <c r="AE47" s="490" t="str">
        <f t="shared" si="6"/>
        <v/>
      </c>
      <c r="AF47" s="489"/>
      <c r="AG47" s="485"/>
      <c r="AH47" s="485"/>
      <c r="AI47" s="485"/>
      <c r="AJ47" s="485"/>
      <c r="AK47" s="485"/>
      <c r="AL47" s="485"/>
      <c r="AM47" s="485"/>
      <c r="AN47" s="509"/>
      <c r="AO47" s="456"/>
      <c r="AP47" s="456"/>
      <c r="AQ47" s="456"/>
      <c r="AR47" s="456"/>
      <c r="AS47" s="456"/>
      <c r="AT47" s="456"/>
      <c r="AU47" s="456"/>
      <c r="AV47" s="456"/>
      <c r="AW47" s="456"/>
      <c r="AX47" s="456"/>
      <c r="AY47" s="456"/>
      <c r="AZ47" s="456"/>
      <c r="BA47" s="456"/>
      <c r="BB47" s="456"/>
      <c r="BC47" s="456"/>
      <c r="BD47" s="456"/>
      <c r="BE47" s="456"/>
      <c r="BF47" s="456"/>
      <c r="BG47" s="456"/>
      <c r="BH47" s="456"/>
      <c r="BI47" s="456"/>
      <c r="BJ47" s="456"/>
      <c r="BK47" s="456"/>
      <c r="BL47" s="456"/>
      <c r="BM47" s="456"/>
      <c r="BN47" s="456"/>
      <c r="BO47" s="456"/>
      <c r="BP47" s="456"/>
      <c r="BQ47" s="456"/>
      <c r="BR47" s="456"/>
      <c r="BS47" s="456"/>
      <c r="BT47" s="456"/>
      <c r="BU47" s="456"/>
      <c r="BV47" s="456"/>
      <c r="BW47" s="456"/>
      <c r="BX47" s="456"/>
      <c r="BY47" s="456"/>
      <c r="BZ47" s="456"/>
      <c r="CA47" s="456"/>
      <c r="CB47" s="456"/>
      <c r="CC47" s="456"/>
      <c r="CD47" s="456"/>
      <c r="CE47" s="456"/>
      <c r="CF47" s="456"/>
      <c r="CG47" s="456"/>
      <c r="CH47" s="456"/>
      <c r="CI47" s="456"/>
      <c r="CJ47" s="456"/>
      <c r="CK47" s="456"/>
      <c r="CL47" s="456"/>
      <c r="CM47" s="466" t="s">
        <v>611</v>
      </c>
    </row>
    <row r="48" spans="1:91" ht="42" customHeight="1">
      <c r="A48" s="485"/>
      <c r="B48" s="485"/>
      <c r="C48" s="485"/>
      <c r="D48" s="485"/>
      <c r="E48" s="485"/>
      <c r="F48" s="485"/>
      <c r="G48" s="485"/>
      <c r="H48" s="485"/>
      <c r="I48" s="485"/>
      <c r="J48" s="485"/>
      <c r="K48" s="485"/>
      <c r="L48" s="485"/>
      <c r="M48" s="485"/>
      <c r="N48" s="485"/>
      <c r="O48" s="485"/>
      <c r="P48" s="485"/>
      <c r="Q48" s="485"/>
      <c r="R48" s="485"/>
      <c r="S48" s="485"/>
      <c r="T48" s="485"/>
      <c r="U48" s="490">
        <f t="shared" si="3"/>
        <v>0</v>
      </c>
      <c r="V48" s="485"/>
      <c r="W48" s="490">
        <f t="shared" si="4"/>
        <v>0</v>
      </c>
      <c r="X48" s="485"/>
      <c r="Y48" s="490">
        <f t="shared" si="5"/>
        <v>0</v>
      </c>
      <c r="Z48" s="469" t="str">
        <f t="shared" si="0"/>
        <v>FALTAN DATOS</v>
      </c>
      <c r="AA48" s="485"/>
      <c r="AB48" s="485"/>
      <c r="AC48" s="485"/>
      <c r="AD48" s="490" t="str">
        <f t="shared" si="1"/>
        <v/>
      </c>
      <c r="AE48" s="490" t="str">
        <f t="shared" si="6"/>
        <v/>
      </c>
      <c r="AF48" s="489"/>
      <c r="AG48" s="485"/>
      <c r="AH48" s="485"/>
      <c r="AI48" s="485"/>
      <c r="AJ48" s="485"/>
      <c r="AK48" s="485"/>
      <c r="AL48" s="485"/>
      <c r="AM48" s="485"/>
      <c r="AN48" s="509"/>
      <c r="AO48" s="456"/>
      <c r="AP48" s="456"/>
      <c r="AQ48" s="456"/>
      <c r="AR48" s="456"/>
      <c r="AS48" s="456"/>
      <c r="AT48" s="456"/>
      <c r="AU48" s="456"/>
      <c r="AV48" s="456"/>
      <c r="AW48" s="456"/>
      <c r="AX48" s="456"/>
      <c r="AY48" s="456"/>
      <c r="AZ48" s="456"/>
      <c r="BA48" s="456"/>
      <c r="BB48" s="456"/>
      <c r="BC48" s="456"/>
      <c r="BD48" s="456"/>
      <c r="BE48" s="456"/>
      <c r="BF48" s="456"/>
      <c r="BG48" s="456"/>
      <c r="BH48" s="456"/>
      <c r="BI48" s="456"/>
      <c r="BJ48" s="456"/>
      <c r="BK48" s="456"/>
      <c r="BL48" s="456"/>
      <c r="BM48" s="456"/>
      <c r="BN48" s="456"/>
      <c r="BO48" s="456"/>
      <c r="BP48" s="456"/>
      <c r="BQ48" s="456"/>
      <c r="BR48" s="456"/>
      <c r="BS48" s="456"/>
      <c r="BT48" s="456"/>
      <c r="BU48" s="456"/>
      <c r="BV48" s="456"/>
      <c r="BW48" s="456"/>
      <c r="BX48" s="456"/>
      <c r="BY48" s="456"/>
      <c r="BZ48" s="456"/>
      <c r="CA48" s="456"/>
      <c r="CB48" s="456"/>
      <c r="CC48" s="456"/>
      <c r="CD48" s="456"/>
      <c r="CE48" s="456"/>
      <c r="CF48" s="456"/>
      <c r="CG48" s="456"/>
      <c r="CH48" s="456"/>
      <c r="CI48" s="456"/>
      <c r="CJ48" s="456"/>
      <c r="CK48" s="456"/>
      <c r="CL48" s="456"/>
      <c r="CM48" s="466" t="s">
        <v>623</v>
      </c>
    </row>
    <row r="49" spans="1:91" ht="42" customHeight="1">
      <c r="A49" s="485"/>
      <c r="B49" s="485"/>
      <c r="C49" s="485"/>
      <c r="D49" s="485"/>
      <c r="E49" s="485"/>
      <c r="F49" s="485"/>
      <c r="G49" s="485"/>
      <c r="H49" s="485"/>
      <c r="I49" s="485"/>
      <c r="J49" s="485"/>
      <c r="K49" s="485"/>
      <c r="L49" s="485"/>
      <c r="M49" s="485"/>
      <c r="N49" s="485"/>
      <c r="O49" s="485"/>
      <c r="P49" s="485"/>
      <c r="Q49" s="485"/>
      <c r="R49" s="485"/>
      <c r="S49" s="485"/>
      <c r="T49" s="485"/>
      <c r="U49" s="490">
        <f t="shared" si="3"/>
        <v>0</v>
      </c>
      <c r="V49" s="485"/>
      <c r="W49" s="490">
        <f t="shared" si="4"/>
        <v>0</v>
      </c>
      <c r="X49" s="485"/>
      <c r="Y49" s="490">
        <f t="shared" si="5"/>
        <v>0</v>
      </c>
      <c r="Z49" s="469" t="str">
        <f t="shared" si="0"/>
        <v>FALTAN DATOS</v>
      </c>
      <c r="AA49" s="485"/>
      <c r="AB49" s="485"/>
      <c r="AC49" s="485"/>
      <c r="AD49" s="490" t="str">
        <f t="shared" si="1"/>
        <v/>
      </c>
      <c r="AE49" s="490" t="str">
        <f t="shared" si="6"/>
        <v/>
      </c>
      <c r="AF49" s="489"/>
      <c r="AG49" s="485"/>
      <c r="AH49" s="485"/>
      <c r="AI49" s="485"/>
      <c r="AJ49" s="485"/>
      <c r="AK49" s="485"/>
      <c r="AL49" s="485"/>
      <c r="AM49" s="485"/>
      <c r="AN49" s="509"/>
      <c r="AO49" s="456"/>
      <c r="AP49" s="456"/>
      <c r="AQ49" s="456"/>
      <c r="AR49" s="456"/>
      <c r="AS49" s="456"/>
      <c r="AT49" s="456"/>
      <c r="AU49" s="456"/>
      <c r="AV49" s="456"/>
      <c r="AW49" s="456"/>
      <c r="AX49" s="456"/>
      <c r="AY49" s="456"/>
      <c r="AZ49" s="456"/>
      <c r="BA49" s="456"/>
      <c r="BB49" s="456"/>
      <c r="BC49" s="456"/>
      <c r="BD49" s="456"/>
      <c r="BE49" s="456"/>
      <c r="BF49" s="456"/>
      <c r="BG49" s="456"/>
      <c r="BH49" s="456"/>
      <c r="BI49" s="456"/>
      <c r="BJ49" s="456"/>
      <c r="BK49" s="456"/>
      <c r="BL49" s="456"/>
      <c r="BM49" s="456"/>
      <c r="BN49" s="456"/>
      <c r="BO49" s="456"/>
      <c r="BP49" s="456"/>
      <c r="BQ49" s="456"/>
      <c r="BR49" s="456"/>
      <c r="BS49" s="456"/>
      <c r="BT49" s="456"/>
      <c r="BU49" s="456"/>
      <c r="BV49" s="456"/>
      <c r="BW49" s="456"/>
      <c r="BX49" s="456"/>
      <c r="BY49" s="456"/>
      <c r="BZ49" s="456"/>
      <c r="CA49" s="456"/>
      <c r="CB49" s="456"/>
      <c r="CC49" s="456"/>
      <c r="CD49" s="456"/>
      <c r="CE49" s="456"/>
      <c r="CF49" s="456"/>
      <c r="CG49" s="456"/>
      <c r="CH49" s="456"/>
      <c r="CI49" s="456"/>
      <c r="CJ49" s="456"/>
      <c r="CK49" s="456"/>
      <c r="CL49" s="456"/>
      <c r="CM49" s="466" t="s">
        <v>633</v>
      </c>
    </row>
    <row r="50" spans="1:91" ht="42" customHeight="1">
      <c r="A50" s="485"/>
      <c r="B50" s="485"/>
      <c r="C50" s="485"/>
      <c r="D50" s="485"/>
      <c r="E50" s="485"/>
      <c r="F50" s="485"/>
      <c r="G50" s="485"/>
      <c r="H50" s="485"/>
      <c r="I50" s="485"/>
      <c r="J50" s="485"/>
      <c r="K50" s="485"/>
      <c r="L50" s="485"/>
      <c r="M50" s="485"/>
      <c r="N50" s="485"/>
      <c r="O50" s="485"/>
      <c r="P50" s="485"/>
      <c r="Q50" s="485"/>
      <c r="R50" s="485"/>
      <c r="S50" s="485"/>
      <c r="T50" s="485"/>
      <c r="U50" s="490">
        <f t="shared" si="3"/>
        <v>0</v>
      </c>
      <c r="V50" s="485"/>
      <c r="W50" s="490">
        <f t="shared" si="4"/>
        <v>0</v>
      </c>
      <c r="X50" s="485"/>
      <c r="Y50" s="490">
        <f t="shared" si="5"/>
        <v>0</v>
      </c>
      <c r="Z50" s="469" t="str">
        <f t="shared" si="0"/>
        <v>FALTAN DATOS</v>
      </c>
      <c r="AA50" s="485"/>
      <c r="AB50" s="485"/>
      <c r="AC50" s="485"/>
      <c r="AD50" s="490" t="str">
        <f t="shared" si="1"/>
        <v/>
      </c>
      <c r="AE50" s="490" t="str">
        <f t="shared" si="6"/>
        <v/>
      </c>
      <c r="AF50" s="489"/>
      <c r="AG50" s="485"/>
      <c r="AH50" s="485"/>
      <c r="AI50" s="485"/>
      <c r="AJ50" s="485"/>
      <c r="AK50" s="485"/>
      <c r="AL50" s="485"/>
      <c r="AM50" s="485"/>
      <c r="AN50" s="509"/>
      <c r="AO50" s="456"/>
      <c r="AP50" s="456"/>
      <c r="AQ50" s="456"/>
      <c r="AR50" s="456"/>
      <c r="AS50" s="456"/>
      <c r="AT50" s="456"/>
      <c r="AU50" s="456"/>
      <c r="AV50" s="456"/>
      <c r="AW50" s="456"/>
      <c r="AX50" s="456"/>
      <c r="AY50" s="456"/>
      <c r="AZ50" s="456"/>
      <c r="BA50" s="456"/>
      <c r="BB50" s="456"/>
      <c r="BC50" s="456"/>
      <c r="BD50" s="456"/>
      <c r="BE50" s="456"/>
      <c r="BF50" s="456"/>
      <c r="BG50" s="456"/>
      <c r="BH50" s="456"/>
      <c r="BI50" s="456"/>
      <c r="BJ50" s="456"/>
      <c r="BK50" s="456"/>
      <c r="BL50" s="456"/>
      <c r="BM50" s="456"/>
      <c r="BN50" s="456"/>
      <c r="BO50" s="456"/>
      <c r="BP50" s="456"/>
      <c r="BQ50" s="456"/>
      <c r="BR50" s="456"/>
      <c r="BS50" s="456"/>
      <c r="BT50" s="456"/>
      <c r="BU50" s="456"/>
      <c r="BV50" s="456"/>
      <c r="BW50" s="456"/>
      <c r="BX50" s="456"/>
      <c r="BY50" s="456"/>
      <c r="BZ50" s="456"/>
      <c r="CA50" s="456"/>
      <c r="CB50" s="456"/>
      <c r="CC50" s="456"/>
      <c r="CD50" s="456"/>
      <c r="CE50" s="456"/>
      <c r="CF50" s="456"/>
      <c r="CG50" s="456"/>
      <c r="CH50" s="456"/>
      <c r="CI50" s="456"/>
      <c r="CJ50" s="456"/>
      <c r="CK50" s="456"/>
      <c r="CL50" s="456"/>
      <c r="CM50" s="466" t="s">
        <v>641</v>
      </c>
    </row>
    <row r="51" spans="1:91" ht="42" customHeight="1">
      <c r="A51" s="485"/>
      <c r="B51" s="485"/>
      <c r="C51" s="485"/>
      <c r="D51" s="485"/>
      <c r="E51" s="485"/>
      <c r="F51" s="485"/>
      <c r="G51" s="485"/>
      <c r="H51" s="485"/>
      <c r="I51" s="485"/>
      <c r="J51" s="485"/>
      <c r="K51" s="485"/>
      <c r="L51" s="485"/>
      <c r="M51" s="485"/>
      <c r="N51" s="485"/>
      <c r="O51" s="485"/>
      <c r="P51" s="485"/>
      <c r="Q51" s="485"/>
      <c r="R51" s="485"/>
      <c r="S51" s="485"/>
      <c r="T51" s="485"/>
      <c r="U51" s="490">
        <f t="shared" si="3"/>
        <v>0</v>
      </c>
      <c r="V51" s="485"/>
      <c r="W51" s="490">
        <f t="shared" si="4"/>
        <v>0</v>
      </c>
      <c r="X51" s="485"/>
      <c r="Y51" s="490">
        <f t="shared" si="5"/>
        <v>0</v>
      </c>
      <c r="Z51" s="469" t="str">
        <f t="shared" si="0"/>
        <v>FALTAN DATOS</v>
      </c>
      <c r="AA51" s="485"/>
      <c r="AB51" s="485"/>
      <c r="AC51" s="485"/>
      <c r="AD51" s="490" t="str">
        <f t="shared" si="1"/>
        <v/>
      </c>
      <c r="AE51" s="490" t="str">
        <f t="shared" si="6"/>
        <v/>
      </c>
      <c r="AF51" s="489"/>
      <c r="AG51" s="485"/>
      <c r="AH51" s="485"/>
      <c r="AI51" s="485"/>
      <c r="AJ51" s="485"/>
      <c r="AK51" s="485"/>
      <c r="AL51" s="485"/>
      <c r="AM51" s="485"/>
      <c r="AN51" s="509"/>
      <c r="AO51" s="456"/>
      <c r="AP51" s="456"/>
      <c r="AQ51" s="456"/>
      <c r="AR51" s="456"/>
      <c r="AS51" s="456"/>
      <c r="AT51" s="456"/>
      <c r="AU51" s="456"/>
      <c r="AV51" s="456"/>
      <c r="AW51" s="456"/>
      <c r="AX51" s="456"/>
      <c r="AY51" s="456"/>
      <c r="AZ51" s="456"/>
      <c r="BA51" s="456"/>
      <c r="BB51" s="456"/>
      <c r="BC51" s="456"/>
      <c r="BD51" s="456"/>
      <c r="BE51" s="456"/>
      <c r="BF51" s="456"/>
      <c r="BG51" s="456"/>
      <c r="BH51" s="456"/>
      <c r="BI51" s="456"/>
      <c r="BJ51" s="456"/>
      <c r="BK51" s="456"/>
      <c r="BL51" s="456"/>
      <c r="BM51" s="456"/>
      <c r="BN51" s="456"/>
      <c r="BO51" s="456"/>
      <c r="BP51" s="456"/>
      <c r="BQ51" s="456"/>
      <c r="BR51" s="456"/>
      <c r="BS51" s="456"/>
      <c r="BT51" s="456"/>
      <c r="BU51" s="456"/>
      <c r="BV51" s="456"/>
      <c r="BW51" s="456"/>
      <c r="BX51" s="456"/>
      <c r="BY51" s="456"/>
      <c r="BZ51" s="456"/>
      <c r="CA51" s="456"/>
      <c r="CB51" s="456"/>
      <c r="CC51" s="456"/>
      <c r="CD51" s="456"/>
      <c r="CE51" s="456"/>
      <c r="CF51" s="456"/>
      <c r="CG51" s="456"/>
      <c r="CH51" s="456"/>
      <c r="CI51" s="456"/>
      <c r="CJ51" s="456"/>
      <c r="CK51" s="456"/>
      <c r="CL51" s="456"/>
      <c r="CM51" s="466" t="s">
        <v>612</v>
      </c>
    </row>
    <row r="52" spans="1:91" ht="42" customHeight="1">
      <c r="A52" s="485"/>
      <c r="B52" s="485"/>
      <c r="C52" s="485"/>
      <c r="D52" s="485"/>
      <c r="E52" s="485"/>
      <c r="F52" s="485"/>
      <c r="G52" s="485"/>
      <c r="H52" s="485"/>
      <c r="I52" s="485"/>
      <c r="J52" s="485"/>
      <c r="K52" s="485"/>
      <c r="L52" s="485"/>
      <c r="M52" s="485"/>
      <c r="N52" s="485"/>
      <c r="O52" s="485"/>
      <c r="P52" s="485"/>
      <c r="Q52" s="485"/>
      <c r="R52" s="485"/>
      <c r="S52" s="485"/>
      <c r="T52" s="485"/>
      <c r="U52" s="490">
        <f t="shared" si="3"/>
        <v>0</v>
      </c>
      <c r="V52" s="485"/>
      <c r="W52" s="490">
        <f t="shared" si="4"/>
        <v>0</v>
      </c>
      <c r="X52" s="485"/>
      <c r="Y52" s="490">
        <f t="shared" si="5"/>
        <v>0</v>
      </c>
      <c r="Z52" s="469" t="str">
        <f t="shared" si="0"/>
        <v>FALTAN DATOS</v>
      </c>
      <c r="AA52" s="485"/>
      <c r="AB52" s="485"/>
      <c r="AC52" s="485"/>
      <c r="AD52" s="490" t="str">
        <f t="shared" si="1"/>
        <v/>
      </c>
      <c r="AE52" s="490" t="str">
        <f t="shared" si="6"/>
        <v/>
      </c>
      <c r="AF52" s="489"/>
      <c r="AG52" s="485"/>
      <c r="AH52" s="485"/>
      <c r="AI52" s="485"/>
      <c r="AJ52" s="485"/>
      <c r="AK52" s="485"/>
      <c r="AL52" s="485"/>
      <c r="AM52" s="485"/>
      <c r="AN52" s="509"/>
      <c r="AO52" s="456"/>
      <c r="AP52" s="456"/>
      <c r="AQ52" s="456"/>
      <c r="AR52" s="456"/>
      <c r="AS52" s="456"/>
      <c r="AT52" s="456"/>
      <c r="AU52" s="456"/>
      <c r="AV52" s="456"/>
      <c r="AW52" s="456"/>
      <c r="AX52" s="456"/>
      <c r="AY52" s="456"/>
      <c r="AZ52" s="456"/>
      <c r="BA52" s="456"/>
      <c r="BB52" s="456"/>
      <c r="BC52" s="456"/>
      <c r="BD52" s="456"/>
      <c r="BE52" s="456"/>
      <c r="BF52" s="456"/>
      <c r="BG52" s="456"/>
      <c r="BH52" s="456"/>
      <c r="BI52" s="456"/>
      <c r="BJ52" s="456"/>
      <c r="BK52" s="456"/>
      <c r="BL52" s="456"/>
      <c r="BM52" s="456"/>
      <c r="BN52" s="456"/>
      <c r="BO52" s="456"/>
      <c r="BP52" s="456"/>
      <c r="BQ52" s="456"/>
      <c r="BR52" s="456"/>
      <c r="BS52" s="456"/>
      <c r="BT52" s="456"/>
      <c r="BU52" s="456"/>
      <c r="BV52" s="456"/>
      <c r="BW52" s="456"/>
      <c r="BX52" s="456"/>
      <c r="BY52" s="456"/>
      <c r="BZ52" s="456"/>
      <c r="CA52" s="456"/>
      <c r="CB52" s="456"/>
      <c r="CC52" s="456"/>
      <c r="CD52" s="456"/>
      <c r="CE52" s="456"/>
      <c r="CF52" s="456"/>
      <c r="CG52" s="456"/>
      <c r="CH52" s="456"/>
      <c r="CI52" s="456"/>
      <c r="CJ52" s="456"/>
      <c r="CK52" s="456"/>
      <c r="CL52" s="456"/>
      <c r="CM52" s="466" t="s">
        <v>624</v>
      </c>
    </row>
    <row r="53" spans="1:91" ht="42" customHeight="1">
      <c r="A53" s="485"/>
      <c r="B53" s="485"/>
      <c r="C53" s="485"/>
      <c r="D53" s="485"/>
      <c r="E53" s="485"/>
      <c r="F53" s="485"/>
      <c r="G53" s="485"/>
      <c r="H53" s="485"/>
      <c r="I53" s="485"/>
      <c r="J53" s="485"/>
      <c r="K53" s="485"/>
      <c r="L53" s="485"/>
      <c r="M53" s="485"/>
      <c r="N53" s="485"/>
      <c r="O53" s="485"/>
      <c r="P53" s="485"/>
      <c r="Q53" s="485"/>
      <c r="R53" s="485"/>
      <c r="S53" s="485"/>
      <c r="T53" s="485"/>
      <c r="U53" s="490">
        <f t="shared" si="3"/>
        <v>0</v>
      </c>
      <c r="V53" s="485"/>
      <c r="W53" s="490">
        <f t="shared" si="4"/>
        <v>0</v>
      </c>
      <c r="X53" s="485"/>
      <c r="Y53" s="490">
        <f t="shared" si="5"/>
        <v>0</v>
      </c>
      <c r="Z53" s="469" t="str">
        <f t="shared" si="0"/>
        <v>FALTAN DATOS</v>
      </c>
      <c r="AA53" s="485"/>
      <c r="AB53" s="485"/>
      <c r="AC53" s="485"/>
      <c r="AD53" s="490" t="str">
        <f t="shared" si="1"/>
        <v/>
      </c>
      <c r="AE53" s="490" t="str">
        <f t="shared" si="6"/>
        <v/>
      </c>
      <c r="AF53" s="489"/>
      <c r="AG53" s="485"/>
      <c r="AH53" s="485"/>
      <c r="AI53" s="485"/>
      <c r="AJ53" s="485"/>
      <c r="AK53" s="485"/>
      <c r="AL53" s="485"/>
      <c r="AM53" s="485"/>
      <c r="AN53" s="509"/>
      <c r="AO53" s="456"/>
      <c r="AP53" s="456"/>
      <c r="AQ53" s="456"/>
      <c r="AR53" s="456"/>
      <c r="AS53" s="456"/>
      <c r="AT53" s="456"/>
      <c r="AU53" s="456"/>
      <c r="AV53" s="456"/>
      <c r="AW53" s="456"/>
      <c r="AX53" s="456"/>
      <c r="AY53" s="456"/>
      <c r="AZ53" s="456"/>
      <c r="BA53" s="456"/>
      <c r="BB53" s="456"/>
      <c r="BC53" s="456"/>
      <c r="BD53" s="456"/>
      <c r="BE53" s="456"/>
      <c r="BF53" s="456"/>
      <c r="BG53" s="456"/>
      <c r="BH53" s="456"/>
      <c r="BI53" s="456"/>
      <c r="BJ53" s="456"/>
      <c r="BK53" s="456"/>
      <c r="BL53" s="456"/>
      <c r="BM53" s="456"/>
      <c r="BN53" s="456"/>
      <c r="BO53" s="456"/>
      <c r="BP53" s="456"/>
      <c r="BQ53" s="456"/>
      <c r="BR53" s="456"/>
      <c r="BS53" s="456"/>
      <c r="BT53" s="456"/>
      <c r="BU53" s="456"/>
      <c r="BV53" s="456"/>
      <c r="BW53" s="456"/>
      <c r="BX53" s="456"/>
      <c r="BY53" s="456"/>
      <c r="BZ53" s="456"/>
      <c r="CA53" s="456"/>
      <c r="CB53" s="456"/>
      <c r="CC53" s="456"/>
      <c r="CD53" s="456"/>
      <c r="CE53" s="456"/>
      <c r="CF53" s="456"/>
      <c r="CG53" s="456"/>
      <c r="CH53" s="456"/>
      <c r="CI53" s="456"/>
      <c r="CJ53" s="456"/>
      <c r="CK53" s="456"/>
      <c r="CL53" s="456"/>
      <c r="CM53" s="466" t="s">
        <v>634</v>
      </c>
    </row>
    <row r="54" spans="1:91" ht="42" customHeight="1">
      <c r="A54" s="485"/>
      <c r="B54" s="485"/>
      <c r="C54" s="485"/>
      <c r="D54" s="485"/>
      <c r="E54" s="485"/>
      <c r="F54" s="485"/>
      <c r="G54" s="485"/>
      <c r="H54" s="485"/>
      <c r="I54" s="485"/>
      <c r="J54" s="485"/>
      <c r="K54" s="485"/>
      <c r="L54" s="485"/>
      <c r="M54" s="485"/>
      <c r="N54" s="485"/>
      <c r="O54" s="485"/>
      <c r="P54" s="485"/>
      <c r="Q54" s="485"/>
      <c r="R54" s="485"/>
      <c r="S54" s="485"/>
      <c r="T54" s="485"/>
      <c r="U54" s="490">
        <f t="shared" si="3"/>
        <v>0</v>
      </c>
      <c r="V54" s="485"/>
      <c r="W54" s="490">
        <f t="shared" si="4"/>
        <v>0</v>
      </c>
      <c r="X54" s="485"/>
      <c r="Y54" s="490">
        <f t="shared" si="5"/>
        <v>0</v>
      </c>
      <c r="Z54" s="469" t="str">
        <f t="shared" si="0"/>
        <v>FALTAN DATOS</v>
      </c>
      <c r="AA54" s="485"/>
      <c r="AB54" s="485"/>
      <c r="AC54" s="485"/>
      <c r="AD54" s="490" t="str">
        <f t="shared" si="1"/>
        <v/>
      </c>
      <c r="AE54" s="490" t="str">
        <f t="shared" si="6"/>
        <v/>
      </c>
      <c r="AF54" s="489"/>
      <c r="AG54" s="485"/>
      <c r="AH54" s="485"/>
      <c r="AI54" s="485"/>
      <c r="AJ54" s="485"/>
      <c r="AK54" s="485"/>
      <c r="AL54" s="485"/>
      <c r="AM54" s="485"/>
      <c r="AN54" s="509"/>
      <c r="AO54" s="456"/>
      <c r="AP54" s="456"/>
      <c r="AQ54" s="456"/>
      <c r="AR54" s="456"/>
      <c r="AS54" s="456"/>
      <c r="AT54" s="456"/>
      <c r="AU54" s="456"/>
      <c r="AV54" s="456"/>
      <c r="AW54" s="456"/>
      <c r="AX54" s="456"/>
      <c r="AY54" s="456"/>
      <c r="AZ54" s="456"/>
      <c r="BA54" s="456"/>
      <c r="BB54" s="456"/>
      <c r="BC54" s="456"/>
      <c r="BD54" s="456"/>
      <c r="BE54" s="456"/>
      <c r="BF54" s="456"/>
      <c r="BG54" s="456"/>
      <c r="BH54" s="456"/>
      <c r="BI54" s="456"/>
      <c r="BJ54" s="456"/>
      <c r="BK54" s="456"/>
      <c r="BL54" s="456"/>
      <c r="BM54" s="456"/>
      <c r="BN54" s="456"/>
      <c r="BO54" s="456"/>
      <c r="BP54" s="456"/>
      <c r="BQ54" s="456"/>
      <c r="BR54" s="456"/>
      <c r="BS54" s="456"/>
      <c r="BT54" s="456"/>
      <c r="BU54" s="456"/>
      <c r="BV54" s="456"/>
      <c r="BW54" s="456"/>
      <c r="BX54" s="456"/>
      <c r="BY54" s="456"/>
      <c r="BZ54" s="456"/>
      <c r="CA54" s="456"/>
      <c r="CB54" s="456"/>
      <c r="CC54" s="456"/>
      <c r="CD54" s="456"/>
      <c r="CE54" s="456"/>
      <c r="CF54" s="456"/>
      <c r="CG54" s="456"/>
      <c r="CH54" s="456"/>
      <c r="CI54" s="456"/>
      <c r="CJ54" s="456"/>
      <c r="CK54" s="456"/>
      <c r="CL54" s="456"/>
      <c r="CM54" s="466" t="s">
        <v>613</v>
      </c>
    </row>
    <row r="55" spans="1:91" ht="42" customHeight="1">
      <c r="A55" s="485"/>
      <c r="B55" s="485"/>
      <c r="C55" s="485"/>
      <c r="D55" s="485"/>
      <c r="E55" s="485"/>
      <c r="F55" s="485"/>
      <c r="G55" s="485"/>
      <c r="H55" s="485"/>
      <c r="I55" s="485"/>
      <c r="J55" s="485"/>
      <c r="K55" s="485"/>
      <c r="L55" s="485"/>
      <c r="M55" s="485"/>
      <c r="N55" s="485"/>
      <c r="O55" s="485"/>
      <c r="P55" s="485"/>
      <c r="Q55" s="485"/>
      <c r="R55" s="485"/>
      <c r="S55" s="485"/>
      <c r="T55" s="485"/>
      <c r="U55" s="490">
        <f t="shared" si="3"/>
        <v>0</v>
      </c>
      <c r="V55" s="485"/>
      <c r="W55" s="490">
        <f t="shared" si="4"/>
        <v>0</v>
      </c>
      <c r="X55" s="485"/>
      <c r="Y55" s="490">
        <f t="shared" si="5"/>
        <v>0</v>
      </c>
      <c r="Z55" s="469" t="str">
        <f t="shared" si="0"/>
        <v>FALTAN DATOS</v>
      </c>
      <c r="AA55" s="485"/>
      <c r="AB55" s="485"/>
      <c r="AC55" s="485"/>
      <c r="AD55" s="490" t="str">
        <f t="shared" si="1"/>
        <v/>
      </c>
      <c r="AE55" s="490" t="str">
        <f t="shared" si="6"/>
        <v/>
      </c>
      <c r="AF55" s="489"/>
      <c r="AG55" s="485"/>
      <c r="AH55" s="485"/>
      <c r="AI55" s="485"/>
      <c r="AJ55" s="485"/>
      <c r="AK55" s="485"/>
      <c r="AL55" s="485"/>
      <c r="AM55" s="485"/>
      <c r="AN55" s="509"/>
      <c r="AO55" s="456"/>
      <c r="AP55" s="456"/>
      <c r="AQ55" s="456"/>
      <c r="AR55" s="456"/>
      <c r="AS55" s="456"/>
      <c r="AT55" s="456"/>
      <c r="AU55" s="456"/>
      <c r="AV55" s="456"/>
      <c r="AW55" s="456"/>
      <c r="AX55" s="456"/>
      <c r="AY55" s="456"/>
      <c r="AZ55" s="456"/>
      <c r="BA55" s="456"/>
      <c r="BB55" s="456"/>
      <c r="BC55" s="456"/>
      <c r="BD55" s="456"/>
      <c r="BE55" s="456"/>
      <c r="BF55" s="456"/>
      <c r="BG55" s="456"/>
      <c r="BH55" s="456"/>
      <c r="BI55" s="456"/>
      <c r="BJ55" s="456"/>
      <c r="BK55" s="456"/>
      <c r="BL55" s="456"/>
      <c r="BM55" s="456"/>
      <c r="BN55" s="456"/>
      <c r="BO55" s="456"/>
      <c r="BP55" s="456"/>
      <c r="BQ55" s="456"/>
      <c r="BR55" s="456"/>
      <c r="BS55" s="456"/>
      <c r="BT55" s="456"/>
      <c r="BU55" s="456"/>
      <c r="BV55" s="456"/>
      <c r="BW55" s="456"/>
      <c r="BX55" s="456"/>
      <c r="BY55" s="456"/>
      <c r="BZ55" s="456"/>
      <c r="CA55" s="456"/>
      <c r="CB55" s="456"/>
      <c r="CC55" s="456"/>
      <c r="CD55" s="456"/>
      <c r="CE55" s="456"/>
      <c r="CF55" s="456"/>
      <c r="CG55" s="456"/>
      <c r="CH55" s="456"/>
      <c r="CI55" s="456"/>
      <c r="CJ55" s="456"/>
      <c r="CK55" s="456"/>
      <c r="CL55" s="456"/>
      <c r="CM55" s="466" t="s">
        <v>625</v>
      </c>
    </row>
    <row r="56" spans="1:91" ht="42" customHeight="1">
      <c r="A56" s="485"/>
      <c r="B56" s="485"/>
      <c r="C56" s="485"/>
      <c r="D56" s="485"/>
      <c r="E56" s="485"/>
      <c r="F56" s="485"/>
      <c r="G56" s="485"/>
      <c r="H56" s="485"/>
      <c r="I56" s="485"/>
      <c r="J56" s="485"/>
      <c r="K56" s="485"/>
      <c r="L56" s="485"/>
      <c r="M56" s="485"/>
      <c r="N56" s="485"/>
      <c r="O56" s="485"/>
      <c r="P56" s="485"/>
      <c r="Q56" s="485"/>
      <c r="R56" s="485"/>
      <c r="S56" s="485"/>
      <c r="T56" s="485"/>
      <c r="U56" s="490">
        <f t="shared" si="3"/>
        <v>0</v>
      </c>
      <c r="V56" s="485"/>
      <c r="W56" s="490">
        <f t="shared" si="4"/>
        <v>0</v>
      </c>
      <c r="X56" s="485"/>
      <c r="Y56" s="490">
        <f t="shared" si="5"/>
        <v>0</v>
      </c>
      <c r="Z56" s="469" t="str">
        <f t="shared" si="0"/>
        <v>FALTAN DATOS</v>
      </c>
      <c r="AA56" s="485"/>
      <c r="AB56" s="485"/>
      <c r="AC56" s="485"/>
      <c r="AD56" s="490" t="str">
        <f t="shared" si="1"/>
        <v/>
      </c>
      <c r="AE56" s="490" t="str">
        <f t="shared" si="6"/>
        <v/>
      </c>
      <c r="AF56" s="489"/>
      <c r="AG56" s="485"/>
      <c r="AH56" s="485"/>
      <c r="AI56" s="485"/>
      <c r="AJ56" s="485"/>
      <c r="AK56" s="485"/>
      <c r="AL56" s="485"/>
      <c r="AM56" s="485"/>
      <c r="AN56" s="509"/>
      <c r="AO56" s="456"/>
      <c r="AP56" s="456"/>
      <c r="AQ56" s="456"/>
      <c r="AR56" s="456"/>
      <c r="AS56" s="456"/>
      <c r="AT56" s="456"/>
      <c r="AU56" s="456"/>
      <c r="AV56" s="456"/>
      <c r="AW56" s="456"/>
      <c r="AX56" s="456"/>
      <c r="AY56" s="456"/>
      <c r="AZ56" s="456"/>
      <c r="BA56" s="456"/>
      <c r="BB56" s="456"/>
      <c r="BC56" s="456"/>
      <c r="BD56" s="456"/>
      <c r="BE56" s="456"/>
      <c r="BF56" s="456"/>
      <c r="BG56" s="456"/>
      <c r="BH56" s="456"/>
      <c r="BI56" s="456"/>
      <c r="BJ56" s="456"/>
      <c r="BK56" s="456"/>
      <c r="BL56" s="456"/>
      <c r="BM56" s="456"/>
      <c r="BN56" s="456"/>
      <c r="BO56" s="456"/>
      <c r="BP56" s="456"/>
      <c r="BQ56" s="456"/>
      <c r="BR56" s="456"/>
      <c r="BS56" s="456"/>
      <c r="BT56" s="456"/>
      <c r="BU56" s="456"/>
      <c r="BV56" s="456"/>
      <c r="BW56" s="456"/>
      <c r="BX56" s="456"/>
      <c r="BY56" s="456"/>
      <c r="BZ56" s="456"/>
      <c r="CA56" s="456"/>
      <c r="CB56" s="456"/>
      <c r="CC56" s="456"/>
      <c r="CD56" s="456"/>
      <c r="CE56" s="456"/>
      <c r="CF56" s="456"/>
      <c r="CG56" s="456"/>
      <c r="CH56" s="456"/>
      <c r="CI56" s="456"/>
      <c r="CJ56" s="456"/>
      <c r="CK56" s="456"/>
      <c r="CL56" s="456"/>
      <c r="CM56" s="466" t="s">
        <v>635</v>
      </c>
    </row>
    <row r="57" spans="1:91" ht="42" customHeight="1">
      <c r="A57" s="485"/>
      <c r="B57" s="485"/>
      <c r="C57" s="485"/>
      <c r="D57" s="485"/>
      <c r="E57" s="485"/>
      <c r="F57" s="485"/>
      <c r="G57" s="485"/>
      <c r="H57" s="485"/>
      <c r="I57" s="485"/>
      <c r="J57" s="485"/>
      <c r="K57" s="485"/>
      <c r="L57" s="485"/>
      <c r="M57" s="485"/>
      <c r="N57" s="485"/>
      <c r="O57" s="485"/>
      <c r="P57" s="485"/>
      <c r="Q57" s="485"/>
      <c r="R57" s="485"/>
      <c r="S57" s="485"/>
      <c r="T57" s="485"/>
      <c r="U57" s="490">
        <f t="shared" si="3"/>
        <v>0</v>
      </c>
      <c r="V57" s="485"/>
      <c r="W57" s="490">
        <f t="shared" si="4"/>
        <v>0</v>
      </c>
      <c r="X57" s="485"/>
      <c r="Y57" s="490">
        <f t="shared" si="5"/>
        <v>0</v>
      </c>
      <c r="Z57" s="469" t="str">
        <f t="shared" si="0"/>
        <v>FALTAN DATOS</v>
      </c>
      <c r="AA57" s="485"/>
      <c r="AB57" s="485"/>
      <c r="AC57" s="485"/>
      <c r="AD57" s="490" t="str">
        <f t="shared" si="1"/>
        <v/>
      </c>
      <c r="AE57" s="490" t="str">
        <f t="shared" si="6"/>
        <v/>
      </c>
      <c r="AF57" s="489"/>
      <c r="AG57" s="485"/>
      <c r="AH57" s="485"/>
      <c r="AI57" s="485"/>
      <c r="AJ57" s="485"/>
      <c r="AK57" s="485"/>
      <c r="AL57" s="485"/>
      <c r="AM57" s="485"/>
      <c r="AN57" s="509"/>
      <c r="AO57" s="456"/>
      <c r="AP57" s="456"/>
      <c r="AQ57" s="456"/>
      <c r="AR57" s="456"/>
      <c r="AS57" s="456"/>
      <c r="AT57" s="456"/>
      <c r="AU57" s="456"/>
      <c r="AV57" s="456"/>
      <c r="AW57" s="456"/>
      <c r="AX57" s="456"/>
      <c r="AY57" s="456"/>
      <c r="AZ57" s="456"/>
      <c r="BA57" s="456"/>
      <c r="BB57" s="456"/>
      <c r="BC57" s="456"/>
      <c r="BD57" s="456"/>
      <c r="BE57" s="456"/>
      <c r="BF57" s="456"/>
      <c r="BG57" s="456"/>
      <c r="BH57" s="456"/>
      <c r="BI57" s="456"/>
      <c r="BJ57" s="456"/>
      <c r="BK57" s="456"/>
      <c r="BL57" s="456"/>
      <c r="BM57" s="456"/>
      <c r="BN57" s="456"/>
      <c r="BO57" s="456"/>
      <c r="BP57" s="456"/>
      <c r="BQ57" s="456"/>
      <c r="BR57" s="456"/>
      <c r="BS57" s="456"/>
      <c r="BT57" s="456"/>
      <c r="BU57" s="456"/>
      <c r="BV57" s="456"/>
      <c r="BW57" s="456"/>
      <c r="BX57" s="456"/>
      <c r="BY57" s="456"/>
      <c r="BZ57" s="456"/>
      <c r="CA57" s="456"/>
      <c r="CB57" s="456"/>
      <c r="CC57" s="456"/>
      <c r="CD57" s="456"/>
      <c r="CE57" s="456"/>
      <c r="CF57" s="456"/>
      <c r="CG57" s="456"/>
      <c r="CH57" s="456"/>
      <c r="CI57" s="456"/>
      <c r="CJ57" s="456"/>
      <c r="CK57" s="456"/>
      <c r="CL57" s="456"/>
      <c r="CM57" s="466" t="s">
        <v>614</v>
      </c>
    </row>
    <row r="58" spans="1:91" ht="42" customHeight="1">
      <c r="A58" s="485"/>
      <c r="B58" s="485"/>
      <c r="C58" s="485"/>
      <c r="D58" s="485"/>
      <c r="E58" s="485"/>
      <c r="F58" s="485"/>
      <c r="G58" s="485"/>
      <c r="H58" s="485"/>
      <c r="I58" s="485"/>
      <c r="J58" s="485"/>
      <c r="K58" s="485"/>
      <c r="L58" s="485"/>
      <c r="M58" s="485"/>
      <c r="N58" s="485"/>
      <c r="O58" s="485"/>
      <c r="P58" s="485"/>
      <c r="Q58" s="485"/>
      <c r="R58" s="485"/>
      <c r="S58" s="485"/>
      <c r="T58" s="485"/>
      <c r="U58" s="490">
        <f t="shared" si="3"/>
        <v>0</v>
      </c>
      <c r="V58" s="485"/>
      <c r="W58" s="490">
        <f t="shared" si="4"/>
        <v>0</v>
      </c>
      <c r="X58" s="485"/>
      <c r="Y58" s="490">
        <f t="shared" si="5"/>
        <v>0</v>
      </c>
      <c r="Z58" s="469" t="str">
        <f t="shared" si="0"/>
        <v>FALTAN DATOS</v>
      </c>
      <c r="AA58" s="485"/>
      <c r="AB58" s="485"/>
      <c r="AC58" s="485"/>
      <c r="AD58" s="490" t="str">
        <f t="shared" si="1"/>
        <v/>
      </c>
      <c r="AE58" s="490" t="str">
        <f t="shared" si="6"/>
        <v/>
      </c>
      <c r="AF58" s="489"/>
      <c r="AG58" s="485"/>
      <c r="AH58" s="485"/>
      <c r="AI58" s="485"/>
      <c r="AJ58" s="485"/>
      <c r="AK58" s="485"/>
      <c r="AL58" s="485"/>
      <c r="AM58" s="485"/>
      <c r="AN58" s="509"/>
      <c r="AO58" s="456"/>
      <c r="AP58" s="456"/>
      <c r="AQ58" s="456"/>
      <c r="AR58" s="456"/>
      <c r="AS58" s="456"/>
      <c r="AT58" s="456"/>
      <c r="AU58" s="456"/>
      <c r="AV58" s="456"/>
      <c r="AW58" s="456"/>
      <c r="AX58" s="456"/>
      <c r="AY58" s="456"/>
      <c r="AZ58" s="456"/>
      <c r="BA58" s="456"/>
      <c r="BB58" s="456"/>
      <c r="BC58" s="456"/>
      <c r="BD58" s="456"/>
      <c r="BE58" s="456"/>
      <c r="BF58" s="456"/>
      <c r="BG58" s="456"/>
      <c r="BH58" s="456"/>
      <c r="BI58" s="456"/>
      <c r="BJ58" s="456"/>
      <c r="BK58" s="456"/>
      <c r="BL58" s="456"/>
      <c r="BM58" s="456"/>
      <c r="BN58" s="456"/>
      <c r="BO58" s="456"/>
      <c r="BP58" s="456"/>
      <c r="BQ58" s="456"/>
      <c r="BR58" s="456"/>
      <c r="BS58" s="456"/>
      <c r="BT58" s="456"/>
      <c r="BU58" s="456"/>
      <c r="BV58" s="456"/>
      <c r="BW58" s="456"/>
      <c r="BX58" s="456"/>
      <c r="BY58" s="456"/>
      <c r="BZ58" s="456"/>
      <c r="CA58" s="456"/>
      <c r="CB58" s="456"/>
      <c r="CC58" s="456"/>
      <c r="CD58" s="456"/>
      <c r="CE58" s="456"/>
      <c r="CF58" s="456"/>
      <c r="CG58" s="456"/>
      <c r="CH58" s="456"/>
      <c r="CI58" s="456"/>
      <c r="CJ58" s="456"/>
      <c r="CK58" s="456"/>
      <c r="CL58" s="456"/>
      <c r="CM58" s="466" t="s">
        <v>626</v>
      </c>
    </row>
    <row r="59" spans="1:91" ht="42" customHeight="1">
      <c r="A59" s="485"/>
      <c r="B59" s="485"/>
      <c r="C59" s="485"/>
      <c r="D59" s="485"/>
      <c r="E59" s="485"/>
      <c r="F59" s="485"/>
      <c r="G59" s="485"/>
      <c r="H59" s="485"/>
      <c r="I59" s="485"/>
      <c r="J59" s="485"/>
      <c r="K59" s="485"/>
      <c r="L59" s="485"/>
      <c r="M59" s="485"/>
      <c r="N59" s="485"/>
      <c r="O59" s="485"/>
      <c r="P59" s="485"/>
      <c r="Q59" s="485"/>
      <c r="R59" s="485"/>
      <c r="S59" s="485"/>
      <c r="T59" s="485"/>
      <c r="U59" s="490">
        <f t="shared" si="3"/>
        <v>0</v>
      </c>
      <c r="V59" s="485"/>
      <c r="W59" s="490">
        <f t="shared" si="4"/>
        <v>0</v>
      </c>
      <c r="X59" s="485"/>
      <c r="Y59" s="490">
        <f t="shared" si="5"/>
        <v>0</v>
      </c>
      <c r="Z59" s="469" t="str">
        <f t="shared" si="0"/>
        <v>FALTAN DATOS</v>
      </c>
      <c r="AA59" s="485"/>
      <c r="AB59" s="485"/>
      <c r="AC59" s="485"/>
      <c r="AD59" s="490" t="str">
        <f t="shared" si="1"/>
        <v/>
      </c>
      <c r="AE59" s="490" t="str">
        <f t="shared" si="6"/>
        <v/>
      </c>
      <c r="AF59" s="489"/>
      <c r="AG59" s="485"/>
      <c r="AH59" s="485"/>
      <c r="AI59" s="485"/>
      <c r="AJ59" s="485"/>
      <c r="AK59" s="485"/>
      <c r="AL59" s="485"/>
      <c r="AM59" s="485"/>
      <c r="AN59" s="509"/>
      <c r="AO59" s="456"/>
      <c r="AP59" s="456"/>
      <c r="AQ59" s="456"/>
      <c r="AR59" s="456"/>
      <c r="AS59" s="456"/>
      <c r="AT59" s="456"/>
      <c r="AU59" s="456"/>
      <c r="AV59" s="456"/>
      <c r="AW59" s="456"/>
      <c r="AX59" s="456"/>
      <c r="AY59" s="456"/>
      <c r="AZ59" s="456"/>
      <c r="BA59" s="456"/>
      <c r="BB59" s="456"/>
      <c r="BC59" s="456"/>
      <c r="BD59" s="456"/>
      <c r="BE59" s="456"/>
      <c r="BF59" s="456"/>
      <c r="BG59" s="456"/>
      <c r="BH59" s="456"/>
      <c r="BI59" s="456"/>
      <c r="BJ59" s="456"/>
      <c r="BK59" s="456"/>
      <c r="BL59" s="456"/>
      <c r="BM59" s="456"/>
      <c r="BN59" s="456"/>
      <c r="BO59" s="456"/>
      <c r="BP59" s="456"/>
      <c r="BQ59" s="456"/>
      <c r="BR59" s="456"/>
      <c r="BS59" s="456"/>
      <c r="BT59" s="456"/>
      <c r="BU59" s="456"/>
      <c r="BV59" s="456"/>
      <c r="BW59" s="456"/>
      <c r="BX59" s="456"/>
      <c r="BY59" s="456"/>
      <c r="BZ59" s="456"/>
      <c r="CA59" s="456"/>
      <c r="CB59" s="456"/>
      <c r="CC59" s="456"/>
      <c r="CD59" s="456"/>
      <c r="CE59" s="456"/>
      <c r="CF59" s="456"/>
      <c r="CG59" s="456"/>
      <c r="CH59" s="456"/>
      <c r="CI59" s="456"/>
      <c r="CJ59" s="456"/>
      <c r="CK59" s="456"/>
      <c r="CL59" s="456"/>
      <c r="CM59" s="466" t="s">
        <v>615</v>
      </c>
    </row>
    <row r="60" spans="1:91" ht="42" customHeight="1">
      <c r="A60" s="485"/>
      <c r="B60" s="485"/>
      <c r="C60" s="485"/>
      <c r="D60" s="485"/>
      <c r="E60" s="485"/>
      <c r="F60" s="485"/>
      <c r="G60" s="485"/>
      <c r="H60" s="485"/>
      <c r="I60" s="485"/>
      <c r="J60" s="485"/>
      <c r="K60" s="485"/>
      <c r="L60" s="485"/>
      <c r="M60" s="485"/>
      <c r="N60" s="485"/>
      <c r="O60" s="485"/>
      <c r="P60" s="485"/>
      <c r="Q60" s="485"/>
      <c r="R60" s="485"/>
      <c r="S60" s="485"/>
      <c r="T60" s="485"/>
      <c r="U60" s="490">
        <f t="shared" si="3"/>
        <v>0</v>
      </c>
      <c r="V60" s="485"/>
      <c r="W60" s="490">
        <f t="shared" si="4"/>
        <v>0</v>
      </c>
      <c r="X60" s="485"/>
      <c r="Y60" s="490">
        <f t="shared" si="5"/>
        <v>0</v>
      </c>
      <c r="Z60" s="469" t="str">
        <f t="shared" si="0"/>
        <v>FALTAN DATOS</v>
      </c>
      <c r="AA60" s="485"/>
      <c r="AB60" s="485"/>
      <c r="AC60" s="485"/>
      <c r="AD60" s="490" t="str">
        <f t="shared" si="1"/>
        <v/>
      </c>
      <c r="AE60" s="490" t="str">
        <f t="shared" si="6"/>
        <v/>
      </c>
      <c r="AF60" s="489"/>
      <c r="AG60" s="485"/>
      <c r="AH60" s="485"/>
      <c r="AI60" s="485"/>
      <c r="AJ60" s="485"/>
      <c r="AK60" s="485"/>
      <c r="AL60" s="485"/>
      <c r="AM60" s="485"/>
      <c r="AN60" s="509"/>
      <c r="AO60" s="456"/>
      <c r="AP60" s="456"/>
      <c r="AQ60" s="456"/>
      <c r="AR60" s="456"/>
      <c r="AS60" s="456"/>
      <c r="AT60" s="456"/>
      <c r="AU60" s="456"/>
      <c r="AV60" s="456"/>
      <c r="AW60" s="456"/>
      <c r="AX60" s="456"/>
      <c r="AY60" s="456"/>
      <c r="AZ60" s="456"/>
      <c r="BA60" s="456"/>
      <c r="BB60" s="456"/>
      <c r="BC60" s="456"/>
      <c r="BD60" s="456"/>
      <c r="BE60" s="456"/>
      <c r="BF60" s="456"/>
      <c r="BG60" s="456"/>
      <c r="BH60" s="456"/>
      <c r="BI60" s="456"/>
      <c r="BJ60" s="456"/>
      <c r="BK60" s="456"/>
      <c r="BL60" s="456"/>
      <c r="BM60" s="456"/>
      <c r="BN60" s="456"/>
      <c r="BO60" s="456"/>
      <c r="BP60" s="456"/>
      <c r="BQ60" s="456"/>
      <c r="BR60" s="456"/>
      <c r="BS60" s="456"/>
      <c r="BT60" s="456"/>
      <c r="BU60" s="456"/>
      <c r="BV60" s="456"/>
      <c r="BW60" s="456"/>
      <c r="BX60" s="456"/>
      <c r="BY60" s="456"/>
      <c r="BZ60" s="456"/>
      <c r="CA60" s="456"/>
      <c r="CB60" s="456"/>
      <c r="CC60" s="456"/>
      <c r="CD60" s="456"/>
      <c r="CE60" s="456"/>
      <c r="CF60" s="456"/>
      <c r="CG60" s="456"/>
      <c r="CH60" s="456"/>
      <c r="CI60" s="456"/>
      <c r="CJ60" s="456"/>
      <c r="CK60" s="456"/>
      <c r="CL60" s="456"/>
      <c r="CM60" s="456"/>
    </row>
    <row r="61" spans="1:91" ht="42" customHeight="1">
      <c r="A61" s="485"/>
      <c r="B61" s="485"/>
      <c r="C61" s="485"/>
      <c r="D61" s="485"/>
      <c r="E61" s="485"/>
      <c r="F61" s="485"/>
      <c r="G61" s="485"/>
      <c r="H61" s="485"/>
      <c r="I61" s="485"/>
      <c r="J61" s="485"/>
      <c r="K61" s="485"/>
      <c r="L61" s="485"/>
      <c r="M61" s="485"/>
      <c r="N61" s="485"/>
      <c r="O61" s="485"/>
      <c r="P61" s="485"/>
      <c r="Q61" s="485"/>
      <c r="R61" s="485"/>
      <c r="S61" s="485"/>
      <c r="T61" s="485"/>
      <c r="U61" s="490">
        <f t="shared" si="3"/>
        <v>0</v>
      </c>
      <c r="V61" s="485"/>
      <c r="W61" s="490">
        <f t="shared" si="4"/>
        <v>0</v>
      </c>
      <c r="X61" s="485"/>
      <c r="Y61" s="490">
        <f t="shared" si="5"/>
        <v>0</v>
      </c>
      <c r="Z61" s="469" t="str">
        <f t="shared" si="0"/>
        <v>FALTAN DATOS</v>
      </c>
      <c r="AA61" s="485"/>
      <c r="AB61" s="485"/>
      <c r="AC61" s="485"/>
      <c r="AD61" s="490" t="str">
        <f t="shared" si="1"/>
        <v/>
      </c>
      <c r="AE61" s="490" t="str">
        <f t="shared" si="6"/>
        <v/>
      </c>
      <c r="AF61" s="489"/>
      <c r="AG61" s="485"/>
      <c r="AH61" s="485"/>
      <c r="AI61" s="485"/>
      <c r="AJ61" s="485"/>
      <c r="AK61" s="485"/>
      <c r="AL61" s="485"/>
      <c r="AM61" s="485"/>
      <c r="AN61" s="509"/>
      <c r="AO61" s="456"/>
      <c r="AP61" s="456"/>
      <c r="AQ61" s="456"/>
      <c r="AR61" s="456"/>
      <c r="AS61" s="456"/>
      <c r="AT61" s="456"/>
      <c r="AU61" s="456"/>
      <c r="AV61" s="456"/>
      <c r="AW61" s="456"/>
      <c r="AX61" s="456"/>
      <c r="AY61" s="456"/>
      <c r="AZ61" s="456"/>
      <c r="BA61" s="456"/>
      <c r="BB61" s="456"/>
      <c r="BC61" s="456"/>
      <c r="BD61" s="456"/>
      <c r="BE61" s="456"/>
      <c r="BF61" s="456"/>
      <c r="BG61" s="456"/>
      <c r="BH61" s="456"/>
      <c r="BI61" s="456"/>
      <c r="BJ61" s="456"/>
      <c r="BK61" s="456"/>
      <c r="BL61" s="456"/>
      <c r="BM61" s="456"/>
      <c r="BN61" s="456"/>
      <c r="BO61" s="456"/>
      <c r="BP61" s="456"/>
      <c r="BQ61" s="456"/>
      <c r="BR61" s="456"/>
      <c r="BS61" s="456"/>
      <c r="BT61" s="456"/>
      <c r="BU61" s="456"/>
      <c r="BV61" s="456"/>
      <c r="BW61" s="456"/>
      <c r="BX61" s="456"/>
      <c r="BY61" s="456"/>
      <c r="BZ61" s="456"/>
      <c r="CA61" s="456"/>
      <c r="CB61" s="456"/>
      <c r="CC61" s="456"/>
      <c r="CD61" s="456"/>
      <c r="CE61" s="456"/>
      <c r="CF61" s="456"/>
      <c r="CG61" s="456"/>
      <c r="CH61" s="456"/>
      <c r="CI61" s="456"/>
      <c r="CJ61" s="456"/>
      <c r="CK61" s="456"/>
      <c r="CL61" s="456"/>
      <c r="CM61" s="456"/>
    </row>
    <row r="62" spans="1:91" ht="42" customHeight="1">
      <c r="A62" s="485"/>
      <c r="B62" s="485"/>
      <c r="C62" s="485"/>
      <c r="D62" s="485"/>
      <c r="E62" s="485"/>
      <c r="F62" s="485"/>
      <c r="G62" s="485"/>
      <c r="H62" s="485"/>
      <c r="I62" s="485"/>
      <c r="J62" s="485"/>
      <c r="K62" s="485"/>
      <c r="L62" s="485"/>
      <c r="M62" s="485"/>
      <c r="N62" s="485"/>
      <c r="O62" s="485"/>
      <c r="P62" s="485"/>
      <c r="Q62" s="485"/>
      <c r="R62" s="485"/>
      <c r="S62" s="485"/>
      <c r="T62" s="485"/>
      <c r="U62" s="490">
        <f t="shared" si="3"/>
        <v>0</v>
      </c>
      <c r="V62" s="485"/>
      <c r="W62" s="490">
        <f t="shared" si="4"/>
        <v>0</v>
      </c>
      <c r="X62" s="485"/>
      <c r="Y62" s="490">
        <f t="shared" si="5"/>
        <v>0</v>
      </c>
      <c r="Z62" s="469" t="str">
        <f t="shared" si="0"/>
        <v>FALTAN DATOS</v>
      </c>
      <c r="AA62" s="485"/>
      <c r="AB62" s="485"/>
      <c r="AC62" s="485"/>
      <c r="AD62" s="490" t="str">
        <f t="shared" si="1"/>
        <v/>
      </c>
      <c r="AE62" s="490" t="str">
        <f t="shared" si="6"/>
        <v/>
      </c>
      <c r="AF62" s="489"/>
      <c r="AG62" s="485"/>
      <c r="AH62" s="485"/>
      <c r="AI62" s="485"/>
      <c r="AJ62" s="485"/>
      <c r="AK62" s="485"/>
      <c r="AL62" s="485"/>
      <c r="AM62" s="485"/>
      <c r="AN62" s="509"/>
      <c r="AO62" s="456"/>
      <c r="AP62" s="456"/>
      <c r="AQ62" s="456"/>
      <c r="AR62" s="456"/>
      <c r="AS62" s="456"/>
      <c r="AT62" s="456"/>
      <c r="AU62" s="456"/>
      <c r="AV62" s="456"/>
      <c r="AW62" s="456"/>
      <c r="AX62" s="456"/>
      <c r="AY62" s="456"/>
      <c r="AZ62" s="456"/>
      <c r="BA62" s="456"/>
      <c r="BB62" s="456"/>
      <c r="BC62" s="456"/>
      <c r="BD62" s="456"/>
      <c r="BE62" s="456"/>
      <c r="BF62" s="456"/>
      <c r="BG62" s="456"/>
      <c r="BH62" s="456"/>
      <c r="BI62" s="456"/>
      <c r="BJ62" s="456"/>
      <c r="BK62" s="456"/>
      <c r="BL62" s="456"/>
      <c r="BM62" s="456"/>
      <c r="BN62" s="456"/>
      <c r="BO62" s="456"/>
      <c r="BP62" s="456"/>
      <c r="BQ62" s="456"/>
      <c r="BR62" s="456"/>
      <c r="BS62" s="456"/>
      <c r="BT62" s="456"/>
      <c r="BU62" s="456"/>
      <c r="BV62" s="456"/>
      <c r="BW62" s="456"/>
      <c r="BX62" s="456"/>
      <c r="BY62" s="456"/>
      <c r="BZ62" s="456"/>
      <c r="CA62" s="456"/>
      <c r="CB62" s="456"/>
      <c r="CC62" s="456"/>
      <c r="CD62" s="456"/>
      <c r="CE62" s="456"/>
      <c r="CF62" s="456"/>
      <c r="CG62" s="456"/>
      <c r="CH62" s="456"/>
      <c r="CI62" s="456"/>
      <c r="CJ62" s="456"/>
      <c r="CK62" s="456"/>
      <c r="CL62" s="456"/>
      <c r="CM62" s="456"/>
    </row>
    <row r="63" spans="1:91" ht="42" customHeight="1">
      <c r="A63" s="485"/>
      <c r="B63" s="485"/>
      <c r="C63" s="485"/>
      <c r="D63" s="485"/>
      <c r="E63" s="485"/>
      <c r="F63" s="485"/>
      <c r="G63" s="485"/>
      <c r="H63" s="485"/>
      <c r="I63" s="485"/>
      <c r="J63" s="485"/>
      <c r="K63" s="485"/>
      <c r="L63" s="485"/>
      <c r="M63" s="485"/>
      <c r="N63" s="485"/>
      <c r="O63" s="485"/>
      <c r="P63" s="485"/>
      <c r="Q63" s="485"/>
      <c r="R63" s="485"/>
      <c r="S63" s="485"/>
      <c r="T63" s="485"/>
      <c r="U63" s="490">
        <f t="shared" si="3"/>
        <v>0</v>
      </c>
      <c r="V63" s="485"/>
      <c r="W63" s="490">
        <f t="shared" si="4"/>
        <v>0</v>
      </c>
      <c r="X63" s="485"/>
      <c r="Y63" s="490">
        <f t="shared" si="5"/>
        <v>0</v>
      </c>
      <c r="Z63" s="469" t="str">
        <f t="shared" si="0"/>
        <v>FALTAN DATOS</v>
      </c>
      <c r="AA63" s="485"/>
      <c r="AB63" s="485"/>
      <c r="AC63" s="485"/>
      <c r="AD63" s="490" t="str">
        <f t="shared" si="1"/>
        <v/>
      </c>
      <c r="AE63" s="490" t="str">
        <f t="shared" si="6"/>
        <v/>
      </c>
      <c r="AF63" s="489"/>
      <c r="AG63" s="485"/>
      <c r="AH63" s="485"/>
      <c r="AI63" s="485"/>
      <c r="AJ63" s="485"/>
      <c r="AK63" s="485"/>
      <c r="AL63" s="485"/>
      <c r="AM63" s="485"/>
      <c r="AN63" s="509"/>
      <c r="AO63" s="456"/>
      <c r="AP63" s="456"/>
      <c r="AQ63" s="456"/>
      <c r="AR63" s="456"/>
      <c r="AS63" s="456"/>
      <c r="AT63" s="456"/>
      <c r="AU63" s="456"/>
      <c r="AV63" s="456"/>
      <c r="AW63" s="456"/>
      <c r="AX63" s="456"/>
      <c r="AY63" s="456"/>
      <c r="AZ63" s="456"/>
      <c r="BA63" s="456"/>
      <c r="BB63" s="456"/>
      <c r="BC63" s="456"/>
      <c r="BD63" s="456"/>
      <c r="BE63" s="456"/>
      <c r="BF63" s="456"/>
      <c r="BG63" s="456"/>
      <c r="BH63" s="456"/>
      <c r="BI63" s="456"/>
      <c r="BJ63" s="456"/>
      <c r="BK63" s="456"/>
      <c r="BL63" s="456"/>
      <c r="BM63" s="456"/>
      <c r="BN63" s="456"/>
      <c r="BO63" s="456"/>
      <c r="BP63" s="456"/>
      <c r="BQ63" s="456"/>
      <c r="BR63" s="456"/>
      <c r="BS63" s="456"/>
      <c r="BT63" s="456"/>
      <c r="BU63" s="456"/>
      <c r="BV63" s="456"/>
      <c r="BW63" s="456"/>
      <c r="BX63" s="456"/>
      <c r="BY63" s="456"/>
      <c r="BZ63" s="456"/>
      <c r="CA63" s="456"/>
      <c r="CB63" s="456"/>
      <c r="CC63" s="456"/>
      <c r="CD63" s="456"/>
      <c r="CE63" s="456"/>
      <c r="CF63" s="456"/>
      <c r="CG63" s="456"/>
      <c r="CH63" s="456"/>
      <c r="CI63" s="456"/>
      <c r="CJ63" s="456"/>
      <c r="CK63" s="456"/>
      <c r="CL63" s="456"/>
      <c r="CM63" s="456"/>
    </row>
    <row r="64" spans="1:91" ht="42" customHeight="1">
      <c r="A64" s="485"/>
      <c r="B64" s="485"/>
      <c r="C64" s="485"/>
      <c r="D64" s="485"/>
      <c r="E64" s="485"/>
      <c r="F64" s="485"/>
      <c r="G64" s="485"/>
      <c r="H64" s="485"/>
      <c r="I64" s="485"/>
      <c r="J64" s="485"/>
      <c r="K64" s="485"/>
      <c r="L64" s="485"/>
      <c r="M64" s="485"/>
      <c r="N64" s="485"/>
      <c r="O64" s="485"/>
      <c r="P64" s="485"/>
      <c r="Q64" s="485"/>
      <c r="R64" s="485"/>
      <c r="S64" s="485"/>
      <c r="T64" s="485"/>
      <c r="U64" s="490">
        <f t="shared" si="3"/>
        <v>0</v>
      </c>
      <c r="V64" s="485"/>
      <c r="W64" s="490">
        <f t="shared" si="4"/>
        <v>0</v>
      </c>
      <c r="X64" s="485"/>
      <c r="Y64" s="490">
        <f t="shared" si="5"/>
        <v>0</v>
      </c>
      <c r="Z64" s="469" t="str">
        <f t="shared" si="0"/>
        <v>FALTAN DATOS</v>
      </c>
      <c r="AA64" s="485"/>
      <c r="AB64" s="485"/>
      <c r="AC64" s="485"/>
      <c r="AD64" s="490" t="str">
        <f t="shared" si="1"/>
        <v/>
      </c>
      <c r="AE64" s="490" t="str">
        <f t="shared" si="6"/>
        <v/>
      </c>
      <c r="AF64" s="489"/>
      <c r="AG64" s="485"/>
      <c r="AH64" s="485"/>
      <c r="AI64" s="485"/>
      <c r="AJ64" s="485"/>
      <c r="AK64" s="485"/>
      <c r="AL64" s="485"/>
      <c r="AM64" s="485"/>
      <c r="AN64" s="509"/>
      <c r="AO64" s="456"/>
      <c r="AP64" s="456"/>
      <c r="AQ64" s="456"/>
      <c r="AR64" s="456"/>
      <c r="AS64" s="456"/>
      <c r="AT64" s="456"/>
      <c r="AU64" s="456"/>
      <c r="AV64" s="456"/>
      <c r="AW64" s="456"/>
      <c r="AX64" s="456"/>
      <c r="AY64" s="456"/>
      <c r="AZ64" s="456"/>
      <c r="BA64" s="456"/>
      <c r="BB64" s="456"/>
      <c r="BC64" s="456"/>
      <c r="BD64" s="456"/>
      <c r="BE64" s="456"/>
      <c r="BF64" s="456"/>
      <c r="BG64" s="456"/>
      <c r="BH64" s="456"/>
      <c r="BI64" s="456"/>
      <c r="BJ64" s="456"/>
      <c r="BK64" s="456"/>
      <c r="BL64" s="456"/>
      <c r="BM64" s="456"/>
      <c r="BN64" s="456"/>
      <c r="BO64" s="456"/>
      <c r="BP64" s="456"/>
      <c r="BQ64" s="456"/>
      <c r="BR64" s="456"/>
      <c r="BS64" s="456"/>
      <c r="BT64" s="456"/>
      <c r="BU64" s="456"/>
      <c r="BV64" s="456"/>
      <c r="BW64" s="456"/>
      <c r="BX64" s="456"/>
      <c r="BY64" s="456"/>
      <c r="BZ64" s="456"/>
      <c r="CA64" s="456"/>
      <c r="CB64" s="456"/>
      <c r="CC64" s="456"/>
      <c r="CD64" s="456"/>
      <c r="CE64" s="456"/>
      <c r="CF64" s="456"/>
      <c r="CG64" s="456"/>
      <c r="CH64" s="456"/>
      <c r="CI64" s="456"/>
      <c r="CJ64" s="456"/>
      <c r="CK64" s="456"/>
      <c r="CL64" s="456"/>
      <c r="CM64" s="456"/>
    </row>
    <row r="65" spans="1:91" ht="42" customHeight="1">
      <c r="A65" s="485"/>
      <c r="B65" s="485"/>
      <c r="C65" s="485"/>
      <c r="D65" s="485"/>
      <c r="E65" s="485"/>
      <c r="F65" s="485"/>
      <c r="G65" s="485"/>
      <c r="H65" s="485"/>
      <c r="I65" s="485"/>
      <c r="J65" s="485"/>
      <c r="K65" s="485"/>
      <c r="L65" s="485"/>
      <c r="M65" s="485"/>
      <c r="N65" s="485"/>
      <c r="O65" s="485"/>
      <c r="P65" s="485"/>
      <c r="Q65" s="485"/>
      <c r="R65" s="485"/>
      <c r="S65" s="485"/>
      <c r="T65" s="485"/>
      <c r="U65" s="490">
        <f t="shared" si="3"/>
        <v>0</v>
      </c>
      <c r="V65" s="485"/>
      <c r="W65" s="490">
        <f t="shared" si="4"/>
        <v>0</v>
      </c>
      <c r="X65" s="485"/>
      <c r="Y65" s="490">
        <f t="shared" si="5"/>
        <v>0</v>
      </c>
      <c r="Z65" s="469" t="str">
        <f t="shared" si="0"/>
        <v>FALTAN DATOS</v>
      </c>
      <c r="AA65" s="485"/>
      <c r="AB65" s="485"/>
      <c r="AC65" s="485"/>
      <c r="AD65" s="490" t="str">
        <f t="shared" si="1"/>
        <v/>
      </c>
      <c r="AE65" s="490" t="str">
        <f t="shared" si="6"/>
        <v/>
      </c>
      <c r="AF65" s="489"/>
      <c r="AG65" s="485"/>
      <c r="AH65" s="485"/>
      <c r="AI65" s="485"/>
      <c r="AJ65" s="485"/>
      <c r="AK65" s="485"/>
      <c r="AL65" s="485"/>
      <c r="AM65" s="485"/>
      <c r="AN65" s="509"/>
      <c r="AO65" s="456"/>
      <c r="AP65" s="456"/>
      <c r="AQ65" s="456"/>
      <c r="AR65" s="456"/>
      <c r="AS65" s="456"/>
      <c r="AT65" s="456"/>
      <c r="AU65" s="456"/>
      <c r="AV65" s="456"/>
      <c r="AW65" s="456"/>
      <c r="AX65" s="456"/>
      <c r="AY65" s="456"/>
      <c r="AZ65" s="456"/>
      <c r="BA65" s="456"/>
      <c r="BB65" s="456"/>
      <c r="BC65" s="456"/>
      <c r="BD65" s="456"/>
      <c r="BE65" s="456"/>
      <c r="BF65" s="456"/>
      <c r="BG65" s="456"/>
      <c r="BH65" s="456"/>
      <c r="BI65" s="456"/>
      <c r="BJ65" s="456"/>
      <c r="BK65" s="456"/>
      <c r="BL65" s="456"/>
      <c r="BM65" s="456"/>
      <c r="BN65" s="456"/>
      <c r="BO65" s="456"/>
      <c r="BP65" s="456"/>
      <c r="BQ65" s="456"/>
      <c r="BR65" s="456"/>
      <c r="BS65" s="456"/>
      <c r="BT65" s="456"/>
      <c r="BU65" s="456"/>
      <c r="BV65" s="456"/>
      <c r="BW65" s="456"/>
      <c r="BX65" s="456"/>
      <c r="BY65" s="456"/>
      <c r="BZ65" s="456"/>
      <c r="CA65" s="456"/>
      <c r="CB65" s="456"/>
      <c r="CC65" s="456"/>
      <c r="CD65" s="456"/>
      <c r="CE65" s="456"/>
      <c r="CF65" s="456"/>
      <c r="CG65" s="456"/>
      <c r="CH65" s="456"/>
      <c r="CI65" s="456"/>
      <c r="CJ65" s="456"/>
      <c r="CK65" s="456"/>
      <c r="CL65" s="456"/>
      <c r="CM65" s="456"/>
    </row>
    <row r="66" spans="1:91" ht="42" customHeight="1">
      <c r="A66" s="485"/>
      <c r="B66" s="485"/>
      <c r="C66" s="485"/>
      <c r="D66" s="485"/>
      <c r="E66" s="485"/>
      <c r="F66" s="485"/>
      <c r="G66" s="485"/>
      <c r="H66" s="485"/>
      <c r="I66" s="485"/>
      <c r="J66" s="485"/>
      <c r="K66" s="485"/>
      <c r="L66" s="485"/>
      <c r="M66" s="485"/>
      <c r="N66" s="485"/>
      <c r="O66" s="485"/>
      <c r="P66" s="485"/>
      <c r="Q66" s="485"/>
      <c r="R66" s="485"/>
      <c r="S66" s="485"/>
      <c r="T66" s="485"/>
      <c r="U66" s="490">
        <f t="shared" si="3"/>
        <v>0</v>
      </c>
      <c r="V66" s="485"/>
      <c r="W66" s="490">
        <f t="shared" si="4"/>
        <v>0</v>
      </c>
      <c r="X66" s="485"/>
      <c r="Y66" s="490">
        <f t="shared" si="5"/>
        <v>0</v>
      </c>
      <c r="Z66" s="469" t="str">
        <f t="shared" si="0"/>
        <v>FALTAN DATOS</v>
      </c>
      <c r="AA66" s="485"/>
      <c r="AB66" s="485"/>
      <c r="AC66" s="485"/>
      <c r="AD66" s="490" t="str">
        <f t="shared" si="1"/>
        <v/>
      </c>
      <c r="AE66" s="490" t="str">
        <f t="shared" si="6"/>
        <v/>
      </c>
      <c r="AF66" s="489"/>
      <c r="AG66" s="485"/>
      <c r="AH66" s="485"/>
      <c r="AI66" s="485"/>
      <c r="AJ66" s="485"/>
      <c r="AK66" s="485"/>
      <c r="AL66" s="485"/>
      <c r="AM66" s="485"/>
      <c r="AN66" s="509"/>
      <c r="AO66" s="456"/>
      <c r="AP66" s="456"/>
      <c r="AQ66" s="456"/>
      <c r="AR66" s="456"/>
      <c r="AS66" s="456"/>
      <c r="AT66" s="456"/>
      <c r="AU66" s="456"/>
      <c r="AV66" s="456"/>
      <c r="AW66" s="456"/>
      <c r="AX66" s="456"/>
      <c r="AY66" s="456"/>
      <c r="AZ66" s="456"/>
      <c r="BA66" s="456"/>
      <c r="BB66" s="456"/>
      <c r="BC66" s="456"/>
      <c r="BD66" s="456"/>
      <c r="BE66" s="456"/>
      <c r="BF66" s="456"/>
      <c r="BG66" s="456"/>
      <c r="BH66" s="456"/>
      <c r="BI66" s="456"/>
      <c r="BJ66" s="456"/>
      <c r="BK66" s="456"/>
      <c r="BL66" s="456"/>
      <c r="BM66" s="456"/>
      <c r="BN66" s="456"/>
      <c r="BO66" s="456"/>
      <c r="BP66" s="456"/>
      <c r="BQ66" s="456"/>
      <c r="BR66" s="456"/>
      <c r="BS66" s="456"/>
      <c r="BT66" s="456"/>
      <c r="BU66" s="456"/>
      <c r="BV66" s="456"/>
      <c r="BW66" s="456"/>
      <c r="BX66" s="456"/>
      <c r="BY66" s="456"/>
      <c r="BZ66" s="456"/>
      <c r="CA66" s="456"/>
      <c r="CB66" s="456"/>
      <c r="CC66" s="456"/>
      <c r="CD66" s="456"/>
      <c r="CE66" s="456"/>
      <c r="CF66" s="456"/>
      <c r="CG66" s="456"/>
      <c r="CH66" s="456"/>
      <c r="CI66" s="456"/>
      <c r="CJ66" s="456"/>
      <c r="CK66" s="456"/>
      <c r="CL66" s="456"/>
      <c r="CM66" s="456"/>
    </row>
    <row r="67" spans="1:91" ht="42" customHeight="1">
      <c r="A67" s="485"/>
      <c r="B67" s="485"/>
      <c r="C67" s="485"/>
      <c r="D67" s="485"/>
      <c r="E67" s="485"/>
      <c r="F67" s="485"/>
      <c r="G67" s="485"/>
      <c r="H67" s="485"/>
      <c r="I67" s="485"/>
      <c r="J67" s="485"/>
      <c r="K67" s="485"/>
      <c r="L67" s="485"/>
      <c r="M67" s="485"/>
      <c r="N67" s="485"/>
      <c r="O67" s="485"/>
      <c r="P67" s="485"/>
      <c r="Q67" s="485"/>
      <c r="R67" s="485"/>
      <c r="S67" s="485"/>
      <c r="T67" s="485"/>
      <c r="U67" s="490">
        <f t="shared" si="3"/>
        <v>0</v>
      </c>
      <c r="V67" s="485"/>
      <c r="W67" s="490">
        <f t="shared" si="4"/>
        <v>0</v>
      </c>
      <c r="X67" s="485"/>
      <c r="Y67" s="490">
        <f t="shared" si="5"/>
        <v>0</v>
      </c>
      <c r="Z67" s="469" t="str">
        <f t="shared" si="0"/>
        <v>FALTAN DATOS</v>
      </c>
      <c r="AA67" s="485"/>
      <c r="AB67" s="485"/>
      <c r="AC67" s="485"/>
      <c r="AD67" s="490" t="str">
        <f t="shared" si="1"/>
        <v/>
      </c>
      <c r="AE67" s="490" t="str">
        <f t="shared" si="6"/>
        <v/>
      </c>
      <c r="AF67" s="489"/>
      <c r="AG67" s="485"/>
      <c r="AH67" s="485"/>
      <c r="AI67" s="485"/>
      <c r="AJ67" s="485"/>
      <c r="AK67" s="485"/>
      <c r="AL67" s="485"/>
      <c r="AM67" s="485"/>
      <c r="AN67" s="509"/>
      <c r="AO67" s="456"/>
      <c r="AP67" s="456"/>
      <c r="AQ67" s="456"/>
      <c r="AR67" s="456"/>
      <c r="AS67" s="456"/>
      <c r="AT67" s="456"/>
      <c r="AU67" s="456"/>
      <c r="AV67" s="456"/>
      <c r="AW67" s="456"/>
      <c r="AX67" s="456"/>
      <c r="AY67" s="456"/>
      <c r="AZ67" s="456"/>
      <c r="BA67" s="456"/>
      <c r="BB67" s="456"/>
      <c r="BC67" s="456"/>
      <c r="BD67" s="456"/>
      <c r="BE67" s="456"/>
      <c r="BF67" s="456"/>
      <c r="BG67" s="456"/>
      <c r="BH67" s="456"/>
      <c r="BI67" s="456"/>
      <c r="BJ67" s="456"/>
      <c r="BK67" s="456"/>
      <c r="BL67" s="456"/>
      <c r="BM67" s="456"/>
      <c r="BN67" s="456"/>
      <c r="BO67" s="456"/>
      <c r="BP67" s="456"/>
      <c r="BQ67" s="456"/>
      <c r="BR67" s="456"/>
      <c r="BS67" s="456"/>
      <c r="BT67" s="456"/>
      <c r="BU67" s="456"/>
      <c r="BV67" s="456"/>
      <c r="BW67" s="456"/>
      <c r="BX67" s="456"/>
      <c r="BY67" s="456"/>
      <c r="BZ67" s="456"/>
      <c r="CA67" s="456"/>
      <c r="CB67" s="456"/>
      <c r="CC67" s="456"/>
      <c r="CD67" s="456"/>
      <c r="CE67" s="456"/>
      <c r="CF67" s="456"/>
      <c r="CG67" s="456"/>
      <c r="CH67" s="456"/>
      <c r="CI67" s="456"/>
      <c r="CJ67" s="456"/>
      <c r="CK67" s="456"/>
      <c r="CL67" s="456"/>
      <c r="CM67" s="456"/>
    </row>
    <row r="68" spans="1:91" ht="42" customHeight="1">
      <c r="A68" s="485"/>
      <c r="B68" s="485"/>
      <c r="C68" s="485"/>
      <c r="D68" s="485"/>
      <c r="E68" s="485"/>
      <c r="F68" s="485"/>
      <c r="G68" s="485"/>
      <c r="H68" s="485"/>
      <c r="I68" s="485"/>
      <c r="J68" s="485"/>
      <c r="K68" s="485"/>
      <c r="L68" s="485"/>
      <c r="M68" s="485"/>
      <c r="N68" s="485"/>
      <c r="O68" s="485"/>
      <c r="P68" s="485"/>
      <c r="Q68" s="485"/>
      <c r="R68" s="485"/>
      <c r="S68" s="485"/>
      <c r="T68" s="485"/>
      <c r="U68" s="490">
        <f t="shared" si="3"/>
        <v>0</v>
      </c>
      <c r="V68" s="485"/>
      <c r="W68" s="490">
        <f t="shared" si="4"/>
        <v>0</v>
      </c>
      <c r="X68" s="485"/>
      <c r="Y68" s="490">
        <f t="shared" si="5"/>
        <v>0</v>
      </c>
      <c r="Z68" s="469" t="str">
        <f t="shared" si="0"/>
        <v>FALTAN DATOS</v>
      </c>
      <c r="AA68" s="485"/>
      <c r="AB68" s="485"/>
      <c r="AC68" s="485"/>
      <c r="AD68" s="490" t="str">
        <f t="shared" si="1"/>
        <v/>
      </c>
      <c r="AE68" s="490" t="str">
        <f t="shared" si="6"/>
        <v/>
      </c>
      <c r="AF68" s="489"/>
      <c r="AG68" s="485"/>
      <c r="AH68" s="485"/>
      <c r="AI68" s="485"/>
      <c r="AJ68" s="485"/>
      <c r="AK68" s="485"/>
      <c r="AL68" s="485"/>
      <c r="AM68" s="485"/>
      <c r="AN68" s="509"/>
      <c r="AO68" s="456"/>
      <c r="AP68" s="456"/>
      <c r="AQ68" s="456"/>
      <c r="AR68" s="456"/>
      <c r="AS68" s="456"/>
      <c r="AT68" s="456"/>
      <c r="AU68" s="456"/>
      <c r="AV68" s="456"/>
      <c r="AW68" s="456"/>
      <c r="AX68" s="456"/>
      <c r="AY68" s="456"/>
      <c r="AZ68" s="456"/>
      <c r="BA68" s="456"/>
      <c r="BB68" s="456"/>
      <c r="BC68" s="456"/>
      <c r="BD68" s="456"/>
      <c r="BE68" s="456"/>
      <c r="BF68" s="456"/>
      <c r="BG68" s="456"/>
      <c r="BH68" s="456"/>
      <c r="BI68" s="456"/>
      <c r="BJ68" s="456"/>
      <c r="BK68" s="456"/>
      <c r="BL68" s="456"/>
      <c r="BM68" s="456"/>
      <c r="BN68" s="456"/>
      <c r="BO68" s="456"/>
      <c r="BP68" s="456"/>
      <c r="BQ68" s="456"/>
      <c r="BR68" s="456"/>
      <c r="BS68" s="456"/>
      <c r="BT68" s="456"/>
      <c r="BU68" s="456"/>
      <c r="BV68" s="456"/>
      <c r="BW68" s="456"/>
      <c r="BX68" s="456"/>
      <c r="BY68" s="456"/>
      <c r="BZ68" s="456"/>
      <c r="CA68" s="456"/>
      <c r="CB68" s="456"/>
      <c r="CC68" s="456"/>
      <c r="CD68" s="456"/>
      <c r="CE68" s="456"/>
      <c r="CF68" s="456"/>
      <c r="CG68" s="456"/>
      <c r="CH68" s="456"/>
      <c r="CI68" s="456"/>
      <c r="CJ68" s="456"/>
      <c r="CK68" s="456"/>
      <c r="CL68" s="456"/>
      <c r="CM68" s="456"/>
    </row>
    <row r="69" spans="1:91" ht="42" customHeight="1">
      <c r="A69" s="485"/>
      <c r="B69" s="485"/>
      <c r="C69" s="485"/>
      <c r="D69" s="485"/>
      <c r="E69" s="485"/>
      <c r="F69" s="485"/>
      <c r="G69" s="485"/>
      <c r="H69" s="485"/>
      <c r="I69" s="485"/>
      <c r="J69" s="485"/>
      <c r="K69" s="485"/>
      <c r="L69" s="485"/>
      <c r="M69" s="485"/>
      <c r="N69" s="485"/>
      <c r="O69" s="485"/>
      <c r="P69" s="485"/>
      <c r="Q69" s="485"/>
      <c r="R69" s="485"/>
      <c r="S69" s="485"/>
      <c r="T69" s="485"/>
      <c r="U69" s="490">
        <f t="shared" si="3"/>
        <v>0</v>
      </c>
      <c r="V69" s="485"/>
      <c r="W69" s="490">
        <f t="shared" si="4"/>
        <v>0</v>
      </c>
      <c r="X69" s="485"/>
      <c r="Y69" s="490">
        <f t="shared" si="5"/>
        <v>0</v>
      </c>
      <c r="Z69" s="469" t="str">
        <f t="shared" si="0"/>
        <v>FALTAN DATOS</v>
      </c>
      <c r="AA69" s="485"/>
      <c r="AB69" s="485"/>
      <c r="AC69" s="485"/>
      <c r="AD69" s="490" t="str">
        <f t="shared" si="1"/>
        <v/>
      </c>
      <c r="AE69" s="490" t="str">
        <f t="shared" si="6"/>
        <v/>
      </c>
      <c r="AF69" s="489"/>
      <c r="AG69" s="485"/>
      <c r="AH69" s="485"/>
      <c r="AI69" s="485"/>
      <c r="AJ69" s="485"/>
      <c r="AK69" s="485"/>
      <c r="AL69" s="485"/>
      <c r="AM69" s="485"/>
      <c r="AN69" s="509"/>
      <c r="AO69" s="456"/>
      <c r="AP69" s="456"/>
      <c r="AQ69" s="456"/>
      <c r="AR69" s="456"/>
      <c r="AS69" s="456"/>
      <c r="AT69" s="456"/>
      <c r="AU69" s="456"/>
      <c r="AV69" s="456"/>
      <c r="AW69" s="456"/>
      <c r="AX69" s="456"/>
      <c r="AY69" s="456"/>
      <c r="AZ69" s="456"/>
      <c r="BA69" s="456"/>
      <c r="BB69" s="456"/>
      <c r="BC69" s="456"/>
      <c r="BD69" s="456"/>
      <c r="BE69" s="456"/>
      <c r="BF69" s="456"/>
      <c r="BG69" s="456"/>
      <c r="BH69" s="456"/>
      <c r="BI69" s="456"/>
      <c r="BJ69" s="456"/>
      <c r="BK69" s="456"/>
      <c r="BL69" s="456"/>
      <c r="BM69" s="456"/>
      <c r="BN69" s="456"/>
      <c r="BO69" s="456"/>
      <c r="BP69" s="456"/>
      <c r="BQ69" s="456"/>
      <c r="BR69" s="456"/>
      <c r="BS69" s="456"/>
      <c r="BT69" s="456"/>
      <c r="BU69" s="456"/>
      <c r="BV69" s="456"/>
      <c r="BW69" s="456"/>
      <c r="BX69" s="456"/>
      <c r="BY69" s="456"/>
      <c r="BZ69" s="456"/>
      <c r="CA69" s="456"/>
      <c r="CB69" s="456"/>
      <c r="CC69" s="456"/>
      <c r="CD69" s="456"/>
      <c r="CE69" s="456"/>
      <c r="CF69" s="456"/>
      <c r="CG69" s="456"/>
      <c r="CH69" s="456"/>
      <c r="CI69" s="456"/>
      <c r="CJ69" s="456"/>
      <c r="CK69" s="456"/>
      <c r="CL69" s="456"/>
      <c r="CM69" s="456"/>
    </row>
    <row r="70" spans="1:91" ht="42" customHeight="1">
      <c r="A70" s="485"/>
      <c r="B70" s="485"/>
      <c r="C70" s="485"/>
      <c r="D70" s="485"/>
      <c r="E70" s="485"/>
      <c r="F70" s="485"/>
      <c r="G70" s="485"/>
      <c r="H70" s="485"/>
      <c r="I70" s="485"/>
      <c r="J70" s="485"/>
      <c r="K70" s="485"/>
      <c r="L70" s="485"/>
      <c r="M70" s="485"/>
      <c r="N70" s="485"/>
      <c r="O70" s="485"/>
      <c r="P70" s="485"/>
      <c r="Q70" s="485"/>
      <c r="R70" s="485"/>
      <c r="S70" s="485"/>
      <c r="T70" s="485"/>
      <c r="U70" s="490">
        <f t="shared" si="3"/>
        <v>0</v>
      </c>
      <c r="V70" s="485"/>
      <c r="W70" s="490">
        <f t="shared" si="4"/>
        <v>0</v>
      </c>
      <c r="X70" s="485"/>
      <c r="Y70" s="490">
        <f t="shared" si="5"/>
        <v>0</v>
      </c>
      <c r="Z70" s="469" t="str">
        <f t="shared" si="0"/>
        <v>FALTAN DATOS</v>
      </c>
      <c r="AA70" s="485"/>
      <c r="AB70" s="485"/>
      <c r="AC70" s="485"/>
      <c r="AD70" s="490" t="str">
        <f t="shared" si="1"/>
        <v/>
      </c>
      <c r="AE70" s="490" t="str">
        <f t="shared" si="6"/>
        <v/>
      </c>
      <c r="AF70" s="489"/>
      <c r="AG70" s="485"/>
      <c r="AH70" s="485"/>
      <c r="AI70" s="485"/>
      <c r="AJ70" s="485"/>
      <c r="AK70" s="485"/>
      <c r="AL70" s="485"/>
      <c r="AM70" s="485"/>
      <c r="AN70" s="509"/>
      <c r="AO70" s="456"/>
      <c r="AP70" s="456"/>
      <c r="AQ70" s="456"/>
      <c r="AR70" s="456"/>
      <c r="AS70" s="456"/>
      <c r="AT70" s="456"/>
      <c r="AU70" s="456"/>
      <c r="AV70" s="456"/>
      <c r="AW70" s="456"/>
      <c r="AX70" s="456"/>
      <c r="AY70" s="456"/>
      <c r="AZ70" s="456"/>
      <c r="BA70" s="456"/>
      <c r="BB70" s="456"/>
      <c r="BC70" s="456"/>
      <c r="BD70" s="456"/>
      <c r="BE70" s="456"/>
      <c r="BF70" s="456"/>
      <c r="BG70" s="456"/>
      <c r="BH70" s="456"/>
      <c r="BI70" s="456"/>
      <c r="BJ70" s="456"/>
      <c r="BK70" s="456"/>
      <c r="BL70" s="456"/>
      <c r="BM70" s="456"/>
      <c r="BN70" s="456"/>
      <c r="BO70" s="456"/>
      <c r="BP70" s="456"/>
      <c r="BQ70" s="456"/>
      <c r="BR70" s="456"/>
      <c r="BS70" s="456"/>
      <c r="BT70" s="456"/>
      <c r="BU70" s="456"/>
      <c r="BV70" s="456"/>
      <c r="BW70" s="456"/>
      <c r="BX70" s="456"/>
      <c r="BY70" s="456"/>
      <c r="BZ70" s="456"/>
      <c r="CA70" s="456"/>
      <c r="CB70" s="456"/>
      <c r="CC70" s="456"/>
      <c r="CD70" s="456"/>
      <c r="CE70" s="456"/>
      <c r="CF70" s="456"/>
      <c r="CG70" s="456"/>
      <c r="CH70" s="456"/>
      <c r="CI70" s="456"/>
      <c r="CJ70" s="456"/>
      <c r="CK70" s="456"/>
      <c r="CL70" s="456"/>
      <c r="CM70" s="456"/>
    </row>
    <row r="71" spans="1:91" ht="42" customHeight="1">
      <c r="A71" s="485"/>
      <c r="B71" s="485"/>
      <c r="C71" s="485"/>
      <c r="D71" s="485"/>
      <c r="E71" s="485"/>
      <c r="F71" s="485"/>
      <c r="G71" s="485"/>
      <c r="H71" s="485"/>
      <c r="I71" s="485"/>
      <c r="J71" s="485"/>
      <c r="K71" s="485"/>
      <c r="L71" s="485"/>
      <c r="M71" s="485"/>
      <c r="N71" s="485"/>
      <c r="O71" s="485"/>
      <c r="P71" s="485"/>
      <c r="Q71" s="485"/>
      <c r="R71" s="485"/>
      <c r="S71" s="485"/>
      <c r="T71" s="485"/>
      <c r="U71" s="490">
        <f t="shared" si="3"/>
        <v>0</v>
      </c>
      <c r="V71" s="485"/>
      <c r="W71" s="490">
        <f t="shared" si="4"/>
        <v>0</v>
      </c>
      <c r="X71" s="485"/>
      <c r="Y71" s="490">
        <f t="shared" si="5"/>
        <v>0</v>
      </c>
      <c r="Z71" s="469" t="str">
        <f t="shared" si="0"/>
        <v>FALTAN DATOS</v>
      </c>
      <c r="AA71" s="485"/>
      <c r="AB71" s="485"/>
      <c r="AC71" s="485"/>
      <c r="AD71" s="490" t="str">
        <f t="shared" si="1"/>
        <v/>
      </c>
      <c r="AE71" s="490" t="str">
        <f t="shared" si="6"/>
        <v/>
      </c>
      <c r="AF71" s="489"/>
      <c r="AG71" s="485"/>
      <c r="AH71" s="485"/>
      <c r="AI71" s="485"/>
      <c r="AJ71" s="485"/>
      <c r="AK71" s="485"/>
      <c r="AL71" s="485"/>
      <c r="AM71" s="485"/>
      <c r="AN71" s="509"/>
      <c r="AO71" s="456"/>
      <c r="AP71" s="456"/>
      <c r="AQ71" s="456"/>
      <c r="AR71" s="456"/>
      <c r="AS71" s="456"/>
      <c r="AT71" s="456"/>
      <c r="AU71" s="456"/>
      <c r="AV71" s="456"/>
      <c r="AW71" s="456"/>
      <c r="AX71" s="456"/>
      <c r="AY71" s="456"/>
      <c r="AZ71" s="456"/>
      <c r="BA71" s="456"/>
      <c r="BB71" s="456"/>
      <c r="BC71" s="456"/>
      <c r="BD71" s="456"/>
      <c r="BE71" s="456"/>
      <c r="BF71" s="456"/>
      <c r="BG71" s="456"/>
      <c r="BH71" s="456"/>
      <c r="BI71" s="456"/>
      <c r="BJ71" s="456"/>
      <c r="BK71" s="456"/>
      <c r="BL71" s="456"/>
      <c r="BM71" s="456"/>
      <c r="BN71" s="456"/>
      <c r="BO71" s="456"/>
      <c r="BP71" s="456"/>
      <c r="BQ71" s="456"/>
      <c r="BR71" s="456"/>
      <c r="BS71" s="456"/>
      <c r="BT71" s="456"/>
      <c r="BU71" s="456"/>
      <c r="BV71" s="456"/>
      <c r="BW71" s="456"/>
      <c r="BX71" s="456"/>
      <c r="BY71" s="456"/>
      <c r="BZ71" s="456"/>
      <c r="CA71" s="456"/>
      <c r="CB71" s="456"/>
      <c r="CC71" s="456"/>
      <c r="CD71" s="456"/>
      <c r="CE71" s="456"/>
      <c r="CF71" s="456"/>
      <c r="CG71" s="456"/>
      <c r="CH71" s="456"/>
      <c r="CI71" s="456"/>
      <c r="CJ71" s="456"/>
      <c r="CK71" s="456"/>
      <c r="CL71" s="456"/>
      <c r="CM71" s="456"/>
    </row>
    <row r="72" spans="1:91" ht="42" customHeight="1">
      <c r="A72" s="485"/>
      <c r="B72" s="485"/>
      <c r="C72" s="485"/>
      <c r="D72" s="485"/>
      <c r="E72" s="485"/>
      <c r="F72" s="485"/>
      <c r="G72" s="485"/>
      <c r="H72" s="485"/>
      <c r="I72" s="485"/>
      <c r="J72" s="485"/>
      <c r="K72" s="485"/>
      <c r="L72" s="485"/>
      <c r="M72" s="485"/>
      <c r="N72" s="485"/>
      <c r="O72" s="485"/>
      <c r="P72" s="485"/>
      <c r="Q72" s="485"/>
      <c r="R72" s="485"/>
      <c r="S72" s="485"/>
      <c r="T72" s="485"/>
      <c r="U72" s="490">
        <f t="shared" si="3"/>
        <v>0</v>
      </c>
      <c r="V72" s="485"/>
      <c r="W72" s="490">
        <f t="shared" si="4"/>
        <v>0</v>
      </c>
      <c r="X72" s="485"/>
      <c r="Y72" s="490">
        <f t="shared" si="5"/>
        <v>0</v>
      </c>
      <c r="Z72" s="469" t="str">
        <f t="shared" si="0"/>
        <v>FALTAN DATOS</v>
      </c>
      <c r="AA72" s="485"/>
      <c r="AB72" s="485"/>
      <c r="AC72" s="485"/>
      <c r="AD72" s="490" t="str">
        <f t="shared" si="1"/>
        <v/>
      </c>
      <c r="AE72" s="490" t="str">
        <f t="shared" si="6"/>
        <v/>
      </c>
      <c r="AF72" s="489"/>
      <c r="AG72" s="485"/>
      <c r="AH72" s="485"/>
      <c r="AI72" s="485"/>
      <c r="AJ72" s="485"/>
      <c r="AK72" s="485"/>
      <c r="AL72" s="485"/>
      <c r="AM72" s="485"/>
      <c r="AN72" s="509"/>
      <c r="AO72" s="456"/>
      <c r="AP72" s="456"/>
      <c r="AQ72" s="456"/>
      <c r="AR72" s="456"/>
      <c r="AS72" s="456"/>
      <c r="AT72" s="456"/>
      <c r="AU72" s="456"/>
      <c r="AV72" s="456"/>
      <c r="AW72" s="456"/>
      <c r="AX72" s="456"/>
      <c r="AY72" s="456"/>
      <c r="AZ72" s="456"/>
      <c r="BA72" s="456"/>
      <c r="BB72" s="456"/>
      <c r="BC72" s="456"/>
      <c r="BD72" s="456"/>
      <c r="BE72" s="456"/>
      <c r="BF72" s="456"/>
      <c r="BG72" s="456"/>
      <c r="BH72" s="456"/>
      <c r="BI72" s="456"/>
      <c r="BJ72" s="456"/>
      <c r="BK72" s="456"/>
      <c r="BL72" s="456"/>
      <c r="BM72" s="456"/>
      <c r="BN72" s="456"/>
      <c r="BO72" s="456"/>
      <c r="BP72" s="456"/>
      <c r="BQ72" s="456"/>
      <c r="BR72" s="456"/>
      <c r="BS72" s="456"/>
      <c r="BT72" s="456"/>
      <c r="BU72" s="456"/>
      <c r="BV72" s="456"/>
      <c r="BW72" s="456"/>
      <c r="BX72" s="456"/>
      <c r="BY72" s="456"/>
      <c r="BZ72" s="456"/>
      <c r="CA72" s="456"/>
      <c r="CB72" s="456"/>
      <c r="CC72" s="456"/>
      <c r="CD72" s="456"/>
      <c r="CE72" s="456"/>
      <c r="CF72" s="456"/>
      <c r="CG72" s="456"/>
      <c r="CH72" s="456"/>
      <c r="CI72" s="456"/>
      <c r="CJ72" s="456"/>
      <c r="CK72" s="456"/>
      <c r="CL72" s="456"/>
      <c r="CM72" s="456"/>
    </row>
    <row r="73" spans="1:91" ht="42" customHeight="1">
      <c r="A73" s="485"/>
      <c r="B73" s="485"/>
      <c r="C73" s="485"/>
      <c r="D73" s="485"/>
      <c r="E73" s="485"/>
      <c r="F73" s="485"/>
      <c r="G73" s="485"/>
      <c r="H73" s="485"/>
      <c r="I73" s="485"/>
      <c r="J73" s="485"/>
      <c r="K73" s="485"/>
      <c r="L73" s="485"/>
      <c r="M73" s="485"/>
      <c r="N73" s="485"/>
      <c r="O73" s="485"/>
      <c r="P73" s="485"/>
      <c r="Q73" s="485"/>
      <c r="R73" s="485"/>
      <c r="S73" s="485"/>
      <c r="T73" s="485"/>
      <c r="U73" s="490">
        <f t="shared" si="3"/>
        <v>0</v>
      </c>
      <c r="V73" s="485"/>
      <c r="W73" s="490">
        <f t="shared" si="4"/>
        <v>0</v>
      </c>
      <c r="X73" s="485"/>
      <c r="Y73" s="490">
        <f t="shared" si="5"/>
        <v>0</v>
      </c>
      <c r="Z73" s="469" t="str">
        <f t="shared" si="0"/>
        <v>FALTAN DATOS</v>
      </c>
      <c r="AA73" s="485"/>
      <c r="AB73" s="485"/>
      <c r="AC73" s="485"/>
      <c r="AD73" s="490" t="str">
        <f t="shared" si="1"/>
        <v/>
      </c>
      <c r="AE73" s="490" t="str">
        <f t="shared" si="6"/>
        <v/>
      </c>
      <c r="AF73" s="489"/>
      <c r="AG73" s="485"/>
      <c r="AH73" s="485"/>
      <c r="AI73" s="485"/>
      <c r="AJ73" s="485"/>
      <c r="AK73" s="485"/>
      <c r="AL73" s="485"/>
      <c r="AM73" s="485"/>
      <c r="AN73" s="509"/>
      <c r="AO73" s="456"/>
      <c r="AP73" s="456"/>
      <c r="AQ73" s="456"/>
      <c r="AR73" s="456"/>
      <c r="AS73" s="456"/>
      <c r="AT73" s="456"/>
      <c r="AU73" s="456"/>
      <c r="AV73" s="456"/>
      <c r="AW73" s="456"/>
      <c r="AX73" s="456"/>
      <c r="AY73" s="456"/>
      <c r="AZ73" s="456"/>
      <c r="BA73" s="456"/>
      <c r="BB73" s="456"/>
      <c r="BC73" s="456"/>
      <c r="BD73" s="456"/>
      <c r="BE73" s="456"/>
      <c r="BF73" s="456"/>
      <c r="BG73" s="456"/>
      <c r="BH73" s="456"/>
      <c r="BI73" s="456"/>
      <c r="BJ73" s="456"/>
      <c r="BK73" s="456"/>
      <c r="BL73" s="456"/>
      <c r="BM73" s="456"/>
      <c r="BN73" s="456"/>
      <c r="BO73" s="456"/>
      <c r="BP73" s="456"/>
      <c r="BQ73" s="456"/>
      <c r="BR73" s="456"/>
      <c r="BS73" s="456"/>
      <c r="BT73" s="456"/>
      <c r="BU73" s="456"/>
      <c r="BV73" s="456"/>
      <c r="BW73" s="456"/>
      <c r="BX73" s="456"/>
      <c r="BY73" s="456"/>
      <c r="BZ73" s="456"/>
      <c r="CA73" s="456"/>
      <c r="CB73" s="456"/>
      <c r="CC73" s="456"/>
      <c r="CD73" s="456"/>
      <c r="CE73" s="456"/>
      <c r="CF73" s="456"/>
      <c r="CG73" s="456"/>
      <c r="CH73" s="456"/>
      <c r="CI73" s="456"/>
      <c r="CJ73" s="456"/>
      <c r="CK73" s="456"/>
      <c r="CL73" s="456"/>
      <c r="CM73" s="456"/>
    </row>
    <row r="74" spans="1:91" ht="42" customHeight="1">
      <c r="A74" s="485"/>
      <c r="B74" s="485"/>
      <c r="C74" s="485"/>
      <c r="D74" s="485"/>
      <c r="E74" s="485"/>
      <c r="F74" s="485"/>
      <c r="G74" s="485"/>
      <c r="H74" s="485"/>
      <c r="I74" s="485"/>
      <c r="J74" s="485"/>
      <c r="K74" s="485"/>
      <c r="L74" s="485"/>
      <c r="M74" s="485"/>
      <c r="N74" s="485"/>
      <c r="O74" s="485"/>
      <c r="P74" s="485"/>
      <c r="Q74" s="485"/>
      <c r="R74" s="485"/>
      <c r="S74" s="485"/>
      <c r="T74" s="485"/>
      <c r="U74" s="490">
        <f t="shared" si="3"/>
        <v>0</v>
      </c>
      <c r="V74" s="485"/>
      <c r="W74" s="490">
        <f t="shared" si="4"/>
        <v>0</v>
      </c>
      <c r="X74" s="485"/>
      <c r="Y74" s="490">
        <f t="shared" si="5"/>
        <v>0</v>
      </c>
      <c r="Z74" s="469" t="str">
        <f t="shared" si="0"/>
        <v>FALTAN DATOS</v>
      </c>
      <c r="AA74" s="485"/>
      <c r="AB74" s="485"/>
      <c r="AC74" s="485"/>
      <c r="AD74" s="490" t="str">
        <f t="shared" si="1"/>
        <v/>
      </c>
      <c r="AE74" s="490" t="str">
        <f t="shared" si="6"/>
        <v/>
      </c>
      <c r="AF74" s="489"/>
      <c r="AG74" s="485"/>
      <c r="AH74" s="485"/>
      <c r="AI74" s="485"/>
      <c r="AJ74" s="485"/>
      <c r="AK74" s="485"/>
      <c r="AL74" s="485"/>
      <c r="AM74" s="485"/>
      <c r="AN74" s="509"/>
      <c r="AO74" s="456"/>
      <c r="AP74" s="456"/>
      <c r="AQ74" s="456"/>
      <c r="AR74" s="456"/>
      <c r="AS74" s="456"/>
      <c r="AT74" s="456"/>
      <c r="AU74" s="456"/>
      <c r="AV74" s="456"/>
      <c r="AW74" s="456"/>
      <c r="AX74" s="456"/>
      <c r="AY74" s="456"/>
      <c r="AZ74" s="456"/>
      <c r="BA74" s="456"/>
      <c r="BB74" s="456"/>
      <c r="BC74" s="456"/>
      <c r="BD74" s="456"/>
      <c r="BE74" s="456"/>
      <c r="BF74" s="456"/>
      <c r="BG74" s="456"/>
      <c r="BH74" s="456"/>
      <c r="BI74" s="456"/>
      <c r="BJ74" s="456"/>
      <c r="BK74" s="456"/>
      <c r="BL74" s="456"/>
      <c r="BM74" s="456"/>
      <c r="BN74" s="456"/>
      <c r="BO74" s="456"/>
      <c r="BP74" s="456"/>
      <c r="BQ74" s="456"/>
      <c r="BR74" s="456"/>
      <c r="BS74" s="456"/>
      <c r="BT74" s="456"/>
      <c r="BU74" s="456"/>
      <c r="BV74" s="456"/>
      <c r="BW74" s="456"/>
      <c r="BX74" s="456"/>
      <c r="BY74" s="456"/>
      <c r="BZ74" s="456"/>
      <c r="CA74" s="456"/>
      <c r="CB74" s="456"/>
      <c r="CC74" s="456"/>
      <c r="CD74" s="456"/>
      <c r="CE74" s="456"/>
      <c r="CF74" s="456"/>
      <c r="CG74" s="456"/>
      <c r="CH74" s="456"/>
      <c r="CI74" s="456"/>
      <c r="CJ74" s="456"/>
      <c r="CK74" s="456"/>
      <c r="CL74" s="456"/>
      <c r="CM74" s="456"/>
    </row>
    <row r="75" spans="1:91" ht="42" customHeight="1">
      <c r="A75" s="485"/>
      <c r="B75" s="485"/>
      <c r="C75" s="485"/>
      <c r="D75" s="485"/>
      <c r="E75" s="485"/>
      <c r="F75" s="485"/>
      <c r="G75" s="485"/>
      <c r="H75" s="485"/>
      <c r="I75" s="485"/>
      <c r="J75" s="485"/>
      <c r="K75" s="485"/>
      <c r="L75" s="485"/>
      <c r="M75" s="485"/>
      <c r="N75" s="485"/>
      <c r="O75" s="485"/>
      <c r="P75" s="485"/>
      <c r="Q75" s="485"/>
      <c r="R75" s="485"/>
      <c r="S75" s="485"/>
      <c r="T75" s="485"/>
      <c r="U75" s="490">
        <f t="shared" si="3"/>
        <v>0</v>
      </c>
      <c r="V75" s="485"/>
      <c r="W75" s="490">
        <f t="shared" si="4"/>
        <v>0</v>
      </c>
      <c r="X75" s="485"/>
      <c r="Y75" s="490">
        <f t="shared" si="5"/>
        <v>0</v>
      </c>
      <c r="Z75" s="469" t="str">
        <f t="shared" si="0"/>
        <v>FALTAN DATOS</v>
      </c>
      <c r="AA75" s="485"/>
      <c r="AB75" s="485"/>
      <c r="AC75" s="485"/>
      <c r="AD75" s="490" t="str">
        <f t="shared" si="1"/>
        <v/>
      </c>
      <c r="AE75" s="490" t="str">
        <f t="shared" si="6"/>
        <v/>
      </c>
      <c r="AF75" s="489"/>
      <c r="AG75" s="485"/>
      <c r="AH75" s="485"/>
      <c r="AI75" s="485"/>
      <c r="AJ75" s="485"/>
      <c r="AK75" s="485"/>
      <c r="AL75" s="485"/>
      <c r="AM75" s="485"/>
      <c r="AN75" s="509"/>
      <c r="AO75" s="456"/>
      <c r="AP75" s="456"/>
      <c r="AQ75" s="456"/>
      <c r="AR75" s="456"/>
      <c r="AS75" s="456"/>
      <c r="AT75" s="456"/>
      <c r="AU75" s="456"/>
      <c r="AV75" s="456"/>
      <c r="AW75" s="456"/>
      <c r="AX75" s="456"/>
      <c r="AY75" s="456"/>
      <c r="AZ75" s="456"/>
      <c r="BA75" s="456"/>
      <c r="BB75" s="456"/>
      <c r="BC75" s="456"/>
      <c r="BD75" s="456"/>
      <c r="BE75" s="456"/>
      <c r="BF75" s="456"/>
      <c r="BG75" s="456"/>
      <c r="BH75" s="456"/>
      <c r="BI75" s="456"/>
      <c r="BJ75" s="456"/>
      <c r="BK75" s="456"/>
      <c r="BL75" s="456"/>
      <c r="BM75" s="456"/>
      <c r="BN75" s="456"/>
      <c r="BO75" s="456"/>
      <c r="BP75" s="456"/>
      <c r="BQ75" s="456"/>
      <c r="BR75" s="456"/>
      <c r="BS75" s="456"/>
      <c r="BT75" s="456"/>
      <c r="BU75" s="456"/>
      <c r="BV75" s="456"/>
      <c r="BW75" s="456"/>
      <c r="BX75" s="456"/>
      <c r="BY75" s="456"/>
      <c r="BZ75" s="456"/>
      <c r="CA75" s="456"/>
      <c r="CB75" s="456"/>
      <c r="CC75" s="456"/>
      <c r="CD75" s="456"/>
      <c r="CE75" s="456"/>
      <c r="CF75" s="456"/>
      <c r="CG75" s="456"/>
      <c r="CH75" s="456"/>
      <c r="CI75" s="456"/>
      <c r="CJ75" s="456"/>
      <c r="CK75" s="456"/>
      <c r="CL75" s="456"/>
      <c r="CM75" s="456"/>
    </row>
    <row r="76" spans="1:91" ht="42" customHeight="1">
      <c r="A76" s="485"/>
      <c r="B76" s="485"/>
      <c r="C76" s="485"/>
      <c r="D76" s="485"/>
      <c r="E76" s="485"/>
      <c r="F76" s="485"/>
      <c r="G76" s="485"/>
      <c r="H76" s="485"/>
      <c r="I76" s="485"/>
      <c r="J76" s="485"/>
      <c r="K76" s="485"/>
      <c r="L76" s="485"/>
      <c r="M76" s="485"/>
      <c r="N76" s="485"/>
      <c r="O76" s="485"/>
      <c r="P76" s="485"/>
      <c r="Q76" s="485"/>
      <c r="R76" s="485"/>
      <c r="S76" s="485"/>
      <c r="T76" s="485"/>
      <c r="U76" s="490">
        <f t="shared" si="3"/>
        <v>0</v>
      </c>
      <c r="V76" s="485"/>
      <c r="W76" s="490">
        <f t="shared" si="4"/>
        <v>0</v>
      </c>
      <c r="X76" s="485"/>
      <c r="Y76" s="490">
        <f t="shared" si="5"/>
        <v>0</v>
      </c>
      <c r="Z76" s="469" t="str">
        <f t="shared" si="0"/>
        <v>FALTAN DATOS</v>
      </c>
      <c r="AA76" s="485"/>
      <c r="AB76" s="485"/>
      <c r="AC76" s="485"/>
      <c r="AD76" s="490" t="str">
        <f t="shared" si="1"/>
        <v/>
      </c>
      <c r="AE76" s="490" t="str">
        <f t="shared" si="6"/>
        <v/>
      </c>
      <c r="AF76" s="489"/>
      <c r="AG76" s="485"/>
      <c r="AH76" s="485"/>
      <c r="AI76" s="485"/>
      <c r="AJ76" s="485"/>
      <c r="AK76" s="485"/>
      <c r="AL76" s="485"/>
      <c r="AM76" s="485"/>
      <c r="AN76" s="509"/>
      <c r="AO76" s="456"/>
      <c r="AP76" s="456"/>
      <c r="AQ76" s="456"/>
      <c r="AR76" s="456"/>
      <c r="AS76" s="456"/>
      <c r="AT76" s="456"/>
      <c r="AU76" s="456"/>
      <c r="AV76" s="456"/>
      <c r="AW76" s="456"/>
      <c r="AX76" s="456"/>
      <c r="AY76" s="456"/>
      <c r="AZ76" s="456"/>
      <c r="BA76" s="456"/>
      <c r="BB76" s="456"/>
      <c r="BC76" s="456"/>
      <c r="BD76" s="456"/>
      <c r="BE76" s="456"/>
      <c r="BF76" s="456"/>
      <c r="BG76" s="456"/>
      <c r="BH76" s="456"/>
      <c r="BI76" s="456"/>
      <c r="BJ76" s="456"/>
      <c r="BK76" s="456"/>
      <c r="BL76" s="456"/>
      <c r="BM76" s="456"/>
      <c r="BN76" s="456"/>
      <c r="BO76" s="456"/>
      <c r="BP76" s="456"/>
      <c r="BQ76" s="456"/>
      <c r="BR76" s="456"/>
      <c r="BS76" s="456"/>
      <c r="BT76" s="456"/>
      <c r="BU76" s="456"/>
      <c r="BV76" s="456"/>
      <c r="BW76" s="456"/>
      <c r="BX76" s="456"/>
      <c r="BY76" s="456"/>
      <c r="BZ76" s="456"/>
      <c r="CA76" s="456"/>
      <c r="CB76" s="456"/>
      <c r="CC76" s="456"/>
      <c r="CD76" s="456"/>
      <c r="CE76" s="456"/>
      <c r="CF76" s="456"/>
      <c r="CG76" s="456"/>
      <c r="CH76" s="456"/>
      <c r="CI76" s="456"/>
      <c r="CJ76" s="456"/>
      <c r="CK76" s="456"/>
      <c r="CL76" s="456"/>
      <c r="CM76" s="456"/>
    </row>
    <row r="77" spans="1:91" ht="42" customHeight="1">
      <c r="A77" s="485"/>
      <c r="B77" s="485"/>
      <c r="C77" s="485"/>
      <c r="D77" s="485"/>
      <c r="E77" s="485"/>
      <c r="F77" s="485"/>
      <c r="G77" s="485"/>
      <c r="H77" s="485"/>
      <c r="I77" s="485"/>
      <c r="J77" s="485"/>
      <c r="K77" s="485"/>
      <c r="L77" s="485"/>
      <c r="M77" s="485"/>
      <c r="N77" s="485"/>
      <c r="O77" s="485"/>
      <c r="P77" s="485"/>
      <c r="Q77" s="485"/>
      <c r="R77" s="485"/>
      <c r="S77" s="485"/>
      <c r="T77" s="485"/>
      <c r="U77" s="490">
        <f t="shared" si="3"/>
        <v>0</v>
      </c>
      <c r="V77" s="485"/>
      <c r="W77" s="490">
        <f t="shared" si="4"/>
        <v>0</v>
      </c>
      <c r="X77" s="485"/>
      <c r="Y77" s="490">
        <f t="shared" si="5"/>
        <v>0</v>
      </c>
      <c r="Z77" s="469" t="str">
        <f t="shared" si="0"/>
        <v>FALTAN DATOS</v>
      </c>
      <c r="AA77" s="485"/>
      <c r="AB77" s="485"/>
      <c r="AC77" s="485"/>
      <c r="AD77" s="490" t="str">
        <f t="shared" si="1"/>
        <v/>
      </c>
      <c r="AE77" s="490" t="str">
        <f t="shared" si="6"/>
        <v/>
      </c>
      <c r="AF77" s="489"/>
      <c r="AG77" s="485"/>
      <c r="AH77" s="485"/>
      <c r="AI77" s="485"/>
      <c r="AJ77" s="485"/>
      <c r="AK77" s="485"/>
      <c r="AL77" s="485"/>
      <c r="AM77" s="485"/>
      <c r="AN77" s="509"/>
      <c r="AO77" s="456"/>
      <c r="AP77" s="456"/>
      <c r="AQ77" s="456"/>
      <c r="AR77" s="456"/>
      <c r="AS77" s="456"/>
      <c r="AT77" s="456"/>
      <c r="AU77" s="456"/>
      <c r="AV77" s="456"/>
      <c r="AW77" s="456"/>
      <c r="AX77" s="456"/>
      <c r="AY77" s="456"/>
      <c r="AZ77" s="456"/>
      <c r="BA77" s="456"/>
      <c r="BB77" s="456"/>
      <c r="BC77" s="456"/>
      <c r="BD77" s="456"/>
      <c r="BE77" s="456"/>
      <c r="BF77" s="456"/>
      <c r="BG77" s="456"/>
      <c r="BH77" s="456"/>
      <c r="BI77" s="456"/>
      <c r="BJ77" s="456"/>
      <c r="BK77" s="456"/>
      <c r="BL77" s="456"/>
      <c r="BM77" s="456"/>
      <c r="BN77" s="456"/>
      <c r="BO77" s="456"/>
      <c r="BP77" s="456"/>
      <c r="BQ77" s="456"/>
      <c r="BR77" s="456"/>
      <c r="BS77" s="456"/>
      <c r="BT77" s="456"/>
      <c r="BU77" s="456"/>
      <c r="BV77" s="456"/>
      <c r="BW77" s="456"/>
      <c r="BX77" s="456"/>
      <c r="BY77" s="456"/>
      <c r="BZ77" s="456"/>
      <c r="CA77" s="456"/>
      <c r="CB77" s="456"/>
      <c r="CC77" s="456"/>
      <c r="CD77" s="456"/>
      <c r="CE77" s="456"/>
      <c r="CF77" s="456"/>
      <c r="CG77" s="456"/>
      <c r="CH77" s="456"/>
      <c r="CI77" s="456"/>
      <c r="CJ77" s="456"/>
      <c r="CK77" s="456"/>
      <c r="CL77" s="456"/>
      <c r="CM77" s="456"/>
    </row>
    <row r="78" spans="1:91" ht="42" customHeight="1">
      <c r="A78" s="485"/>
      <c r="B78" s="485"/>
      <c r="C78" s="485"/>
      <c r="D78" s="485"/>
      <c r="E78" s="485"/>
      <c r="F78" s="485"/>
      <c r="G78" s="485"/>
      <c r="H78" s="485"/>
      <c r="I78" s="485"/>
      <c r="J78" s="485"/>
      <c r="K78" s="485"/>
      <c r="L78" s="485"/>
      <c r="M78" s="485"/>
      <c r="N78" s="485"/>
      <c r="O78" s="485"/>
      <c r="P78" s="485"/>
      <c r="Q78" s="485"/>
      <c r="R78" s="485"/>
      <c r="S78" s="485"/>
      <c r="T78" s="485"/>
      <c r="U78" s="490">
        <f t="shared" si="3"/>
        <v>0</v>
      </c>
      <c r="V78" s="485"/>
      <c r="W78" s="490">
        <f t="shared" si="4"/>
        <v>0</v>
      </c>
      <c r="X78" s="485"/>
      <c r="Y78" s="490">
        <f t="shared" si="5"/>
        <v>0</v>
      </c>
      <c r="Z78" s="469" t="str">
        <f t="shared" si="0"/>
        <v>FALTAN DATOS</v>
      </c>
      <c r="AA78" s="485"/>
      <c r="AB78" s="485"/>
      <c r="AC78" s="485"/>
      <c r="AD78" s="490" t="str">
        <f t="shared" si="1"/>
        <v/>
      </c>
      <c r="AE78" s="490" t="str">
        <f t="shared" si="6"/>
        <v/>
      </c>
      <c r="AF78" s="489"/>
      <c r="AG78" s="485"/>
      <c r="AH78" s="485"/>
      <c r="AI78" s="485"/>
      <c r="AJ78" s="485"/>
      <c r="AK78" s="485"/>
      <c r="AL78" s="485"/>
      <c r="AM78" s="485"/>
      <c r="AN78" s="509"/>
      <c r="AO78" s="456"/>
      <c r="AP78" s="456"/>
      <c r="AQ78" s="456"/>
      <c r="AR78" s="456"/>
      <c r="AS78" s="456"/>
      <c r="AT78" s="456"/>
      <c r="AU78" s="456"/>
      <c r="AV78" s="456"/>
      <c r="AW78" s="456"/>
      <c r="AX78" s="456"/>
      <c r="AY78" s="456"/>
      <c r="AZ78" s="456"/>
      <c r="BA78" s="456"/>
      <c r="BB78" s="456"/>
      <c r="BC78" s="456"/>
      <c r="BD78" s="456"/>
      <c r="BE78" s="456"/>
      <c r="BF78" s="456"/>
      <c r="BG78" s="456"/>
      <c r="BH78" s="456"/>
      <c r="BI78" s="456"/>
      <c r="BJ78" s="456"/>
      <c r="BK78" s="456"/>
      <c r="BL78" s="456"/>
      <c r="BM78" s="456"/>
      <c r="BN78" s="456"/>
      <c r="BO78" s="456"/>
      <c r="BP78" s="456"/>
      <c r="BQ78" s="456"/>
      <c r="BR78" s="456"/>
      <c r="BS78" s="456"/>
      <c r="BT78" s="456"/>
      <c r="BU78" s="456"/>
      <c r="BV78" s="456"/>
      <c r="BW78" s="456"/>
      <c r="BX78" s="456"/>
      <c r="BY78" s="456"/>
      <c r="BZ78" s="456"/>
      <c r="CA78" s="456"/>
      <c r="CB78" s="456"/>
      <c r="CC78" s="456"/>
      <c r="CD78" s="456"/>
      <c r="CE78" s="456"/>
      <c r="CF78" s="456"/>
      <c r="CG78" s="456"/>
      <c r="CH78" s="456"/>
      <c r="CI78" s="456"/>
      <c r="CJ78" s="456"/>
      <c r="CK78" s="456"/>
      <c r="CL78" s="456"/>
      <c r="CM78" s="456"/>
    </row>
    <row r="79" spans="1:91" ht="42" customHeight="1">
      <c r="A79" s="485"/>
      <c r="B79" s="485"/>
      <c r="C79" s="485"/>
      <c r="D79" s="485"/>
      <c r="E79" s="485"/>
      <c r="F79" s="485"/>
      <c r="G79" s="485"/>
      <c r="H79" s="485"/>
      <c r="I79" s="485"/>
      <c r="J79" s="485"/>
      <c r="K79" s="485"/>
      <c r="L79" s="485"/>
      <c r="M79" s="485"/>
      <c r="N79" s="485"/>
      <c r="O79" s="485"/>
      <c r="P79" s="485"/>
      <c r="Q79" s="485"/>
      <c r="R79" s="485"/>
      <c r="S79" s="485"/>
      <c r="T79" s="485"/>
      <c r="U79" s="490">
        <f t="shared" ref="U79:U88" si="7">IF(T79="No clasificada",5,IF(T79="Información pública clasificada",3,IF(T79="Información pública reservada",5,IF(T79="Información pública",1,))))</f>
        <v>0</v>
      </c>
      <c r="V79" s="485"/>
      <c r="W79" s="490">
        <f t="shared" ref="W79:W88" si="8">IF(V79="No clasificada",5,IF(V79="Baja",1,IF(V79="Media",3,IF(V79="Alta",5,))))</f>
        <v>0</v>
      </c>
      <c r="X79" s="485"/>
      <c r="Y79" s="490">
        <f t="shared" ref="Y79:Y88" si="9">IF(X79="No clasificada",5,IF(X79="Baja",1,IF(X79="Media",3,IF(X79="Alta",5,))))</f>
        <v>0</v>
      </c>
      <c r="Z79" s="469" t="str">
        <f t="shared" si="0"/>
        <v>FALTAN DATOS</v>
      </c>
      <c r="AA79" s="485"/>
      <c r="AB79" s="485"/>
      <c r="AC79" s="485"/>
      <c r="AD79" s="490" t="str">
        <f t="shared" si="1"/>
        <v/>
      </c>
      <c r="AE79" s="490" t="str">
        <f t="shared" si="6"/>
        <v/>
      </c>
      <c r="AF79" s="489"/>
      <c r="AG79" s="485"/>
      <c r="AH79" s="485"/>
      <c r="AI79" s="485"/>
      <c r="AJ79" s="485"/>
      <c r="AK79" s="485"/>
      <c r="AL79" s="485"/>
      <c r="AM79" s="485"/>
      <c r="AN79" s="509"/>
      <c r="AO79" s="456"/>
      <c r="AP79" s="456"/>
      <c r="AQ79" s="456"/>
      <c r="AR79" s="456"/>
      <c r="AS79" s="456"/>
      <c r="AT79" s="456"/>
      <c r="AU79" s="456"/>
      <c r="AV79" s="456"/>
      <c r="AW79" s="456"/>
      <c r="AX79" s="456"/>
      <c r="AY79" s="456"/>
      <c r="AZ79" s="456"/>
      <c r="BA79" s="456"/>
      <c r="BB79" s="456"/>
      <c r="BC79" s="456"/>
      <c r="BD79" s="456"/>
      <c r="BE79" s="456"/>
      <c r="BF79" s="456"/>
      <c r="BG79" s="456"/>
      <c r="BH79" s="456"/>
      <c r="BI79" s="456"/>
      <c r="BJ79" s="456"/>
      <c r="BK79" s="456"/>
      <c r="BL79" s="456"/>
      <c r="BM79" s="456"/>
      <c r="BN79" s="456"/>
      <c r="BO79" s="456"/>
      <c r="BP79" s="456"/>
      <c r="BQ79" s="456"/>
      <c r="BR79" s="456"/>
      <c r="BS79" s="456"/>
      <c r="BT79" s="456"/>
      <c r="BU79" s="456"/>
      <c r="BV79" s="456"/>
      <c r="BW79" s="456"/>
      <c r="BX79" s="456"/>
      <c r="BY79" s="456"/>
      <c r="BZ79" s="456"/>
      <c r="CA79" s="456"/>
      <c r="CB79" s="456"/>
      <c r="CC79" s="456"/>
      <c r="CD79" s="456"/>
      <c r="CE79" s="456"/>
      <c r="CF79" s="456"/>
      <c r="CG79" s="456"/>
      <c r="CH79" s="456"/>
      <c r="CI79" s="456"/>
      <c r="CJ79" s="456"/>
      <c r="CK79" s="456"/>
      <c r="CL79" s="456"/>
      <c r="CM79" s="456"/>
    </row>
    <row r="80" spans="1:91" ht="42" customHeight="1">
      <c r="A80" s="485"/>
      <c r="B80" s="485"/>
      <c r="C80" s="485"/>
      <c r="D80" s="485"/>
      <c r="E80" s="485"/>
      <c r="F80" s="485"/>
      <c r="G80" s="485"/>
      <c r="H80" s="485"/>
      <c r="I80" s="485"/>
      <c r="J80" s="485"/>
      <c r="K80" s="485"/>
      <c r="L80" s="485"/>
      <c r="M80" s="485"/>
      <c r="N80" s="485"/>
      <c r="O80" s="485"/>
      <c r="P80" s="485"/>
      <c r="Q80" s="485"/>
      <c r="R80" s="485"/>
      <c r="S80" s="485"/>
      <c r="T80" s="485"/>
      <c r="U80" s="490">
        <f t="shared" si="7"/>
        <v>0</v>
      </c>
      <c r="V80" s="485"/>
      <c r="W80" s="490">
        <f t="shared" si="8"/>
        <v>0</v>
      </c>
      <c r="X80" s="485"/>
      <c r="Y80" s="490">
        <f t="shared" si="9"/>
        <v>0</v>
      </c>
      <c r="Z80" s="469" t="str">
        <f t="shared" si="0"/>
        <v>FALTAN DATOS</v>
      </c>
      <c r="AA80" s="485"/>
      <c r="AB80" s="485"/>
      <c r="AC80" s="485"/>
      <c r="AD80" s="490" t="str">
        <f t="shared" si="1"/>
        <v/>
      </c>
      <c r="AE80" s="490" t="str">
        <f t="shared" si="6"/>
        <v/>
      </c>
      <c r="AF80" s="489"/>
      <c r="AG80" s="485"/>
      <c r="AH80" s="485"/>
      <c r="AI80" s="485"/>
      <c r="AJ80" s="485"/>
      <c r="AK80" s="485"/>
      <c r="AL80" s="485"/>
      <c r="AM80" s="485"/>
      <c r="AN80" s="509"/>
      <c r="AO80" s="456"/>
      <c r="AP80" s="456"/>
      <c r="AQ80" s="456"/>
      <c r="AR80" s="456"/>
      <c r="AS80" s="456"/>
      <c r="AT80" s="456"/>
      <c r="AU80" s="456"/>
      <c r="AV80" s="456"/>
      <c r="AW80" s="456"/>
      <c r="AX80" s="456"/>
      <c r="AY80" s="456"/>
      <c r="AZ80" s="456"/>
      <c r="BA80" s="456"/>
      <c r="BB80" s="456"/>
      <c r="BC80" s="456"/>
      <c r="BD80" s="456"/>
      <c r="BE80" s="456"/>
      <c r="BF80" s="456"/>
      <c r="BG80" s="456"/>
      <c r="BH80" s="456"/>
      <c r="BI80" s="456"/>
      <c r="BJ80" s="456"/>
      <c r="BK80" s="456"/>
      <c r="BL80" s="456"/>
      <c r="BM80" s="456"/>
      <c r="BN80" s="456"/>
      <c r="BO80" s="456"/>
      <c r="BP80" s="456"/>
      <c r="BQ80" s="456"/>
      <c r="BR80" s="456"/>
      <c r="BS80" s="456"/>
      <c r="BT80" s="456"/>
      <c r="BU80" s="456"/>
      <c r="BV80" s="456"/>
      <c r="BW80" s="456"/>
      <c r="BX80" s="456"/>
      <c r="BY80" s="456"/>
      <c r="BZ80" s="456"/>
      <c r="CA80" s="456"/>
      <c r="CB80" s="456"/>
      <c r="CC80" s="456"/>
      <c r="CD80" s="456"/>
      <c r="CE80" s="456"/>
      <c r="CF80" s="456"/>
      <c r="CG80" s="456"/>
      <c r="CH80" s="456"/>
      <c r="CI80" s="456"/>
      <c r="CJ80" s="456"/>
      <c r="CK80" s="456"/>
      <c r="CL80" s="456"/>
      <c r="CM80" s="456"/>
    </row>
    <row r="81" spans="1:91" ht="42" customHeight="1">
      <c r="A81" s="485"/>
      <c r="B81" s="485"/>
      <c r="C81" s="485"/>
      <c r="D81" s="485"/>
      <c r="E81" s="485"/>
      <c r="F81" s="485"/>
      <c r="G81" s="485"/>
      <c r="H81" s="485"/>
      <c r="I81" s="485"/>
      <c r="J81" s="485"/>
      <c r="K81" s="485"/>
      <c r="L81" s="485"/>
      <c r="M81" s="485"/>
      <c r="N81" s="485"/>
      <c r="O81" s="485"/>
      <c r="P81" s="485"/>
      <c r="Q81" s="485"/>
      <c r="R81" s="485"/>
      <c r="S81" s="485"/>
      <c r="T81" s="485"/>
      <c r="U81" s="490">
        <f t="shared" si="7"/>
        <v>0</v>
      </c>
      <c r="V81" s="485"/>
      <c r="W81" s="490">
        <f t="shared" si="8"/>
        <v>0</v>
      </c>
      <c r="X81" s="485"/>
      <c r="Y81" s="490">
        <f t="shared" si="9"/>
        <v>0</v>
      </c>
      <c r="Z81" s="469" t="str">
        <f t="shared" si="0"/>
        <v>FALTAN DATOS</v>
      </c>
      <c r="AA81" s="485"/>
      <c r="AB81" s="485"/>
      <c r="AC81" s="485"/>
      <c r="AD81" s="490" t="str">
        <f t="shared" si="1"/>
        <v/>
      </c>
      <c r="AE81" s="490" t="str">
        <f t="shared" si="6"/>
        <v/>
      </c>
      <c r="AF81" s="489"/>
      <c r="AG81" s="485"/>
      <c r="AH81" s="485"/>
      <c r="AI81" s="485"/>
      <c r="AJ81" s="485"/>
      <c r="AK81" s="485"/>
      <c r="AL81" s="485"/>
      <c r="AM81" s="485"/>
      <c r="AN81" s="509"/>
      <c r="AO81" s="456"/>
      <c r="AP81" s="456"/>
      <c r="AQ81" s="456"/>
      <c r="AR81" s="456"/>
      <c r="AS81" s="456"/>
      <c r="AT81" s="456"/>
      <c r="AU81" s="456"/>
      <c r="AV81" s="456"/>
      <c r="AW81" s="456"/>
      <c r="AX81" s="456"/>
      <c r="AY81" s="456"/>
      <c r="AZ81" s="456"/>
      <c r="BA81" s="456"/>
      <c r="BB81" s="456"/>
      <c r="BC81" s="456"/>
      <c r="BD81" s="456"/>
      <c r="BE81" s="456"/>
      <c r="BF81" s="456"/>
      <c r="BG81" s="456"/>
      <c r="BH81" s="456"/>
      <c r="BI81" s="456"/>
      <c r="BJ81" s="456"/>
      <c r="BK81" s="456"/>
      <c r="BL81" s="456"/>
      <c r="BM81" s="456"/>
      <c r="BN81" s="456"/>
      <c r="BO81" s="456"/>
      <c r="BP81" s="456"/>
      <c r="BQ81" s="456"/>
      <c r="BR81" s="456"/>
      <c r="BS81" s="456"/>
      <c r="BT81" s="456"/>
      <c r="BU81" s="456"/>
      <c r="BV81" s="456"/>
      <c r="BW81" s="456"/>
      <c r="BX81" s="456"/>
      <c r="BY81" s="456"/>
      <c r="BZ81" s="456"/>
      <c r="CA81" s="456"/>
      <c r="CB81" s="456"/>
      <c r="CC81" s="456"/>
      <c r="CD81" s="456"/>
      <c r="CE81" s="456"/>
      <c r="CF81" s="456"/>
      <c r="CG81" s="456"/>
      <c r="CH81" s="456"/>
      <c r="CI81" s="456"/>
      <c r="CJ81" s="456"/>
      <c r="CK81" s="456"/>
      <c r="CL81" s="456"/>
      <c r="CM81" s="456"/>
    </row>
    <row r="82" spans="1:91" ht="42" customHeight="1">
      <c r="A82" s="485"/>
      <c r="B82" s="485"/>
      <c r="C82" s="485"/>
      <c r="D82" s="485"/>
      <c r="E82" s="485"/>
      <c r="F82" s="485"/>
      <c r="G82" s="485"/>
      <c r="H82" s="485"/>
      <c r="I82" s="485"/>
      <c r="J82" s="485"/>
      <c r="K82" s="485"/>
      <c r="L82" s="485"/>
      <c r="M82" s="485"/>
      <c r="N82" s="485"/>
      <c r="O82" s="485"/>
      <c r="P82" s="485"/>
      <c r="Q82" s="485"/>
      <c r="R82" s="485"/>
      <c r="S82" s="485"/>
      <c r="T82" s="485"/>
      <c r="U82" s="490">
        <f t="shared" si="7"/>
        <v>0</v>
      </c>
      <c r="V82" s="485"/>
      <c r="W82" s="490">
        <f t="shared" si="8"/>
        <v>0</v>
      </c>
      <c r="X82" s="485"/>
      <c r="Y82" s="490">
        <f t="shared" si="9"/>
        <v>0</v>
      </c>
      <c r="Z82" s="469" t="str">
        <f t="shared" si="0"/>
        <v>FALTAN DATOS</v>
      </c>
      <c r="AA82" s="485"/>
      <c r="AB82" s="485"/>
      <c r="AC82" s="485"/>
      <c r="AD82" s="490" t="str">
        <f t="shared" si="1"/>
        <v/>
      </c>
      <c r="AE82" s="490" t="str">
        <f t="shared" si="6"/>
        <v/>
      </c>
      <c r="AF82" s="489"/>
      <c r="AG82" s="485"/>
      <c r="AH82" s="485"/>
      <c r="AI82" s="485"/>
      <c r="AJ82" s="485"/>
      <c r="AK82" s="485"/>
      <c r="AL82" s="485"/>
      <c r="AM82" s="485"/>
      <c r="AN82" s="509"/>
      <c r="AO82" s="456"/>
      <c r="AP82" s="456"/>
      <c r="AQ82" s="456"/>
      <c r="AR82" s="456"/>
      <c r="AS82" s="456"/>
      <c r="AT82" s="456"/>
      <c r="AU82" s="456"/>
      <c r="AV82" s="456"/>
      <c r="AW82" s="456"/>
      <c r="AX82" s="456"/>
      <c r="AY82" s="456"/>
      <c r="AZ82" s="456"/>
      <c r="BA82" s="456"/>
      <c r="BB82" s="456"/>
      <c r="BC82" s="456"/>
      <c r="BD82" s="456"/>
      <c r="BE82" s="456"/>
      <c r="BF82" s="456"/>
      <c r="BG82" s="456"/>
      <c r="BH82" s="456"/>
      <c r="BI82" s="456"/>
      <c r="BJ82" s="456"/>
      <c r="BK82" s="456"/>
      <c r="BL82" s="456"/>
      <c r="BM82" s="456"/>
      <c r="BN82" s="456"/>
      <c r="BO82" s="456"/>
      <c r="BP82" s="456"/>
      <c r="BQ82" s="456"/>
      <c r="BR82" s="456"/>
      <c r="BS82" s="456"/>
      <c r="BT82" s="456"/>
      <c r="BU82" s="456"/>
      <c r="BV82" s="456"/>
      <c r="BW82" s="456"/>
      <c r="BX82" s="456"/>
      <c r="BY82" s="456"/>
      <c r="BZ82" s="456"/>
      <c r="CA82" s="456"/>
      <c r="CB82" s="456"/>
      <c r="CC82" s="456"/>
      <c r="CD82" s="456"/>
      <c r="CE82" s="456"/>
      <c r="CF82" s="456"/>
      <c r="CG82" s="456"/>
      <c r="CH82" s="456"/>
      <c r="CI82" s="456"/>
      <c r="CJ82" s="456"/>
      <c r="CK82" s="456"/>
      <c r="CL82" s="456"/>
      <c r="CM82" s="456"/>
    </row>
    <row r="83" spans="1:91" ht="42" customHeight="1">
      <c r="A83" s="485"/>
      <c r="B83" s="485"/>
      <c r="C83" s="485"/>
      <c r="D83" s="485"/>
      <c r="E83" s="485"/>
      <c r="F83" s="485"/>
      <c r="G83" s="485"/>
      <c r="H83" s="485"/>
      <c r="I83" s="485"/>
      <c r="J83" s="485"/>
      <c r="K83" s="485"/>
      <c r="L83" s="485"/>
      <c r="M83" s="485"/>
      <c r="N83" s="485"/>
      <c r="O83" s="485"/>
      <c r="P83" s="485"/>
      <c r="Q83" s="485"/>
      <c r="R83" s="485"/>
      <c r="S83" s="485"/>
      <c r="T83" s="485"/>
      <c r="U83" s="490">
        <f t="shared" si="7"/>
        <v>0</v>
      </c>
      <c r="V83" s="485"/>
      <c r="W83" s="490">
        <f t="shared" si="8"/>
        <v>0</v>
      </c>
      <c r="X83" s="485"/>
      <c r="Y83" s="490">
        <f t="shared" si="9"/>
        <v>0</v>
      </c>
      <c r="Z83" s="469" t="str">
        <f t="shared" si="0"/>
        <v>FALTAN DATOS</v>
      </c>
      <c r="AA83" s="485"/>
      <c r="AB83" s="485"/>
      <c r="AC83" s="485"/>
      <c r="AD83" s="490" t="str">
        <f t="shared" si="1"/>
        <v/>
      </c>
      <c r="AE83" s="490" t="str">
        <f t="shared" si="6"/>
        <v/>
      </c>
      <c r="AF83" s="489"/>
      <c r="AG83" s="485"/>
      <c r="AH83" s="485"/>
      <c r="AI83" s="485"/>
      <c r="AJ83" s="485"/>
      <c r="AK83" s="485"/>
      <c r="AL83" s="485"/>
      <c r="AM83" s="485"/>
      <c r="AN83" s="509"/>
      <c r="AO83" s="456"/>
      <c r="AP83" s="456"/>
      <c r="AQ83" s="456"/>
      <c r="AR83" s="456"/>
      <c r="AS83" s="456"/>
      <c r="AT83" s="456"/>
      <c r="AU83" s="456"/>
      <c r="AV83" s="456"/>
      <c r="AW83" s="456"/>
      <c r="AX83" s="456"/>
      <c r="AY83" s="456"/>
      <c r="AZ83" s="456"/>
      <c r="BA83" s="456"/>
      <c r="BB83" s="456"/>
      <c r="BC83" s="456"/>
      <c r="BD83" s="456"/>
      <c r="BE83" s="456"/>
      <c r="BF83" s="456"/>
      <c r="BG83" s="456"/>
      <c r="BH83" s="456"/>
      <c r="BI83" s="456"/>
      <c r="BJ83" s="456"/>
      <c r="BK83" s="456"/>
      <c r="BL83" s="456"/>
      <c r="BM83" s="456"/>
      <c r="BN83" s="456"/>
      <c r="BO83" s="456"/>
      <c r="BP83" s="456"/>
      <c r="BQ83" s="456"/>
      <c r="BR83" s="456"/>
      <c r="BS83" s="456"/>
      <c r="BT83" s="456"/>
      <c r="BU83" s="456"/>
      <c r="BV83" s="456"/>
      <c r="BW83" s="456"/>
      <c r="BX83" s="456"/>
      <c r="BY83" s="456"/>
      <c r="BZ83" s="456"/>
      <c r="CA83" s="456"/>
      <c r="CB83" s="456"/>
      <c r="CC83" s="456"/>
      <c r="CD83" s="456"/>
      <c r="CE83" s="456"/>
      <c r="CF83" s="456"/>
      <c r="CG83" s="456"/>
      <c r="CH83" s="456"/>
      <c r="CI83" s="456"/>
      <c r="CJ83" s="456"/>
      <c r="CK83" s="456"/>
      <c r="CL83" s="456"/>
      <c r="CM83" s="456"/>
    </row>
    <row r="84" spans="1:91" ht="42" customHeight="1">
      <c r="A84" s="485"/>
      <c r="B84" s="485"/>
      <c r="C84" s="485"/>
      <c r="D84" s="485"/>
      <c r="E84" s="485"/>
      <c r="F84" s="485"/>
      <c r="G84" s="485"/>
      <c r="H84" s="485"/>
      <c r="I84" s="485"/>
      <c r="J84" s="485"/>
      <c r="K84" s="485"/>
      <c r="L84" s="485"/>
      <c r="M84" s="485"/>
      <c r="N84" s="485"/>
      <c r="O84" s="485"/>
      <c r="P84" s="485"/>
      <c r="Q84" s="485"/>
      <c r="R84" s="485"/>
      <c r="S84" s="485"/>
      <c r="T84" s="485"/>
      <c r="U84" s="490">
        <f t="shared" si="7"/>
        <v>0</v>
      </c>
      <c r="V84" s="485"/>
      <c r="W84" s="490">
        <f t="shared" si="8"/>
        <v>0</v>
      </c>
      <c r="X84" s="485"/>
      <c r="Y84" s="490">
        <f t="shared" si="9"/>
        <v>0</v>
      </c>
      <c r="Z84" s="469" t="str">
        <f t="shared" si="0"/>
        <v>FALTAN DATOS</v>
      </c>
      <c r="AA84" s="485"/>
      <c r="AB84" s="485"/>
      <c r="AC84" s="485"/>
      <c r="AD84" s="490" t="str">
        <f t="shared" si="1"/>
        <v/>
      </c>
      <c r="AE84" s="490" t="str">
        <f t="shared" si="6"/>
        <v/>
      </c>
      <c r="AF84" s="489"/>
      <c r="AG84" s="485"/>
      <c r="AH84" s="485"/>
      <c r="AI84" s="485"/>
      <c r="AJ84" s="485"/>
      <c r="AK84" s="485"/>
      <c r="AL84" s="485"/>
      <c r="AM84" s="485"/>
      <c r="AN84" s="509"/>
      <c r="AO84" s="456"/>
      <c r="AP84" s="456"/>
      <c r="AQ84" s="456"/>
      <c r="AR84" s="456"/>
      <c r="AS84" s="456"/>
      <c r="AT84" s="456"/>
      <c r="AU84" s="456"/>
      <c r="AV84" s="456"/>
      <c r="AW84" s="456"/>
      <c r="AX84" s="456"/>
      <c r="AY84" s="456"/>
      <c r="AZ84" s="456"/>
      <c r="BA84" s="456"/>
      <c r="BB84" s="456"/>
      <c r="BC84" s="456"/>
      <c r="BD84" s="456"/>
      <c r="BE84" s="456"/>
      <c r="BF84" s="456"/>
      <c r="BG84" s="456"/>
      <c r="BH84" s="456"/>
      <c r="BI84" s="456"/>
      <c r="BJ84" s="456"/>
      <c r="BK84" s="456"/>
      <c r="BL84" s="456"/>
      <c r="BM84" s="456"/>
      <c r="BN84" s="456"/>
      <c r="BO84" s="456"/>
      <c r="BP84" s="456"/>
      <c r="BQ84" s="456"/>
      <c r="BR84" s="456"/>
      <c r="BS84" s="456"/>
      <c r="BT84" s="456"/>
      <c r="BU84" s="456"/>
      <c r="BV84" s="456"/>
      <c r="BW84" s="456"/>
      <c r="BX84" s="456"/>
      <c r="BY84" s="456"/>
      <c r="BZ84" s="456"/>
      <c r="CA84" s="456"/>
      <c r="CB84" s="456"/>
      <c r="CC84" s="456"/>
      <c r="CD84" s="456"/>
      <c r="CE84" s="456"/>
      <c r="CF84" s="456"/>
      <c r="CG84" s="456"/>
      <c r="CH84" s="456"/>
      <c r="CI84" s="456"/>
      <c r="CJ84" s="456"/>
      <c r="CK84" s="456"/>
      <c r="CL84" s="456"/>
      <c r="CM84" s="456"/>
    </row>
    <row r="85" spans="1:91" ht="42" customHeight="1">
      <c r="A85" s="485"/>
      <c r="B85" s="485"/>
      <c r="C85" s="485"/>
      <c r="D85" s="485"/>
      <c r="E85" s="485"/>
      <c r="F85" s="485"/>
      <c r="G85" s="485"/>
      <c r="H85" s="485"/>
      <c r="I85" s="485"/>
      <c r="J85" s="485"/>
      <c r="K85" s="485"/>
      <c r="L85" s="485"/>
      <c r="M85" s="485"/>
      <c r="N85" s="485"/>
      <c r="O85" s="485"/>
      <c r="P85" s="485"/>
      <c r="Q85" s="485"/>
      <c r="R85" s="485"/>
      <c r="S85" s="485"/>
      <c r="T85" s="485"/>
      <c r="U85" s="490">
        <f t="shared" si="7"/>
        <v>0</v>
      </c>
      <c r="V85" s="485"/>
      <c r="W85" s="490">
        <f t="shared" si="8"/>
        <v>0</v>
      </c>
      <c r="X85" s="485"/>
      <c r="Y85" s="490">
        <f t="shared" si="9"/>
        <v>0</v>
      </c>
      <c r="Z85" s="469" t="str">
        <f t="shared" si="0"/>
        <v>FALTAN DATOS</v>
      </c>
      <c r="AA85" s="485"/>
      <c r="AB85" s="485"/>
      <c r="AC85" s="485"/>
      <c r="AD85" s="490" t="str">
        <f t="shared" si="1"/>
        <v/>
      </c>
      <c r="AE85" s="490" t="str">
        <f t="shared" si="6"/>
        <v/>
      </c>
      <c r="AF85" s="489"/>
      <c r="AG85" s="485"/>
      <c r="AH85" s="485"/>
      <c r="AI85" s="485"/>
      <c r="AJ85" s="485"/>
      <c r="AK85" s="485"/>
      <c r="AL85" s="485"/>
      <c r="AM85" s="485"/>
      <c r="AN85" s="509"/>
      <c r="AO85" s="456"/>
      <c r="AP85" s="456"/>
      <c r="AQ85" s="456"/>
      <c r="AR85" s="456"/>
      <c r="AS85" s="456"/>
      <c r="AT85" s="456"/>
      <c r="AU85" s="456"/>
      <c r="AV85" s="456"/>
      <c r="AW85" s="456"/>
      <c r="AX85" s="456"/>
      <c r="AY85" s="456"/>
      <c r="AZ85" s="456"/>
      <c r="BA85" s="456"/>
      <c r="BB85" s="456"/>
      <c r="BC85" s="456"/>
      <c r="BD85" s="456"/>
      <c r="BE85" s="456"/>
      <c r="BF85" s="456"/>
      <c r="BG85" s="456"/>
      <c r="BH85" s="456"/>
      <c r="BI85" s="456"/>
      <c r="BJ85" s="456"/>
      <c r="BK85" s="456"/>
      <c r="BL85" s="456"/>
      <c r="BM85" s="456"/>
      <c r="BN85" s="456"/>
      <c r="BO85" s="456"/>
      <c r="BP85" s="456"/>
      <c r="BQ85" s="456"/>
      <c r="BR85" s="456"/>
      <c r="BS85" s="456"/>
      <c r="BT85" s="456"/>
      <c r="BU85" s="456"/>
      <c r="BV85" s="456"/>
      <c r="BW85" s="456"/>
      <c r="BX85" s="456"/>
      <c r="BY85" s="456"/>
      <c r="BZ85" s="456"/>
      <c r="CA85" s="456"/>
      <c r="CB85" s="456"/>
      <c r="CC85" s="456"/>
      <c r="CD85" s="456"/>
      <c r="CE85" s="456"/>
      <c r="CF85" s="456"/>
      <c r="CG85" s="456"/>
      <c r="CH85" s="456"/>
      <c r="CI85" s="456"/>
      <c r="CJ85" s="456"/>
      <c r="CK85" s="456"/>
      <c r="CL85" s="456"/>
      <c r="CM85" s="456"/>
    </row>
    <row r="86" spans="1:91" ht="42" customHeight="1">
      <c r="A86" s="485"/>
      <c r="B86" s="485"/>
      <c r="C86" s="485"/>
      <c r="D86" s="485"/>
      <c r="E86" s="485"/>
      <c r="F86" s="485"/>
      <c r="G86" s="485"/>
      <c r="H86" s="485"/>
      <c r="I86" s="485"/>
      <c r="J86" s="485"/>
      <c r="K86" s="485"/>
      <c r="L86" s="485"/>
      <c r="M86" s="485"/>
      <c r="N86" s="485"/>
      <c r="O86" s="485"/>
      <c r="P86" s="485"/>
      <c r="Q86" s="485"/>
      <c r="R86" s="485"/>
      <c r="S86" s="485"/>
      <c r="T86" s="485"/>
      <c r="U86" s="490">
        <f t="shared" si="7"/>
        <v>0</v>
      </c>
      <c r="V86" s="485"/>
      <c r="W86" s="490">
        <f t="shared" si="8"/>
        <v>0</v>
      </c>
      <c r="X86" s="485"/>
      <c r="Y86" s="490">
        <f t="shared" si="9"/>
        <v>0</v>
      </c>
      <c r="Z86" s="469" t="str">
        <f t="shared" si="0"/>
        <v>FALTAN DATOS</v>
      </c>
      <c r="AA86" s="485"/>
      <c r="AB86" s="485"/>
      <c r="AC86" s="485"/>
      <c r="AD86" s="490" t="str">
        <f t="shared" si="1"/>
        <v/>
      </c>
      <c r="AE86" s="490" t="str">
        <f t="shared" si="6"/>
        <v/>
      </c>
      <c r="AF86" s="489"/>
      <c r="AG86" s="485"/>
      <c r="AH86" s="485"/>
      <c r="AI86" s="485"/>
      <c r="AJ86" s="485"/>
      <c r="AK86" s="485"/>
      <c r="AL86" s="485"/>
      <c r="AM86" s="485"/>
      <c r="AN86" s="509"/>
      <c r="AO86" s="456"/>
      <c r="AP86" s="456"/>
      <c r="AQ86" s="456"/>
      <c r="AR86" s="456"/>
      <c r="AS86" s="456"/>
      <c r="AT86" s="456"/>
      <c r="AU86" s="456"/>
      <c r="AV86" s="456"/>
      <c r="AW86" s="456"/>
      <c r="AX86" s="456"/>
      <c r="AY86" s="456"/>
      <c r="AZ86" s="456"/>
      <c r="BA86" s="456"/>
      <c r="BB86" s="456"/>
      <c r="BC86" s="456"/>
      <c r="BD86" s="456"/>
      <c r="BE86" s="456"/>
      <c r="BF86" s="456"/>
      <c r="BG86" s="456"/>
      <c r="BH86" s="456"/>
      <c r="BI86" s="456"/>
      <c r="BJ86" s="456"/>
      <c r="BK86" s="456"/>
      <c r="BL86" s="456"/>
      <c r="BM86" s="456"/>
      <c r="BN86" s="456"/>
      <c r="BO86" s="456"/>
      <c r="BP86" s="456"/>
      <c r="BQ86" s="456"/>
      <c r="BR86" s="456"/>
      <c r="BS86" s="456"/>
      <c r="BT86" s="456"/>
      <c r="BU86" s="456"/>
      <c r="BV86" s="456"/>
      <c r="BW86" s="456"/>
      <c r="BX86" s="456"/>
      <c r="BY86" s="456"/>
      <c r="BZ86" s="456"/>
      <c r="CA86" s="456"/>
      <c r="CB86" s="456"/>
      <c r="CC86" s="456"/>
      <c r="CD86" s="456"/>
      <c r="CE86" s="456"/>
      <c r="CF86" s="456"/>
      <c r="CG86" s="456"/>
      <c r="CH86" s="456"/>
      <c r="CI86" s="456"/>
      <c r="CJ86" s="456"/>
      <c r="CK86" s="456"/>
      <c r="CL86" s="456"/>
      <c r="CM86" s="456"/>
    </row>
    <row r="87" spans="1:91" ht="42" customHeight="1">
      <c r="A87" s="485"/>
      <c r="B87" s="485"/>
      <c r="C87" s="485"/>
      <c r="D87" s="485"/>
      <c r="E87" s="485"/>
      <c r="F87" s="485"/>
      <c r="G87" s="485"/>
      <c r="H87" s="485"/>
      <c r="I87" s="485"/>
      <c r="J87" s="485"/>
      <c r="K87" s="485"/>
      <c r="L87" s="485"/>
      <c r="M87" s="485"/>
      <c r="N87" s="485"/>
      <c r="O87" s="485"/>
      <c r="P87" s="485"/>
      <c r="Q87" s="485"/>
      <c r="R87" s="485"/>
      <c r="S87" s="485"/>
      <c r="T87" s="485"/>
      <c r="U87" s="490">
        <f t="shared" si="7"/>
        <v>0</v>
      </c>
      <c r="V87" s="485"/>
      <c r="W87" s="490">
        <f t="shared" si="8"/>
        <v>0</v>
      </c>
      <c r="X87" s="485"/>
      <c r="Y87" s="490">
        <f t="shared" si="9"/>
        <v>0</v>
      </c>
      <c r="Z87" s="469" t="str">
        <f t="shared" si="0"/>
        <v>FALTAN DATOS</v>
      </c>
      <c r="AA87" s="485"/>
      <c r="AB87" s="485"/>
      <c r="AC87" s="485"/>
      <c r="AD87" s="490" t="str">
        <f t="shared" si="1"/>
        <v/>
      </c>
      <c r="AE87" s="490" t="str">
        <f t="shared" si="6"/>
        <v/>
      </c>
      <c r="AF87" s="489"/>
      <c r="AG87" s="485"/>
      <c r="AH87" s="485"/>
      <c r="AI87" s="485"/>
      <c r="AJ87" s="485"/>
      <c r="AK87" s="485"/>
      <c r="AL87" s="485"/>
      <c r="AM87" s="485"/>
      <c r="AN87" s="509"/>
      <c r="AO87" s="456"/>
      <c r="AP87" s="456"/>
      <c r="AQ87" s="456"/>
      <c r="AR87" s="456"/>
      <c r="AS87" s="456"/>
      <c r="AT87" s="456"/>
      <c r="AU87" s="456"/>
      <c r="AV87" s="456"/>
      <c r="AW87" s="456"/>
      <c r="AX87" s="456"/>
      <c r="AY87" s="456"/>
      <c r="AZ87" s="456"/>
      <c r="BA87" s="456"/>
      <c r="BB87" s="456"/>
      <c r="BC87" s="456"/>
      <c r="BD87" s="456"/>
      <c r="BE87" s="456"/>
      <c r="BF87" s="456"/>
      <c r="BG87" s="456"/>
      <c r="BH87" s="456"/>
      <c r="BI87" s="456"/>
      <c r="BJ87" s="456"/>
      <c r="BK87" s="456"/>
      <c r="BL87" s="456"/>
      <c r="BM87" s="456"/>
      <c r="BN87" s="456"/>
      <c r="BO87" s="456"/>
      <c r="BP87" s="456"/>
      <c r="BQ87" s="456"/>
      <c r="BR87" s="456"/>
      <c r="BS87" s="456"/>
      <c r="BT87" s="456"/>
      <c r="BU87" s="456"/>
      <c r="BV87" s="456"/>
      <c r="BW87" s="456"/>
      <c r="BX87" s="456"/>
      <c r="BY87" s="456"/>
      <c r="BZ87" s="456"/>
      <c r="CA87" s="456"/>
      <c r="CB87" s="456"/>
      <c r="CC87" s="456"/>
      <c r="CD87" s="456"/>
      <c r="CE87" s="456"/>
      <c r="CF87" s="456"/>
      <c r="CG87" s="456"/>
      <c r="CH87" s="456"/>
      <c r="CI87" s="456"/>
      <c r="CJ87" s="456"/>
      <c r="CK87" s="456"/>
      <c r="CL87" s="456"/>
      <c r="CM87" s="456"/>
    </row>
    <row r="88" spans="1:91" ht="42" customHeight="1">
      <c r="A88" s="485"/>
      <c r="B88" s="485"/>
      <c r="C88" s="485"/>
      <c r="D88" s="485"/>
      <c r="E88" s="485"/>
      <c r="F88" s="485"/>
      <c r="G88" s="485"/>
      <c r="H88" s="485"/>
      <c r="I88" s="485"/>
      <c r="J88" s="485"/>
      <c r="K88" s="485"/>
      <c r="L88" s="485"/>
      <c r="M88" s="485"/>
      <c r="N88" s="485"/>
      <c r="O88" s="485"/>
      <c r="P88" s="485"/>
      <c r="Q88" s="485"/>
      <c r="R88" s="485"/>
      <c r="S88" s="485"/>
      <c r="T88" s="485"/>
      <c r="U88" s="490">
        <f t="shared" si="7"/>
        <v>0</v>
      </c>
      <c r="V88" s="485"/>
      <c r="W88" s="490">
        <f t="shared" si="8"/>
        <v>0</v>
      </c>
      <c r="X88" s="485"/>
      <c r="Y88" s="490">
        <f t="shared" si="9"/>
        <v>0</v>
      </c>
      <c r="Z88" s="469" t="str">
        <f t="shared" si="0"/>
        <v>FALTAN DATOS</v>
      </c>
      <c r="AA88" s="485"/>
      <c r="AB88" s="485"/>
      <c r="AC88" s="485"/>
      <c r="AD88" s="490" t="str">
        <f t="shared" si="1"/>
        <v/>
      </c>
      <c r="AE88" s="490" t="str">
        <f t="shared" si="6"/>
        <v/>
      </c>
      <c r="AF88" s="489"/>
      <c r="AG88" s="485"/>
      <c r="AH88" s="485"/>
      <c r="AI88" s="485"/>
      <c r="AJ88" s="485"/>
      <c r="AK88" s="485"/>
      <c r="AL88" s="485"/>
      <c r="AM88" s="485"/>
      <c r="AN88" s="509"/>
      <c r="AO88" s="456"/>
      <c r="AP88" s="456"/>
      <c r="AQ88" s="456"/>
      <c r="AR88" s="456"/>
      <c r="AS88" s="456"/>
      <c r="AT88" s="456"/>
      <c r="AU88" s="456"/>
      <c r="AV88" s="456"/>
      <c r="AW88" s="456"/>
      <c r="AX88" s="456"/>
      <c r="AY88" s="456"/>
      <c r="AZ88" s="456"/>
      <c r="BA88" s="456"/>
      <c r="BB88" s="456"/>
      <c r="BC88" s="456"/>
      <c r="BD88" s="456"/>
      <c r="BE88" s="456"/>
      <c r="BF88" s="456"/>
      <c r="BG88" s="456"/>
      <c r="BH88" s="456"/>
      <c r="BI88" s="456"/>
      <c r="BJ88" s="456"/>
      <c r="BK88" s="456"/>
      <c r="BL88" s="456"/>
      <c r="BM88" s="456"/>
      <c r="BN88" s="456"/>
      <c r="BO88" s="456"/>
      <c r="BP88" s="456"/>
      <c r="BQ88" s="456"/>
      <c r="BR88" s="456"/>
      <c r="BS88" s="456"/>
      <c r="BT88" s="456"/>
      <c r="BU88" s="456"/>
      <c r="BV88" s="456"/>
      <c r="BW88" s="456"/>
      <c r="BX88" s="456"/>
      <c r="BY88" s="456"/>
      <c r="BZ88" s="456"/>
      <c r="CA88" s="456"/>
      <c r="CB88" s="456"/>
      <c r="CC88" s="456"/>
      <c r="CD88" s="456"/>
      <c r="CE88" s="456"/>
      <c r="CF88" s="456"/>
      <c r="CG88" s="456"/>
      <c r="CH88" s="456"/>
      <c r="CI88" s="456"/>
      <c r="CJ88" s="456"/>
      <c r="CK88" s="456"/>
      <c r="CL88" s="456"/>
      <c r="CM88" s="456"/>
    </row>
    <row r="89" spans="1:91" ht="14.25" customHeight="1">
      <c r="A89" s="443"/>
      <c r="B89" s="443"/>
      <c r="C89" s="443"/>
      <c r="D89" s="443"/>
      <c r="E89" s="443"/>
      <c r="F89" s="443"/>
      <c r="G89" s="443"/>
      <c r="H89" s="443"/>
      <c r="I89" s="443"/>
      <c r="J89" s="443"/>
      <c r="K89" s="443"/>
      <c r="L89" s="443"/>
      <c r="M89" s="443"/>
      <c r="N89" s="443"/>
      <c r="O89" s="443"/>
      <c r="P89" s="443"/>
      <c r="Q89" s="443"/>
      <c r="R89" s="443"/>
      <c r="S89" s="443"/>
      <c r="T89" s="443"/>
      <c r="U89" s="443"/>
      <c r="V89" s="443"/>
      <c r="W89" s="443"/>
      <c r="X89" s="443"/>
      <c r="Y89" s="443"/>
      <c r="Z89" s="443"/>
      <c r="AA89" s="443"/>
      <c r="AB89" s="443"/>
      <c r="AC89" s="443"/>
      <c r="AD89" s="443"/>
      <c r="AE89" s="443"/>
      <c r="AF89" s="444"/>
      <c r="AG89" s="443"/>
      <c r="AH89" s="443"/>
      <c r="AI89" s="443"/>
      <c r="AJ89" s="443"/>
      <c r="AK89" s="443"/>
      <c r="AL89" s="443"/>
      <c r="AM89" s="456"/>
      <c r="AN89" s="456"/>
      <c r="AO89" s="456"/>
      <c r="AP89" s="456"/>
      <c r="AQ89" s="456"/>
      <c r="AR89" s="456"/>
      <c r="AS89" s="456"/>
      <c r="AT89" s="456"/>
      <c r="AU89" s="456"/>
      <c r="AV89" s="456"/>
      <c r="AW89" s="456"/>
      <c r="AX89" s="456"/>
      <c r="AY89" s="456"/>
      <c r="AZ89" s="456"/>
      <c r="BA89" s="456"/>
      <c r="BB89" s="456"/>
      <c r="BC89" s="456"/>
      <c r="BD89" s="456"/>
      <c r="BE89" s="456"/>
      <c r="BF89" s="456"/>
      <c r="BG89" s="456"/>
      <c r="BH89" s="456"/>
      <c r="BI89" s="456"/>
      <c r="BJ89" s="456"/>
      <c r="BK89" s="456"/>
      <c r="BL89" s="456"/>
      <c r="BM89" s="456"/>
      <c r="BN89" s="456"/>
      <c r="BO89" s="456"/>
      <c r="BP89" s="456"/>
      <c r="BQ89" s="456"/>
      <c r="BR89" s="456"/>
      <c r="BS89" s="456"/>
      <c r="BT89" s="456"/>
      <c r="BU89" s="456"/>
      <c r="BV89" s="456"/>
      <c r="BW89" s="456"/>
      <c r="BX89" s="456"/>
      <c r="BY89" s="456"/>
      <c r="BZ89" s="456"/>
      <c r="CA89" s="456"/>
      <c r="CB89" s="456"/>
      <c r="CC89" s="456"/>
      <c r="CD89" s="456"/>
      <c r="CE89" s="456"/>
      <c r="CF89" s="456"/>
      <c r="CG89" s="456"/>
      <c r="CH89" s="456"/>
      <c r="CI89" s="456"/>
      <c r="CJ89" s="456"/>
      <c r="CK89" s="456"/>
      <c r="CL89" s="456"/>
      <c r="CM89" s="456"/>
    </row>
    <row r="90" spans="1:91" ht="14.25" customHeight="1">
      <c r="A90" s="443"/>
      <c r="B90" s="443"/>
      <c r="C90" s="443"/>
      <c r="D90" s="443"/>
      <c r="E90" s="443"/>
      <c r="F90" s="443"/>
      <c r="G90" s="443"/>
      <c r="H90" s="443"/>
      <c r="I90" s="443"/>
      <c r="J90" s="443"/>
      <c r="K90" s="443"/>
      <c r="L90" s="443"/>
      <c r="M90" s="443"/>
      <c r="N90" s="443"/>
      <c r="O90" s="443"/>
      <c r="P90" s="443"/>
      <c r="Q90" s="443"/>
      <c r="R90" s="443"/>
      <c r="S90" s="443"/>
      <c r="T90" s="443"/>
      <c r="U90" s="443"/>
      <c r="V90" s="443"/>
      <c r="W90" s="443"/>
      <c r="X90" s="443"/>
      <c r="Y90" s="443"/>
      <c r="Z90" s="443"/>
      <c r="AA90" s="443"/>
      <c r="AB90" s="443"/>
      <c r="AC90" s="443"/>
      <c r="AD90" s="443"/>
      <c r="AE90" s="443"/>
      <c r="AF90" s="444"/>
      <c r="AG90" s="443"/>
      <c r="AH90" s="443"/>
      <c r="AI90" s="443"/>
      <c r="AJ90" s="443"/>
      <c r="AK90" s="443"/>
      <c r="AL90" s="443"/>
      <c r="AM90" s="456"/>
      <c r="AN90" s="456"/>
      <c r="AO90" s="456"/>
      <c r="AP90" s="456"/>
      <c r="AQ90" s="456"/>
      <c r="AR90" s="456"/>
      <c r="AS90" s="456"/>
      <c r="AT90" s="456"/>
      <c r="AU90" s="456"/>
      <c r="AV90" s="456"/>
      <c r="AW90" s="456"/>
      <c r="AX90" s="456"/>
      <c r="AY90" s="456"/>
      <c r="AZ90" s="456"/>
      <c r="BA90" s="456"/>
      <c r="BB90" s="456"/>
      <c r="BC90" s="456"/>
      <c r="BD90" s="456"/>
      <c r="BE90" s="456"/>
      <c r="BF90" s="456"/>
      <c r="BG90" s="456"/>
      <c r="BH90" s="456"/>
      <c r="BI90" s="456"/>
      <c r="BJ90" s="456"/>
      <c r="BK90" s="456"/>
      <c r="BL90" s="456"/>
      <c r="BM90" s="456"/>
      <c r="BN90" s="456"/>
      <c r="BO90" s="456"/>
      <c r="BP90" s="456"/>
      <c r="BQ90" s="456"/>
      <c r="BR90" s="456"/>
      <c r="BS90" s="456"/>
      <c r="BT90" s="456"/>
      <c r="BU90" s="456"/>
      <c r="BV90" s="456"/>
      <c r="BW90" s="456"/>
      <c r="BX90" s="456"/>
      <c r="BY90" s="456"/>
      <c r="BZ90" s="456"/>
      <c r="CA90" s="456"/>
      <c r="CB90" s="456"/>
      <c r="CC90" s="456"/>
      <c r="CD90" s="456"/>
      <c r="CE90" s="456"/>
      <c r="CF90" s="456"/>
      <c r="CG90" s="456"/>
      <c r="CH90" s="456"/>
      <c r="CI90" s="456"/>
      <c r="CJ90" s="456"/>
      <c r="CK90" s="456"/>
      <c r="CL90" s="456"/>
      <c r="CM90" s="456"/>
    </row>
    <row r="91" spans="1:91" ht="14.25" customHeight="1">
      <c r="A91" s="443"/>
      <c r="B91" s="443"/>
      <c r="C91" s="443"/>
      <c r="D91" s="443"/>
      <c r="E91" s="443"/>
      <c r="F91" s="443"/>
      <c r="G91" s="443"/>
      <c r="H91" s="443"/>
      <c r="I91" s="443"/>
      <c r="J91" s="443"/>
      <c r="K91" s="443"/>
      <c r="L91" s="443"/>
      <c r="M91" s="443"/>
      <c r="N91" s="443"/>
      <c r="O91" s="443"/>
      <c r="P91" s="443"/>
      <c r="Q91" s="443"/>
      <c r="R91" s="443"/>
      <c r="S91" s="443"/>
      <c r="T91" s="443"/>
      <c r="U91" s="443"/>
      <c r="V91" s="443"/>
      <c r="W91" s="443"/>
      <c r="X91" s="443"/>
      <c r="Y91" s="443"/>
      <c r="Z91" s="443"/>
      <c r="AA91" s="443"/>
      <c r="AB91" s="443"/>
      <c r="AC91" s="443"/>
      <c r="AD91" s="443"/>
      <c r="AE91" s="443"/>
      <c r="AF91" s="444"/>
      <c r="AG91" s="443"/>
      <c r="AH91" s="443"/>
      <c r="AI91" s="443"/>
      <c r="AJ91" s="443"/>
      <c r="AK91" s="443"/>
      <c r="AL91" s="443"/>
      <c r="AM91" s="456"/>
      <c r="AN91" s="456"/>
      <c r="AO91" s="456"/>
      <c r="AP91" s="456"/>
      <c r="AQ91" s="456"/>
      <c r="AR91" s="456"/>
      <c r="AS91" s="456"/>
      <c r="AT91" s="456"/>
      <c r="AU91" s="456"/>
      <c r="AV91" s="456"/>
      <c r="AW91" s="456"/>
      <c r="AX91" s="456"/>
      <c r="AY91" s="456"/>
      <c r="AZ91" s="456"/>
      <c r="BA91" s="456"/>
      <c r="BB91" s="456"/>
      <c r="BC91" s="456"/>
      <c r="BD91" s="456"/>
      <c r="BE91" s="456"/>
      <c r="BF91" s="456"/>
      <c r="BG91" s="456"/>
      <c r="BH91" s="456"/>
      <c r="BI91" s="456"/>
      <c r="BJ91" s="456"/>
      <c r="BK91" s="456"/>
      <c r="BL91" s="456"/>
      <c r="BM91" s="456"/>
      <c r="BN91" s="456"/>
      <c r="BO91" s="456"/>
      <c r="BP91" s="456"/>
      <c r="BQ91" s="456"/>
      <c r="BR91" s="456"/>
      <c r="BS91" s="456"/>
      <c r="BT91" s="456"/>
      <c r="BU91" s="456"/>
      <c r="BV91" s="456"/>
      <c r="BW91" s="456"/>
      <c r="BX91" s="456"/>
      <c r="BY91" s="456"/>
      <c r="BZ91" s="456"/>
      <c r="CA91" s="456"/>
      <c r="CB91" s="456"/>
      <c r="CC91" s="456"/>
      <c r="CD91" s="456"/>
      <c r="CE91" s="456"/>
      <c r="CF91" s="456"/>
      <c r="CG91" s="456"/>
      <c r="CH91" s="456"/>
      <c r="CI91" s="456"/>
      <c r="CJ91" s="456"/>
      <c r="CK91" s="456"/>
      <c r="CL91" s="456"/>
      <c r="CM91" s="456"/>
    </row>
    <row r="92" spans="1:91" ht="14.25" customHeight="1">
      <c r="A92" s="443"/>
      <c r="B92" s="443"/>
      <c r="C92" s="443"/>
      <c r="D92" s="443"/>
      <c r="E92" s="443"/>
      <c r="F92" s="443"/>
      <c r="G92" s="443"/>
      <c r="H92" s="443"/>
      <c r="I92" s="443"/>
      <c r="J92" s="443"/>
      <c r="K92" s="443"/>
      <c r="L92" s="443"/>
      <c r="M92" s="443"/>
      <c r="N92" s="443"/>
      <c r="O92" s="443"/>
      <c r="P92" s="443"/>
      <c r="Q92" s="443"/>
      <c r="R92" s="443"/>
      <c r="S92" s="443"/>
      <c r="T92" s="443"/>
      <c r="U92" s="443"/>
      <c r="V92" s="443"/>
      <c r="W92" s="443"/>
      <c r="X92" s="443"/>
      <c r="Y92" s="443"/>
      <c r="Z92" s="443"/>
      <c r="AA92" s="443"/>
      <c r="AB92" s="443"/>
      <c r="AC92" s="443"/>
      <c r="AD92" s="443"/>
      <c r="AE92" s="443"/>
      <c r="AF92" s="444"/>
      <c r="AG92" s="443"/>
      <c r="AH92" s="443"/>
      <c r="AI92" s="443"/>
      <c r="AJ92" s="443"/>
      <c r="AK92" s="443"/>
      <c r="AL92" s="443"/>
      <c r="AM92" s="456"/>
      <c r="AN92" s="456"/>
      <c r="AO92" s="456"/>
      <c r="AP92" s="456"/>
      <c r="AQ92" s="456"/>
      <c r="AR92" s="456"/>
      <c r="AS92" s="456"/>
      <c r="AT92" s="456"/>
      <c r="AU92" s="456"/>
      <c r="AV92" s="456"/>
      <c r="AW92" s="456"/>
      <c r="AX92" s="456"/>
      <c r="AY92" s="456"/>
      <c r="AZ92" s="456"/>
      <c r="BA92" s="456"/>
      <c r="BB92" s="456"/>
      <c r="BC92" s="456"/>
      <c r="BD92" s="456"/>
      <c r="BE92" s="456"/>
      <c r="BF92" s="456"/>
      <c r="BG92" s="456"/>
      <c r="BH92" s="456"/>
      <c r="BI92" s="456"/>
      <c r="BJ92" s="456"/>
      <c r="BK92" s="456"/>
      <c r="BL92" s="456"/>
      <c r="BM92" s="456"/>
      <c r="BN92" s="456"/>
      <c r="BO92" s="456"/>
      <c r="BP92" s="456"/>
      <c r="BQ92" s="456"/>
      <c r="BR92" s="456"/>
      <c r="BS92" s="456"/>
      <c r="BT92" s="456"/>
      <c r="BU92" s="456"/>
      <c r="BV92" s="456"/>
      <c r="BW92" s="456"/>
      <c r="BX92" s="456"/>
      <c r="BY92" s="456"/>
      <c r="BZ92" s="456"/>
      <c r="CA92" s="456"/>
      <c r="CB92" s="456"/>
      <c r="CC92" s="456"/>
      <c r="CD92" s="456"/>
      <c r="CE92" s="456"/>
      <c r="CF92" s="456"/>
      <c r="CG92" s="456"/>
      <c r="CH92" s="456"/>
      <c r="CI92" s="456"/>
      <c r="CJ92" s="456"/>
      <c r="CK92" s="456"/>
      <c r="CL92" s="456"/>
      <c r="CM92" s="456"/>
    </row>
    <row r="93" spans="1:91" ht="14.25" customHeight="1">
      <c r="A93" s="443"/>
      <c r="B93" s="443"/>
      <c r="C93" s="443"/>
      <c r="D93" s="443"/>
      <c r="E93" s="443"/>
      <c r="F93" s="443"/>
      <c r="G93" s="443"/>
      <c r="H93" s="443"/>
      <c r="I93" s="443"/>
      <c r="J93" s="443"/>
      <c r="K93" s="443"/>
      <c r="L93" s="443"/>
      <c r="M93" s="443"/>
      <c r="N93" s="443"/>
      <c r="O93" s="443"/>
      <c r="P93" s="443"/>
      <c r="Q93" s="443"/>
      <c r="R93" s="443"/>
      <c r="S93" s="443"/>
      <c r="T93" s="443"/>
      <c r="U93" s="443"/>
      <c r="V93" s="443"/>
      <c r="W93" s="443"/>
      <c r="X93" s="443"/>
      <c r="Y93" s="443"/>
      <c r="Z93" s="443"/>
      <c r="AA93" s="443"/>
      <c r="AB93" s="443"/>
      <c r="AC93" s="443"/>
      <c r="AD93" s="443"/>
      <c r="AE93" s="443"/>
      <c r="AF93" s="444"/>
      <c r="AG93" s="443"/>
      <c r="AH93" s="443"/>
      <c r="AI93" s="443"/>
      <c r="AJ93" s="443"/>
      <c r="AK93" s="443"/>
      <c r="AL93" s="443"/>
      <c r="AM93" s="456"/>
      <c r="AN93" s="456"/>
      <c r="AO93" s="456"/>
      <c r="AP93" s="456"/>
      <c r="AQ93" s="456"/>
      <c r="AR93" s="456"/>
      <c r="AS93" s="456"/>
      <c r="AT93" s="456"/>
      <c r="AU93" s="456"/>
      <c r="AV93" s="456"/>
      <c r="AW93" s="456"/>
      <c r="AX93" s="456"/>
      <c r="AY93" s="456"/>
      <c r="AZ93" s="456"/>
      <c r="BA93" s="456"/>
      <c r="BB93" s="456"/>
      <c r="BC93" s="456"/>
      <c r="BD93" s="456"/>
      <c r="BE93" s="456"/>
      <c r="BF93" s="456"/>
      <c r="BG93" s="456"/>
      <c r="BH93" s="456"/>
      <c r="BI93" s="456"/>
      <c r="BJ93" s="456"/>
      <c r="BK93" s="456"/>
      <c r="BL93" s="456"/>
      <c r="BM93" s="456"/>
      <c r="BN93" s="456"/>
      <c r="BO93" s="456"/>
      <c r="BP93" s="456"/>
      <c r="BQ93" s="456"/>
      <c r="BR93" s="456"/>
      <c r="BS93" s="456"/>
      <c r="BT93" s="456"/>
      <c r="BU93" s="456"/>
      <c r="BV93" s="456"/>
      <c r="BW93" s="456"/>
      <c r="BX93" s="456"/>
      <c r="BY93" s="456"/>
      <c r="BZ93" s="456"/>
      <c r="CA93" s="456"/>
      <c r="CB93" s="456"/>
      <c r="CC93" s="456"/>
      <c r="CD93" s="456"/>
      <c r="CE93" s="456"/>
      <c r="CF93" s="456"/>
      <c r="CG93" s="456"/>
      <c r="CH93" s="456"/>
      <c r="CI93" s="456"/>
      <c r="CJ93" s="456"/>
      <c r="CK93" s="456"/>
      <c r="CL93" s="456"/>
      <c r="CM93" s="456"/>
    </row>
    <row r="94" spans="1:91" ht="14.25" customHeight="1">
      <c r="A94" s="443"/>
      <c r="B94" s="443"/>
      <c r="C94" s="443"/>
      <c r="D94" s="443"/>
      <c r="E94" s="443"/>
      <c r="F94" s="443"/>
      <c r="G94" s="443"/>
      <c r="H94" s="443"/>
      <c r="I94" s="443"/>
      <c r="J94" s="443"/>
      <c r="K94" s="443"/>
      <c r="L94" s="443"/>
      <c r="M94" s="443"/>
      <c r="N94" s="443"/>
      <c r="O94" s="443"/>
      <c r="P94" s="443"/>
      <c r="Q94" s="443"/>
      <c r="R94" s="443"/>
      <c r="S94" s="443"/>
      <c r="T94" s="443"/>
      <c r="U94" s="443"/>
      <c r="V94" s="443"/>
      <c r="W94" s="443"/>
      <c r="X94" s="443"/>
      <c r="Y94" s="443"/>
      <c r="Z94" s="443"/>
      <c r="AA94" s="443"/>
      <c r="AB94" s="443"/>
      <c r="AC94" s="443"/>
      <c r="AD94" s="443"/>
      <c r="AE94" s="443"/>
      <c r="AF94" s="444"/>
      <c r="AG94" s="443"/>
      <c r="AH94" s="443"/>
      <c r="AI94" s="443"/>
      <c r="AJ94" s="443"/>
      <c r="AK94" s="443"/>
      <c r="AL94" s="443"/>
      <c r="AM94" s="456"/>
      <c r="AN94" s="456"/>
      <c r="AO94" s="456"/>
      <c r="AP94" s="456"/>
      <c r="AQ94" s="456"/>
      <c r="AR94" s="456"/>
      <c r="AS94" s="456"/>
      <c r="AT94" s="456"/>
      <c r="AU94" s="456"/>
      <c r="AV94" s="456"/>
      <c r="AW94" s="456"/>
      <c r="AX94" s="456"/>
      <c r="AY94" s="456"/>
      <c r="AZ94" s="456"/>
      <c r="BA94" s="456"/>
      <c r="BB94" s="456"/>
      <c r="BC94" s="456"/>
      <c r="BD94" s="456"/>
      <c r="BE94" s="456"/>
      <c r="BF94" s="456"/>
      <c r="BG94" s="456"/>
      <c r="BH94" s="456"/>
      <c r="BI94" s="456"/>
      <c r="BJ94" s="456"/>
      <c r="BK94" s="456"/>
      <c r="BL94" s="456"/>
      <c r="BM94" s="456"/>
      <c r="BN94" s="456"/>
      <c r="BO94" s="456"/>
      <c r="BP94" s="456"/>
      <c r="BQ94" s="456"/>
      <c r="BR94" s="456"/>
      <c r="BS94" s="456"/>
      <c r="BT94" s="456"/>
      <c r="BU94" s="456"/>
      <c r="BV94" s="456"/>
      <c r="BW94" s="456"/>
      <c r="BX94" s="456"/>
      <c r="BY94" s="456"/>
      <c r="BZ94" s="456"/>
      <c r="CA94" s="456"/>
      <c r="CB94" s="456"/>
      <c r="CC94" s="456"/>
      <c r="CD94" s="456"/>
      <c r="CE94" s="456"/>
      <c r="CF94" s="456"/>
      <c r="CG94" s="456"/>
      <c r="CH94" s="456"/>
      <c r="CI94" s="456"/>
      <c r="CJ94" s="456"/>
      <c r="CK94" s="456"/>
      <c r="CL94" s="456"/>
      <c r="CM94" s="456"/>
    </row>
    <row r="95" spans="1:91" ht="14.25" customHeight="1">
      <c r="A95" s="443"/>
      <c r="B95" s="443"/>
      <c r="C95" s="443"/>
      <c r="D95" s="443"/>
      <c r="E95" s="443"/>
      <c r="F95" s="443"/>
      <c r="G95" s="443"/>
      <c r="H95" s="443"/>
      <c r="I95" s="443"/>
      <c r="J95" s="443"/>
      <c r="K95" s="443"/>
      <c r="L95" s="443"/>
      <c r="M95" s="443"/>
      <c r="N95" s="443"/>
      <c r="O95" s="443"/>
      <c r="P95" s="443"/>
      <c r="Q95" s="443"/>
      <c r="R95" s="443"/>
      <c r="S95" s="443"/>
      <c r="T95" s="443"/>
      <c r="U95" s="443"/>
      <c r="V95" s="443"/>
      <c r="W95" s="443"/>
      <c r="X95" s="443"/>
      <c r="Y95" s="443"/>
      <c r="Z95" s="443"/>
      <c r="AA95" s="443"/>
      <c r="AB95" s="443"/>
      <c r="AC95" s="443"/>
      <c r="AD95" s="443"/>
      <c r="AE95" s="443"/>
      <c r="AF95" s="444"/>
      <c r="AG95" s="443"/>
      <c r="AH95" s="443"/>
      <c r="AI95" s="443"/>
      <c r="AJ95" s="443"/>
      <c r="AK95" s="443"/>
      <c r="AL95" s="443"/>
      <c r="AM95" s="456"/>
      <c r="AN95" s="456"/>
      <c r="AO95" s="456"/>
      <c r="AP95" s="456"/>
      <c r="AQ95" s="456"/>
      <c r="AR95" s="456"/>
      <c r="AS95" s="456"/>
      <c r="AT95" s="456"/>
      <c r="AU95" s="456"/>
      <c r="AV95" s="456"/>
      <c r="AW95" s="456"/>
      <c r="AX95" s="456"/>
      <c r="AY95" s="456"/>
      <c r="AZ95" s="456"/>
      <c r="BA95" s="456"/>
      <c r="BB95" s="456"/>
      <c r="BC95" s="456"/>
      <c r="BD95" s="456"/>
      <c r="BE95" s="456"/>
      <c r="BF95" s="456"/>
      <c r="BG95" s="456"/>
      <c r="BH95" s="456"/>
      <c r="BI95" s="456"/>
      <c r="BJ95" s="456"/>
      <c r="BK95" s="456"/>
      <c r="BL95" s="456"/>
      <c r="BM95" s="456"/>
      <c r="BN95" s="456"/>
      <c r="BO95" s="456"/>
      <c r="BP95" s="456"/>
      <c r="BQ95" s="456"/>
      <c r="BR95" s="456"/>
      <c r="BS95" s="456"/>
      <c r="BT95" s="456"/>
      <c r="BU95" s="456"/>
      <c r="BV95" s="456"/>
      <c r="BW95" s="456"/>
      <c r="BX95" s="456"/>
      <c r="BY95" s="456"/>
      <c r="BZ95" s="456"/>
      <c r="CA95" s="456"/>
      <c r="CB95" s="456"/>
      <c r="CC95" s="456"/>
      <c r="CD95" s="456"/>
      <c r="CE95" s="456"/>
      <c r="CF95" s="456"/>
      <c r="CG95" s="456"/>
      <c r="CH95" s="456"/>
      <c r="CI95" s="456"/>
      <c r="CJ95" s="456"/>
      <c r="CK95" s="456"/>
      <c r="CL95" s="456"/>
      <c r="CM95" s="456"/>
    </row>
    <row r="96" spans="1:91" ht="14.25" customHeight="1">
      <c r="A96" s="443"/>
      <c r="B96" s="443"/>
      <c r="C96" s="443"/>
      <c r="D96" s="443"/>
      <c r="E96" s="443"/>
      <c r="F96" s="443"/>
      <c r="G96" s="443"/>
      <c r="H96" s="443"/>
      <c r="I96" s="443"/>
      <c r="J96" s="443"/>
      <c r="K96" s="443"/>
      <c r="L96" s="443"/>
      <c r="M96" s="443"/>
      <c r="N96" s="443"/>
      <c r="O96" s="443"/>
      <c r="P96" s="443"/>
      <c r="Q96" s="443"/>
      <c r="R96" s="443"/>
      <c r="S96" s="443"/>
      <c r="T96" s="443"/>
      <c r="U96" s="443"/>
      <c r="V96" s="443"/>
      <c r="W96" s="443"/>
      <c r="X96" s="443"/>
      <c r="Y96" s="443"/>
      <c r="Z96" s="443"/>
      <c r="AA96" s="443"/>
      <c r="AB96" s="443"/>
      <c r="AC96" s="443"/>
      <c r="AD96" s="443"/>
      <c r="AE96" s="443"/>
      <c r="AF96" s="444"/>
      <c r="AG96" s="443"/>
      <c r="AH96" s="443"/>
      <c r="AI96" s="443"/>
      <c r="AJ96" s="443"/>
      <c r="AK96" s="443"/>
      <c r="AL96" s="443"/>
      <c r="AM96" s="456"/>
      <c r="AN96" s="456"/>
      <c r="AO96" s="456"/>
      <c r="AP96" s="456"/>
      <c r="AQ96" s="456"/>
      <c r="AR96" s="456"/>
      <c r="AS96" s="456"/>
      <c r="AT96" s="456"/>
      <c r="AU96" s="456"/>
      <c r="AV96" s="456"/>
      <c r="AW96" s="456"/>
      <c r="AX96" s="456"/>
      <c r="AY96" s="456"/>
      <c r="AZ96" s="456"/>
      <c r="BA96" s="456"/>
      <c r="BB96" s="456"/>
      <c r="BC96" s="456"/>
      <c r="BD96" s="456"/>
      <c r="BE96" s="456"/>
      <c r="BF96" s="456"/>
      <c r="BG96" s="456"/>
      <c r="BH96" s="456"/>
      <c r="BI96" s="456"/>
      <c r="BJ96" s="456"/>
      <c r="BK96" s="456"/>
      <c r="BL96" s="456"/>
      <c r="BM96" s="456"/>
      <c r="BN96" s="456"/>
      <c r="BO96" s="456"/>
      <c r="BP96" s="456"/>
      <c r="BQ96" s="456"/>
      <c r="BR96" s="456"/>
      <c r="BS96" s="456"/>
      <c r="BT96" s="456"/>
      <c r="BU96" s="456"/>
      <c r="BV96" s="456"/>
      <c r="BW96" s="456"/>
      <c r="BX96" s="456"/>
      <c r="BY96" s="456"/>
      <c r="BZ96" s="456"/>
      <c r="CA96" s="456"/>
      <c r="CB96" s="456"/>
      <c r="CC96" s="456"/>
      <c r="CD96" s="456"/>
      <c r="CE96" s="456"/>
      <c r="CF96" s="456"/>
      <c r="CG96" s="456"/>
      <c r="CH96" s="456"/>
      <c r="CI96" s="456"/>
      <c r="CJ96" s="456"/>
      <c r="CK96" s="456"/>
      <c r="CL96" s="456"/>
      <c r="CM96" s="456"/>
    </row>
    <row r="97" spans="1:91" ht="14.25" customHeight="1">
      <c r="A97" s="443"/>
      <c r="B97" s="443"/>
      <c r="C97" s="443"/>
      <c r="D97" s="443"/>
      <c r="E97" s="443"/>
      <c r="F97" s="443"/>
      <c r="G97" s="443"/>
      <c r="H97" s="443"/>
      <c r="I97" s="443"/>
      <c r="J97" s="443"/>
      <c r="K97" s="443"/>
      <c r="L97" s="443"/>
      <c r="M97" s="443"/>
      <c r="N97" s="443"/>
      <c r="O97" s="443"/>
      <c r="P97" s="443"/>
      <c r="Q97" s="443"/>
      <c r="R97" s="443"/>
      <c r="S97" s="443"/>
      <c r="T97" s="443"/>
      <c r="U97" s="443"/>
      <c r="V97" s="443"/>
      <c r="W97" s="443"/>
      <c r="X97" s="443"/>
      <c r="Y97" s="443"/>
      <c r="Z97" s="443"/>
      <c r="AA97" s="443"/>
      <c r="AB97" s="443"/>
      <c r="AC97" s="443"/>
      <c r="AD97" s="443"/>
      <c r="AE97" s="443"/>
      <c r="AF97" s="444"/>
      <c r="AG97" s="443"/>
      <c r="AH97" s="443"/>
      <c r="AI97" s="443"/>
      <c r="AJ97" s="443"/>
      <c r="AK97" s="443"/>
      <c r="AL97" s="443"/>
      <c r="AM97" s="456"/>
      <c r="AN97" s="456"/>
      <c r="AO97" s="456"/>
      <c r="AP97" s="456"/>
      <c r="AQ97" s="456"/>
      <c r="AR97" s="456"/>
      <c r="AS97" s="456"/>
      <c r="AT97" s="456"/>
      <c r="AU97" s="456"/>
      <c r="AV97" s="456"/>
      <c r="AW97" s="456"/>
      <c r="AX97" s="456"/>
      <c r="AY97" s="456"/>
      <c r="AZ97" s="456"/>
      <c r="BA97" s="456"/>
      <c r="BB97" s="456"/>
      <c r="BC97" s="456"/>
      <c r="BD97" s="456"/>
      <c r="BE97" s="456"/>
      <c r="BF97" s="456"/>
      <c r="BG97" s="456"/>
      <c r="BH97" s="456"/>
      <c r="BI97" s="456"/>
      <c r="BJ97" s="456"/>
      <c r="BK97" s="456"/>
      <c r="BL97" s="456"/>
      <c r="BM97" s="456"/>
      <c r="BN97" s="456"/>
      <c r="BO97" s="456"/>
      <c r="BP97" s="456"/>
      <c r="BQ97" s="456"/>
      <c r="BR97" s="456"/>
      <c r="BS97" s="456"/>
      <c r="BT97" s="456"/>
      <c r="BU97" s="456"/>
      <c r="BV97" s="456"/>
      <c r="BW97" s="456"/>
      <c r="BX97" s="456"/>
      <c r="BY97" s="456"/>
      <c r="BZ97" s="456"/>
      <c r="CA97" s="456"/>
      <c r="CB97" s="456"/>
      <c r="CC97" s="456"/>
      <c r="CD97" s="456"/>
      <c r="CE97" s="456"/>
      <c r="CF97" s="456"/>
      <c r="CG97" s="456"/>
      <c r="CH97" s="456"/>
      <c r="CI97" s="456"/>
      <c r="CJ97" s="456"/>
      <c r="CK97" s="456"/>
      <c r="CL97" s="456"/>
      <c r="CM97" s="456"/>
    </row>
    <row r="98" spans="1:91" ht="14.25" customHeight="1">
      <c r="A98" s="443"/>
      <c r="B98" s="443"/>
      <c r="C98" s="443"/>
      <c r="D98" s="443"/>
      <c r="E98" s="443"/>
      <c r="F98" s="443"/>
      <c r="G98" s="443"/>
      <c r="H98" s="443"/>
      <c r="I98" s="443"/>
      <c r="J98" s="443"/>
      <c r="K98" s="443"/>
      <c r="L98" s="443"/>
      <c r="M98" s="443"/>
      <c r="N98" s="443"/>
      <c r="O98" s="443"/>
      <c r="P98" s="443"/>
      <c r="Q98" s="443"/>
      <c r="R98" s="443"/>
      <c r="S98" s="443"/>
      <c r="T98" s="443"/>
      <c r="U98" s="443"/>
      <c r="V98" s="443"/>
      <c r="W98" s="443"/>
      <c r="X98" s="443"/>
      <c r="Y98" s="443"/>
      <c r="Z98" s="443"/>
      <c r="AA98" s="443"/>
      <c r="AB98" s="443"/>
      <c r="AC98" s="443"/>
      <c r="AD98" s="443"/>
      <c r="AE98" s="443"/>
      <c r="AF98" s="444"/>
      <c r="AG98" s="443"/>
      <c r="AH98" s="443"/>
      <c r="AI98" s="443"/>
      <c r="AJ98" s="443"/>
      <c r="AK98" s="443"/>
      <c r="AL98" s="443"/>
      <c r="AM98" s="456"/>
      <c r="AN98" s="456"/>
      <c r="AO98" s="456"/>
      <c r="AP98" s="456"/>
      <c r="AQ98" s="456"/>
      <c r="AR98" s="456"/>
      <c r="AS98" s="456"/>
      <c r="AT98" s="456"/>
      <c r="AU98" s="456"/>
      <c r="AV98" s="456"/>
      <c r="AW98" s="456"/>
      <c r="AX98" s="456"/>
      <c r="AY98" s="456"/>
      <c r="AZ98" s="456"/>
      <c r="BA98" s="456"/>
      <c r="BB98" s="456"/>
      <c r="BC98" s="456"/>
      <c r="BD98" s="456"/>
      <c r="BE98" s="456"/>
      <c r="BF98" s="456"/>
      <c r="BG98" s="456"/>
      <c r="BH98" s="456"/>
      <c r="BI98" s="456"/>
      <c r="BJ98" s="456"/>
      <c r="BK98" s="456"/>
      <c r="BL98" s="456"/>
      <c r="BM98" s="456"/>
      <c r="BN98" s="456"/>
      <c r="BO98" s="456"/>
      <c r="BP98" s="456"/>
      <c r="BQ98" s="456"/>
      <c r="BR98" s="456"/>
      <c r="BS98" s="456"/>
      <c r="BT98" s="456"/>
      <c r="BU98" s="456"/>
      <c r="BV98" s="456"/>
      <c r="BW98" s="456"/>
      <c r="BX98" s="456"/>
      <c r="BY98" s="456"/>
      <c r="BZ98" s="456"/>
      <c r="CA98" s="456"/>
      <c r="CB98" s="456"/>
      <c r="CC98" s="456"/>
      <c r="CD98" s="456"/>
      <c r="CE98" s="456"/>
      <c r="CF98" s="456"/>
      <c r="CG98" s="456"/>
      <c r="CH98" s="456"/>
      <c r="CI98" s="456"/>
      <c r="CJ98" s="456"/>
      <c r="CK98" s="456"/>
      <c r="CL98" s="456"/>
      <c r="CM98" s="456"/>
    </row>
    <row r="99" spans="1:91" ht="14.25" customHeight="1">
      <c r="A99" s="443"/>
      <c r="B99" s="443"/>
      <c r="C99" s="443"/>
      <c r="D99" s="443"/>
      <c r="E99" s="443"/>
      <c r="F99" s="443"/>
      <c r="G99" s="443"/>
      <c r="H99" s="443"/>
      <c r="I99" s="443"/>
      <c r="J99" s="443"/>
      <c r="K99" s="443"/>
      <c r="L99" s="443"/>
      <c r="M99" s="443"/>
      <c r="N99" s="443"/>
      <c r="O99" s="443"/>
      <c r="P99" s="443"/>
      <c r="Q99" s="443"/>
      <c r="R99" s="443"/>
      <c r="S99" s="443"/>
      <c r="T99" s="443"/>
      <c r="U99" s="443"/>
      <c r="V99" s="443"/>
      <c r="W99" s="443"/>
      <c r="X99" s="443"/>
      <c r="Y99" s="443"/>
      <c r="Z99" s="443"/>
      <c r="AA99" s="443"/>
      <c r="AB99" s="443"/>
      <c r="AC99" s="443"/>
      <c r="AD99" s="443"/>
      <c r="AE99" s="443"/>
      <c r="AF99" s="444"/>
      <c r="AG99" s="443"/>
      <c r="AH99" s="443"/>
      <c r="AI99" s="443"/>
      <c r="AJ99" s="443"/>
      <c r="AK99" s="443"/>
      <c r="AL99" s="443"/>
      <c r="AM99" s="456"/>
      <c r="AN99" s="456"/>
      <c r="AO99" s="456"/>
      <c r="AP99" s="456"/>
      <c r="AQ99" s="456"/>
      <c r="AR99" s="456"/>
      <c r="AS99" s="456"/>
      <c r="AT99" s="456"/>
      <c r="AU99" s="456"/>
      <c r="AV99" s="456"/>
      <c r="AW99" s="456"/>
      <c r="AX99" s="456"/>
      <c r="AY99" s="456"/>
      <c r="AZ99" s="456"/>
      <c r="BA99" s="456"/>
      <c r="BB99" s="456"/>
      <c r="BC99" s="456"/>
      <c r="BD99" s="456"/>
      <c r="BE99" s="456"/>
      <c r="BF99" s="456"/>
      <c r="BG99" s="456"/>
      <c r="BH99" s="456"/>
      <c r="BI99" s="456"/>
      <c r="BJ99" s="456"/>
      <c r="BK99" s="456"/>
      <c r="BL99" s="456"/>
      <c r="BM99" s="456"/>
      <c r="BN99" s="456"/>
      <c r="BO99" s="456"/>
      <c r="BP99" s="456"/>
      <c r="BQ99" s="456"/>
      <c r="BR99" s="456"/>
      <c r="BS99" s="456"/>
      <c r="BT99" s="456"/>
      <c r="BU99" s="456"/>
      <c r="BV99" s="456"/>
      <c r="BW99" s="456"/>
      <c r="BX99" s="456"/>
      <c r="BY99" s="456"/>
      <c r="BZ99" s="456"/>
      <c r="CA99" s="456"/>
      <c r="CB99" s="456"/>
      <c r="CC99" s="456"/>
      <c r="CD99" s="456"/>
      <c r="CE99" s="456"/>
      <c r="CF99" s="456"/>
      <c r="CG99" s="456"/>
      <c r="CH99" s="456"/>
      <c r="CI99" s="456"/>
      <c r="CJ99" s="456"/>
      <c r="CK99" s="456"/>
      <c r="CL99" s="456"/>
      <c r="CM99" s="456"/>
    </row>
    <row r="100" spans="1:91" ht="14.25" customHeight="1">
      <c r="A100" s="443"/>
      <c r="B100" s="443"/>
      <c r="C100" s="443"/>
      <c r="D100" s="443"/>
      <c r="E100" s="443"/>
      <c r="F100" s="443"/>
      <c r="G100" s="443"/>
      <c r="H100" s="443"/>
      <c r="I100" s="443"/>
      <c r="J100" s="443"/>
      <c r="K100" s="443"/>
      <c r="L100" s="443"/>
      <c r="M100" s="443"/>
      <c r="N100" s="443"/>
      <c r="O100" s="443"/>
      <c r="P100" s="443"/>
      <c r="Q100" s="443"/>
      <c r="R100" s="443"/>
      <c r="S100" s="443"/>
      <c r="T100" s="443"/>
      <c r="U100" s="443"/>
      <c r="V100" s="443"/>
      <c r="W100" s="443"/>
      <c r="X100" s="443"/>
      <c r="Y100" s="443"/>
      <c r="Z100" s="443"/>
      <c r="AA100" s="443"/>
      <c r="AB100" s="443"/>
      <c r="AC100" s="443"/>
      <c r="AD100" s="443"/>
      <c r="AE100" s="443"/>
      <c r="AF100" s="444"/>
      <c r="AG100" s="443"/>
      <c r="AH100" s="443"/>
      <c r="AI100" s="443"/>
      <c r="AJ100" s="443"/>
      <c r="AK100" s="443"/>
      <c r="AL100" s="443"/>
      <c r="AM100" s="456"/>
      <c r="AN100" s="456"/>
      <c r="AO100" s="456"/>
      <c r="AP100" s="456"/>
      <c r="AQ100" s="456"/>
      <c r="AR100" s="456"/>
      <c r="AS100" s="456"/>
      <c r="AT100" s="456"/>
      <c r="AU100" s="456"/>
      <c r="AV100" s="456"/>
      <c r="AW100" s="456"/>
      <c r="AX100" s="456"/>
      <c r="AY100" s="456"/>
      <c r="AZ100" s="456"/>
      <c r="BA100" s="456"/>
      <c r="BB100" s="456"/>
      <c r="BC100" s="456"/>
      <c r="BD100" s="456"/>
      <c r="BE100" s="456"/>
      <c r="BF100" s="456"/>
      <c r="BG100" s="456"/>
      <c r="BH100" s="456"/>
      <c r="BI100" s="456"/>
      <c r="BJ100" s="456"/>
      <c r="BK100" s="456"/>
      <c r="BL100" s="456"/>
      <c r="BM100" s="456"/>
      <c r="BN100" s="456"/>
      <c r="BO100" s="456"/>
      <c r="BP100" s="456"/>
      <c r="BQ100" s="456"/>
      <c r="BR100" s="456"/>
      <c r="BS100" s="456"/>
      <c r="BT100" s="456"/>
      <c r="BU100" s="456"/>
      <c r="BV100" s="456"/>
      <c r="BW100" s="456"/>
      <c r="BX100" s="456"/>
      <c r="BY100" s="456"/>
      <c r="BZ100" s="456"/>
      <c r="CA100" s="456"/>
      <c r="CB100" s="456"/>
      <c r="CC100" s="456"/>
      <c r="CD100" s="456"/>
      <c r="CE100" s="456"/>
      <c r="CF100" s="456"/>
      <c r="CG100" s="456"/>
      <c r="CH100" s="456"/>
      <c r="CI100" s="456"/>
      <c r="CJ100" s="456"/>
      <c r="CK100" s="456"/>
      <c r="CL100" s="456"/>
      <c r="CM100" s="456"/>
    </row>
    <row r="101" spans="1:91" ht="14.25" customHeight="1">
      <c r="A101" s="443"/>
      <c r="B101" s="443"/>
      <c r="C101" s="443"/>
      <c r="D101" s="443"/>
      <c r="E101" s="443"/>
      <c r="F101" s="443"/>
      <c r="G101" s="443"/>
      <c r="H101" s="443"/>
      <c r="I101" s="443"/>
      <c r="J101" s="443"/>
      <c r="K101" s="443"/>
      <c r="L101" s="443"/>
      <c r="M101" s="443"/>
      <c r="N101" s="443"/>
      <c r="O101" s="443"/>
      <c r="P101" s="443"/>
      <c r="Q101" s="443"/>
      <c r="R101" s="443"/>
      <c r="S101" s="443"/>
      <c r="T101" s="443"/>
      <c r="U101" s="443"/>
      <c r="V101" s="443"/>
      <c r="W101" s="443"/>
      <c r="X101" s="443"/>
      <c r="Y101" s="443"/>
      <c r="Z101" s="443"/>
      <c r="AA101" s="443"/>
      <c r="AB101" s="443"/>
      <c r="AC101" s="443"/>
      <c r="AD101" s="443"/>
      <c r="AE101" s="443"/>
      <c r="AF101" s="444"/>
      <c r="AG101" s="443"/>
      <c r="AH101" s="443"/>
      <c r="AI101" s="443"/>
      <c r="AJ101" s="443"/>
      <c r="AK101" s="443"/>
      <c r="AL101" s="443"/>
      <c r="AM101" s="456"/>
      <c r="AN101" s="456"/>
      <c r="AO101" s="456"/>
      <c r="AP101" s="456"/>
      <c r="AQ101" s="456"/>
      <c r="AR101" s="456"/>
      <c r="AS101" s="456"/>
      <c r="AT101" s="456"/>
      <c r="AU101" s="456"/>
      <c r="AV101" s="456"/>
      <c r="AW101" s="456"/>
      <c r="AX101" s="456"/>
      <c r="AY101" s="456"/>
      <c r="AZ101" s="456"/>
      <c r="BA101" s="456"/>
      <c r="BB101" s="456"/>
      <c r="BC101" s="456"/>
      <c r="BD101" s="456"/>
      <c r="BE101" s="456"/>
      <c r="BF101" s="456"/>
      <c r="BG101" s="456"/>
      <c r="BH101" s="456"/>
      <c r="BI101" s="456"/>
      <c r="BJ101" s="456"/>
      <c r="BK101" s="456"/>
      <c r="BL101" s="456"/>
      <c r="BM101" s="456"/>
      <c r="BN101" s="456"/>
      <c r="BO101" s="456"/>
      <c r="BP101" s="456"/>
      <c r="BQ101" s="456"/>
      <c r="BR101" s="456"/>
      <c r="BS101" s="456"/>
      <c r="BT101" s="456"/>
      <c r="BU101" s="456"/>
      <c r="BV101" s="456"/>
      <c r="BW101" s="456"/>
      <c r="BX101" s="456"/>
      <c r="BY101" s="456"/>
      <c r="BZ101" s="456"/>
      <c r="CA101" s="456"/>
      <c r="CB101" s="456"/>
      <c r="CC101" s="456"/>
      <c r="CD101" s="456"/>
      <c r="CE101" s="456"/>
      <c r="CF101" s="456"/>
      <c r="CG101" s="456"/>
      <c r="CH101" s="456"/>
      <c r="CI101" s="456"/>
      <c r="CJ101" s="456"/>
      <c r="CK101" s="456"/>
      <c r="CL101" s="456"/>
      <c r="CM101" s="456"/>
    </row>
    <row r="102" spans="1:91" ht="14.25" customHeight="1">
      <c r="A102" s="443"/>
      <c r="B102" s="443"/>
      <c r="C102" s="443"/>
      <c r="D102" s="443"/>
      <c r="E102" s="443"/>
      <c r="F102" s="443"/>
      <c r="G102" s="443"/>
      <c r="H102" s="443"/>
      <c r="I102" s="443"/>
      <c r="J102" s="443"/>
      <c r="K102" s="443"/>
      <c r="L102" s="443"/>
      <c r="M102" s="443"/>
      <c r="N102" s="443"/>
      <c r="O102" s="443"/>
      <c r="P102" s="443"/>
      <c r="Q102" s="443"/>
      <c r="R102" s="443"/>
      <c r="S102" s="443"/>
      <c r="T102" s="443"/>
      <c r="U102" s="443"/>
      <c r="V102" s="443"/>
      <c r="W102" s="443"/>
      <c r="X102" s="443"/>
      <c r="Y102" s="443"/>
      <c r="Z102" s="443"/>
      <c r="AA102" s="443"/>
      <c r="AB102" s="443"/>
      <c r="AC102" s="443"/>
      <c r="AD102" s="443"/>
      <c r="AE102" s="443"/>
      <c r="AF102" s="444"/>
      <c r="AG102" s="443"/>
      <c r="AH102" s="443"/>
      <c r="AI102" s="443"/>
      <c r="AJ102" s="443"/>
      <c r="AK102" s="443"/>
      <c r="AL102" s="443"/>
      <c r="AM102" s="456"/>
      <c r="AN102" s="456"/>
      <c r="AO102" s="456"/>
      <c r="AP102" s="456"/>
      <c r="AQ102" s="456"/>
      <c r="AR102" s="456"/>
      <c r="AS102" s="456"/>
      <c r="AT102" s="456"/>
      <c r="AU102" s="456"/>
      <c r="AV102" s="456"/>
      <c r="AW102" s="456"/>
      <c r="AX102" s="456"/>
      <c r="AY102" s="456"/>
      <c r="AZ102" s="456"/>
      <c r="BA102" s="456"/>
      <c r="BB102" s="456"/>
      <c r="BC102" s="456"/>
      <c r="BD102" s="456"/>
      <c r="BE102" s="456"/>
      <c r="BF102" s="456"/>
      <c r="BG102" s="456"/>
      <c r="BH102" s="456"/>
      <c r="BI102" s="456"/>
      <c r="BJ102" s="456"/>
      <c r="BK102" s="456"/>
      <c r="BL102" s="456"/>
      <c r="BM102" s="456"/>
      <c r="BN102" s="456"/>
      <c r="BO102" s="456"/>
      <c r="BP102" s="456"/>
      <c r="BQ102" s="456"/>
      <c r="BR102" s="456"/>
      <c r="BS102" s="456"/>
      <c r="BT102" s="456"/>
      <c r="BU102" s="456"/>
      <c r="BV102" s="456"/>
      <c r="BW102" s="456"/>
      <c r="BX102" s="456"/>
      <c r="BY102" s="456"/>
      <c r="BZ102" s="456"/>
      <c r="CA102" s="456"/>
      <c r="CB102" s="456"/>
      <c r="CC102" s="456"/>
      <c r="CD102" s="456"/>
      <c r="CE102" s="456"/>
      <c r="CF102" s="456"/>
      <c r="CG102" s="456"/>
      <c r="CH102" s="456"/>
      <c r="CI102" s="456"/>
      <c r="CJ102" s="456"/>
      <c r="CK102" s="456"/>
      <c r="CL102" s="456"/>
      <c r="CM102" s="456"/>
    </row>
    <row r="103" spans="1:91" ht="14.25" customHeight="1">
      <c r="A103" s="443"/>
      <c r="B103" s="443"/>
      <c r="C103" s="443"/>
      <c r="D103" s="443"/>
      <c r="E103" s="443"/>
      <c r="F103" s="443"/>
      <c r="G103" s="443"/>
      <c r="H103" s="443"/>
      <c r="I103" s="443"/>
      <c r="J103" s="443"/>
      <c r="K103" s="443"/>
      <c r="L103" s="443"/>
      <c r="M103" s="443"/>
      <c r="N103" s="443"/>
      <c r="O103" s="443"/>
      <c r="P103" s="443"/>
      <c r="Q103" s="443"/>
      <c r="R103" s="443"/>
      <c r="S103" s="443"/>
      <c r="T103" s="443"/>
      <c r="U103" s="443"/>
      <c r="V103" s="443"/>
      <c r="W103" s="443"/>
      <c r="X103" s="443"/>
      <c r="Y103" s="443"/>
      <c r="Z103" s="443"/>
      <c r="AA103" s="443"/>
      <c r="AB103" s="443"/>
      <c r="AC103" s="443"/>
      <c r="AD103" s="443"/>
      <c r="AE103" s="443"/>
      <c r="AF103" s="444"/>
      <c r="AG103" s="443"/>
      <c r="AH103" s="443"/>
      <c r="AI103" s="443"/>
      <c r="AJ103" s="443"/>
      <c r="AK103" s="443"/>
      <c r="AL103" s="443"/>
      <c r="AM103" s="456"/>
      <c r="AN103" s="456"/>
      <c r="AO103" s="456"/>
      <c r="AP103" s="456"/>
      <c r="AQ103" s="456"/>
      <c r="AR103" s="456"/>
      <c r="AS103" s="456"/>
      <c r="AT103" s="456"/>
      <c r="AU103" s="456"/>
      <c r="AV103" s="456"/>
      <c r="AW103" s="456"/>
      <c r="AX103" s="456"/>
      <c r="AY103" s="456"/>
      <c r="AZ103" s="456"/>
      <c r="BA103" s="456"/>
      <c r="BB103" s="456"/>
      <c r="BC103" s="456"/>
      <c r="BD103" s="456"/>
      <c r="BE103" s="456"/>
      <c r="BF103" s="456"/>
      <c r="BG103" s="456"/>
      <c r="BH103" s="456"/>
      <c r="BI103" s="456"/>
      <c r="BJ103" s="456"/>
      <c r="BK103" s="456"/>
      <c r="BL103" s="456"/>
      <c r="BM103" s="456"/>
      <c r="BN103" s="456"/>
      <c r="BO103" s="456"/>
      <c r="BP103" s="456"/>
      <c r="BQ103" s="456"/>
      <c r="BR103" s="456"/>
      <c r="BS103" s="456"/>
      <c r="BT103" s="456"/>
      <c r="BU103" s="456"/>
      <c r="BV103" s="456"/>
      <c r="BW103" s="456"/>
      <c r="BX103" s="456"/>
      <c r="BY103" s="456"/>
      <c r="BZ103" s="456"/>
      <c r="CA103" s="456"/>
      <c r="CB103" s="456"/>
      <c r="CC103" s="456"/>
      <c r="CD103" s="456"/>
      <c r="CE103" s="456"/>
      <c r="CF103" s="456"/>
      <c r="CG103" s="456"/>
      <c r="CH103" s="456"/>
      <c r="CI103" s="456"/>
      <c r="CJ103" s="456"/>
      <c r="CK103" s="456"/>
      <c r="CL103" s="456"/>
      <c r="CM103" s="456"/>
    </row>
    <row r="104" spans="1:91" ht="14.25" customHeight="1">
      <c r="A104" s="443"/>
      <c r="B104" s="443"/>
      <c r="C104" s="443"/>
      <c r="D104" s="443"/>
      <c r="E104" s="443"/>
      <c r="F104" s="443"/>
      <c r="G104" s="443"/>
      <c r="H104" s="443"/>
      <c r="I104" s="443"/>
      <c r="J104" s="443"/>
      <c r="K104" s="443"/>
      <c r="L104" s="443"/>
      <c r="M104" s="443"/>
      <c r="N104" s="443"/>
      <c r="O104" s="443"/>
      <c r="P104" s="443"/>
      <c r="Q104" s="443"/>
      <c r="R104" s="443"/>
      <c r="S104" s="443"/>
      <c r="T104" s="443"/>
      <c r="U104" s="443"/>
      <c r="V104" s="443"/>
      <c r="W104" s="443"/>
      <c r="X104" s="443"/>
      <c r="Y104" s="443"/>
      <c r="Z104" s="443"/>
      <c r="AA104" s="443"/>
      <c r="AB104" s="443"/>
      <c r="AC104" s="443"/>
      <c r="AD104" s="443"/>
      <c r="AE104" s="443"/>
      <c r="AF104" s="444"/>
      <c r="AG104" s="443"/>
      <c r="AH104" s="443"/>
      <c r="AI104" s="443"/>
      <c r="AJ104" s="443"/>
      <c r="AK104" s="443"/>
      <c r="AL104" s="443"/>
      <c r="AM104" s="456"/>
      <c r="AN104" s="456"/>
      <c r="AO104" s="456"/>
      <c r="AP104" s="456"/>
      <c r="AQ104" s="456"/>
      <c r="AR104" s="456"/>
      <c r="AS104" s="456"/>
      <c r="AT104" s="456"/>
      <c r="AU104" s="456"/>
      <c r="AV104" s="456"/>
      <c r="AW104" s="456"/>
      <c r="AX104" s="456"/>
      <c r="AY104" s="456"/>
      <c r="AZ104" s="456"/>
      <c r="BA104" s="456"/>
      <c r="BB104" s="456"/>
      <c r="BC104" s="456"/>
      <c r="BD104" s="456"/>
      <c r="BE104" s="456"/>
      <c r="BF104" s="456"/>
      <c r="BG104" s="456"/>
      <c r="BH104" s="456"/>
      <c r="BI104" s="456"/>
      <c r="BJ104" s="456"/>
      <c r="BK104" s="456"/>
      <c r="BL104" s="456"/>
      <c r="BM104" s="456"/>
      <c r="BN104" s="456"/>
      <c r="BO104" s="456"/>
      <c r="BP104" s="456"/>
      <c r="BQ104" s="456"/>
      <c r="BR104" s="456"/>
      <c r="BS104" s="456"/>
      <c r="BT104" s="456"/>
      <c r="BU104" s="456"/>
      <c r="BV104" s="456"/>
      <c r="BW104" s="456"/>
      <c r="BX104" s="456"/>
      <c r="BY104" s="456"/>
      <c r="BZ104" s="456"/>
      <c r="CA104" s="456"/>
      <c r="CB104" s="456"/>
      <c r="CC104" s="456"/>
      <c r="CD104" s="456"/>
      <c r="CE104" s="456"/>
      <c r="CF104" s="456"/>
      <c r="CG104" s="456"/>
      <c r="CH104" s="456"/>
      <c r="CI104" s="456"/>
      <c r="CJ104" s="456"/>
      <c r="CK104" s="456"/>
      <c r="CL104" s="456"/>
      <c r="CM104" s="456"/>
    </row>
    <row r="105" spans="1:91" ht="14.25" customHeight="1">
      <c r="A105" s="443"/>
      <c r="B105" s="443"/>
      <c r="C105" s="443"/>
      <c r="D105" s="443"/>
      <c r="E105" s="443"/>
      <c r="F105" s="443"/>
      <c r="G105" s="443"/>
      <c r="H105" s="443"/>
      <c r="I105" s="443"/>
      <c r="J105" s="443"/>
      <c r="K105" s="443"/>
      <c r="L105" s="443"/>
      <c r="M105" s="443"/>
      <c r="N105" s="443"/>
      <c r="O105" s="443"/>
      <c r="P105" s="443"/>
      <c r="Q105" s="443"/>
      <c r="R105" s="443"/>
      <c r="S105" s="443"/>
      <c r="T105" s="443"/>
      <c r="U105" s="443"/>
      <c r="V105" s="443"/>
      <c r="W105" s="443"/>
      <c r="X105" s="443"/>
      <c r="Y105" s="443"/>
      <c r="Z105" s="443"/>
      <c r="AA105" s="443"/>
      <c r="AB105" s="443"/>
      <c r="AC105" s="443"/>
      <c r="AD105" s="443"/>
      <c r="AE105" s="443"/>
      <c r="AF105" s="444"/>
      <c r="AG105" s="443"/>
      <c r="AH105" s="443"/>
      <c r="AI105" s="443"/>
      <c r="AJ105" s="443"/>
      <c r="AK105" s="443"/>
      <c r="AL105" s="443"/>
      <c r="AM105" s="456"/>
      <c r="AN105" s="456"/>
      <c r="AO105" s="456"/>
      <c r="AP105" s="456"/>
      <c r="AQ105" s="456"/>
      <c r="AR105" s="456"/>
      <c r="AS105" s="456"/>
      <c r="AT105" s="456"/>
      <c r="AU105" s="456"/>
      <c r="AV105" s="456"/>
      <c r="AW105" s="456"/>
      <c r="AX105" s="456"/>
      <c r="AY105" s="456"/>
      <c r="AZ105" s="456"/>
      <c r="BA105" s="456"/>
      <c r="BB105" s="456"/>
      <c r="BC105" s="456"/>
      <c r="BD105" s="456"/>
      <c r="BE105" s="456"/>
      <c r="BF105" s="456"/>
      <c r="BG105" s="456"/>
      <c r="BH105" s="456"/>
      <c r="BI105" s="456"/>
      <c r="BJ105" s="456"/>
      <c r="BK105" s="456"/>
      <c r="BL105" s="456"/>
      <c r="BM105" s="456"/>
      <c r="BN105" s="456"/>
      <c r="BO105" s="456"/>
      <c r="BP105" s="456"/>
      <c r="BQ105" s="456"/>
      <c r="BR105" s="456"/>
      <c r="BS105" s="456"/>
      <c r="BT105" s="456"/>
      <c r="BU105" s="456"/>
      <c r="BV105" s="456"/>
      <c r="BW105" s="456"/>
      <c r="BX105" s="456"/>
      <c r="BY105" s="456"/>
      <c r="BZ105" s="456"/>
      <c r="CA105" s="456"/>
      <c r="CB105" s="456"/>
      <c r="CC105" s="456"/>
      <c r="CD105" s="456"/>
      <c r="CE105" s="456"/>
      <c r="CF105" s="456"/>
      <c r="CG105" s="456"/>
      <c r="CH105" s="456"/>
      <c r="CI105" s="456"/>
      <c r="CJ105" s="456"/>
      <c r="CK105" s="456"/>
      <c r="CL105" s="456"/>
      <c r="CM105" s="456"/>
    </row>
    <row r="106" spans="1:91" ht="14.25" customHeight="1">
      <c r="A106" s="443"/>
      <c r="B106" s="443"/>
      <c r="C106" s="443"/>
      <c r="D106" s="443"/>
      <c r="E106" s="443"/>
      <c r="F106" s="443"/>
      <c r="G106" s="443"/>
      <c r="H106" s="443"/>
      <c r="I106" s="443"/>
      <c r="J106" s="443"/>
      <c r="K106" s="443"/>
      <c r="L106" s="443"/>
      <c r="M106" s="443"/>
      <c r="N106" s="443"/>
      <c r="O106" s="443"/>
      <c r="P106" s="443"/>
      <c r="Q106" s="443"/>
      <c r="R106" s="443"/>
      <c r="S106" s="443"/>
      <c r="T106" s="443"/>
      <c r="U106" s="443"/>
      <c r="V106" s="443"/>
      <c r="W106" s="443"/>
      <c r="X106" s="443"/>
      <c r="Y106" s="443"/>
      <c r="Z106" s="443"/>
      <c r="AA106" s="443"/>
      <c r="AB106" s="443"/>
      <c r="AC106" s="443"/>
      <c r="AD106" s="443"/>
      <c r="AE106" s="443"/>
      <c r="AF106" s="444"/>
      <c r="AG106" s="443"/>
      <c r="AH106" s="443"/>
      <c r="AI106" s="443"/>
      <c r="AJ106" s="443"/>
      <c r="AK106" s="443"/>
      <c r="AL106" s="443"/>
      <c r="AM106" s="456"/>
      <c r="AN106" s="456"/>
      <c r="AO106" s="456"/>
      <c r="AP106" s="456"/>
      <c r="AQ106" s="456"/>
      <c r="AR106" s="456"/>
      <c r="AS106" s="456"/>
      <c r="AT106" s="456"/>
      <c r="AU106" s="456"/>
      <c r="AV106" s="456"/>
      <c r="AW106" s="456"/>
      <c r="AX106" s="456"/>
      <c r="AY106" s="456"/>
      <c r="AZ106" s="456"/>
      <c r="BA106" s="456"/>
      <c r="BB106" s="456"/>
      <c r="BC106" s="456"/>
      <c r="BD106" s="456"/>
      <c r="BE106" s="456"/>
      <c r="BF106" s="456"/>
      <c r="BG106" s="456"/>
      <c r="BH106" s="456"/>
      <c r="BI106" s="456"/>
      <c r="BJ106" s="456"/>
      <c r="BK106" s="456"/>
      <c r="BL106" s="456"/>
      <c r="BM106" s="456"/>
      <c r="BN106" s="456"/>
      <c r="BO106" s="456"/>
      <c r="BP106" s="456"/>
      <c r="BQ106" s="456"/>
      <c r="BR106" s="456"/>
      <c r="BS106" s="456"/>
      <c r="BT106" s="456"/>
      <c r="BU106" s="456"/>
      <c r="BV106" s="456"/>
      <c r="BW106" s="456"/>
      <c r="BX106" s="456"/>
      <c r="BY106" s="456"/>
      <c r="BZ106" s="456"/>
      <c r="CA106" s="456"/>
      <c r="CB106" s="456"/>
      <c r="CC106" s="456"/>
      <c r="CD106" s="456"/>
      <c r="CE106" s="456"/>
      <c r="CF106" s="456"/>
      <c r="CG106" s="456"/>
      <c r="CH106" s="456"/>
      <c r="CI106" s="456"/>
      <c r="CJ106" s="456"/>
      <c r="CK106" s="456"/>
      <c r="CL106" s="456"/>
      <c r="CM106" s="456"/>
    </row>
    <row r="107" spans="1:91" ht="14.25" customHeight="1">
      <c r="A107" s="443"/>
      <c r="B107" s="443"/>
      <c r="C107" s="443"/>
      <c r="D107" s="443"/>
      <c r="E107" s="443"/>
      <c r="F107" s="443"/>
      <c r="G107" s="443"/>
      <c r="H107" s="443"/>
      <c r="I107" s="443"/>
      <c r="J107" s="443"/>
      <c r="K107" s="443"/>
      <c r="L107" s="443"/>
      <c r="M107" s="443"/>
      <c r="N107" s="443"/>
      <c r="O107" s="443"/>
      <c r="P107" s="443"/>
      <c r="Q107" s="443"/>
      <c r="R107" s="443"/>
      <c r="S107" s="443"/>
      <c r="T107" s="443"/>
      <c r="U107" s="443"/>
      <c r="V107" s="443"/>
      <c r="W107" s="443"/>
      <c r="X107" s="443"/>
      <c r="Y107" s="443"/>
      <c r="Z107" s="443"/>
      <c r="AA107" s="443"/>
      <c r="AB107" s="443"/>
      <c r="AC107" s="443"/>
      <c r="AD107" s="443"/>
      <c r="AE107" s="443"/>
      <c r="AF107" s="444"/>
      <c r="AG107" s="443"/>
      <c r="AH107" s="443"/>
      <c r="AI107" s="443"/>
      <c r="AJ107" s="443"/>
      <c r="AK107" s="443"/>
      <c r="AL107" s="443"/>
      <c r="AM107" s="456"/>
      <c r="AN107" s="456"/>
      <c r="AO107" s="456"/>
      <c r="AP107" s="456"/>
      <c r="AQ107" s="456"/>
      <c r="AR107" s="456"/>
      <c r="AS107" s="456"/>
      <c r="AT107" s="456"/>
      <c r="AU107" s="456"/>
      <c r="AV107" s="456"/>
      <c r="AW107" s="456"/>
      <c r="AX107" s="456"/>
      <c r="AY107" s="456"/>
      <c r="AZ107" s="456"/>
      <c r="BA107" s="456"/>
      <c r="BB107" s="456"/>
      <c r="BC107" s="456"/>
      <c r="BD107" s="456"/>
      <c r="BE107" s="456"/>
      <c r="BF107" s="456"/>
      <c r="BG107" s="456"/>
      <c r="BH107" s="456"/>
      <c r="BI107" s="456"/>
      <c r="BJ107" s="456"/>
      <c r="BK107" s="456"/>
      <c r="BL107" s="456"/>
      <c r="BM107" s="456"/>
      <c r="BN107" s="456"/>
      <c r="BO107" s="456"/>
      <c r="BP107" s="456"/>
      <c r="BQ107" s="456"/>
      <c r="BR107" s="456"/>
      <c r="BS107" s="456"/>
      <c r="BT107" s="456"/>
      <c r="BU107" s="456"/>
      <c r="BV107" s="456"/>
      <c r="BW107" s="456"/>
      <c r="BX107" s="456"/>
      <c r="BY107" s="456"/>
      <c r="BZ107" s="456"/>
      <c r="CA107" s="456"/>
      <c r="CB107" s="456"/>
      <c r="CC107" s="456"/>
      <c r="CD107" s="456"/>
      <c r="CE107" s="456"/>
      <c r="CF107" s="456"/>
      <c r="CG107" s="456"/>
      <c r="CH107" s="456"/>
      <c r="CI107" s="456"/>
      <c r="CJ107" s="456"/>
      <c r="CK107" s="456"/>
      <c r="CL107" s="456"/>
      <c r="CM107" s="456"/>
    </row>
    <row r="108" spans="1:91" ht="14.25" customHeight="1">
      <c r="A108" s="443"/>
      <c r="B108" s="443"/>
      <c r="C108" s="443"/>
      <c r="D108" s="443"/>
      <c r="E108" s="443"/>
      <c r="F108" s="443"/>
      <c r="G108" s="443"/>
      <c r="H108" s="443"/>
      <c r="I108" s="443"/>
      <c r="J108" s="443"/>
      <c r="K108" s="443"/>
      <c r="L108" s="443"/>
      <c r="M108" s="443"/>
      <c r="N108" s="443"/>
      <c r="O108" s="443"/>
      <c r="P108" s="443"/>
      <c r="Q108" s="443"/>
      <c r="R108" s="443"/>
      <c r="S108" s="443"/>
      <c r="T108" s="443"/>
      <c r="U108" s="443"/>
      <c r="V108" s="443"/>
      <c r="W108" s="443"/>
      <c r="X108" s="443"/>
      <c r="Y108" s="443"/>
      <c r="Z108" s="443"/>
      <c r="AA108" s="443"/>
      <c r="AB108" s="443"/>
      <c r="AC108" s="443"/>
      <c r="AD108" s="443"/>
      <c r="AE108" s="443"/>
      <c r="AF108" s="444"/>
      <c r="AG108" s="443"/>
      <c r="AH108" s="443"/>
      <c r="AI108" s="443"/>
      <c r="AJ108" s="443"/>
      <c r="AK108" s="443"/>
      <c r="AL108" s="443"/>
      <c r="AM108" s="456"/>
      <c r="AN108" s="456"/>
      <c r="AO108" s="456"/>
      <c r="AP108" s="456"/>
      <c r="AQ108" s="456"/>
      <c r="AR108" s="456"/>
      <c r="AS108" s="456"/>
      <c r="AT108" s="456"/>
      <c r="AU108" s="456"/>
      <c r="AV108" s="456"/>
      <c r="AW108" s="456"/>
      <c r="AX108" s="456"/>
      <c r="AY108" s="456"/>
      <c r="AZ108" s="456"/>
      <c r="BA108" s="456"/>
      <c r="BB108" s="456"/>
      <c r="BC108" s="456"/>
      <c r="BD108" s="456"/>
      <c r="BE108" s="456"/>
      <c r="BF108" s="456"/>
      <c r="BG108" s="456"/>
      <c r="BH108" s="456"/>
      <c r="BI108" s="456"/>
      <c r="BJ108" s="456"/>
      <c r="BK108" s="456"/>
      <c r="BL108" s="456"/>
      <c r="BM108" s="456"/>
      <c r="BN108" s="456"/>
      <c r="BO108" s="456"/>
      <c r="BP108" s="456"/>
      <c r="BQ108" s="456"/>
      <c r="BR108" s="456"/>
      <c r="BS108" s="456"/>
      <c r="BT108" s="456"/>
      <c r="BU108" s="456"/>
      <c r="BV108" s="456"/>
      <c r="BW108" s="456"/>
      <c r="BX108" s="456"/>
      <c r="BY108" s="456"/>
      <c r="BZ108" s="456"/>
      <c r="CA108" s="456"/>
      <c r="CB108" s="456"/>
      <c r="CC108" s="456"/>
      <c r="CD108" s="456"/>
      <c r="CE108" s="456"/>
      <c r="CF108" s="456"/>
      <c r="CG108" s="456"/>
      <c r="CH108" s="456"/>
      <c r="CI108" s="456"/>
      <c r="CJ108" s="456"/>
      <c r="CK108" s="456"/>
      <c r="CL108" s="456"/>
      <c r="CM108" s="456"/>
    </row>
    <row r="109" spans="1:91" ht="14.25" customHeight="1">
      <c r="A109" s="443"/>
      <c r="B109" s="443"/>
      <c r="C109" s="443"/>
      <c r="D109" s="443"/>
      <c r="E109" s="443"/>
      <c r="F109" s="443"/>
      <c r="G109" s="443"/>
      <c r="H109" s="443"/>
      <c r="I109" s="443"/>
      <c r="J109" s="443"/>
      <c r="K109" s="443"/>
      <c r="L109" s="443"/>
      <c r="M109" s="443"/>
      <c r="N109" s="443"/>
      <c r="O109" s="443"/>
      <c r="P109" s="443"/>
      <c r="Q109" s="443"/>
      <c r="R109" s="443"/>
      <c r="S109" s="443"/>
      <c r="T109" s="443"/>
      <c r="U109" s="443"/>
      <c r="V109" s="443"/>
      <c r="W109" s="443"/>
      <c r="X109" s="443"/>
      <c r="Y109" s="443"/>
      <c r="Z109" s="443"/>
      <c r="AA109" s="443"/>
      <c r="AB109" s="443"/>
      <c r="AC109" s="443"/>
      <c r="AD109" s="443"/>
      <c r="AE109" s="443"/>
      <c r="AF109" s="444"/>
      <c r="AG109" s="443"/>
      <c r="AH109" s="443"/>
      <c r="AI109" s="443"/>
      <c r="AJ109" s="443"/>
      <c r="AK109" s="443"/>
      <c r="AL109" s="443"/>
      <c r="AM109" s="456"/>
      <c r="AN109" s="456"/>
      <c r="AO109" s="456"/>
      <c r="AP109" s="456"/>
      <c r="AQ109" s="456"/>
      <c r="AR109" s="456"/>
      <c r="AS109" s="456"/>
      <c r="AT109" s="456"/>
      <c r="AU109" s="456"/>
      <c r="AV109" s="456"/>
      <c r="AW109" s="456"/>
      <c r="AX109" s="456"/>
      <c r="AY109" s="456"/>
      <c r="AZ109" s="456"/>
      <c r="BA109" s="456"/>
      <c r="BB109" s="456"/>
      <c r="BC109" s="456"/>
      <c r="BD109" s="456"/>
      <c r="BE109" s="456"/>
      <c r="BF109" s="456"/>
      <c r="BG109" s="456"/>
      <c r="BH109" s="456"/>
      <c r="BI109" s="456"/>
      <c r="BJ109" s="456"/>
      <c r="BK109" s="456"/>
      <c r="BL109" s="456"/>
      <c r="BM109" s="456"/>
      <c r="BN109" s="456"/>
      <c r="BO109" s="456"/>
      <c r="BP109" s="456"/>
      <c r="BQ109" s="456"/>
      <c r="BR109" s="456"/>
      <c r="BS109" s="456"/>
      <c r="BT109" s="456"/>
      <c r="BU109" s="456"/>
      <c r="BV109" s="456"/>
      <c r="BW109" s="456"/>
      <c r="BX109" s="456"/>
      <c r="BY109" s="456"/>
      <c r="BZ109" s="456"/>
      <c r="CA109" s="456"/>
      <c r="CB109" s="456"/>
      <c r="CC109" s="456"/>
      <c r="CD109" s="456"/>
      <c r="CE109" s="456"/>
      <c r="CF109" s="456"/>
      <c r="CG109" s="456"/>
      <c r="CH109" s="456"/>
      <c r="CI109" s="456"/>
      <c r="CJ109" s="456"/>
      <c r="CK109" s="456"/>
      <c r="CL109" s="456"/>
      <c r="CM109" s="456"/>
    </row>
    <row r="110" spans="1:91" ht="14.25" customHeight="1">
      <c r="A110" s="443"/>
      <c r="B110" s="443"/>
      <c r="C110" s="443"/>
      <c r="D110" s="443"/>
      <c r="E110" s="443"/>
      <c r="F110" s="443"/>
      <c r="G110" s="443"/>
      <c r="H110" s="443"/>
      <c r="I110" s="443"/>
      <c r="J110" s="443"/>
      <c r="K110" s="443"/>
      <c r="L110" s="443"/>
      <c r="M110" s="443"/>
      <c r="N110" s="443"/>
      <c r="O110" s="443"/>
      <c r="P110" s="443"/>
      <c r="Q110" s="443"/>
      <c r="R110" s="443"/>
      <c r="S110" s="443"/>
      <c r="T110" s="443"/>
      <c r="U110" s="443"/>
      <c r="V110" s="443"/>
      <c r="W110" s="443"/>
      <c r="X110" s="443"/>
      <c r="Y110" s="443"/>
      <c r="Z110" s="443"/>
      <c r="AA110" s="443"/>
      <c r="AB110" s="443"/>
      <c r="AC110" s="443"/>
      <c r="AD110" s="443"/>
      <c r="AE110" s="443"/>
      <c r="AF110" s="444"/>
      <c r="AG110" s="443"/>
      <c r="AH110" s="443"/>
      <c r="AI110" s="443"/>
      <c r="AJ110" s="443"/>
      <c r="AK110" s="443"/>
      <c r="AL110" s="443"/>
      <c r="AM110" s="456"/>
      <c r="AN110" s="456"/>
      <c r="AO110" s="456"/>
      <c r="AP110" s="456"/>
      <c r="AQ110" s="456"/>
      <c r="AR110" s="456"/>
      <c r="AS110" s="456"/>
      <c r="AT110" s="456"/>
      <c r="AU110" s="456"/>
      <c r="AV110" s="456"/>
      <c r="AW110" s="456"/>
      <c r="AX110" s="456"/>
      <c r="AY110" s="456"/>
      <c r="AZ110" s="456"/>
      <c r="BA110" s="456"/>
      <c r="BB110" s="456"/>
      <c r="BC110" s="456"/>
      <c r="BD110" s="456"/>
      <c r="BE110" s="456"/>
      <c r="BF110" s="456"/>
      <c r="BG110" s="456"/>
      <c r="BH110" s="456"/>
      <c r="BI110" s="456"/>
      <c r="BJ110" s="456"/>
      <c r="BK110" s="456"/>
      <c r="BL110" s="456"/>
      <c r="BM110" s="456"/>
      <c r="BN110" s="456"/>
      <c r="BO110" s="456"/>
      <c r="BP110" s="456"/>
      <c r="BQ110" s="456"/>
      <c r="BR110" s="456"/>
      <c r="BS110" s="456"/>
      <c r="BT110" s="456"/>
      <c r="BU110" s="456"/>
      <c r="BV110" s="456"/>
      <c r="BW110" s="456"/>
      <c r="BX110" s="456"/>
      <c r="BY110" s="456"/>
      <c r="BZ110" s="456"/>
      <c r="CA110" s="456"/>
      <c r="CB110" s="456"/>
      <c r="CC110" s="456"/>
      <c r="CD110" s="456"/>
      <c r="CE110" s="456"/>
      <c r="CF110" s="456"/>
      <c r="CG110" s="456"/>
      <c r="CH110" s="456"/>
      <c r="CI110" s="456"/>
      <c r="CJ110" s="456"/>
      <c r="CK110" s="456"/>
      <c r="CL110" s="456"/>
      <c r="CM110" s="456"/>
    </row>
    <row r="111" spans="1:91" ht="14.25" customHeight="1">
      <c r="A111" s="443"/>
      <c r="B111" s="443"/>
      <c r="C111" s="443"/>
      <c r="D111" s="443"/>
      <c r="E111" s="443"/>
      <c r="F111" s="443"/>
      <c r="G111" s="443"/>
      <c r="H111" s="443"/>
      <c r="I111" s="443"/>
      <c r="J111" s="443"/>
      <c r="K111" s="443"/>
      <c r="L111" s="443"/>
      <c r="M111" s="443"/>
      <c r="N111" s="443"/>
      <c r="O111" s="443"/>
      <c r="P111" s="443"/>
      <c r="Q111" s="443"/>
      <c r="R111" s="443"/>
      <c r="S111" s="443"/>
      <c r="T111" s="443"/>
      <c r="U111" s="443"/>
      <c r="V111" s="443"/>
      <c r="W111" s="443"/>
      <c r="X111" s="443"/>
      <c r="Y111" s="443"/>
      <c r="Z111" s="443"/>
      <c r="AA111" s="443"/>
      <c r="AB111" s="443"/>
      <c r="AC111" s="443"/>
      <c r="AD111" s="443"/>
      <c r="AE111" s="443"/>
      <c r="AF111" s="444"/>
      <c r="AG111" s="443"/>
      <c r="AH111" s="443"/>
      <c r="AI111" s="443"/>
      <c r="AJ111" s="443"/>
      <c r="AK111" s="443"/>
      <c r="AL111" s="443"/>
      <c r="AM111" s="456"/>
      <c r="AN111" s="456"/>
      <c r="AO111" s="456"/>
      <c r="AP111" s="456"/>
      <c r="AQ111" s="456"/>
      <c r="AR111" s="456"/>
      <c r="AS111" s="456"/>
      <c r="AT111" s="456"/>
      <c r="AU111" s="456"/>
      <c r="AV111" s="456"/>
      <c r="AW111" s="456"/>
      <c r="AX111" s="456"/>
      <c r="AY111" s="456"/>
      <c r="AZ111" s="456"/>
      <c r="BA111" s="456"/>
      <c r="BB111" s="456"/>
      <c r="BC111" s="456"/>
      <c r="BD111" s="456"/>
      <c r="BE111" s="456"/>
      <c r="BF111" s="456"/>
      <c r="BG111" s="456"/>
      <c r="BH111" s="456"/>
      <c r="BI111" s="456"/>
      <c r="BJ111" s="456"/>
      <c r="BK111" s="456"/>
      <c r="BL111" s="456"/>
      <c r="BM111" s="456"/>
      <c r="BN111" s="456"/>
      <c r="BO111" s="456"/>
      <c r="BP111" s="456"/>
      <c r="BQ111" s="456"/>
      <c r="BR111" s="456"/>
      <c r="BS111" s="456"/>
      <c r="BT111" s="456"/>
      <c r="BU111" s="456"/>
      <c r="BV111" s="456"/>
      <c r="BW111" s="456"/>
      <c r="BX111" s="456"/>
      <c r="BY111" s="456"/>
      <c r="BZ111" s="456"/>
      <c r="CA111" s="456"/>
      <c r="CB111" s="456"/>
      <c r="CC111" s="456"/>
      <c r="CD111" s="456"/>
      <c r="CE111" s="456"/>
      <c r="CF111" s="456"/>
      <c r="CG111" s="456"/>
      <c r="CH111" s="456"/>
      <c r="CI111" s="456"/>
      <c r="CJ111" s="456"/>
      <c r="CK111" s="456"/>
      <c r="CL111" s="456"/>
      <c r="CM111" s="456"/>
    </row>
    <row r="112" spans="1:91" ht="14.25" customHeight="1">
      <c r="A112" s="443"/>
      <c r="B112" s="443"/>
      <c r="C112" s="443"/>
      <c r="D112" s="443"/>
      <c r="E112" s="443"/>
      <c r="F112" s="443"/>
      <c r="G112" s="443"/>
      <c r="H112" s="443"/>
      <c r="I112" s="443"/>
      <c r="J112" s="443"/>
      <c r="K112" s="443"/>
      <c r="L112" s="443"/>
      <c r="M112" s="443"/>
      <c r="N112" s="443"/>
      <c r="O112" s="443"/>
      <c r="P112" s="443"/>
      <c r="Q112" s="443"/>
      <c r="R112" s="443"/>
      <c r="S112" s="443"/>
      <c r="T112" s="443"/>
      <c r="U112" s="443"/>
      <c r="V112" s="443"/>
      <c r="W112" s="443"/>
      <c r="X112" s="443"/>
      <c r="Y112" s="443"/>
      <c r="Z112" s="443"/>
      <c r="AA112" s="443"/>
      <c r="AB112" s="443"/>
      <c r="AC112" s="443"/>
      <c r="AD112" s="443"/>
      <c r="AE112" s="443"/>
      <c r="AF112" s="444"/>
      <c r="AG112" s="443"/>
      <c r="AH112" s="443"/>
      <c r="AI112" s="443"/>
      <c r="AJ112" s="443"/>
      <c r="AK112" s="443"/>
      <c r="AL112" s="443"/>
      <c r="AM112" s="456"/>
      <c r="AN112" s="456"/>
      <c r="AO112" s="456"/>
      <c r="AP112" s="456"/>
      <c r="AQ112" s="456"/>
      <c r="AR112" s="456"/>
      <c r="AS112" s="456"/>
      <c r="AT112" s="456"/>
      <c r="AU112" s="456"/>
      <c r="AV112" s="456"/>
      <c r="AW112" s="456"/>
      <c r="AX112" s="456"/>
      <c r="AY112" s="456"/>
      <c r="AZ112" s="456"/>
      <c r="BA112" s="456"/>
      <c r="BB112" s="456"/>
      <c r="BC112" s="456"/>
      <c r="BD112" s="456"/>
      <c r="BE112" s="456"/>
      <c r="BF112" s="456"/>
      <c r="BG112" s="456"/>
      <c r="BH112" s="456"/>
      <c r="BI112" s="456"/>
      <c r="BJ112" s="456"/>
      <c r="BK112" s="456"/>
      <c r="BL112" s="456"/>
      <c r="BM112" s="456"/>
      <c r="BN112" s="456"/>
      <c r="BO112" s="456"/>
      <c r="BP112" s="456"/>
      <c r="BQ112" s="456"/>
      <c r="BR112" s="456"/>
      <c r="BS112" s="456"/>
      <c r="BT112" s="456"/>
      <c r="BU112" s="456"/>
      <c r="BV112" s="456"/>
      <c r="BW112" s="456"/>
      <c r="BX112" s="456"/>
      <c r="BY112" s="456"/>
      <c r="BZ112" s="456"/>
      <c r="CA112" s="456"/>
      <c r="CB112" s="456"/>
      <c r="CC112" s="456"/>
      <c r="CD112" s="456"/>
      <c r="CE112" s="456"/>
      <c r="CF112" s="456"/>
      <c r="CG112" s="456"/>
      <c r="CH112" s="456"/>
      <c r="CI112" s="456"/>
      <c r="CJ112" s="456"/>
      <c r="CK112" s="456"/>
      <c r="CL112" s="456"/>
      <c r="CM112" s="456"/>
    </row>
    <row r="113" spans="1:91" ht="14.25" customHeight="1">
      <c r="A113" s="443"/>
      <c r="B113" s="443"/>
      <c r="C113" s="443"/>
      <c r="D113" s="443"/>
      <c r="E113" s="443"/>
      <c r="F113" s="443"/>
      <c r="G113" s="443"/>
      <c r="H113" s="443"/>
      <c r="I113" s="443"/>
      <c r="J113" s="443"/>
      <c r="K113" s="443"/>
      <c r="L113" s="443"/>
      <c r="M113" s="443"/>
      <c r="N113" s="443"/>
      <c r="O113" s="443"/>
      <c r="P113" s="443"/>
      <c r="Q113" s="443"/>
      <c r="R113" s="443"/>
      <c r="S113" s="443"/>
      <c r="T113" s="443"/>
      <c r="U113" s="443"/>
      <c r="V113" s="443"/>
      <c r="W113" s="443"/>
      <c r="X113" s="443"/>
      <c r="Y113" s="443"/>
      <c r="Z113" s="443"/>
      <c r="AA113" s="443"/>
      <c r="AB113" s="443"/>
      <c r="AC113" s="443"/>
      <c r="AD113" s="443"/>
      <c r="AE113" s="443"/>
      <c r="AF113" s="444"/>
      <c r="AG113" s="443"/>
      <c r="AH113" s="443"/>
      <c r="AI113" s="443"/>
      <c r="AJ113" s="443"/>
      <c r="AK113" s="443"/>
      <c r="AL113" s="443"/>
      <c r="AM113" s="456"/>
      <c r="AN113" s="456"/>
      <c r="AO113" s="456"/>
      <c r="AP113" s="456"/>
      <c r="AQ113" s="456"/>
      <c r="AR113" s="456"/>
      <c r="AS113" s="456"/>
      <c r="AT113" s="456"/>
      <c r="AU113" s="456"/>
      <c r="AV113" s="456"/>
      <c r="AW113" s="456"/>
      <c r="AX113" s="456"/>
      <c r="AY113" s="456"/>
      <c r="AZ113" s="456"/>
      <c r="BA113" s="456"/>
      <c r="BB113" s="456"/>
      <c r="BC113" s="456"/>
      <c r="BD113" s="456"/>
      <c r="BE113" s="456"/>
      <c r="BF113" s="456"/>
      <c r="BG113" s="456"/>
      <c r="BH113" s="456"/>
      <c r="BI113" s="456"/>
      <c r="BJ113" s="456"/>
      <c r="BK113" s="456"/>
      <c r="BL113" s="456"/>
      <c r="BM113" s="456"/>
      <c r="BN113" s="456"/>
      <c r="BO113" s="456"/>
      <c r="BP113" s="456"/>
      <c r="BQ113" s="456"/>
      <c r="BR113" s="456"/>
      <c r="BS113" s="456"/>
      <c r="BT113" s="456"/>
      <c r="BU113" s="456"/>
      <c r="BV113" s="456"/>
      <c r="BW113" s="456"/>
      <c r="BX113" s="456"/>
      <c r="BY113" s="456"/>
      <c r="BZ113" s="456"/>
      <c r="CA113" s="456"/>
      <c r="CB113" s="456"/>
      <c r="CC113" s="456"/>
      <c r="CD113" s="456"/>
      <c r="CE113" s="456"/>
      <c r="CF113" s="456"/>
      <c r="CG113" s="456"/>
      <c r="CH113" s="456"/>
      <c r="CI113" s="456"/>
      <c r="CJ113" s="456"/>
      <c r="CK113" s="456"/>
      <c r="CL113" s="456"/>
      <c r="CM113" s="456"/>
    </row>
    <row r="114" spans="1:91" ht="14.25" customHeight="1">
      <c r="A114" s="443"/>
      <c r="B114" s="443"/>
      <c r="C114" s="443"/>
      <c r="D114" s="443"/>
      <c r="E114" s="443"/>
      <c r="F114" s="443"/>
      <c r="G114" s="443"/>
      <c r="H114" s="443"/>
      <c r="I114" s="443"/>
      <c r="J114" s="443"/>
      <c r="K114" s="443"/>
      <c r="L114" s="443"/>
      <c r="M114" s="443"/>
      <c r="N114" s="443"/>
      <c r="O114" s="443"/>
      <c r="P114" s="443"/>
      <c r="Q114" s="443"/>
      <c r="R114" s="443"/>
      <c r="S114" s="443"/>
      <c r="T114" s="443"/>
      <c r="U114" s="443"/>
      <c r="V114" s="443"/>
      <c r="W114" s="443"/>
      <c r="X114" s="443"/>
      <c r="Y114" s="443"/>
      <c r="Z114" s="443"/>
      <c r="AA114" s="443"/>
      <c r="AB114" s="443"/>
      <c r="AC114" s="443"/>
      <c r="AD114" s="443"/>
      <c r="AE114" s="443"/>
      <c r="AF114" s="444"/>
      <c r="AG114" s="443"/>
      <c r="AH114" s="443"/>
      <c r="AI114" s="443"/>
      <c r="AJ114" s="443"/>
      <c r="AK114" s="443"/>
      <c r="AL114" s="443"/>
      <c r="AM114" s="456"/>
      <c r="AN114" s="456"/>
      <c r="AO114" s="456"/>
      <c r="AP114" s="456"/>
      <c r="AQ114" s="456"/>
      <c r="AR114" s="456"/>
      <c r="AS114" s="456"/>
      <c r="AT114" s="456"/>
      <c r="AU114" s="456"/>
      <c r="AV114" s="456"/>
      <c r="AW114" s="456"/>
      <c r="AX114" s="456"/>
      <c r="AY114" s="456"/>
      <c r="AZ114" s="456"/>
      <c r="BA114" s="456"/>
      <c r="BB114" s="456"/>
      <c r="BC114" s="456"/>
      <c r="BD114" s="456"/>
      <c r="BE114" s="456"/>
      <c r="BF114" s="456"/>
      <c r="BG114" s="456"/>
      <c r="BH114" s="456"/>
      <c r="BI114" s="456"/>
      <c r="BJ114" s="456"/>
      <c r="BK114" s="456"/>
      <c r="BL114" s="456"/>
      <c r="BM114" s="456"/>
      <c r="BN114" s="456"/>
      <c r="BO114" s="456"/>
      <c r="BP114" s="456"/>
      <c r="BQ114" s="456"/>
      <c r="BR114" s="456"/>
      <c r="BS114" s="456"/>
      <c r="BT114" s="456"/>
      <c r="BU114" s="456"/>
      <c r="BV114" s="456"/>
      <c r="BW114" s="456"/>
      <c r="BX114" s="456"/>
      <c r="BY114" s="456"/>
      <c r="BZ114" s="456"/>
      <c r="CA114" s="456"/>
      <c r="CB114" s="456"/>
      <c r="CC114" s="456"/>
      <c r="CD114" s="456"/>
      <c r="CE114" s="456"/>
      <c r="CF114" s="456"/>
      <c r="CG114" s="456"/>
      <c r="CH114" s="456"/>
      <c r="CI114" s="456"/>
      <c r="CJ114" s="456"/>
      <c r="CK114" s="456"/>
      <c r="CL114" s="456"/>
      <c r="CM114" s="456"/>
    </row>
    <row r="115" spans="1:91" ht="14.25" customHeight="1">
      <c r="A115" s="443"/>
      <c r="B115" s="443"/>
      <c r="C115" s="443"/>
      <c r="D115" s="443"/>
      <c r="E115" s="443"/>
      <c r="F115" s="443"/>
      <c r="G115" s="443"/>
      <c r="H115" s="443"/>
      <c r="I115" s="443"/>
      <c r="J115" s="443"/>
      <c r="K115" s="443"/>
      <c r="L115" s="443"/>
      <c r="M115" s="443"/>
      <c r="N115" s="443"/>
      <c r="O115" s="443"/>
      <c r="P115" s="443"/>
      <c r="Q115" s="443"/>
      <c r="R115" s="443"/>
      <c r="S115" s="443"/>
      <c r="T115" s="443"/>
      <c r="U115" s="443"/>
      <c r="V115" s="443"/>
      <c r="W115" s="443"/>
      <c r="X115" s="443"/>
      <c r="Y115" s="443"/>
      <c r="Z115" s="443"/>
      <c r="AA115" s="443"/>
      <c r="AB115" s="443"/>
      <c r="AC115" s="443"/>
      <c r="AD115" s="443"/>
      <c r="AE115" s="443"/>
      <c r="AF115" s="444"/>
      <c r="AG115" s="443"/>
      <c r="AH115" s="443"/>
      <c r="AI115" s="443"/>
      <c r="AJ115" s="443"/>
      <c r="AK115" s="443"/>
      <c r="AL115" s="443"/>
      <c r="AM115" s="456"/>
      <c r="AN115" s="456"/>
      <c r="AO115" s="456"/>
      <c r="AP115" s="456"/>
      <c r="AQ115" s="456"/>
      <c r="AR115" s="456"/>
      <c r="AS115" s="456"/>
      <c r="AT115" s="456"/>
      <c r="AU115" s="456"/>
      <c r="AV115" s="456"/>
      <c r="AW115" s="456"/>
      <c r="AX115" s="456"/>
      <c r="AY115" s="456"/>
      <c r="AZ115" s="456"/>
      <c r="BA115" s="456"/>
      <c r="BB115" s="456"/>
      <c r="BC115" s="456"/>
      <c r="BD115" s="456"/>
      <c r="BE115" s="456"/>
      <c r="BF115" s="456"/>
      <c r="BG115" s="456"/>
      <c r="BH115" s="456"/>
      <c r="BI115" s="456"/>
      <c r="BJ115" s="456"/>
      <c r="BK115" s="456"/>
      <c r="BL115" s="456"/>
      <c r="BM115" s="456"/>
      <c r="BN115" s="456"/>
      <c r="BO115" s="456"/>
      <c r="BP115" s="456"/>
      <c r="BQ115" s="456"/>
      <c r="BR115" s="456"/>
      <c r="BS115" s="456"/>
      <c r="BT115" s="456"/>
      <c r="BU115" s="456"/>
      <c r="BV115" s="456"/>
      <c r="BW115" s="456"/>
      <c r="BX115" s="456"/>
      <c r="BY115" s="456"/>
      <c r="BZ115" s="456"/>
      <c r="CA115" s="456"/>
      <c r="CB115" s="456"/>
      <c r="CC115" s="456"/>
      <c r="CD115" s="456"/>
      <c r="CE115" s="456"/>
      <c r="CF115" s="456"/>
      <c r="CG115" s="456"/>
      <c r="CH115" s="456"/>
      <c r="CI115" s="456"/>
      <c r="CJ115" s="456"/>
      <c r="CK115" s="456"/>
      <c r="CL115" s="456"/>
      <c r="CM115" s="456"/>
    </row>
    <row r="116" spans="1:91" ht="14.25" customHeight="1">
      <c r="A116" s="443"/>
      <c r="B116" s="443"/>
      <c r="C116" s="443"/>
      <c r="D116" s="443"/>
      <c r="E116" s="443"/>
      <c r="F116" s="443"/>
      <c r="G116" s="443"/>
      <c r="H116" s="443"/>
      <c r="I116" s="443"/>
      <c r="J116" s="443"/>
      <c r="K116" s="443"/>
      <c r="L116" s="443"/>
      <c r="M116" s="443"/>
      <c r="N116" s="443"/>
      <c r="O116" s="443"/>
      <c r="P116" s="443"/>
      <c r="Q116" s="443"/>
      <c r="R116" s="443"/>
      <c r="S116" s="443"/>
      <c r="T116" s="443"/>
      <c r="U116" s="443"/>
      <c r="V116" s="443"/>
      <c r="W116" s="443"/>
      <c r="X116" s="443"/>
      <c r="Y116" s="443"/>
      <c r="Z116" s="443"/>
      <c r="AA116" s="443"/>
      <c r="AB116" s="443"/>
      <c r="AC116" s="443"/>
      <c r="AD116" s="443"/>
      <c r="AE116" s="443"/>
      <c r="AF116" s="444"/>
      <c r="AG116" s="443"/>
      <c r="AH116" s="443"/>
      <c r="AI116" s="443"/>
      <c r="AJ116" s="443"/>
      <c r="AK116" s="443"/>
      <c r="AL116" s="443"/>
      <c r="AM116" s="456"/>
      <c r="AN116" s="456"/>
      <c r="AO116" s="456"/>
      <c r="AP116" s="456"/>
      <c r="AQ116" s="456"/>
      <c r="AR116" s="456"/>
      <c r="AS116" s="456"/>
      <c r="AT116" s="456"/>
      <c r="AU116" s="456"/>
      <c r="AV116" s="456"/>
      <c r="AW116" s="456"/>
      <c r="AX116" s="456"/>
      <c r="AY116" s="456"/>
      <c r="AZ116" s="456"/>
      <c r="BA116" s="456"/>
      <c r="BB116" s="456"/>
      <c r="BC116" s="456"/>
      <c r="BD116" s="456"/>
      <c r="BE116" s="456"/>
      <c r="BF116" s="456"/>
      <c r="BG116" s="456"/>
      <c r="BH116" s="456"/>
      <c r="BI116" s="456"/>
      <c r="BJ116" s="456"/>
      <c r="BK116" s="456"/>
      <c r="BL116" s="456"/>
      <c r="BM116" s="456"/>
      <c r="BN116" s="456"/>
      <c r="BO116" s="456"/>
      <c r="BP116" s="456"/>
      <c r="BQ116" s="456"/>
      <c r="BR116" s="456"/>
      <c r="BS116" s="456"/>
      <c r="BT116" s="456"/>
      <c r="BU116" s="456"/>
      <c r="BV116" s="456"/>
      <c r="BW116" s="456"/>
      <c r="BX116" s="456"/>
      <c r="BY116" s="456"/>
      <c r="BZ116" s="456"/>
      <c r="CA116" s="456"/>
      <c r="CB116" s="456"/>
      <c r="CC116" s="456"/>
      <c r="CD116" s="456"/>
      <c r="CE116" s="456"/>
      <c r="CF116" s="456"/>
      <c r="CG116" s="456"/>
      <c r="CH116" s="456"/>
      <c r="CI116" s="456"/>
      <c r="CJ116" s="456"/>
      <c r="CK116" s="456"/>
      <c r="CL116" s="456"/>
      <c r="CM116" s="456"/>
    </row>
    <row r="117" spans="1:91" ht="14.25" customHeight="1">
      <c r="A117" s="443"/>
      <c r="B117" s="443"/>
      <c r="C117" s="443"/>
      <c r="D117" s="443"/>
      <c r="E117" s="443"/>
      <c r="F117" s="443"/>
      <c r="G117" s="443"/>
      <c r="H117" s="443"/>
      <c r="I117" s="443"/>
      <c r="J117" s="443"/>
      <c r="K117" s="443"/>
      <c r="L117" s="443"/>
      <c r="M117" s="443"/>
      <c r="N117" s="443"/>
      <c r="O117" s="443"/>
      <c r="P117" s="443"/>
      <c r="Q117" s="443"/>
      <c r="R117" s="443"/>
      <c r="S117" s="443"/>
      <c r="T117" s="443"/>
      <c r="U117" s="443"/>
      <c r="V117" s="443"/>
      <c r="W117" s="443"/>
      <c r="X117" s="443"/>
      <c r="Y117" s="443"/>
      <c r="Z117" s="443"/>
      <c r="AA117" s="443"/>
      <c r="AB117" s="443"/>
      <c r="AC117" s="443"/>
      <c r="AD117" s="443"/>
      <c r="AE117" s="443"/>
      <c r="AF117" s="444"/>
      <c r="AG117" s="443"/>
      <c r="AH117" s="443"/>
      <c r="AI117" s="443"/>
      <c r="AJ117" s="443"/>
      <c r="AK117" s="443"/>
      <c r="AL117" s="443"/>
      <c r="AM117" s="456"/>
      <c r="AN117" s="456"/>
      <c r="AO117" s="456"/>
      <c r="AP117" s="456"/>
      <c r="AQ117" s="456"/>
      <c r="AR117" s="456"/>
      <c r="AS117" s="456"/>
      <c r="AT117" s="456"/>
      <c r="AU117" s="456"/>
      <c r="AV117" s="456"/>
      <c r="AW117" s="456"/>
      <c r="AX117" s="456"/>
      <c r="AY117" s="456"/>
      <c r="AZ117" s="456"/>
      <c r="BA117" s="456"/>
      <c r="BB117" s="456"/>
      <c r="BC117" s="456"/>
      <c r="BD117" s="456"/>
      <c r="BE117" s="456"/>
      <c r="BF117" s="456"/>
      <c r="BG117" s="456"/>
      <c r="BH117" s="456"/>
      <c r="BI117" s="456"/>
      <c r="BJ117" s="456"/>
      <c r="BK117" s="456"/>
      <c r="BL117" s="456"/>
      <c r="BM117" s="456"/>
      <c r="BN117" s="456"/>
      <c r="BO117" s="456"/>
      <c r="BP117" s="456"/>
      <c r="BQ117" s="456"/>
      <c r="BR117" s="456"/>
      <c r="BS117" s="456"/>
      <c r="BT117" s="456"/>
      <c r="BU117" s="456"/>
      <c r="BV117" s="456"/>
      <c r="BW117" s="456"/>
      <c r="BX117" s="456"/>
      <c r="BY117" s="456"/>
      <c r="BZ117" s="456"/>
      <c r="CA117" s="456"/>
      <c r="CB117" s="456"/>
      <c r="CC117" s="456"/>
      <c r="CD117" s="456"/>
      <c r="CE117" s="456"/>
      <c r="CF117" s="456"/>
      <c r="CG117" s="456"/>
      <c r="CH117" s="456"/>
      <c r="CI117" s="456"/>
      <c r="CJ117" s="456"/>
      <c r="CK117" s="456"/>
      <c r="CL117" s="456"/>
      <c r="CM117" s="456"/>
    </row>
    <row r="118" spans="1:91" ht="14.25" customHeight="1">
      <c r="A118" s="443"/>
      <c r="B118" s="443"/>
      <c r="C118" s="443"/>
      <c r="D118" s="443"/>
      <c r="E118" s="443"/>
      <c r="F118" s="443"/>
      <c r="G118" s="443"/>
      <c r="H118" s="443"/>
      <c r="I118" s="443"/>
      <c r="J118" s="443"/>
      <c r="K118" s="443"/>
      <c r="L118" s="443"/>
      <c r="M118" s="443"/>
      <c r="N118" s="443"/>
      <c r="O118" s="443"/>
      <c r="P118" s="443"/>
      <c r="Q118" s="443"/>
      <c r="R118" s="443"/>
      <c r="S118" s="443"/>
      <c r="T118" s="443"/>
      <c r="U118" s="443"/>
      <c r="V118" s="443"/>
      <c r="W118" s="443"/>
      <c r="X118" s="443"/>
      <c r="Y118" s="443"/>
      <c r="Z118" s="443"/>
      <c r="AA118" s="443"/>
      <c r="AB118" s="443"/>
      <c r="AC118" s="443"/>
      <c r="AD118" s="443"/>
      <c r="AE118" s="443"/>
      <c r="AF118" s="444"/>
      <c r="AG118" s="443"/>
      <c r="AH118" s="443"/>
      <c r="AI118" s="443"/>
      <c r="AJ118" s="443"/>
      <c r="AK118" s="443"/>
      <c r="AL118" s="443"/>
      <c r="AM118" s="456"/>
      <c r="AN118" s="456"/>
      <c r="AO118" s="456"/>
      <c r="AP118" s="456"/>
      <c r="AQ118" s="456"/>
      <c r="AR118" s="456"/>
      <c r="AS118" s="456"/>
      <c r="AT118" s="456"/>
      <c r="AU118" s="456"/>
      <c r="AV118" s="456"/>
      <c r="AW118" s="456"/>
      <c r="AX118" s="456"/>
      <c r="AY118" s="456"/>
      <c r="AZ118" s="456"/>
      <c r="BA118" s="456"/>
      <c r="BB118" s="456"/>
      <c r="BC118" s="456"/>
      <c r="BD118" s="456"/>
      <c r="BE118" s="456"/>
      <c r="BF118" s="456"/>
      <c r="BG118" s="456"/>
      <c r="BH118" s="456"/>
      <c r="BI118" s="456"/>
      <c r="BJ118" s="456"/>
      <c r="BK118" s="456"/>
      <c r="BL118" s="456"/>
      <c r="BM118" s="456"/>
      <c r="BN118" s="456"/>
      <c r="BO118" s="456"/>
      <c r="BP118" s="456"/>
      <c r="BQ118" s="456"/>
      <c r="BR118" s="456"/>
      <c r="BS118" s="456"/>
      <c r="BT118" s="456"/>
      <c r="BU118" s="456"/>
      <c r="BV118" s="456"/>
      <c r="BW118" s="456"/>
      <c r="BX118" s="456"/>
      <c r="BY118" s="456"/>
      <c r="BZ118" s="456"/>
      <c r="CA118" s="456"/>
      <c r="CB118" s="456"/>
      <c r="CC118" s="456"/>
      <c r="CD118" s="456"/>
      <c r="CE118" s="456"/>
      <c r="CF118" s="456"/>
      <c r="CG118" s="456"/>
      <c r="CH118" s="456"/>
      <c r="CI118" s="456"/>
      <c r="CJ118" s="456"/>
      <c r="CK118" s="456"/>
      <c r="CL118" s="456"/>
      <c r="CM118" s="456"/>
    </row>
    <row r="119" spans="1:91" ht="14.25" customHeight="1">
      <c r="A119" s="443"/>
      <c r="B119" s="443"/>
      <c r="C119" s="443"/>
      <c r="D119" s="443"/>
      <c r="E119" s="443"/>
      <c r="F119" s="443"/>
      <c r="G119" s="443"/>
      <c r="H119" s="443"/>
      <c r="I119" s="443"/>
      <c r="J119" s="443"/>
      <c r="K119" s="443"/>
      <c r="L119" s="443"/>
      <c r="M119" s="443"/>
      <c r="N119" s="443"/>
      <c r="O119" s="443"/>
      <c r="P119" s="443"/>
      <c r="Q119" s="443"/>
      <c r="R119" s="443"/>
      <c r="S119" s="443"/>
      <c r="T119" s="443"/>
      <c r="U119" s="443"/>
      <c r="V119" s="443"/>
      <c r="W119" s="443"/>
      <c r="X119" s="443"/>
      <c r="Y119" s="443"/>
      <c r="Z119" s="443"/>
      <c r="AA119" s="443"/>
      <c r="AB119" s="443"/>
      <c r="AC119" s="443"/>
      <c r="AD119" s="443"/>
      <c r="AE119" s="443"/>
      <c r="AF119" s="444"/>
      <c r="AG119" s="443"/>
      <c r="AH119" s="443"/>
      <c r="AI119" s="443"/>
      <c r="AJ119" s="443"/>
      <c r="AK119" s="443"/>
      <c r="AL119" s="443"/>
      <c r="AM119" s="456"/>
      <c r="AN119" s="456"/>
      <c r="AO119" s="456"/>
      <c r="AP119" s="456" t="s">
        <v>526</v>
      </c>
      <c r="AQ119" s="456"/>
      <c r="AR119" s="456"/>
      <c r="AS119" s="456"/>
      <c r="AT119" s="456"/>
      <c r="AU119" s="456"/>
      <c r="AV119" s="456"/>
      <c r="AW119" s="456"/>
      <c r="AX119" s="456"/>
      <c r="AY119" s="456"/>
      <c r="AZ119" s="456"/>
      <c r="BA119" s="456"/>
      <c r="BB119" s="456"/>
      <c r="BC119" s="456"/>
      <c r="BD119" s="456"/>
      <c r="BE119" s="456"/>
      <c r="BF119" s="456"/>
      <c r="BG119" s="456"/>
      <c r="BH119" s="456"/>
      <c r="BI119" s="456"/>
      <c r="BJ119" s="456"/>
      <c r="BK119" s="456"/>
      <c r="BL119" s="456"/>
      <c r="BM119" s="456"/>
      <c r="BN119" s="456"/>
      <c r="BO119" s="456"/>
      <c r="BP119" s="456"/>
      <c r="BQ119" s="456"/>
      <c r="BR119" s="456"/>
      <c r="BS119" s="456"/>
      <c r="BT119" s="456"/>
      <c r="BU119" s="456"/>
      <c r="BV119" s="456"/>
      <c r="BW119" s="456"/>
      <c r="BX119" s="456"/>
      <c r="BY119" s="456"/>
      <c r="BZ119" s="456"/>
      <c r="CA119" s="456"/>
      <c r="CB119" s="456"/>
      <c r="CC119" s="456"/>
      <c r="CD119" s="456"/>
      <c r="CE119" s="456"/>
      <c r="CF119" s="456"/>
      <c r="CG119" s="456"/>
      <c r="CH119" s="456"/>
      <c r="CI119" s="456"/>
      <c r="CJ119" s="456"/>
      <c r="CK119" s="456"/>
      <c r="CL119" s="456"/>
      <c r="CM119" s="456"/>
    </row>
    <row r="120" spans="1:91" ht="14.25" customHeight="1">
      <c r="A120" s="443"/>
      <c r="B120" s="443"/>
      <c r="C120" s="443"/>
      <c r="D120" s="443"/>
      <c r="E120" s="443"/>
      <c r="F120" s="443"/>
      <c r="G120" s="443"/>
      <c r="H120" s="443"/>
      <c r="I120" s="443"/>
      <c r="J120" s="443"/>
      <c r="K120" s="443"/>
      <c r="L120" s="443"/>
      <c r="M120" s="443"/>
      <c r="N120" s="443"/>
      <c r="O120" s="443"/>
      <c r="P120" s="443"/>
      <c r="Q120" s="443"/>
      <c r="R120" s="443"/>
      <c r="S120" s="443"/>
      <c r="T120" s="443"/>
      <c r="U120" s="443"/>
      <c r="V120" s="443"/>
      <c r="W120" s="443"/>
      <c r="X120" s="443"/>
      <c r="Y120" s="443"/>
      <c r="Z120" s="443"/>
      <c r="AA120" s="443"/>
      <c r="AB120" s="443"/>
      <c r="AC120" s="443"/>
      <c r="AD120" s="443"/>
      <c r="AE120" s="443"/>
      <c r="AF120" s="444"/>
      <c r="AG120" s="443"/>
      <c r="AH120" s="443"/>
      <c r="AI120" s="443"/>
      <c r="AJ120" s="443"/>
      <c r="AK120" s="443"/>
      <c r="AL120" s="443"/>
      <c r="AM120" s="456"/>
      <c r="AN120" s="456"/>
      <c r="AO120" s="456"/>
      <c r="AP120" s="456"/>
      <c r="AQ120" s="456"/>
      <c r="AR120" s="456"/>
      <c r="AS120" s="456"/>
      <c r="AT120" s="456"/>
      <c r="AU120" s="456"/>
      <c r="AV120" s="456"/>
      <c r="AW120" s="456"/>
      <c r="AX120" s="456"/>
      <c r="AY120" s="456"/>
      <c r="AZ120" s="456"/>
      <c r="BA120" s="456"/>
      <c r="BB120" s="456"/>
      <c r="BC120" s="456"/>
      <c r="BD120" s="456"/>
      <c r="BE120" s="456"/>
      <c r="BF120" s="456"/>
      <c r="BG120" s="456"/>
      <c r="BH120" s="456"/>
      <c r="BI120" s="456"/>
      <c r="BJ120" s="456"/>
      <c r="BK120" s="456"/>
      <c r="BL120" s="456"/>
      <c r="BM120" s="456"/>
      <c r="BN120" s="456"/>
      <c r="BO120" s="456"/>
      <c r="BP120" s="456"/>
      <c r="BQ120" s="456"/>
      <c r="BR120" s="456"/>
      <c r="BS120" s="456"/>
      <c r="BT120" s="456"/>
      <c r="BU120" s="456"/>
      <c r="BV120" s="456"/>
      <c r="BW120" s="456"/>
      <c r="BX120" s="456"/>
      <c r="BY120" s="456"/>
      <c r="BZ120" s="456"/>
      <c r="CA120" s="456"/>
      <c r="CB120" s="456"/>
      <c r="CC120" s="456"/>
      <c r="CD120" s="456"/>
      <c r="CE120" s="456"/>
      <c r="CF120" s="456"/>
      <c r="CG120" s="456"/>
      <c r="CH120" s="456"/>
      <c r="CI120" s="456"/>
      <c r="CJ120" s="456"/>
      <c r="CK120" s="456"/>
      <c r="CL120" s="456"/>
      <c r="CM120" s="456"/>
    </row>
    <row r="121" spans="1:91" ht="14.25" customHeight="1">
      <c r="A121" s="443"/>
      <c r="B121" s="443"/>
      <c r="C121" s="443"/>
      <c r="D121" s="443"/>
      <c r="E121" s="443"/>
      <c r="F121" s="443"/>
      <c r="G121" s="443"/>
      <c r="H121" s="443"/>
      <c r="I121" s="443"/>
      <c r="J121" s="443"/>
      <c r="K121" s="443"/>
      <c r="L121" s="443"/>
      <c r="M121" s="443"/>
      <c r="N121" s="443"/>
      <c r="O121" s="443"/>
      <c r="P121" s="443"/>
      <c r="Q121" s="443"/>
      <c r="R121" s="443"/>
      <c r="S121" s="443"/>
      <c r="T121" s="443"/>
      <c r="U121" s="443"/>
      <c r="V121" s="443"/>
      <c r="W121" s="443"/>
      <c r="X121" s="443"/>
      <c r="Y121" s="443"/>
      <c r="Z121" s="443"/>
      <c r="AA121" s="443"/>
      <c r="AB121" s="443"/>
      <c r="AC121" s="443"/>
      <c r="AD121" s="443"/>
      <c r="AE121" s="443"/>
      <c r="AF121" s="444"/>
      <c r="AG121" s="443"/>
      <c r="AH121" s="443"/>
      <c r="AI121" s="443"/>
      <c r="AJ121" s="443"/>
      <c r="AK121" s="443"/>
      <c r="AL121" s="443"/>
      <c r="AM121" s="456"/>
      <c r="AN121" s="456"/>
      <c r="AO121" s="456"/>
      <c r="AP121" s="456"/>
      <c r="AQ121" s="456"/>
      <c r="AR121" s="456"/>
      <c r="AS121" s="456"/>
      <c r="AT121" s="456"/>
      <c r="AU121" s="456"/>
      <c r="AV121" s="456"/>
      <c r="AW121" s="456"/>
      <c r="AX121" s="456"/>
      <c r="AY121" s="456"/>
      <c r="AZ121" s="456"/>
      <c r="BA121" s="456"/>
      <c r="BB121" s="456"/>
      <c r="BC121" s="456"/>
      <c r="BD121" s="456"/>
      <c r="BE121" s="456"/>
      <c r="BF121" s="456"/>
      <c r="BG121" s="456"/>
      <c r="BH121" s="456"/>
      <c r="BI121" s="456"/>
      <c r="BJ121" s="456"/>
      <c r="BK121" s="456"/>
      <c r="BL121" s="456"/>
      <c r="BM121" s="456"/>
      <c r="BN121" s="456"/>
      <c r="BO121" s="456"/>
      <c r="BP121" s="456"/>
      <c r="BQ121" s="456"/>
      <c r="BR121" s="456"/>
      <c r="BS121" s="456"/>
      <c r="BT121" s="456"/>
      <c r="BU121" s="456"/>
      <c r="BV121" s="456"/>
      <c r="BW121" s="456"/>
      <c r="BX121" s="456"/>
      <c r="BY121" s="456"/>
      <c r="BZ121" s="456"/>
      <c r="CA121" s="456"/>
      <c r="CB121" s="456"/>
      <c r="CC121" s="456"/>
      <c r="CD121" s="456"/>
      <c r="CE121" s="456"/>
      <c r="CF121" s="456"/>
      <c r="CG121" s="456"/>
      <c r="CH121" s="456"/>
      <c r="CI121" s="456"/>
      <c r="CJ121" s="456"/>
      <c r="CK121" s="456"/>
      <c r="CL121" s="456"/>
      <c r="CM121" s="456"/>
    </row>
    <row r="122" spans="1:91" ht="14.25" customHeight="1">
      <c r="A122" s="443"/>
      <c r="B122" s="443"/>
      <c r="C122" s="443"/>
      <c r="D122" s="443"/>
      <c r="E122" s="443"/>
      <c r="F122" s="443"/>
      <c r="G122" s="443"/>
      <c r="H122" s="443"/>
      <c r="I122" s="443"/>
      <c r="J122" s="443"/>
      <c r="K122" s="443"/>
      <c r="L122" s="443"/>
      <c r="M122" s="443"/>
      <c r="N122" s="443"/>
      <c r="O122" s="443"/>
      <c r="P122" s="443"/>
      <c r="Q122" s="443"/>
      <c r="R122" s="443"/>
      <c r="S122" s="443"/>
      <c r="T122" s="443"/>
      <c r="U122" s="443"/>
      <c r="V122" s="443"/>
      <c r="W122" s="443"/>
      <c r="X122" s="443"/>
      <c r="Y122" s="443"/>
      <c r="Z122" s="443"/>
      <c r="AA122" s="443"/>
      <c r="AB122" s="443"/>
      <c r="AC122" s="443"/>
      <c r="AD122" s="443"/>
      <c r="AE122" s="443"/>
      <c r="AF122" s="444"/>
      <c r="AG122" s="443"/>
      <c r="AH122" s="443"/>
      <c r="AI122" s="443"/>
      <c r="AJ122" s="443"/>
      <c r="AK122" s="443"/>
      <c r="AL122" s="443"/>
      <c r="AM122" s="456"/>
      <c r="AN122" s="456"/>
      <c r="AO122" s="456"/>
      <c r="AP122" s="456"/>
      <c r="AQ122" s="456"/>
      <c r="AR122" s="456"/>
      <c r="AS122" s="456"/>
      <c r="AT122" s="456"/>
      <c r="AU122" s="456"/>
      <c r="AV122" s="456"/>
      <c r="AW122" s="456"/>
      <c r="AX122" s="456"/>
      <c r="AY122" s="456"/>
      <c r="AZ122" s="456"/>
      <c r="BA122" s="456"/>
      <c r="BB122" s="456"/>
      <c r="BC122" s="456"/>
      <c r="BD122" s="456"/>
      <c r="BE122" s="456"/>
      <c r="BF122" s="456"/>
      <c r="BG122" s="456"/>
      <c r="BH122" s="456"/>
      <c r="BI122" s="456"/>
      <c r="BJ122" s="456"/>
      <c r="BK122" s="456"/>
      <c r="BL122" s="456"/>
      <c r="BM122" s="456"/>
      <c r="BN122" s="456"/>
      <c r="BO122" s="456"/>
      <c r="BP122" s="456"/>
      <c r="BQ122" s="456"/>
      <c r="BR122" s="456"/>
      <c r="BS122" s="456"/>
      <c r="BT122" s="456"/>
      <c r="BU122" s="456"/>
      <c r="BV122" s="456"/>
      <c r="BW122" s="456"/>
      <c r="BX122" s="456"/>
      <c r="BY122" s="456"/>
      <c r="BZ122" s="456"/>
      <c r="CA122" s="456"/>
      <c r="CB122" s="456"/>
      <c r="CC122" s="456"/>
      <c r="CD122" s="456"/>
      <c r="CE122" s="456"/>
      <c r="CF122" s="456"/>
      <c r="CG122" s="456"/>
      <c r="CH122" s="456"/>
      <c r="CI122" s="456"/>
      <c r="CJ122" s="456"/>
      <c r="CK122" s="456"/>
      <c r="CL122" s="456"/>
      <c r="CM122" s="456"/>
    </row>
    <row r="123" spans="1:91" ht="14.25" customHeight="1">
      <c r="A123" s="443"/>
      <c r="B123" s="443"/>
      <c r="C123" s="443"/>
      <c r="D123" s="443"/>
      <c r="E123" s="443"/>
      <c r="F123" s="443"/>
      <c r="G123" s="443"/>
      <c r="H123" s="443"/>
      <c r="I123" s="443"/>
      <c r="J123" s="443"/>
      <c r="K123" s="443"/>
      <c r="L123" s="443"/>
      <c r="M123" s="443"/>
      <c r="N123" s="443"/>
      <c r="O123" s="443"/>
      <c r="P123" s="443"/>
      <c r="Q123" s="443"/>
      <c r="R123" s="443"/>
      <c r="S123" s="443"/>
      <c r="T123" s="443"/>
      <c r="U123" s="443"/>
      <c r="V123" s="443"/>
      <c r="W123" s="443"/>
      <c r="X123" s="443"/>
      <c r="Y123" s="443"/>
      <c r="Z123" s="443"/>
      <c r="AA123" s="443"/>
      <c r="AB123" s="443"/>
      <c r="AC123" s="443"/>
      <c r="AD123" s="443"/>
      <c r="AE123" s="443"/>
      <c r="AF123" s="444"/>
      <c r="AG123" s="443"/>
      <c r="AH123" s="443"/>
      <c r="AI123" s="443"/>
      <c r="AJ123" s="443"/>
      <c r="AK123" s="443"/>
      <c r="AL123" s="443"/>
      <c r="AM123" s="456"/>
      <c r="AN123" s="456"/>
      <c r="AO123" s="456"/>
      <c r="AP123" s="456"/>
      <c r="AQ123" s="456"/>
      <c r="AR123" s="456"/>
      <c r="AS123" s="456"/>
      <c r="AT123" s="456"/>
      <c r="AU123" s="456"/>
      <c r="AV123" s="456"/>
      <c r="AW123" s="456"/>
      <c r="AX123" s="456"/>
      <c r="AY123" s="456"/>
      <c r="AZ123" s="456"/>
      <c r="BA123" s="456"/>
      <c r="BB123" s="456"/>
      <c r="BC123" s="456"/>
      <c r="BD123" s="456"/>
      <c r="BE123" s="456"/>
      <c r="BF123" s="456"/>
      <c r="BG123" s="456"/>
      <c r="BH123" s="456"/>
      <c r="BI123" s="456"/>
      <c r="BJ123" s="456"/>
      <c r="BK123" s="456"/>
      <c r="BL123" s="456"/>
      <c r="BM123" s="456"/>
      <c r="BN123" s="456"/>
      <c r="BO123" s="456"/>
      <c r="BP123" s="456"/>
      <c r="BQ123" s="456"/>
      <c r="BR123" s="456"/>
      <c r="BS123" s="456"/>
      <c r="BT123" s="456"/>
      <c r="BU123" s="456"/>
      <c r="BV123" s="456"/>
      <c r="BW123" s="456"/>
      <c r="BX123" s="456"/>
      <c r="BY123" s="456"/>
      <c r="BZ123" s="456"/>
      <c r="CA123" s="456"/>
      <c r="CB123" s="456"/>
      <c r="CC123" s="456"/>
      <c r="CD123" s="456"/>
      <c r="CE123" s="456"/>
      <c r="CF123" s="456"/>
      <c r="CG123" s="456"/>
      <c r="CH123" s="456"/>
      <c r="CI123" s="456"/>
      <c r="CJ123" s="456"/>
      <c r="CK123" s="456"/>
      <c r="CL123" s="456"/>
      <c r="CM123" s="456"/>
    </row>
    <row r="124" spans="1:91" ht="14.25" customHeight="1">
      <c r="A124" s="443"/>
      <c r="B124" s="443"/>
      <c r="C124" s="443"/>
      <c r="D124" s="443"/>
      <c r="E124" s="443"/>
      <c r="F124" s="443"/>
      <c r="G124" s="443"/>
      <c r="H124" s="443"/>
      <c r="I124" s="443"/>
      <c r="J124" s="443"/>
      <c r="K124" s="443"/>
      <c r="L124" s="443"/>
      <c r="M124" s="443"/>
      <c r="N124" s="443"/>
      <c r="O124" s="443"/>
      <c r="P124" s="443"/>
      <c r="Q124" s="443"/>
      <c r="R124" s="443"/>
      <c r="S124" s="443"/>
      <c r="T124" s="443"/>
      <c r="U124" s="443"/>
      <c r="V124" s="443"/>
      <c r="W124" s="443"/>
      <c r="X124" s="443"/>
      <c r="Y124" s="443"/>
      <c r="Z124" s="443"/>
      <c r="AA124" s="443"/>
      <c r="AB124" s="443"/>
      <c r="AC124" s="443"/>
      <c r="AD124" s="443"/>
      <c r="AE124" s="443"/>
      <c r="AF124" s="444"/>
      <c r="AG124" s="443"/>
      <c r="AH124" s="443"/>
      <c r="AI124" s="443"/>
      <c r="AJ124" s="443"/>
      <c r="AK124" s="443"/>
      <c r="AL124" s="443"/>
      <c r="AM124" s="456"/>
      <c r="AN124" s="456"/>
      <c r="AO124" s="456"/>
      <c r="AP124" s="456"/>
      <c r="AQ124" s="456"/>
      <c r="AR124" s="456"/>
      <c r="AS124" s="456"/>
      <c r="AT124" s="456"/>
      <c r="AU124" s="456"/>
      <c r="AV124" s="456"/>
      <c r="AW124" s="456"/>
      <c r="AX124" s="456"/>
      <c r="AY124" s="456"/>
      <c r="AZ124" s="456"/>
      <c r="BA124" s="456"/>
      <c r="BB124" s="456"/>
      <c r="BC124" s="456"/>
      <c r="BD124" s="456"/>
      <c r="BE124" s="456"/>
      <c r="BF124" s="456"/>
      <c r="BG124" s="456"/>
      <c r="BH124" s="456"/>
      <c r="BI124" s="456"/>
      <c r="BJ124" s="456"/>
      <c r="BK124" s="456"/>
      <c r="BL124" s="456"/>
      <c r="BM124" s="456"/>
      <c r="BN124" s="456"/>
      <c r="BO124" s="456"/>
      <c r="BP124" s="456"/>
      <c r="BQ124" s="456"/>
      <c r="BR124" s="456"/>
      <c r="BS124" s="456"/>
      <c r="BT124" s="456"/>
      <c r="BU124" s="456"/>
      <c r="BV124" s="456"/>
      <c r="BW124" s="456"/>
      <c r="BX124" s="456"/>
      <c r="BY124" s="456"/>
      <c r="BZ124" s="456"/>
      <c r="CA124" s="456"/>
      <c r="CB124" s="456"/>
      <c r="CC124" s="456"/>
      <c r="CD124" s="456"/>
      <c r="CE124" s="456"/>
      <c r="CF124" s="456"/>
      <c r="CG124" s="456"/>
      <c r="CH124" s="456"/>
      <c r="CI124" s="456"/>
      <c r="CJ124" s="456"/>
      <c r="CK124" s="456"/>
      <c r="CL124" s="456"/>
      <c r="CM124" s="456"/>
    </row>
    <row r="125" spans="1:91" ht="14.25" customHeight="1">
      <c r="A125" s="443"/>
      <c r="B125" s="443"/>
      <c r="C125" s="443"/>
      <c r="D125" s="443"/>
      <c r="E125" s="443"/>
      <c r="F125" s="443"/>
      <c r="G125" s="443"/>
      <c r="H125" s="443"/>
      <c r="I125" s="443"/>
      <c r="J125" s="443"/>
      <c r="K125" s="443"/>
      <c r="L125" s="443"/>
      <c r="M125" s="443"/>
      <c r="N125" s="443"/>
      <c r="O125" s="443"/>
      <c r="P125" s="443"/>
      <c r="Q125" s="443"/>
      <c r="R125" s="443"/>
      <c r="S125" s="443"/>
      <c r="T125" s="443"/>
      <c r="U125" s="443"/>
      <c r="V125" s="443"/>
      <c r="W125" s="443"/>
      <c r="X125" s="443"/>
      <c r="Y125" s="443"/>
      <c r="Z125" s="443"/>
      <c r="AA125" s="443"/>
      <c r="AB125" s="443"/>
      <c r="AC125" s="443"/>
      <c r="AD125" s="443"/>
      <c r="AE125" s="443"/>
      <c r="AF125" s="444"/>
      <c r="AG125" s="443"/>
      <c r="AH125" s="443"/>
      <c r="AI125" s="443"/>
      <c r="AJ125" s="443"/>
      <c r="AK125" s="443"/>
      <c r="AL125" s="443"/>
      <c r="AM125" s="456"/>
      <c r="AN125" s="456"/>
      <c r="AO125" s="456"/>
      <c r="AP125" s="456"/>
      <c r="AQ125" s="456"/>
      <c r="AR125" s="456"/>
      <c r="AS125" s="456"/>
      <c r="AT125" s="456"/>
      <c r="AU125" s="456"/>
      <c r="AV125" s="456"/>
      <c r="AW125" s="456"/>
      <c r="AX125" s="456"/>
      <c r="AY125" s="456"/>
      <c r="AZ125" s="456"/>
      <c r="BA125" s="456"/>
      <c r="BB125" s="456"/>
      <c r="BC125" s="456"/>
      <c r="BD125" s="456"/>
      <c r="BE125" s="456"/>
      <c r="BF125" s="456"/>
      <c r="BG125" s="456"/>
      <c r="BH125" s="456"/>
      <c r="BI125" s="456"/>
      <c r="BJ125" s="456"/>
      <c r="BK125" s="456"/>
      <c r="BL125" s="456"/>
      <c r="BM125" s="456"/>
      <c r="BN125" s="456"/>
      <c r="BO125" s="456"/>
      <c r="BP125" s="456"/>
      <c r="BQ125" s="456"/>
      <c r="BR125" s="456"/>
      <c r="BS125" s="456"/>
      <c r="BT125" s="456"/>
      <c r="BU125" s="456"/>
      <c r="BV125" s="456"/>
      <c r="BW125" s="456"/>
      <c r="BX125" s="456"/>
      <c r="BY125" s="456"/>
      <c r="BZ125" s="456"/>
      <c r="CA125" s="456"/>
      <c r="CB125" s="456"/>
      <c r="CC125" s="456"/>
      <c r="CD125" s="456"/>
      <c r="CE125" s="456"/>
      <c r="CF125" s="456"/>
      <c r="CG125" s="456"/>
      <c r="CH125" s="456"/>
      <c r="CI125" s="456"/>
      <c r="CJ125" s="456"/>
      <c r="CK125" s="456"/>
      <c r="CL125" s="456"/>
      <c r="CM125" s="456"/>
    </row>
    <row r="126" spans="1:91" ht="14.25" customHeight="1">
      <c r="A126" s="443"/>
      <c r="B126" s="443"/>
      <c r="C126" s="443"/>
      <c r="D126" s="443"/>
      <c r="E126" s="443"/>
      <c r="F126" s="443"/>
      <c r="G126" s="443"/>
      <c r="H126" s="443"/>
      <c r="I126" s="443"/>
      <c r="J126" s="443"/>
      <c r="K126" s="443"/>
      <c r="L126" s="443"/>
      <c r="M126" s="443"/>
      <c r="N126" s="443"/>
      <c r="O126" s="443"/>
      <c r="P126" s="443"/>
      <c r="Q126" s="443"/>
      <c r="R126" s="443"/>
      <c r="S126" s="443"/>
      <c r="T126" s="443"/>
      <c r="U126" s="443"/>
      <c r="V126" s="443"/>
      <c r="W126" s="443"/>
      <c r="X126" s="443"/>
      <c r="Y126" s="443"/>
      <c r="Z126" s="443"/>
      <c r="AA126" s="443"/>
      <c r="AB126" s="443"/>
      <c r="AC126" s="443"/>
      <c r="AD126" s="443"/>
      <c r="AE126" s="443"/>
      <c r="AF126" s="444"/>
      <c r="AG126" s="443"/>
      <c r="AH126" s="443"/>
      <c r="AI126" s="443"/>
      <c r="AJ126" s="443"/>
      <c r="AK126" s="443"/>
      <c r="AL126" s="443"/>
      <c r="AM126" s="456"/>
      <c r="AN126" s="456"/>
      <c r="AO126" s="456"/>
      <c r="AP126" s="456"/>
      <c r="AQ126" s="456"/>
      <c r="AR126" s="456"/>
      <c r="AS126" s="456"/>
      <c r="AT126" s="456"/>
      <c r="AU126" s="456"/>
      <c r="AV126" s="456"/>
      <c r="AW126" s="456"/>
      <c r="AX126" s="456"/>
      <c r="AY126" s="456"/>
      <c r="AZ126" s="456"/>
      <c r="BA126" s="456"/>
      <c r="BB126" s="456"/>
      <c r="BC126" s="456"/>
      <c r="BD126" s="456"/>
      <c r="BE126" s="456"/>
      <c r="BF126" s="456"/>
      <c r="BG126" s="456"/>
      <c r="BH126" s="456"/>
      <c r="BI126" s="456"/>
      <c r="BJ126" s="456"/>
      <c r="BK126" s="456"/>
      <c r="BL126" s="456"/>
      <c r="BM126" s="456"/>
      <c r="BN126" s="456"/>
      <c r="BO126" s="456"/>
      <c r="BP126" s="456"/>
      <c r="BQ126" s="456"/>
      <c r="BR126" s="456"/>
      <c r="BS126" s="456"/>
      <c r="BT126" s="456"/>
      <c r="BU126" s="456"/>
      <c r="BV126" s="456"/>
      <c r="BW126" s="456"/>
      <c r="BX126" s="456"/>
      <c r="BY126" s="456"/>
      <c r="BZ126" s="456"/>
      <c r="CA126" s="456"/>
      <c r="CB126" s="456"/>
      <c r="CC126" s="456"/>
      <c r="CD126" s="456"/>
      <c r="CE126" s="456"/>
      <c r="CF126" s="456"/>
      <c r="CG126" s="456"/>
      <c r="CH126" s="456"/>
      <c r="CI126" s="456"/>
      <c r="CJ126" s="456"/>
      <c r="CK126" s="456"/>
      <c r="CL126" s="456"/>
      <c r="CM126" s="456"/>
    </row>
    <row r="127" spans="1:91" ht="14.25" customHeight="1">
      <c r="A127" s="443"/>
      <c r="B127" s="443"/>
      <c r="C127" s="443"/>
      <c r="D127" s="443"/>
      <c r="E127" s="443"/>
      <c r="F127" s="443"/>
      <c r="G127" s="443"/>
      <c r="H127" s="443"/>
      <c r="I127" s="443"/>
      <c r="J127" s="443"/>
      <c r="K127" s="443"/>
      <c r="L127" s="443"/>
      <c r="M127" s="443"/>
      <c r="N127" s="443"/>
      <c r="O127" s="443"/>
      <c r="P127" s="443"/>
      <c r="Q127" s="443"/>
      <c r="R127" s="443"/>
      <c r="S127" s="443"/>
      <c r="T127" s="443"/>
      <c r="U127" s="443"/>
      <c r="V127" s="443"/>
      <c r="W127" s="443"/>
      <c r="X127" s="443"/>
      <c r="Y127" s="443"/>
      <c r="Z127" s="443"/>
      <c r="AA127" s="443"/>
      <c r="AB127" s="443"/>
      <c r="AC127" s="443"/>
      <c r="AD127" s="443"/>
      <c r="AE127" s="443"/>
      <c r="AF127" s="444"/>
      <c r="AG127" s="443"/>
      <c r="AH127" s="443"/>
      <c r="AI127" s="443"/>
      <c r="AJ127" s="443"/>
      <c r="AK127" s="443"/>
      <c r="AL127" s="443"/>
      <c r="AM127" s="456"/>
      <c r="AN127" s="456"/>
      <c r="AO127" s="456"/>
      <c r="AP127" s="456"/>
      <c r="AQ127" s="456"/>
      <c r="AR127" s="456"/>
      <c r="AS127" s="456"/>
      <c r="AT127" s="456"/>
      <c r="AU127" s="456"/>
      <c r="AV127" s="456"/>
      <c r="AW127" s="456"/>
      <c r="AX127" s="456"/>
      <c r="AY127" s="456"/>
      <c r="AZ127" s="456"/>
      <c r="BA127" s="456"/>
      <c r="BB127" s="456"/>
      <c r="BC127" s="456"/>
      <c r="BD127" s="456"/>
      <c r="BE127" s="456"/>
      <c r="BF127" s="456"/>
      <c r="BG127" s="456"/>
      <c r="BH127" s="456"/>
      <c r="BI127" s="456"/>
      <c r="BJ127" s="456"/>
      <c r="BK127" s="456"/>
      <c r="BL127" s="456"/>
      <c r="BM127" s="456"/>
      <c r="BN127" s="456"/>
      <c r="BO127" s="456"/>
      <c r="BP127" s="456"/>
      <c r="BQ127" s="456"/>
      <c r="BR127" s="456"/>
      <c r="BS127" s="456"/>
      <c r="BT127" s="456"/>
      <c r="BU127" s="456"/>
      <c r="BV127" s="456"/>
      <c r="BW127" s="456"/>
      <c r="BX127" s="456"/>
      <c r="BY127" s="456"/>
      <c r="BZ127" s="456"/>
      <c r="CA127" s="456"/>
      <c r="CB127" s="456"/>
      <c r="CC127" s="456"/>
      <c r="CD127" s="456"/>
      <c r="CE127" s="456"/>
      <c r="CF127" s="456"/>
      <c r="CG127" s="456"/>
      <c r="CH127" s="456"/>
      <c r="CI127" s="456"/>
      <c r="CJ127" s="456"/>
      <c r="CK127" s="456"/>
      <c r="CL127" s="456"/>
      <c r="CM127" s="456"/>
    </row>
    <row r="128" spans="1:91" ht="14.25" customHeight="1">
      <c r="A128" s="443"/>
      <c r="B128" s="443"/>
      <c r="C128" s="443"/>
      <c r="D128" s="443"/>
      <c r="E128" s="443"/>
      <c r="F128" s="443"/>
      <c r="G128" s="443"/>
      <c r="H128" s="443"/>
      <c r="I128" s="443"/>
      <c r="J128" s="443"/>
      <c r="K128" s="443"/>
      <c r="L128" s="443"/>
      <c r="M128" s="443"/>
      <c r="N128" s="443"/>
      <c r="O128" s="443"/>
      <c r="P128" s="443"/>
      <c r="Q128" s="443"/>
      <c r="R128" s="443"/>
      <c r="S128" s="443"/>
      <c r="T128" s="443"/>
      <c r="U128" s="443"/>
      <c r="V128" s="443"/>
      <c r="W128" s="443"/>
      <c r="X128" s="443"/>
      <c r="Y128" s="443"/>
      <c r="Z128" s="443"/>
      <c r="AA128" s="443"/>
      <c r="AB128" s="443"/>
      <c r="AC128" s="443"/>
      <c r="AD128" s="443"/>
      <c r="AE128" s="443"/>
      <c r="AF128" s="444"/>
      <c r="AG128" s="443"/>
      <c r="AH128" s="443"/>
      <c r="AI128" s="443"/>
      <c r="AJ128" s="443"/>
      <c r="AK128" s="443"/>
      <c r="AL128" s="443"/>
      <c r="AM128" s="456"/>
      <c r="AN128" s="456"/>
      <c r="AO128" s="456"/>
      <c r="AP128" s="456"/>
      <c r="AQ128" s="456"/>
      <c r="AR128" s="456"/>
      <c r="AS128" s="456"/>
      <c r="AT128" s="456"/>
      <c r="AU128" s="456"/>
      <c r="AV128" s="456"/>
      <c r="AW128" s="456"/>
      <c r="AX128" s="456"/>
      <c r="AY128" s="456"/>
      <c r="AZ128" s="456"/>
      <c r="BA128" s="456"/>
      <c r="BB128" s="456"/>
      <c r="BC128" s="456"/>
      <c r="BD128" s="456"/>
      <c r="BE128" s="456"/>
      <c r="BF128" s="456"/>
      <c r="BG128" s="456"/>
      <c r="BH128" s="456"/>
      <c r="BI128" s="456"/>
      <c r="BJ128" s="456"/>
      <c r="BK128" s="456"/>
      <c r="BL128" s="456"/>
      <c r="BM128" s="456"/>
      <c r="BN128" s="456"/>
      <c r="BO128" s="456"/>
      <c r="BP128" s="456"/>
      <c r="BQ128" s="456"/>
      <c r="BR128" s="456"/>
      <c r="BS128" s="456"/>
      <c r="BT128" s="456"/>
      <c r="BU128" s="456"/>
      <c r="BV128" s="456"/>
      <c r="BW128" s="456"/>
      <c r="BX128" s="456"/>
      <c r="BY128" s="456"/>
      <c r="BZ128" s="456"/>
      <c r="CA128" s="456"/>
      <c r="CB128" s="456"/>
      <c r="CC128" s="456"/>
      <c r="CD128" s="456"/>
      <c r="CE128" s="456"/>
      <c r="CF128" s="456"/>
      <c r="CG128" s="456"/>
      <c r="CH128" s="456"/>
      <c r="CI128" s="456"/>
      <c r="CJ128" s="456"/>
      <c r="CK128" s="456"/>
      <c r="CL128" s="456"/>
      <c r="CM128" s="456"/>
    </row>
    <row r="129" spans="1:91" ht="14.25" customHeight="1">
      <c r="A129" s="443"/>
      <c r="B129" s="443"/>
      <c r="C129" s="443"/>
      <c r="D129" s="443"/>
      <c r="E129" s="443"/>
      <c r="F129" s="443"/>
      <c r="G129" s="443"/>
      <c r="H129" s="443"/>
      <c r="I129" s="443"/>
      <c r="J129" s="443"/>
      <c r="K129" s="443"/>
      <c r="L129" s="443"/>
      <c r="M129" s="443"/>
      <c r="N129" s="443"/>
      <c r="O129" s="443"/>
      <c r="P129" s="443"/>
      <c r="Q129" s="443"/>
      <c r="R129" s="443"/>
      <c r="S129" s="443"/>
      <c r="T129" s="443"/>
      <c r="U129" s="443"/>
      <c r="V129" s="443"/>
      <c r="W129" s="443"/>
      <c r="X129" s="443"/>
      <c r="Y129" s="443"/>
      <c r="Z129" s="443"/>
      <c r="AA129" s="443"/>
      <c r="AB129" s="443"/>
      <c r="AC129" s="443"/>
      <c r="AD129" s="443"/>
      <c r="AE129" s="443"/>
      <c r="AF129" s="444"/>
      <c r="AG129" s="443"/>
      <c r="AH129" s="443"/>
      <c r="AI129" s="443"/>
      <c r="AJ129" s="443"/>
      <c r="AK129" s="443"/>
      <c r="AL129" s="443"/>
      <c r="AM129" s="456"/>
      <c r="AN129" s="456"/>
      <c r="AO129" s="456"/>
      <c r="AP129" s="456"/>
      <c r="AQ129" s="456"/>
      <c r="AR129" s="456"/>
      <c r="AS129" s="456"/>
      <c r="AT129" s="456"/>
      <c r="AU129" s="456"/>
      <c r="AV129" s="456"/>
      <c r="AW129" s="456"/>
      <c r="AX129" s="456"/>
      <c r="AY129" s="456"/>
      <c r="AZ129" s="456"/>
      <c r="BA129" s="456"/>
      <c r="BB129" s="456"/>
      <c r="BC129" s="456"/>
      <c r="BD129" s="456"/>
      <c r="BE129" s="456"/>
      <c r="BF129" s="456"/>
      <c r="BG129" s="456"/>
      <c r="BH129" s="456"/>
      <c r="BI129" s="456"/>
      <c r="BJ129" s="456"/>
      <c r="BK129" s="456"/>
      <c r="BL129" s="456"/>
      <c r="BM129" s="456"/>
      <c r="BN129" s="456"/>
      <c r="BO129" s="456"/>
      <c r="BP129" s="456"/>
      <c r="BQ129" s="456"/>
      <c r="BR129" s="456"/>
      <c r="BS129" s="456"/>
      <c r="BT129" s="456"/>
      <c r="BU129" s="456"/>
      <c r="BV129" s="456"/>
      <c r="BW129" s="456"/>
      <c r="BX129" s="456"/>
      <c r="BY129" s="456"/>
      <c r="BZ129" s="456"/>
      <c r="CA129" s="456"/>
      <c r="CB129" s="456"/>
      <c r="CC129" s="456"/>
      <c r="CD129" s="456"/>
      <c r="CE129" s="456"/>
      <c r="CF129" s="456"/>
      <c r="CG129" s="456"/>
      <c r="CH129" s="456"/>
      <c r="CI129" s="456"/>
      <c r="CJ129" s="456"/>
      <c r="CK129" s="456"/>
      <c r="CL129" s="456"/>
      <c r="CM129" s="456"/>
    </row>
    <row r="130" spans="1:91" ht="14.25" customHeight="1">
      <c r="A130" s="443"/>
      <c r="B130" s="443"/>
      <c r="C130" s="443"/>
      <c r="D130" s="443"/>
      <c r="E130" s="443"/>
      <c r="F130" s="443"/>
      <c r="G130" s="443"/>
      <c r="H130" s="443"/>
      <c r="I130" s="443"/>
      <c r="J130" s="443"/>
      <c r="K130" s="443"/>
      <c r="L130" s="443"/>
      <c r="M130" s="443"/>
      <c r="N130" s="443"/>
      <c r="O130" s="443"/>
      <c r="P130" s="443"/>
      <c r="Q130" s="443"/>
      <c r="R130" s="443"/>
      <c r="S130" s="443"/>
      <c r="T130" s="443"/>
      <c r="U130" s="443"/>
      <c r="V130" s="443"/>
      <c r="W130" s="443"/>
      <c r="X130" s="443"/>
      <c r="Y130" s="443"/>
      <c r="Z130" s="443"/>
      <c r="AA130" s="443"/>
      <c r="AB130" s="443"/>
      <c r="AC130" s="443"/>
      <c r="AD130" s="443"/>
      <c r="AE130" s="443"/>
      <c r="AF130" s="444"/>
      <c r="AG130" s="443"/>
      <c r="AH130" s="443"/>
      <c r="AI130" s="443"/>
      <c r="AJ130" s="443"/>
      <c r="AK130" s="443"/>
      <c r="AL130" s="443"/>
      <c r="AM130" s="456"/>
      <c r="AN130" s="456"/>
      <c r="AO130" s="456"/>
      <c r="AP130" s="456"/>
      <c r="AQ130" s="456"/>
      <c r="AR130" s="456"/>
      <c r="AS130" s="456"/>
      <c r="AT130" s="456"/>
      <c r="AU130" s="456"/>
      <c r="AV130" s="456"/>
      <c r="AW130" s="456"/>
      <c r="AX130" s="456"/>
      <c r="AY130" s="456"/>
      <c r="AZ130" s="456"/>
      <c r="BA130" s="456"/>
      <c r="BB130" s="456"/>
      <c r="BC130" s="456"/>
      <c r="BD130" s="456"/>
      <c r="BE130" s="456"/>
      <c r="BF130" s="456"/>
      <c r="BG130" s="456"/>
      <c r="BH130" s="456"/>
      <c r="BI130" s="456"/>
      <c r="BJ130" s="456"/>
      <c r="BK130" s="456"/>
      <c r="BL130" s="456"/>
      <c r="BM130" s="456"/>
      <c r="BN130" s="456"/>
      <c r="BO130" s="456"/>
      <c r="BP130" s="456"/>
      <c r="BQ130" s="456"/>
      <c r="BR130" s="456"/>
      <c r="BS130" s="456"/>
      <c r="BT130" s="456"/>
      <c r="BU130" s="456"/>
      <c r="BV130" s="456"/>
      <c r="BW130" s="456"/>
      <c r="BX130" s="456"/>
      <c r="BY130" s="456"/>
      <c r="BZ130" s="456"/>
      <c r="CA130" s="456"/>
      <c r="CB130" s="456"/>
      <c r="CC130" s="456"/>
      <c r="CD130" s="456"/>
      <c r="CE130" s="456"/>
      <c r="CF130" s="456"/>
      <c r="CG130" s="456"/>
      <c r="CH130" s="456"/>
      <c r="CI130" s="456"/>
      <c r="CJ130" s="456"/>
      <c r="CK130" s="456"/>
      <c r="CL130" s="456"/>
      <c r="CM130" s="456"/>
    </row>
    <row r="131" spans="1:91" ht="14.25" customHeight="1">
      <c r="A131" s="443"/>
      <c r="B131" s="443"/>
      <c r="C131" s="443"/>
      <c r="D131" s="443"/>
      <c r="E131" s="443"/>
      <c r="F131" s="443"/>
      <c r="G131" s="443"/>
      <c r="H131" s="443"/>
      <c r="I131" s="443"/>
      <c r="J131" s="443"/>
      <c r="K131" s="443"/>
      <c r="L131" s="443"/>
      <c r="M131" s="443"/>
      <c r="N131" s="443"/>
      <c r="O131" s="443"/>
      <c r="P131" s="443"/>
      <c r="Q131" s="443"/>
      <c r="R131" s="443"/>
      <c r="S131" s="443"/>
      <c r="T131" s="443"/>
      <c r="U131" s="443"/>
      <c r="V131" s="443"/>
      <c r="W131" s="443"/>
      <c r="X131" s="443"/>
      <c r="Y131" s="443"/>
      <c r="Z131" s="443"/>
      <c r="AA131" s="443"/>
      <c r="AB131" s="443"/>
      <c r="AC131" s="443"/>
      <c r="AD131" s="443"/>
      <c r="AE131" s="443"/>
      <c r="AF131" s="444"/>
      <c r="AG131" s="443"/>
      <c r="AH131" s="443"/>
      <c r="AI131" s="443"/>
      <c r="AJ131" s="443"/>
      <c r="AK131" s="443"/>
      <c r="AL131" s="443"/>
      <c r="AM131" s="456"/>
      <c r="AN131" s="456"/>
      <c r="AO131" s="456"/>
      <c r="AP131" s="456"/>
      <c r="AQ131" s="456"/>
      <c r="AR131" s="456"/>
      <c r="AS131" s="456"/>
      <c r="AT131" s="456"/>
      <c r="AU131" s="456"/>
      <c r="AV131" s="456"/>
      <c r="AW131" s="456"/>
      <c r="AX131" s="456"/>
      <c r="AY131" s="456"/>
      <c r="AZ131" s="456"/>
      <c r="BA131" s="456"/>
      <c r="BB131" s="456"/>
      <c r="BC131" s="456"/>
      <c r="BD131" s="456"/>
      <c r="BE131" s="456"/>
      <c r="BF131" s="456"/>
      <c r="BG131" s="456"/>
      <c r="BH131" s="456"/>
      <c r="BI131" s="456"/>
      <c r="BJ131" s="456"/>
      <c r="BK131" s="456"/>
      <c r="BL131" s="456"/>
      <c r="BM131" s="456"/>
      <c r="BN131" s="456"/>
      <c r="BO131" s="456"/>
      <c r="BP131" s="456"/>
      <c r="BQ131" s="456"/>
      <c r="BR131" s="456"/>
      <c r="BS131" s="456"/>
      <c r="BT131" s="456"/>
      <c r="BU131" s="456"/>
      <c r="BV131" s="456"/>
      <c r="BW131" s="456"/>
      <c r="BX131" s="456"/>
      <c r="BY131" s="456"/>
      <c r="BZ131" s="456"/>
      <c r="CA131" s="456"/>
      <c r="CB131" s="456"/>
      <c r="CC131" s="456"/>
      <c r="CD131" s="456"/>
      <c r="CE131" s="456"/>
      <c r="CF131" s="456"/>
      <c r="CG131" s="456"/>
      <c r="CH131" s="456"/>
      <c r="CI131" s="456"/>
      <c r="CJ131" s="456"/>
      <c r="CK131" s="456"/>
      <c r="CL131" s="456"/>
      <c r="CM131" s="456"/>
    </row>
    <row r="132" spans="1:91" ht="14.25" customHeight="1">
      <c r="A132" s="443"/>
      <c r="B132" s="443"/>
      <c r="C132" s="443"/>
      <c r="D132" s="443"/>
      <c r="E132" s="443"/>
      <c r="F132" s="443"/>
      <c r="G132" s="443"/>
      <c r="H132" s="443"/>
      <c r="I132" s="443"/>
      <c r="J132" s="443"/>
      <c r="K132" s="443"/>
      <c r="L132" s="443"/>
      <c r="M132" s="443"/>
      <c r="N132" s="443"/>
      <c r="O132" s="443"/>
      <c r="P132" s="443"/>
      <c r="Q132" s="443"/>
      <c r="R132" s="443"/>
      <c r="S132" s="443"/>
      <c r="T132" s="443"/>
      <c r="U132" s="443"/>
      <c r="V132" s="443"/>
      <c r="W132" s="443"/>
      <c r="X132" s="443"/>
      <c r="Y132" s="443"/>
      <c r="Z132" s="443"/>
      <c r="AA132" s="443"/>
      <c r="AB132" s="443"/>
      <c r="AC132" s="443"/>
      <c r="AD132" s="443"/>
      <c r="AE132" s="443"/>
      <c r="AF132" s="444"/>
      <c r="AG132" s="443"/>
      <c r="AH132" s="443"/>
      <c r="AI132" s="443"/>
      <c r="AJ132" s="443"/>
      <c r="AK132" s="443"/>
      <c r="AL132" s="443"/>
      <c r="AM132" s="456"/>
      <c r="AN132" s="456"/>
      <c r="AO132" s="456"/>
      <c r="AP132" s="456"/>
      <c r="AQ132" s="456"/>
      <c r="AR132" s="456"/>
      <c r="AS132" s="456"/>
      <c r="AT132" s="456"/>
      <c r="AU132" s="456"/>
      <c r="AV132" s="456"/>
      <c r="AW132" s="456"/>
      <c r="AX132" s="456"/>
      <c r="AY132" s="456"/>
      <c r="AZ132" s="456"/>
      <c r="BA132" s="456"/>
      <c r="BB132" s="456"/>
      <c r="BC132" s="456"/>
      <c r="BD132" s="456"/>
      <c r="BE132" s="456"/>
      <c r="BF132" s="456"/>
      <c r="BG132" s="456"/>
      <c r="BH132" s="456"/>
      <c r="BI132" s="456"/>
      <c r="BJ132" s="456"/>
      <c r="BK132" s="456"/>
      <c r="BL132" s="456"/>
      <c r="BM132" s="456"/>
      <c r="BN132" s="456"/>
      <c r="BO132" s="456"/>
      <c r="BP132" s="456"/>
      <c r="BQ132" s="456"/>
      <c r="BR132" s="456"/>
      <c r="BS132" s="456"/>
      <c r="BT132" s="456"/>
      <c r="BU132" s="456"/>
      <c r="BV132" s="456"/>
      <c r="BW132" s="456"/>
      <c r="BX132" s="456"/>
      <c r="BY132" s="456"/>
      <c r="BZ132" s="456"/>
      <c r="CA132" s="456"/>
      <c r="CB132" s="456"/>
      <c r="CC132" s="456"/>
      <c r="CD132" s="456"/>
      <c r="CE132" s="456"/>
      <c r="CF132" s="456"/>
      <c r="CG132" s="456"/>
      <c r="CH132" s="456"/>
      <c r="CI132" s="456"/>
      <c r="CJ132" s="456"/>
      <c r="CK132" s="456"/>
      <c r="CL132" s="456"/>
      <c r="CM132" s="456"/>
    </row>
    <row r="133" spans="1:91" ht="14.25" customHeight="1">
      <c r="A133" s="443"/>
      <c r="B133" s="443"/>
      <c r="C133" s="443"/>
      <c r="D133" s="443"/>
      <c r="E133" s="443"/>
      <c r="F133" s="443"/>
      <c r="G133" s="443"/>
      <c r="H133" s="443"/>
      <c r="I133" s="443"/>
      <c r="J133" s="443"/>
      <c r="K133" s="443"/>
      <c r="L133" s="443"/>
      <c r="M133" s="443"/>
      <c r="N133" s="443"/>
      <c r="O133" s="443"/>
      <c r="P133" s="443"/>
      <c r="Q133" s="443"/>
      <c r="R133" s="443"/>
      <c r="S133" s="443"/>
      <c r="T133" s="443"/>
      <c r="U133" s="443"/>
      <c r="V133" s="443"/>
      <c r="W133" s="443"/>
      <c r="X133" s="443"/>
      <c r="Y133" s="443"/>
      <c r="Z133" s="443"/>
      <c r="AA133" s="443"/>
      <c r="AB133" s="443"/>
      <c r="AC133" s="443"/>
      <c r="AD133" s="443"/>
      <c r="AE133" s="443"/>
      <c r="AF133" s="444"/>
      <c r="AG133" s="443"/>
      <c r="AH133" s="443"/>
      <c r="AI133" s="443"/>
      <c r="AJ133" s="443"/>
      <c r="AK133" s="443"/>
      <c r="AL133" s="443"/>
      <c r="AM133" s="456"/>
      <c r="AN133" s="456"/>
      <c r="AO133" s="456"/>
      <c r="AP133" s="456"/>
      <c r="AQ133" s="456"/>
      <c r="AR133" s="456"/>
      <c r="AS133" s="456"/>
      <c r="AT133" s="456"/>
      <c r="AU133" s="456"/>
      <c r="AV133" s="456"/>
      <c r="AW133" s="456"/>
      <c r="AX133" s="456"/>
      <c r="AY133" s="456"/>
      <c r="AZ133" s="456"/>
      <c r="BA133" s="456"/>
      <c r="BB133" s="456"/>
      <c r="BC133" s="456"/>
      <c r="BD133" s="456"/>
      <c r="BE133" s="456"/>
      <c r="BF133" s="456"/>
      <c r="BG133" s="456"/>
      <c r="BH133" s="456"/>
      <c r="BI133" s="456"/>
      <c r="BJ133" s="456"/>
      <c r="BK133" s="456"/>
      <c r="BL133" s="456"/>
      <c r="BM133" s="456"/>
      <c r="BN133" s="456"/>
      <c r="BO133" s="456"/>
      <c r="BP133" s="456"/>
      <c r="BQ133" s="456"/>
      <c r="BR133" s="456"/>
      <c r="BS133" s="456"/>
      <c r="BT133" s="456"/>
      <c r="BU133" s="456"/>
      <c r="BV133" s="456"/>
      <c r="BW133" s="456"/>
      <c r="BX133" s="456"/>
      <c r="BY133" s="456"/>
      <c r="BZ133" s="456"/>
      <c r="CA133" s="456"/>
      <c r="CB133" s="456"/>
      <c r="CC133" s="456"/>
      <c r="CD133" s="456"/>
      <c r="CE133" s="456"/>
      <c r="CF133" s="456"/>
      <c r="CG133" s="456"/>
      <c r="CH133" s="456"/>
      <c r="CI133" s="456"/>
      <c r="CJ133" s="456"/>
      <c r="CK133" s="456"/>
      <c r="CL133" s="456"/>
      <c r="CM133" s="456"/>
    </row>
    <row r="134" spans="1:91" ht="14.25" customHeight="1">
      <c r="A134" s="443"/>
      <c r="B134" s="443"/>
      <c r="C134" s="443"/>
      <c r="D134" s="443"/>
      <c r="E134" s="443"/>
      <c r="F134" s="443"/>
      <c r="G134" s="443"/>
      <c r="H134" s="443"/>
      <c r="I134" s="443"/>
      <c r="J134" s="443"/>
      <c r="K134" s="443"/>
      <c r="L134" s="443"/>
      <c r="M134" s="443"/>
      <c r="N134" s="443"/>
      <c r="O134" s="443"/>
      <c r="P134" s="443"/>
      <c r="Q134" s="443"/>
      <c r="R134" s="443"/>
      <c r="S134" s="443"/>
      <c r="T134" s="443"/>
      <c r="U134" s="443"/>
      <c r="V134" s="443"/>
      <c r="W134" s="443"/>
      <c r="X134" s="443"/>
      <c r="Y134" s="443"/>
      <c r="Z134" s="443"/>
      <c r="AA134" s="443"/>
      <c r="AB134" s="443"/>
      <c r="AC134" s="443"/>
      <c r="AD134" s="443"/>
      <c r="AE134" s="443"/>
      <c r="AF134" s="444"/>
      <c r="AG134" s="443"/>
      <c r="AH134" s="443"/>
      <c r="AI134" s="443"/>
      <c r="AJ134" s="443"/>
      <c r="AK134" s="443"/>
      <c r="AL134" s="443"/>
      <c r="AM134" s="456"/>
      <c r="AN134" s="456"/>
      <c r="AO134" s="456"/>
      <c r="AP134" s="456"/>
      <c r="AQ134" s="456"/>
      <c r="AR134" s="456"/>
      <c r="AS134" s="456"/>
      <c r="AT134" s="456"/>
      <c r="AU134" s="456"/>
      <c r="AV134" s="456"/>
      <c r="AW134" s="456"/>
      <c r="AX134" s="456"/>
      <c r="AY134" s="456"/>
      <c r="AZ134" s="456"/>
      <c r="BA134" s="456"/>
      <c r="BB134" s="456"/>
      <c r="BC134" s="456"/>
      <c r="BD134" s="456"/>
      <c r="BE134" s="456"/>
      <c r="BF134" s="456"/>
      <c r="BG134" s="456"/>
      <c r="BH134" s="456"/>
      <c r="BI134" s="456"/>
      <c r="BJ134" s="456"/>
      <c r="BK134" s="456"/>
      <c r="BL134" s="456"/>
      <c r="BM134" s="456"/>
      <c r="BN134" s="456"/>
      <c r="BO134" s="456"/>
      <c r="BP134" s="456"/>
      <c r="BQ134" s="456"/>
      <c r="BR134" s="456"/>
      <c r="BS134" s="456"/>
      <c r="BT134" s="456"/>
      <c r="BU134" s="456"/>
      <c r="BV134" s="456"/>
      <c r="BW134" s="456"/>
      <c r="BX134" s="456"/>
      <c r="BY134" s="456"/>
      <c r="BZ134" s="456"/>
      <c r="CA134" s="456"/>
      <c r="CB134" s="456"/>
      <c r="CC134" s="456"/>
      <c r="CD134" s="456"/>
      <c r="CE134" s="456"/>
      <c r="CF134" s="456"/>
      <c r="CG134" s="456"/>
      <c r="CH134" s="456"/>
      <c r="CI134" s="456"/>
      <c r="CJ134" s="456"/>
      <c r="CK134" s="456"/>
      <c r="CL134" s="456"/>
      <c r="CM134" s="456"/>
    </row>
    <row r="135" spans="1:91" ht="14.25" customHeight="1">
      <c r="A135" s="443"/>
      <c r="B135" s="443"/>
      <c r="C135" s="443"/>
      <c r="D135" s="443"/>
      <c r="E135" s="443"/>
      <c r="F135" s="443"/>
      <c r="G135" s="443"/>
      <c r="H135" s="443"/>
      <c r="I135" s="443"/>
      <c r="J135" s="443"/>
      <c r="K135" s="443"/>
      <c r="L135" s="443"/>
      <c r="M135" s="443"/>
      <c r="N135" s="443"/>
      <c r="O135" s="443"/>
      <c r="P135" s="443"/>
      <c r="Q135" s="443"/>
      <c r="R135" s="443"/>
      <c r="S135" s="443"/>
      <c r="T135" s="443"/>
      <c r="U135" s="443"/>
      <c r="V135" s="443"/>
      <c r="W135" s="443"/>
      <c r="X135" s="443"/>
      <c r="Y135" s="443"/>
      <c r="Z135" s="443"/>
      <c r="AA135" s="443"/>
      <c r="AB135" s="443"/>
      <c r="AC135" s="443"/>
      <c r="AD135" s="443"/>
      <c r="AE135" s="443"/>
      <c r="AF135" s="444"/>
      <c r="AG135" s="443"/>
      <c r="AH135" s="443"/>
      <c r="AI135" s="443"/>
      <c r="AJ135" s="443"/>
      <c r="AK135" s="443"/>
      <c r="AL135" s="443"/>
      <c r="AM135" s="456"/>
      <c r="AN135" s="456"/>
      <c r="AO135" s="456"/>
      <c r="AP135" s="456"/>
      <c r="AQ135" s="456"/>
      <c r="AR135" s="456"/>
      <c r="AS135" s="456"/>
      <c r="AT135" s="456"/>
      <c r="AU135" s="456"/>
      <c r="AV135" s="456"/>
      <c r="AW135" s="456"/>
      <c r="AX135" s="456"/>
      <c r="AY135" s="456"/>
      <c r="AZ135" s="456"/>
      <c r="BA135" s="456"/>
      <c r="BB135" s="456"/>
      <c r="BC135" s="456"/>
      <c r="BD135" s="456"/>
      <c r="BE135" s="456"/>
      <c r="BF135" s="456"/>
      <c r="BG135" s="456"/>
      <c r="BH135" s="456"/>
      <c r="BI135" s="456"/>
      <c r="BJ135" s="456"/>
      <c r="BK135" s="456"/>
      <c r="BL135" s="456"/>
      <c r="BM135" s="456"/>
      <c r="BN135" s="456"/>
      <c r="BO135" s="456"/>
      <c r="BP135" s="456"/>
      <c r="BQ135" s="456"/>
      <c r="BR135" s="456"/>
      <c r="BS135" s="456"/>
      <c r="BT135" s="456"/>
      <c r="BU135" s="456"/>
      <c r="BV135" s="456"/>
      <c r="BW135" s="456"/>
      <c r="BX135" s="456"/>
      <c r="BY135" s="456"/>
      <c r="BZ135" s="456"/>
      <c r="CA135" s="456"/>
      <c r="CB135" s="456"/>
      <c r="CC135" s="456"/>
      <c r="CD135" s="456"/>
      <c r="CE135" s="456"/>
      <c r="CF135" s="456"/>
      <c r="CG135" s="456"/>
      <c r="CH135" s="456"/>
      <c r="CI135" s="456"/>
      <c r="CJ135" s="456"/>
      <c r="CK135" s="456"/>
      <c r="CL135" s="456"/>
      <c r="CM135" s="456"/>
    </row>
    <row r="136" spans="1:91" ht="14.25" customHeight="1">
      <c r="A136" s="443"/>
      <c r="B136" s="443"/>
      <c r="C136" s="443"/>
      <c r="D136" s="443"/>
      <c r="E136" s="443"/>
      <c r="F136" s="443"/>
      <c r="G136" s="443"/>
      <c r="H136" s="443"/>
      <c r="I136" s="443"/>
      <c r="J136" s="443"/>
      <c r="K136" s="443"/>
      <c r="L136" s="443"/>
      <c r="M136" s="443"/>
      <c r="N136" s="443"/>
      <c r="O136" s="443"/>
      <c r="P136" s="443"/>
      <c r="Q136" s="443"/>
      <c r="R136" s="443"/>
      <c r="S136" s="443"/>
      <c r="T136" s="443"/>
      <c r="U136" s="443"/>
      <c r="V136" s="443"/>
      <c r="W136" s="443"/>
      <c r="X136" s="443"/>
      <c r="Y136" s="443"/>
      <c r="Z136" s="443"/>
      <c r="AA136" s="443"/>
      <c r="AB136" s="443"/>
      <c r="AC136" s="443"/>
      <c r="AD136" s="443"/>
      <c r="AE136" s="443"/>
      <c r="AF136" s="444"/>
      <c r="AG136" s="443"/>
      <c r="AH136" s="443"/>
      <c r="AI136" s="443"/>
      <c r="AJ136" s="443"/>
      <c r="AK136" s="443"/>
      <c r="AL136" s="443"/>
      <c r="AM136" s="456"/>
      <c r="AN136" s="456"/>
      <c r="AO136" s="456"/>
      <c r="AP136" s="456"/>
      <c r="AQ136" s="456"/>
      <c r="AR136" s="456"/>
      <c r="AS136" s="456"/>
      <c r="AT136" s="456"/>
      <c r="AU136" s="456"/>
      <c r="AV136" s="456"/>
      <c r="AW136" s="456"/>
      <c r="AX136" s="456"/>
      <c r="AY136" s="456"/>
      <c r="AZ136" s="456"/>
      <c r="BA136" s="456"/>
      <c r="BB136" s="456"/>
      <c r="BC136" s="456"/>
      <c r="BD136" s="456"/>
      <c r="BE136" s="456"/>
      <c r="BF136" s="456"/>
      <c r="BG136" s="456"/>
      <c r="BH136" s="456"/>
      <c r="BI136" s="456"/>
      <c r="BJ136" s="456"/>
      <c r="BK136" s="456"/>
      <c r="BL136" s="456"/>
      <c r="BM136" s="456"/>
      <c r="BN136" s="456"/>
      <c r="BO136" s="456"/>
      <c r="BP136" s="456"/>
      <c r="BQ136" s="456"/>
      <c r="BR136" s="456"/>
      <c r="BS136" s="456"/>
      <c r="BT136" s="456"/>
      <c r="BU136" s="456"/>
      <c r="BV136" s="456"/>
      <c r="BW136" s="456"/>
      <c r="BX136" s="456"/>
      <c r="BY136" s="456"/>
      <c r="BZ136" s="456"/>
      <c r="CA136" s="456"/>
      <c r="CB136" s="456"/>
      <c r="CC136" s="456"/>
      <c r="CD136" s="456"/>
      <c r="CE136" s="456"/>
      <c r="CF136" s="456"/>
      <c r="CG136" s="456"/>
      <c r="CH136" s="456"/>
      <c r="CI136" s="456"/>
      <c r="CJ136" s="456"/>
      <c r="CK136" s="456"/>
      <c r="CL136" s="456"/>
      <c r="CM136" s="456"/>
    </row>
    <row r="137" spans="1:91" ht="14.25" customHeight="1">
      <c r="A137" s="443"/>
      <c r="B137" s="443"/>
      <c r="C137" s="443"/>
      <c r="D137" s="443"/>
      <c r="E137" s="443"/>
      <c r="F137" s="443"/>
      <c r="G137" s="443"/>
      <c r="H137" s="443"/>
      <c r="I137" s="443"/>
      <c r="J137" s="443"/>
      <c r="K137" s="443"/>
      <c r="L137" s="443"/>
      <c r="M137" s="443"/>
      <c r="N137" s="443"/>
      <c r="O137" s="443"/>
      <c r="P137" s="443"/>
      <c r="Q137" s="443"/>
      <c r="R137" s="443"/>
      <c r="S137" s="443"/>
      <c r="T137" s="443"/>
      <c r="U137" s="443"/>
      <c r="V137" s="443"/>
      <c r="W137" s="443"/>
      <c r="X137" s="443"/>
      <c r="Y137" s="443"/>
      <c r="Z137" s="443"/>
      <c r="AA137" s="443"/>
      <c r="AB137" s="443"/>
      <c r="AC137" s="443"/>
      <c r="AD137" s="443"/>
      <c r="AE137" s="443"/>
      <c r="AF137" s="444"/>
      <c r="AG137" s="443"/>
      <c r="AH137" s="443"/>
      <c r="AI137" s="443"/>
      <c r="AJ137" s="443"/>
      <c r="AK137" s="443"/>
      <c r="AL137" s="443"/>
      <c r="AM137" s="456"/>
      <c r="AN137" s="456"/>
      <c r="AO137" s="456"/>
      <c r="AP137" s="456"/>
      <c r="AQ137" s="456"/>
      <c r="AR137" s="456"/>
      <c r="AS137" s="456"/>
      <c r="AT137" s="456"/>
      <c r="AU137" s="456"/>
      <c r="AV137" s="456"/>
      <c r="AW137" s="456"/>
      <c r="AX137" s="456"/>
      <c r="AY137" s="456"/>
      <c r="AZ137" s="456"/>
      <c r="BA137" s="456"/>
      <c r="BB137" s="456"/>
      <c r="BC137" s="456"/>
      <c r="BD137" s="456"/>
      <c r="BE137" s="456"/>
      <c r="BF137" s="456"/>
      <c r="BG137" s="456"/>
      <c r="BH137" s="456"/>
      <c r="BI137" s="456"/>
      <c r="BJ137" s="456"/>
      <c r="BK137" s="456"/>
      <c r="BL137" s="456"/>
      <c r="BM137" s="456"/>
      <c r="BN137" s="456"/>
      <c r="BO137" s="456"/>
      <c r="BP137" s="456"/>
      <c r="BQ137" s="456"/>
      <c r="BR137" s="456"/>
      <c r="BS137" s="456"/>
      <c r="BT137" s="456"/>
      <c r="BU137" s="456"/>
      <c r="BV137" s="456"/>
      <c r="BW137" s="456"/>
      <c r="BX137" s="456"/>
      <c r="BY137" s="456"/>
      <c r="BZ137" s="456"/>
      <c r="CA137" s="456"/>
      <c r="CB137" s="456"/>
      <c r="CC137" s="456"/>
      <c r="CD137" s="456"/>
      <c r="CE137" s="456"/>
      <c r="CF137" s="456"/>
      <c r="CG137" s="456"/>
      <c r="CH137" s="456"/>
      <c r="CI137" s="456"/>
      <c r="CJ137" s="456"/>
      <c r="CK137" s="456"/>
      <c r="CL137" s="456"/>
      <c r="CM137" s="456"/>
    </row>
    <row r="138" spans="1:91" ht="14.25" customHeight="1">
      <c r="A138" s="443"/>
      <c r="B138" s="443"/>
      <c r="C138" s="443"/>
      <c r="D138" s="443"/>
      <c r="E138" s="443"/>
      <c r="F138" s="443"/>
      <c r="G138" s="443"/>
      <c r="H138" s="443"/>
      <c r="I138" s="443"/>
      <c r="J138" s="443"/>
      <c r="K138" s="443"/>
      <c r="L138" s="443"/>
      <c r="M138" s="443"/>
      <c r="N138" s="443"/>
      <c r="O138" s="443"/>
      <c r="P138" s="443"/>
      <c r="Q138" s="443"/>
      <c r="R138" s="443"/>
      <c r="S138" s="443"/>
      <c r="T138" s="443"/>
      <c r="U138" s="443"/>
      <c r="V138" s="443"/>
      <c r="W138" s="443"/>
      <c r="X138" s="443"/>
      <c r="Y138" s="443"/>
      <c r="Z138" s="443"/>
      <c r="AA138" s="443"/>
      <c r="AB138" s="443"/>
      <c r="AC138" s="443"/>
      <c r="AD138" s="443"/>
      <c r="AE138" s="443"/>
      <c r="AF138" s="444"/>
      <c r="AG138" s="443"/>
      <c r="AH138" s="443"/>
      <c r="AI138" s="443"/>
      <c r="AJ138" s="443"/>
      <c r="AK138" s="443"/>
      <c r="AL138" s="443"/>
      <c r="AM138" s="456"/>
      <c r="AN138" s="456"/>
      <c r="AO138" s="456"/>
      <c r="AP138" s="456"/>
      <c r="AQ138" s="456"/>
      <c r="AR138" s="456"/>
      <c r="AS138" s="456"/>
      <c r="AT138" s="456"/>
      <c r="AU138" s="456"/>
      <c r="AV138" s="456"/>
      <c r="AW138" s="456"/>
      <c r="AX138" s="456"/>
      <c r="AY138" s="456"/>
      <c r="AZ138" s="456"/>
      <c r="BA138" s="456"/>
      <c r="BB138" s="456"/>
      <c r="BC138" s="456"/>
      <c r="BD138" s="456"/>
      <c r="BE138" s="456"/>
      <c r="BF138" s="456"/>
      <c r="BG138" s="456"/>
      <c r="BH138" s="456"/>
      <c r="BI138" s="456"/>
      <c r="BJ138" s="456"/>
      <c r="BK138" s="456"/>
      <c r="BL138" s="456"/>
      <c r="BM138" s="456"/>
      <c r="BN138" s="456"/>
      <c r="BO138" s="456"/>
      <c r="BP138" s="456"/>
      <c r="BQ138" s="456"/>
      <c r="BR138" s="456"/>
      <c r="BS138" s="456"/>
      <c r="BT138" s="456"/>
      <c r="BU138" s="456"/>
      <c r="BV138" s="456"/>
      <c r="BW138" s="456"/>
      <c r="BX138" s="456"/>
      <c r="BY138" s="456"/>
      <c r="BZ138" s="456"/>
      <c r="CA138" s="456"/>
      <c r="CB138" s="456"/>
      <c r="CC138" s="456"/>
      <c r="CD138" s="456"/>
      <c r="CE138" s="456"/>
      <c r="CF138" s="456"/>
      <c r="CG138" s="456"/>
      <c r="CH138" s="456"/>
      <c r="CI138" s="456"/>
      <c r="CJ138" s="456"/>
      <c r="CK138" s="456"/>
      <c r="CL138" s="456"/>
      <c r="CM138" s="456"/>
    </row>
    <row r="139" spans="1:91" ht="14.25" customHeight="1">
      <c r="A139" s="443"/>
      <c r="B139" s="443"/>
      <c r="C139" s="443"/>
      <c r="D139" s="443"/>
      <c r="E139" s="443"/>
      <c r="F139" s="443"/>
      <c r="G139" s="443"/>
      <c r="H139" s="443"/>
      <c r="I139" s="443"/>
      <c r="J139" s="443"/>
      <c r="K139" s="443"/>
      <c r="L139" s="443"/>
      <c r="M139" s="443"/>
      <c r="N139" s="443"/>
      <c r="O139" s="443"/>
      <c r="P139" s="443"/>
      <c r="Q139" s="443"/>
      <c r="R139" s="443"/>
      <c r="S139" s="443"/>
      <c r="T139" s="443"/>
      <c r="U139" s="443"/>
      <c r="V139" s="443"/>
      <c r="W139" s="443"/>
      <c r="X139" s="443"/>
      <c r="Y139" s="443"/>
      <c r="Z139" s="443"/>
      <c r="AA139" s="443"/>
      <c r="AB139" s="443"/>
      <c r="AC139" s="443"/>
      <c r="AD139" s="443"/>
      <c r="AE139" s="443"/>
      <c r="AF139" s="444"/>
      <c r="AG139" s="443"/>
      <c r="AH139" s="443"/>
      <c r="AI139" s="443"/>
      <c r="AJ139" s="443"/>
      <c r="AK139" s="443"/>
      <c r="AL139" s="443"/>
      <c r="AM139" s="456"/>
      <c r="AN139" s="456"/>
      <c r="AO139" s="456"/>
      <c r="AP139" s="456"/>
      <c r="AQ139" s="456"/>
      <c r="AR139" s="456"/>
      <c r="AS139" s="456"/>
      <c r="AT139" s="456"/>
      <c r="AU139" s="456"/>
      <c r="AV139" s="456"/>
      <c r="AW139" s="456"/>
      <c r="AX139" s="456"/>
      <c r="AY139" s="456"/>
      <c r="AZ139" s="456"/>
      <c r="BA139" s="456"/>
      <c r="BB139" s="456"/>
      <c r="BC139" s="456"/>
      <c r="BD139" s="456"/>
      <c r="BE139" s="456"/>
      <c r="BF139" s="456"/>
      <c r="BG139" s="456"/>
      <c r="BH139" s="456"/>
      <c r="BI139" s="456"/>
      <c r="BJ139" s="456"/>
      <c r="BK139" s="456"/>
      <c r="BL139" s="456"/>
      <c r="BM139" s="456"/>
      <c r="BN139" s="456"/>
      <c r="BO139" s="456"/>
      <c r="BP139" s="456"/>
      <c r="BQ139" s="456"/>
      <c r="BR139" s="456"/>
      <c r="BS139" s="456"/>
      <c r="BT139" s="456"/>
      <c r="BU139" s="456"/>
      <c r="BV139" s="456"/>
      <c r="BW139" s="456"/>
      <c r="BX139" s="456"/>
      <c r="BY139" s="456"/>
      <c r="BZ139" s="456"/>
      <c r="CA139" s="456"/>
      <c r="CB139" s="456"/>
      <c r="CC139" s="456"/>
      <c r="CD139" s="456"/>
      <c r="CE139" s="456"/>
      <c r="CF139" s="456"/>
      <c r="CG139" s="456"/>
      <c r="CH139" s="456"/>
      <c r="CI139" s="456"/>
      <c r="CJ139" s="456"/>
      <c r="CK139" s="456"/>
      <c r="CL139" s="456"/>
      <c r="CM139" s="456"/>
    </row>
    <row r="140" spans="1:91" ht="14.25" customHeight="1">
      <c r="A140" s="443"/>
      <c r="B140" s="443"/>
      <c r="C140" s="443"/>
      <c r="D140" s="443"/>
      <c r="E140" s="443"/>
      <c r="F140" s="443"/>
      <c r="G140" s="443"/>
      <c r="H140" s="443"/>
      <c r="I140" s="443"/>
      <c r="J140" s="443"/>
      <c r="K140" s="443"/>
      <c r="L140" s="443"/>
      <c r="M140" s="443"/>
      <c r="N140" s="443"/>
      <c r="O140" s="443"/>
      <c r="P140" s="443"/>
      <c r="Q140" s="443"/>
      <c r="R140" s="443"/>
      <c r="S140" s="443"/>
      <c r="T140" s="443"/>
      <c r="U140" s="443"/>
      <c r="V140" s="443"/>
      <c r="W140" s="443"/>
      <c r="X140" s="443"/>
      <c r="Y140" s="443"/>
      <c r="Z140" s="443"/>
      <c r="AA140" s="443"/>
      <c r="AB140" s="443"/>
      <c r="AC140" s="443"/>
      <c r="AD140" s="443"/>
      <c r="AE140" s="443"/>
      <c r="AF140" s="444"/>
      <c r="AG140" s="443"/>
      <c r="AH140" s="443"/>
      <c r="AI140" s="443"/>
      <c r="AJ140" s="443"/>
      <c r="AK140" s="443"/>
      <c r="AL140" s="443"/>
      <c r="AM140" s="456"/>
      <c r="AN140" s="456"/>
      <c r="AO140" s="456"/>
      <c r="AP140" s="456"/>
      <c r="AQ140" s="456"/>
      <c r="AR140" s="456"/>
      <c r="AS140" s="456"/>
      <c r="AT140" s="456"/>
      <c r="AU140" s="456"/>
      <c r="AV140" s="456"/>
      <c r="AW140" s="456"/>
      <c r="AX140" s="456"/>
      <c r="AY140" s="456"/>
      <c r="AZ140" s="456"/>
      <c r="BA140" s="456"/>
      <c r="BB140" s="456"/>
      <c r="BC140" s="456"/>
      <c r="BD140" s="456"/>
      <c r="BE140" s="456"/>
      <c r="BF140" s="456"/>
      <c r="BG140" s="456"/>
      <c r="BH140" s="456"/>
      <c r="BI140" s="456"/>
      <c r="BJ140" s="456"/>
      <c r="BK140" s="456"/>
      <c r="BL140" s="456"/>
      <c r="BM140" s="456"/>
      <c r="BN140" s="456"/>
      <c r="BO140" s="456"/>
      <c r="BP140" s="456"/>
      <c r="BQ140" s="456"/>
      <c r="BR140" s="456"/>
      <c r="BS140" s="456"/>
      <c r="BT140" s="456"/>
      <c r="BU140" s="456"/>
      <c r="BV140" s="456"/>
      <c r="BW140" s="456"/>
      <c r="BX140" s="456"/>
      <c r="BY140" s="456"/>
      <c r="BZ140" s="456"/>
      <c r="CA140" s="456"/>
      <c r="CB140" s="456"/>
      <c r="CC140" s="456"/>
      <c r="CD140" s="456"/>
      <c r="CE140" s="456"/>
      <c r="CF140" s="456"/>
      <c r="CG140" s="456"/>
      <c r="CH140" s="456"/>
      <c r="CI140" s="456"/>
      <c r="CJ140" s="456"/>
      <c r="CK140" s="456"/>
      <c r="CL140" s="456"/>
      <c r="CM140" s="456"/>
    </row>
    <row r="141" spans="1:91" ht="14.25" customHeight="1">
      <c r="A141" s="443"/>
      <c r="B141" s="443"/>
      <c r="C141" s="443"/>
      <c r="D141" s="443"/>
      <c r="E141" s="443"/>
      <c r="F141" s="443"/>
      <c r="G141" s="443"/>
      <c r="H141" s="443"/>
      <c r="I141" s="443"/>
      <c r="J141" s="443"/>
      <c r="K141" s="443"/>
      <c r="L141" s="443"/>
      <c r="M141" s="443"/>
      <c r="N141" s="443"/>
      <c r="O141" s="443"/>
      <c r="P141" s="443"/>
      <c r="Q141" s="443"/>
      <c r="R141" s="443"/>
      <c r="S141" s="443"/>
      <c r="T141" s="443"/>
      <c r="U141" s="443"/>
      <c r="V141" s="443"/>
      <c r="W141" s="443"/>
      <c r="X141" s="443"/>
      <c r="Y141" s="443"/>
      <c r="Z141" s="443"/>
      <c r="AA141" s="443"/>
      <c r="AB141" s="443"/>
      <c r="AC141" s="443"/>
      <c r="AD141" s="443"/>
      <c r="AE141" s="443"/>
      <c r="AF141" s="444"/>
      <c r="AG141" s="443"/>
      <c r="AH141" s="443"/>
      <c r="AI141" s="443"/>
      <c r="AJ141" s="443"/>
      <c r="AK141" s="443"/>
      <c r="AL141" s="443"/>
      <c r="AM141" s="456"/>
      <c r="AN141" s="456"/>
      <c r="AO141" s="456"/>
      <c r="AP141" s="456"/>
      <c r="AQ141" s="456"/>
      <c r="AR141" s="456"/>
      <c r="AS141" s="456"/>
      <c r="AT141" s="456"/>
      <c r="AU141" s="456"/>
      <c r="AV141" s="456"/>
      <c r="AW141" s="456"/>
      <c r="AX141" s="456"/>
      <c r="AY141" s="456"/>
      <c r="AZ141" s="456"/>
      <c r="BA141" s="456"/>
      <c r="BB141" s="456"/>
      <c r="BC141" s="456"/>
      <c r="BD141" s="456"/>
      <c r="BE141" s="456"/>
      <c r="BF141" s="456"/>
      <c r="BG141" s="456"/>
      <c r="BH141" s="456"/>
      <c r="BI141" s="456"/>
      <c r="BJ141" s="456"/>
      <c r="BK141" s="456"/>
      <c r="BL141" s="456"/>
      <c r="BM141" s="456"/>
      <c r="BN141" s="456"/>
      <c r="BO141" s="456"/>
      <c r="BP141" s="456"/>
      <c r="BQ141" s="456"/>
      <c r="BR141" s="456"/>
      <c r="BS141" s="456"/>
      <c r="BT141" s="456"/>
      <c r="BU141" s="456"/>
      <c r="BV141" s="456"/>
      <c r="BW141" s="456"/>
      <c r="BX141" s="456"/>
      <c r="BY141" s="456"/>
      <c r="BZ141" s="456"/>
      <c r="CA141" s="456"/>
      <c r="CB141" s="456"/>
      <c r="CC141" s="456"/>
      <c r="CD141" s="456"/>
      <c r="CE141" s="456"/>
      <c r="CF141" s="456"/>
      <c r="CG141" s="456"/>
      <c r="CH141" s="456"/>
      <c r="CI141" s="456"/>
      <c r="CJ141" s="456"/>
      <c r="CK141" s="456"/>
      <c r="CL141" s="456"/>
      <c r="CM141" s="456"/>
    </row>
    <row r="142" spans="1:91" ht="14.25" customHeight="1">
      <c r="A142" s="443"/>
      <c r="B142" s="443"/>
      <c r="C142" s="443"/>
      <c r="D142" s="443"/>
      <c r="E142" s="443"/>
      <c r="F142" s="443"/>
      <c r="G142" s="443"/>
      <c r="H142" s="443"/>
      <c r="I142" s="443"/>
      <c r="J142" s="443"/>
      <c r="K142" s="443"/>
      <c r="L142" s="443"/>
      <c r="M142" s="443"/>
      <c r="N142" s="443"/>
      <c r="O142" s="443"/>
      <c r="P142" s="443"/>
      <c r="Q142" s="443"/>
      <c r="R142" s="443"/>
      <c r="S142" s="443"/>
      <c r="T142" s="443"/>
      <c r="U142" s="443"/>
      <c r="V142" s="443"/>
      <c r="W142" s="443"/>
      <c r="X142" s="443"/>
      <c r="Y142" s="443"/>
      <c r="Z142" s="443"/>
      <c r="AA142" s="443"/>
      <c r="AB142" s="443"/>
      <c r="AC142" s="443"/>
      <c r="AD142" s="443"/>
      <c r="AE142" s="443"/>
      <c r="AF142" s="444"/>
      <c r="AG142" s="443"/>
      <c r="AH142" s="443"/>
      <c r="AI142" s="443"/>
      <c r="AJ142" s="443"/>
      <c r="AK142" s="443"/>
      <c r="AL142" s="443"/>
      <c r="AM142" s="456"/>
      <c r="AN142" s="456"/>
      <c r="AO142" s="456"/>
      <c r="AP142" s="456"/>
      <c r="AQ142" s="456"/>
      <c r="AR142" s="456"/>
      <c r="AS142" s="456"/>
      <c r="AT142" s="456"/>
      <c r="AU142" s="456"/>
      <c r="AV142" s="456"/>
      <c r="AW142" s="456"/>
      <c r="AX142" s="456"/>
      <c r="AY142" s="456"/>
      <c r="AZ142" s="456"/>
      <c r="BA142" s="456"/>
      <c r="BB142" s="456"/>
      <c r="BC142" s="456"/>
      <c r="BD142" s="456"/>
      <c r="BE142" s="456"/>
      <c r="BF142" s="456"/>
      <c r="BG142" s="456"/>
      <c r="BH142" s="456"/>
      <c r="BI142" s="456"/>
      <c r="BJ142" s="456"/>
      <c r="BK142" s="456"/>
      <c r="BL142" s="456"/>
      <c r="BM142" s="456"/>
      <c r="BN142" s="456"/>
      <c r="BO142" s="456"/>
      <c r="BP142" s="456"/>
      <c r="BQ142" s="456"/>
      <c r="BR142" s="456"/>
      <c r="BS142" s="456"/>
      <c r="BT142" s="456"/>
      <c r="BU142" s="456"/>
      <c r="BV142" s="456"/>
      <c r="BW142" s="456"/>
      <c r="BX142" s="456"/>
      <c r="BY142" s="456"/>
      <c r="BZ142" s="456"/>
      <c r="CA142" s="456"/>
      <c r="CB142" s="456"/>
      <c r="CC142" s="456"/>
      <c r="CD142" s="456"/>
      <c r="CE142" s="456"/>
      <c r="CF142" s="456"/>
      <c r="CG142" s="456"/>
      <c r="CH142" s="456"/>
      <c r="CI142" s="456"/>
      <c r="CJ142" s="456"/>
      <c r="CK142" s="456"/>
      <c r="CL142" s="456"/>
      <c r="CM142" s="456"/>
    </row>
    <row r="143" spans="1:91" ht="14.25" customHeight="1">
      <c r="A143" s="443"/>
      <c r="B143" s="443"/>
      <c r="C143" s="443"/>
      <c r="D143" s="443"/>
      <c r="E143" s="443"/>
      <c r="F143" s="443"/>
      <c r="G143" s="443"/>
      <c r="H143" s="443"/>
      <c r="I143" s="443"/>
      <c r="J143" s="443"/>
      <c r="K143" s="443"/>
      <c r="L143" s="443"/>
      <c r="M143" s="443"/>
      <c r="N143" s="443"/>
      <c r="O143" s="443"/>
      <c r="P143" s="443"/>
      <c r="Q143" s="443"/>
      <c r="R143" s="443"/>
      <c r="S143" s="443"/>
      <c r="T143" s="443"/>
      <c r="U143" s="443"/>
      <c r="V143" s="443"/>
      <c r="W143" s="443"/>
      <c r="X143" s="443"/>
      <c r="Y143" s="443"/>
      <c r="Z143" s="443"/>
      <c r="AA143" s="443"/>
      <c r="AB143" s="443"/>
      <c r="AC143" s="443"/>
      <c r="AD143" s="443"/>
      <c r="AE143" s="443"/>
      <c r="AF143" s="444"/>
      <c r="AG143" s="443"/>
      <c r="AH143" s="443"/>
      <c r="AI143" s="443"/>
      <c r="AJ143" s="443"/>
      <c r="AK143" s="443"/>
      <c r="AL143" s="443"/>
      <c r="AM143" s="456"/>
      <c r="AN143" s="456"/>
      <c r="AO143" s="456"/>
      <c r="AP143" s="456"/>
      <c r="AQ143" s="456"/>
      <c r="AR143" s="456"/>
      <c r="AS143" s="456"/>
      <c r="AT143" s="456"/>
      <c r="AU143" s="456"/>
      <c r="AV143" s="456"/>
      <c r="AW143" s="456"/>
      <c r="AX143" s="456"/>
      <c r="AY143" s="456"/>
      <c r="AZ143" s="456"/>
      <c r="BA143" s="456"/>
      <c r="BB143" s="456"/>
      <c r="BC143" s="456"/>
      <c r="BD143" s="456"/>
      <c r="BE143" s="456"/>
      <c r="BF143" s="456"/>
      <c r="BG143" s="456"/>
      <c r="BH143" s="456"/>
      <c r="BI143" s="456"/>
      <c r="BJ143" s="456"/>
      <c r="BK143" s="456"/>
      <c r="BL143" s="456"/>
      <c r="BM143" s="456"/>
      <c r="BN143" s="456"/>
      <c r="BO143" s="456"/>
      <c r="BP143" s="456"/>
      <c r="BQ143" s="456"/>
      <c r="BR143" s="456"/>
      <c r="BS143" s="456"/>
      <c r="BT143" s="456"/>
      <c r="BU143" s="456"/>
      <c r="BV143" s="456"/>
      <c r="BW143" s="456"/>
      <c r="BX143" s="456"/>
      <c r="BY143" s="456"/>
      <c r="BZ143" s="456"/>
      <c r="CA143" s="456"/>
      <c r="CB143" s="456"/>
      <c r="CC143" s="456"/>
      <c r="CD143" s="456"/>
      <c r="CE143" s="456"/>
      <c r="CF143" s="456"/>
      <c r="CG143" s="456"/>
      <c r="CH143" s="456"/>
      <c r="CI143" s="456"/>
      <c r="CJ143" s="456"/>
      <c r="CK143" s="456"/>
      <c r="CL143" s="456"/>
      <c r="CM143" s="456"/>
    </row>
    <row r="144" spans="1:91" ht="14.25" customHeight="1">
      <c r="A144" s="443"/>
      <c r="B144" s="443"/>
      <c r="C144" s="443"/>
      <c r="D144" s="443"/>
      <c r="E144" s="443"/>
      <c r="F144" s="443"/>
      <c r="G144" s="443"/>
      <c r="H144" s="443"/>
      <c r="I144" s="443"/>
      <c r="J144" s="443"/>
      <c r="K144" s="443"/>
      <c r="L144" s="443"/>
      <c r="M144" s="443"/>
      <c r="N144" s="443"/>
      <c r="O144" s="443"/>
      <c r="P144" s="443"/>
      <c r="Q144" s="443"/>
      <c r="R144" s="443"/>
      <c r="S144" s="443"/>
      <c r="T144" s="443"/>
      <c r="U144" s="443"/>
      <c r="V144" s="443"/>
      <c r="W144" s="443"/>
      <c r="X144" s="443"/>
      <c r="Y144" s="443"/>
      <c r="Z144" s="443"/>
      <c r="AA144" s="443"/>
      <c r="AB144" s="443"/>
      <c r="AC144" s="443"/>
      <c r="AD144" s="443"/>
      <c r="AE144" s="443"/>
      <c r="AF144" s="444"/>
      <c r="AG144" s="443"/>
      <c r="AH144" s="443"/>
      <c r="AI144" s="443"/>
      <c r="AJ144" s="443"/>
      <c r="AK144" s="443"/>
      <c r="AL144" s="443"/>
      <c r="AM144" s="456"/>
      <c r="AN144" s="456"/>
      <c r="AO144" s="456"/>
      <c r="AP144" s="456"/>
      <c r="AQ144" s="456"/>
      <c r="AR144" s="456"/>
      <c r="AS144" s="456"/>
      <c r="AT144" s="456"/>
      <c r="AU144" s="456"/>
      <c r="AV144" s="456"/>
      <c r="AW144" s="456"/>
      <c r="AX144" s="456"/>
      <c r="AY144" s="456"/>
      <c r="AZ144" s="456"/>
      <c r="BA144" s="456"/>
      <c r="BB144" s="456"/>
      <c r="BC144" s="456"/>
      <c r="BD144" s="456"/>
      <c r="BE144" s="456"/>
      <c r="BF144" s="456"/>
      <c r="BG144" s="456"/>
      <c r="BH144" s="456"/>
      <c r="BI144" s="456"/>
      <c r="BJ144" s="456"/>
      <c r="BK144" s="456"/>
      <c r="BL144" s="456"/>
      <c r="BM144" s="456"/>
      <c r="BN144" s="456"/>
      <c r="BO144" s="456"/>
      <c r="BP144" s="456"/>
      <c r="BQ144" s="456"/>
      <c r="BR144" s="456"/>
      <c r="BS144" s="456"/>
      <c r="BT144" s="456"/>
      <c r="BU144" s="456"/>
      <c r="BV144" s="456"/>
      <c r="BW144" s="456"/>
      <c r="BX144" s="456"/>
      <c r="BY144" s="456"/>
      <c r="BZ144" s="456"/>
      <c r="CA144" s="456"/>
      <c r="CB144" s="456"/>
      <c r="CC144" s="456"/>
      <c r="CD144" s="456"/>
      <c r="CE144" s="456"/>
      <c r="CF144" s="456"/>
      <c r="CG144" s="456"/>
      <c r="CH144" s="456"/>
      <c r="CI144" s="456"/>
      <c r="CJ144" s="456"/>
      <c r="CK144" s="456"/>
      <c r="CL144" s="456"/>
      <c r="CM144" s="456"/>
    </row>
    <row r="145" spans="1:91" ht="14.25" customHeight="1">
      <c r="A145" s="443"/>
      <c r="B145" s="443"/>
      <c r="C145" s="443"/>
      <c r="D145" s="443"/>
      <c r="E145" s="443"/>
      <c r="F145" s="443"/>
      <c r="G145" s="443"/>
      <c r="H145" s="443"/>
      <c r="I145" s="443"/>
      <c r="J145" s="443"/>
      <c r="K145" s="443"/>
      <c r="L145" s="443"/>
      <c r="M145" s="443"/>
      <c r="N145" s="443"/>
      <c r="O145" s="443"/>
      <c r="P145" s="443"/>
      <c r="Q145" s="443"/>
      <c r="R145" s="443"/>
      <c r="S145" s="443"/>
      <c r="T145" s="443"/>
      <c r="U145" s="443"/>
      <c r="V145" s="443"/>
      <c r="W145" s="443"/>
      <c r="X145" s="443"/>
      <c r="Y145" s="443"/>
      <c r="Z145" s="443"/>
      <c r="AA145" s="443"/>
      <c r="AB145" s="443"/>
      <c r="AC145" s="443"/>
      <c r="AD145" s="443"/>
      <c r="AE145" s="443"/>
      <c r="AF145" s="444"/>
      <c r="AG145" s="443"/>
      <c r="AH145" s="443"/>
      <c r="AI145" s="443"/>
      <c r="AJ145" s="443"/>
      <c r="AK145" s="443"/>
      <c r="AL145" s="443"/>
      <c r="AM145" s="456"/>
      <c r="AN145" s="456"/>
      <c r="AO145" s="456"/>
      <c r="AP145" s="456"/>
      <c r="AQ145" s="456"/>
      <c r="AR145" s="456"/>
      <c r="AS145" s="456"/>
      <c r="AT145" s="456"/>
      <c r="AU145" s="456"/>
      <c r="AV145" s="456"/>
      <c r="AW145" s="456"/>
      <c r="AX145" s="456"/>
      <c r="AY145" s="456"/>
      <c r="AZ145" s="456"/>
      <c r="BA145" s="456"/>
      <c r="BB145" s="456"/>
      <c r="BC145" s="456"/>
      <c r="BD145" s="456"/>
      <c r="BE145" s="456"/>
      <c r="BF145" s="456"/>
      <c r="BG145" s="456"/>
      <c r="BH145" s="456"/>
      <c r="BI145" s="456"/>
      <c r="BJ145" s="456"/>
      <c r="BK145" s="456"/>
      <c r="BL145" s="456"/>
      <c r="BM145" s="456"/>
      <c r="BN145" s="456"/>
      <c r="BO145" s="456"/>
      <c r="BP145" s="456"/>
      <c r="BQ145" s="456"/>
      <c r="BR145" s="456"/>
      <c r="BS145" s="456"/>
      <c r="BT145" s="456"/>
      <c r="BU145" s="456"/>
      <c r="BV145" s="456"/>
      <c r="BW145" s="456"/>
      <c r="BX145" s="456"/>
      <c r="BY145" s="456"/>
      <c r="BZ145" s="456"/>
      <c r="CA145" s="456"/>
      <c r="CB145" s="456"/>
      <c r="CC145" s="456"/>
      <c r="CD145" s="456"/>
      <c r="CE145" s="456"/>
      <c r="CF145" s="456"/>
      <c r="CG145" s="456"/>
      <c r="CH145" s="456"/>
      <c r="CI145" s="456"/>
      <c r="CJ145" s="456"/>
      <c r="CK145" s="456"/>
      <c r="CL145" s="456"/>
      <c r="CM145" s="456"/>
    </row>
    <row r="146" spans="1:91" ht="14.25" customHeight="1">
      <c r="A146" s="443"/>
      <c r="B146" s="443"/>
      <c r="C146" s="443"/>
      <c r="D146" s="443"/>
      <c r="E146" s="443"/>
      <c r="F146" s="443"/>
      <c r="G146" s="443"/>
      <c r="H146" s="443"/>
      <c r="I146" s="443"/>
      <c r="J146" s="443"/>
      <c r="K146" s="443"/>
      <c r="L146" s="443"/>
      <c r="M146" s="443"/>
      <c r="N146" s="443"/>
      <c r="O146" s="443"/>
      <c r="P146" s="443"/>
      <c r="Q146" s="443"/>
      <c r="R146" s="443"/>
      <c r="S146" s="443"/>
      <c r="T146" s="443"/>
      <c r="U146" s="443"/>
      <c r="V146" s="443"/>
      <c r="W146" s="443"/>
      <c r="X146" s="443"/>
      <c r="Y146" s="443"/>
      <c r="Z146" s="443"/>
      <c r="AA146" s="443"/>
      <c r="AB146" s="443"/>
      <c r="AC146" s="443"/>
      <c r="AD146" s="443"/>
      <c r="AE146" s="443"/>
      <c r="AF146" s="444"/>
      <c r="AG146" s="443"/>
      <c r="AH146" s="443"/>
      <c r="AI146" s="443"/>
      <c r="AJ146" s="443"/>
      <c r="AK146" s="443"/>
      <c r="AL146" s="443"/>
      <c r="AM146" s="456"/>
      <c r="AN146" s="456"/>
      <c r="AO146" s="456"/>
      <c r="AP146" s="456"/>
      <c r="AQ146" s="456"/>
      <c r="AR146" s="456"/>
      <c r="AS146" s="456"/>
      <c r="AT146" s="456"/>
      <c r="AU146" s="456"/>
      <c r="AV146" s="456"/>
      <c r="AW146" s="456"/>
      <c r="AX146" s="456"/>
      <c r="AY146" s="456"/>
      <c r="AZ146" s="456"/>
      <c r="BA146" s="456"/>
      <c r="BB146" s="456"/>
      <c r="BC146" s="456"/>
      <c r="BD146" s="456"/>
      <c r="BE146" s="456"/>
      <c r="BF146" s="456"/>
      <c r="BG146" s="456"/>
      <c r="BH146" s="456"/>
      <c r="BI146" s="456"/>
      <c r="BJ146" s="456"/>
      <c r="BK146" s="456"/>
      <c r="BL146" s="456"/>
      <c r="BM146" s="456"/>
      <c r="BN146" s="456"/>
      <c r="BO146" s="456"/>
      <c r="BP146" s="456"/>
      <c r="BQ146" s="456"/>
      <c r="BR146" s="456"/>
      <c r="BS146" s="456"/>
      <c r="BT146" s="456"/>
      <c r="BU146" s="456"/>
      <c r="BV146" s="456"/>
      <c r="BW146" s="456"/>
      <c r="BX146" s="456"/>
      <c r="BY146" s="456"/>
      <c r="BZ146" s="456"/>
      <c r="CA146" s="456"/>
      <c r="CB146" s="456"/>
      <c r="CC146" s="456"/>
      <c r="CD146" s="456"/>
      <c r="CE146" s="456"/>
      <c r="CF146" s="456"/>
      <c r="CG146" s="456"/>
      <c r="CH146" s="456"/>
      <c r="CI146" s="456"/>
      <c r="CJ146" s="456"/>
      <c r="CK146" s="456"/>
      <c r="CL146" s="456"/>
      <c r="CM146" s="456"/>
    </row>
    <row r="147" spans="1:91" ht="14.25" customHeight="1">
      <c r="A147" s="443"/>
      <c r="B147" s="443"/>
      <c r="C147" s="443"/>
      <c r="D147" s="443"/>
      <c r="E147" s="443"/>
      <c r="F147" s="443"/>
      <c r="G147" s="443"/>
      <c r="H147" s="443"/>
      <c r="I147" s="443"/>
      <c r="J147" s="443"/>
      <c r="K147" s="443"/>
      <c r="L147" s="443"/>
      <c r="M147" s="443"/>
      <c r="N147" s="443"/>
      <c r="O147" s="443"/>
      <c r="P147" s="443"/>
      <c r="Q147" s="443"/>
      <c r="R147" s="443"/>
      <c r="S147" s="443"/>
      <c r="T147" s="443"/>
      <c r="U147" s="443"/>
      <c r="V147" s="443"/>
      <c r="W147" s="443"/>
      <c r="X147" s="443"/>
      <c r="Y147" s="443"/>
      <c r="Z147" s="443"/>
      <c r="AA147" s="443"/>
      <c r="AB147" s="443"/>
      <c r="AC147" s="443"/>
      <c r="AD147" s="443"/>
      <c r="AE147" s="443"/>
      <c r="AF147" s="444"/>
      <c r="AG147" s="443"/>
      <c r="AH147" s="443"/>
      <c r="AI147" s="443"/>
      <c r="AJ147" s="443"/>
      <c r="AK147" s="443"/>
      <c r="AL147" s="443"/>
      <c r="AM147" s="456"/>
      <c r="AN147" s="456"/>
      <c r="AO147" s="456"/>
      <c r="AP147" s="456"/>
      <c r="AQ147" s="456"/>
      <c r="AR147" s="456"/>
      <c r="AS147" s="456"/>
      <c r="AT147" s="456"/>
      <c r="AU147" s="456"/>
      <c r="AV147" s="456"/>
      <c r="AW147" s="456"/>
      <c r="AX147" s="456"/>
      <c r="AY147" s="456"/>
      <c r="AZ147" s="456"/>
      <c r="BA147" s="456"/>
      <c r="BB147" s="456"/>
      <c r="BC147" s="456"/>
      <c r="BD147" s="456"/>
      <c r="BE147" s="456"/>
      <c r="BF147" s="456"/>
      <c r="BG147" s="456"/>
      <c r="BH147" s="456"/>
      <c r="BI147" s="456"/>
      <c r="BJ147" s="456"/>
      <c r="BK147" s="456"/>
      <c r="BL147" s="456"/>
      <c r="BM147" s="456"/>
      <c r="BN147" s="456"/>
      <c r="BO147" s="456"/>
      <c r="BP147" s="456"/>
      <c r="BQ147" s="456"/>
      <c r="BR147" s="456"/>
      <c r="BS147" s="456"/>
      <c r="BT147" s="456"/>
      <c r="BU147" s="456"/>
      <c r="BV147" s="456"/>
      <c r="BW147" s="456"/>
      <c r="BX147" s="456"/>
      <c r="BY147" s="456"/>
      <c r="BZ147" s="456"/>
      <c r="CA147" s="456"/>
      <c r="CB147" s="456"/>
      <c r="CC147" s="456"/>
      <c r="CD147" s="456"/>
      <c r="CE147" s="456"/>
      <c r="CF147" s="456"/>
      <c r="CG147" s="456"/>
      <c r="CH147" s="456"/>
      <c r="CI147" s="456"/>
      <c r="CJ147" s="456"/>
      <c r="CK147" s="456"/>
      <c r="CL147" s="456"/>
      <c r="CM147" s="456"/>
    </row>
    <row r="148" spans="1:91" ht="14.25" customHeight="1">
      <c r="A148" s="443"/>
      <c r="B148" s="443"/>
      <c r="C148" s="443"/>
      <c r="D148" s="443"/>
      <c r="E148" s="443"/>
      <c r="F148" s="443"/>
      <c r="G148" s="443"/>
      <c r="H148" s="443"/>
      <c r="I148" s="443"/>
      <c r="J148" s="443"/>
      <c r="K148" s="443"/>
      <c r="L148" s="443"/>
      <c r="M148" s="443"/>
      <c r="N148" s="443"/>
      <c r="O148" s="443"/>
      <c r="P148" s="443"/>
      <c r="Q148" s="443"/>
      <c r="R148" s="443"/>
      <c r="S148" s="443"/>
      <c r="T148" s="443"/>
      <c r="U148" s="443"/>
      <c r="V148" s="443"/>
      <c r="W148" s="443"/>
      <c r="X148" s="443"/>
      <c r="Y148" s="443"/>
      <c r="Z148" s="443"/>
      <c r="AA148" s="443"/>
      <c r="AB148" s="443"/>
      <c r="AC148" s="443"/>
      <c r="AD148" s="443"/>
      <c r="AE148" s="443"/>
      <c r="AF148" s="444"/>
      <c r="AG148" s="443"/>
      <c r="AH148" s="443"/>
      <c r="AI148" s="443"/>
      <c r="AJ148" s="443"/>
      <c r="AK148" s="443"/>
      <c r="AL148" s="443"/>
      <c r="AM148" s="456"/>
      <c r="AN148" s="456"/>
      <c r="AO148" s="456"/>
      <c r="AP148" s="456"/>
      <c r="AQ148" s="456"/>
      <c r="AR148" s="456"/>
      <c r="AS148" s="456"/>
      <c r="AT148" s="456"/>
      <c r="AU148" s="456"/>
      <c r="AV148" s="456"/>
      <c r="AW148" s="456"/>
      <c r="AX148" s="456"/>
      <c r="AY148" s="456"/>
      <c r="AZ148" s="456"/>
      <c r="BA148" s="456"/>
      <c r="BB148" s="456"/>
      <c r="BC148" s="456"/>
      <c r="BD148" s="456"/>
      <c r="BE148" s="456"/>
      <c r="BF148" s="456"/>
      <c r="BG148" s="456"/>
      <c r="BH148" s="456"/>
      <c r="BI148" s="456"/>
      <c r="BJ148" s="456"/>
      <c r="BK148" s="456"/>
      <c r="BL148" s="456"/>
      <c r="BM148" s="456"/>
      <c r="BN148" s="456"/>
      <c r="BO148" s="456"/>
      <c r="BP148" s="456"/>
      <c r="BQ148" s="456"/>
      <c r="BR148" s="456"/>
      <c r="BS148" s="456"/>
      <c r="BT148" s="456"/>
      <c r="BU148" s="456"/>
      <c r="BV148" s="456"/>
      <c r="BW148" s="456"/>
      <c r="BX148" s="456"/>
      <c r="BY148" s="456"/>
      <c r="BZ148" s="456"/>
      <c r="CA148" s="456"/>
      <c r="CB148" s="456"/>
      <c r="CC148" s="456"/>
      <c r="CD148" s="456"/>
      <c r="CE148" s="456"/>
      <c r="CF148" s="456"/>
      <c r="CG148" s="456"/>
      <c r="CH148" s="456"/>
      <c r="CI148" s="456"/>
      <c r="CJ148" s="456"/>
      <c r="CK148" s="456"/>
      <c r="CL148" s="456"/>
      <c r="CM148" s="456"/>
    </row>
    <row r="149" spans="1:91" ht="14.25" customHeight="1">
      <c r="A149" s="443"/>
      <c r="B149" s="443"/>
      <c r="C149" s="443"/>
      <c r="D149" s="443"/>
      <c r="E149" s="443"/>
      <c r="F149" s="443"/>
      <c r="G149" s="443"/>
      <c r="H149" s="443"/>
      <c r="I149" s="443"/>
      <c r="J149" s="443"/>
      <c r="K149" s="443"/>
      <c r="L149" s="443"/>
      <c r="M149" s="443"/>
      <c r="N149" s="443"/>
      <c r="O149" s="443"/>
      <c r="P149" s="443"/>
      <c r="Q149" s="443"/>
      <c r="R149" s="443"/>
      <c r="S149" s="443"/>
      <c r="T149" s="443"/>
      <c r="U149" s="443"/>
      <c r="V149" s="443"/>
      <c r="W149" s="443"/>
      <c r="X149" s="443"/>
      <c r="Y149" s="443"/>
      <c r="Z149" s="443"/>
      <c r="AA149" s="443"/>
      <c r="AB149" s="443"/>
      <c r="AC149" s="443"/>
      <c r="AD149" s="443"/>
      <c r="AE149" s="443"/>
      <c r="AF149" s="444"/>
      <c r="AG149" s="443"/>
      <c r="AH149" s="443"/>
      <c r="AI149" s="443"/>
      <c r="AJ149" s="443"/>
      <c r="AK149" s="443"/>
      <c r="AL149" s="443"/>
      <c r="AM149" s="456"/>
      <c r="AN149" s="456"/>
      <c r="AO149" s="456"/>
      <c r="AP149" s="456"/>
      <c r="AQ149" s="456"/>
      <c r="AR149" s="456"/>
      <c r="AS149" s="456"/>
      <c r="AT149" s="456"/>
      <c r="AU149" s="456"/>
      <c r="AV149" s="456"/>
      <c r="AW149" s="456"/>
      <c r="AX149" s="456"/>
      <c r="AY149" s="456"/>
      <c r="AZ149" s="456"/>
      <c r="BA149" s="456"/>
      <c r="BB149" s="456"/>
      <c r="BC149" s="456"/>
      <c r="BD149" s="456"/>
      <c r="BE149" s="456"/>
      <c r="BF149" s="456"/>
      <c r="BG149" s="456"/>
      <c r="BH149" s="456"/>
      <c r="BI149" s="456"/>
      <c r="BJ149" s="456"/>
      <c r="BK149" s="456"/>
      <c r="BL149" s="456"/>
      <c r="BM149" s="456"/>
      <c r="BN149" s="456"/>
      <c r="BO149" s="456"/>
      <c r="BP149" s="456"/>
      <c r="BQ149" s="456"/>
      <c r="BR149" s="456"/>
      <c r="BS149" s="456"/>
      <c r="BT149" s="456"/>
      <c r="BU149" s="456"/>
      <c r="BV149" s="456"/>
      <c r="BW149" s="456"/>
      <c r="BX149" s="456"/>
      <c r="BY149" s="456"/>
      <c r="BZ149" s="456"/>
      <c r="CA149" s="456"/>
      <c r="CB149" s="456"/>
      <c r="CC149" s="456"/>
      <c r="CD149" s="456"/>
      <c r="CE149" s="456"/>
      <c r="CF149" s="456"/>
      <c r="CG149" s="456"/>
      <c r="CH149" s="456"/>
      <c r="CI149" s="456"/>
      <c r="CJ149" s="456"/>
      <c r="CK149" s="456"/>
      <c r="CL149" s="456"/>
      <c r="CM149" s="456"/>
    </row>
    <row r="150" spans="1:91" ht="14.25" customHeight="1">
      <c r="A150" s="443"/>
      <c r="B150" s="443"/>
      <c r="C150" s="443"/>
      <c r="D150" s="443"/>
      <c r="E150" s="443"/>
      <c r="F150" s="443"/>
      <c r="G150" s="443"/>
      <c r="H150" s="443"/>
      <c r="I150" s="443"/>
      <c r="J150" s="443"/>
      <c r="K150" s="443"/>
      <c r="L150" s="443"/>
      <c r="M150" s="443"/>
      <c r="N150" s="443"/>
      <c r="O150" s="443"/>
      <c r="P150" s="443"/>
      <c r="Q150" s="443"/>
      <c r="R150" s="443"/>
      <c r="S150" s="443"/>
      <c r="T150" s="443"/>
      <c r="U150" s="443"/>
      <c r="V150" s="443"/>
      <c r="W150" s="443"/>
      <c r="X150" s="443"/>
      <c r="Y150" s="443"/>
      <c r="Z150" s="443"/>
      <c r="AA150" s="443"/>
      <c r="AB150" s="443"/>
      <c r="AC150" s="443"/>
      <c r="AD150" s="443"/>
      <c r="AE150" s="443"/>
      <c r="AF150" s="444"/>
      <c r="AG150" s="443"/>
      <c r="AH150" s="443"/>
      <c r="AI150" s="443"/>
      <c r="AJ150" s="443"/>
      <c r="AK150" s="443"/>
      <c r="AL150" s="443"/>
      <c r="AM150" s="456"/>
      <c r="AN150" s="456"/>
      <c r="AO150" s="456"/>
      <c r="AP150" s="456"/>
      <c r="AQ150" s="456"/>
      <c r="AR150" s="456"/>
      <c r="AS150" s="456"/>
      <c r="AT150" s="456"/>
      <c r="AU150" s="456"/>
      <c r="AV150" s="456"/>
      <c r="AW150" s="456"/>
      <c r="AX150" s="456"/>
      <c r="AY150" s="456"/>
      <c r="AZ150" s="456"/>
      <c r="BA150" s="456"/>
      <c r="BB150" s="456"/>
      <c r="BC150" s="456"/>
      <c r="BD150" s="456"/>
      <c r="BE150" s="456"/>
      <c r="BF150" s="456"/>
      <c r="BG150" s="456"/>
      <c r="BH150" s="456"/>
      <c r="BI150" s="456"/>
      <c r="BJ150" s="456"/>
      <c r="BK150" s="456"/>
      <c r="BL150" s="456"/>
      <c r="BM150" s="456"/>
      <c r="BN150" s="456"/>
      <c r="BO150" s="456"/>
      <c r="BP150" s="456"/>
      <c r="BQ150" s="456"/>
      <c r="BR150" s="456"/>
      <c r="BS150" s="456"/>
      <c r="BT150" s="456"/>
      <c r="BU150" s="456"/>
      <c r="BV150" s="456"/>
      <c r="BW150" s="456"/>
      <c r="BX150" s="456"/>
      <c r="BY150" s="456"/>
      <c r="BZ150" s="456"/>
      <c r="CA150" s="456"/>
      <c r="CB150" s="456"/>
      <c r="CC150" s="456"/>
      <c r="CD150" s="456"/>
      <c r="CE150" s="456"/>
      <c r="CF150" s="456"/>
      <c r="CG150" s="456"/>
      <c r="CH150" s="456"/>
      <c r="CI150" s="456"/>
      <c r="CJ150" s="456"/>
      <c r="CK150" s="456"/>
      <c r="CL150" s="456"/>
      <c r="CM150" s="456"/>
    </row>
    <row r="151" spans="1:91" ht="14.25" customHeight="1">
      <c r="A151" s="443"/>
      <c r="B151" s="443"/>
      <c r="C151" s="443"/>
      <c r="D151" s="443"/>
      <c r="E151" s="443"/>
      <c r="F151" s="443"/>
      <c r="G151" s="443"/>
      <c r="H151" s="443"/>
      <c r="I151" s="443"/>
      <c r="J151" s="443"/>
      <c r="K151" s="443"/>
      <c r="L151" s="443"/>
      <c r="M151" s="443"/>
      <c r="N151" s="443"/>
      <c r="O151" s="443"/>
      <c r="P151" s="443"/>
      <c r="Q151" s="443"/>
      <c r="R151" s="443"/>
      <c r="S151" s="443"/>
      <c r="T151" s="443"/>
      <c r="U151" s="443"/>
      <c r="V151" s="443"/>
      <c r="W151" s="443"/>
      <c r="X151" s="443"/>
      <c r="Y151" s="443"/>
      <c r="Z151" s="443"/>
      <c r="AA151" s="443"/>
      <c r="AB151" s="443"/>
      <c r="AC151" s="443"/>
      <c r="AD151" s="443"/>
      <c r="AE151" s="443"/>
      <c r="AF151" s="444"/>
      <c r="AG151" s="443"/>
      <c r="AH151" s="443"/>
      <c r="AI151" s="443"/>
      <c r="AJ151" s="443"/>
      <c r="AK151" s="443"/>
      <c r="AL151" s="443"/>
      <c r="AM151" s="456"/>
      <c r="AN151" s="456"/>
      <c r="AO151" s="456"/>
      <c r="AP151" s="456"/>
      <c r="AQ151" s="456"/>
      <c r="AR151" s="456"/>
      <c r="AS151" s="456"/>
      <c r="AT151" s="456"/>
      <c r="AU151" s="456"/>
      <c r="AV151" s="456"/>
      <c r="AW151" s="456"/>
      <c r="AX151" s="456"/>
      <c r="AY151" s="456"/>
      <c r="AZ151" s="456"/>
      <c r="BA151" s="456"/>
      <c r="BB151" s="456"/>
      <c r="BC151" s="456"/>
      <c r="BD151" s="456"/>
      <c r="BE151" s="456"/>
      <c r="BF151" s="456"/>
      <c r="BG151" s="456"/>
      <c r="BH151" s="456"/>
      <c r="BI151" s="456"/>
      <c r="BJ151" s="456"/>
      <c r="BK151" s="456"/>
      <c r="BL151" s="456"/>
      <c r="BM151" s="456"/>
      <c r="BN151" s="456"/>
      <c r="BO151" s="456"/>
      <c r="BP151" s="456"/>
      <c r="BQ151" s="456"/>
      <c r="BR151" s="456"/>
      <c r="BS151" s="456"/>
      <c r="BT151" s="456"/>
      <c r="BU151" s="456"/>
      <c r="BV151" s="456"/>
      <c r="BW151" s="456"/>
      <c r="BX151" s="456"/>
      <c r="BY151" s="456"/>
      <c r="BZ151" s="456"/>
      <c r="CA151" s="456"/>
      <c r="CB151" s="456"/>
      <c r="CC151" s="456"/>
      <c r="CD151" s="456"/>
      <c r="CE151" s="456"/>
      <c r="CF151" s="456"/>
      <c r="CG151" s="456"/>
      <c r="CH151" s="456"/>
      <c r="CI151" s="456"/>
      <c r="CJ151" s="456"/>
      <c r="CK151" s="456"/>
      <c r="CL151" s="456"/>
      <c r="CM151" s="456"/>
    </row>
    <row r="152" spans="1:91" ht="14.25" customHeight="1">
      <c r="A152" s="443"/>
      <c r="B152" s="443"/>
      <c r="C152" s="443"/>
      <c r="D152" s="443"/>
      <c r="E152" s="443"/>
      <c r="F152" s="443"/>
      <c r="G152" s="443"/>
      <c r="H152" s="443"/>
      <c r="I152" s="443"/>
      <c r="J152" s="443"/>
      <c r="K152" s="443"/>
      <c r="L152" s="443"/>
      <c r="M152" s="443"/>
      <c r="N152" s="443"/>
      <c r="O152" s="443"/>
      <c r="P152" s="443"/>
      <c r="Q152" s="443"/>
      <c r="R152" s="443"/>
      <c r="S152" s="443"/>
      <c r="T152" s="443"/>
      <c r="U152" s="443"/>
      <c r="V152" s="443"/>
      <c r="W152" s="443"/>
      <c r="X152" s="443"/>
      <c r="Y152" s="443"/>
      <c r="Z152" s="443"/>
      <c r="AA152" s="443"/>
      <c r="AB152" s="443"/>
      <c r="AC152" s="443"/>
      <c r="AD152" s="443"/>
      <c r="AE152" s="443"/>
      <c r="AF152" s="444"/>
      <c r="AG152" s="443"/>
      <c r="AH152" s="443"/>
      <c r="AI152" s="443"/>
      <c r="AJ152" s="443"/>
      <c r="AK152" s="443"/>
      <c r="AL152" s="443"/>
      <c r="AM152" s="456"/>
      <c r="AN152" s="456"/>
      <c r="AO152" s="456"/>
      <c r="AP152" s="456"/>
      <c r="AQ152" s="456"/>
      <c r="AR152" s="456"/>
      <c r="AS152" s="456"/>
      <c r="AT152" s="456"/>
      <c r="AU152" s="456"/>
      <c r="AV152" s="456"/>
      <c r="AW152" s="456"/>
      <c r="AX152" s="456"/>
      <c r="AY152" s="456"/>
      <c r="AZ152" s="456"/>
      <c r="BA152" s="456"/>
      <c r="BB152" s="456"/>
      <c r="BC152" s="456"/>
      <c r="BD152" s="456"/>
      <c r="BE152" s="456"/>
      <c r="BF152" s="456"/>
      <c r="BG152" s="456"/>
      <c r="BH152" s="456"/>
      <c r="BI152" s="456"/>
      <c r="BJ152" s="456"/>
      <c r="BK152" s="456"/>
      <c r="BL152" s="456"/>
      <c r="BM152" s="456"/>
      <c r="BN152" s="456"/>
      <c r="BO152" s="456"/>
      <c r="BP152" s="456"/>
      <c r="BQ152" s="456"/>
      <c r="BR152" s="456"/>
      <c r="BS152" s="456"/>
      <c r="BT152" s="456"/>
      <c r="BU152" s="456"/>
      <c r="BV152" s="456"/>
      <c r="BW152" s="456"/>
      <c r="BX152" s="456"/>
      <c r="BY152" s="456"/>
      <c r="BZ152" s="456"/>
      <c r="CA152" s="456"/>
      <c r="CB152" s="456"/>
      <c r="CC152" s="456"/>
      <c r="CD152" s="456"/>
      <c r="CE152" s="456"/>
      <c r="CF152" s="456"/>
      <c r="CG152" s="456"/>
      <c r="CH152" s="456"/>
      <c r="CI152" s="456"/>
      <c r="CJ152" s="456"/>
      <c r="CK152" s="456"/>
      <c r="CL152" s="456"/>
      <c r="CM152" s="456"/>
    </row>
    <row r="153" spans="1:91" ht="14.25" customHeight="1">
      <c r="A153" s="443"/>
      <c r="B153" s="443"/>
      <c r="C153" s="443"/>
      <c r="D153" s="443"/>
      <c r="E153" s="443"/>
      <c r="F153" s="443"/>
      <c r="G153" s="443"/>
      <c r="H153" s="443"/>
      <c r="I153" s="443"/>
      <c r="J153" s="443"/>
      <c r="K153" s="443"/>
      <c r="L153" s="443"/>
      <c r="M153" s="443"/>
      <c r="N153" s="443"/>
      <c r="O153" s="443"/>
      <c r="P153" s="443"/>
      <c r="Q153" s="443"/>
      <c r="R153" s="443"/>
      <c r="S153" s="443"/>
      <c r="T153" s="443"/>
      <c r="U153" s="443"/>
      <c r="V153" s="443"/>
      <c r="W153" s="443"/>
      <c r="X153" s="443"/>
      <c r="Y153" s="443"/>
      <c r="Z153" s="443"/>
      <c r="AA153" s="443"/>
      <c r="AB153" s="443"/>
      <c r="AC153" s="443"/>
      <c r="AD153" s="443"/>
      <c r="AE153" s="443"/>
      <c r="AF153" s="444"/>
      <c r="AG153" s="443"/>
      <c r="AH153" s="443"/>
      <c r="AI153" s="443"/>
      <c r="AJ153" s="443"/>
      <c r="AK153" s="443"/>
      <c r="AL153" s="443"/>
      <c r="AM153" s="456"/>
      <c r="AN153" s="456"/>
      <c r="AO153" s="456"/>
      <c r="AP153" s="456"/>
      <c r="AQ153" s="456"/>
      <c r="AR153" s="456"/>
      <c r="AS153" s="456"/>
      <c r="AT153" s="456"/>
      <c r="AU153" s="456"/>
      <c r="AV153" s="456"/>
      <c r="AW153" s="456"/>
      <c r="AX153" s="456"/>
      <c r="AY153" s="456"/>
      <c r="AZ153" s="456"/>
      <c r="BA153" s="456"/>
      <c r="BB153" s="456"/>
      <c r="BC153" s="456"/>
      <c r="BD153" s="456"/>
      <c r="BE153" s="456"/>
      <c r="BF153" s="456"/>
      <c r="BG153" s="456"/>
      <c r="BH153" s="456"/>
      <c r="BI153" s="456"/>
      <c r="BJ153" s="456"/>
      <c r="BK153" s="456"/>
      <c r="BL153" s="456"/>
      <c r="BM153" s="456"/>
      <c r="BN153" s="456"/>
      <c r="BO153" s="456"/>
      <c r="BP153" s="456"/>
      <c r="BQ153" s="456"/>
      <c r="BR153" s="456"/>
      <c r="BS153" s="456"/>
      <c r="BT153" s="456"/>
      <c r="BU153" s="456"/>
      <c r="BV153" s="456"/>
      <c r="BW153" s="456"/>
      <c r="BX153" s="456"/>
      <c r="BY153" s="456"/>
      <c r="BZ153" s="456"/>
      <c r="CA153" s="456"/>
      <c r="CB153" s="456"/>
      <c r="CC153" s="456"/>
      <c r="CD153" s="456"/>
      <c r="CE153" s="456"/>
      <c r="CF153" s="456"/>
      <c r="CG153" s="456"/>
      <c r="CH153" s="456"/>
      <c r="CI153" s="456"/>
      <c r="CJ153" s="456"/>
      <c r="CK153" s="456"/>
      <c r="CL153" s="456"/>
      <c r="CM153" s="456"/>
    </row>
    <row r="154" spans="1:91" ht="14.25" customHeight="1">
      <c r="A154" s="443"/>
      <c r="B154" s="443"/>
      <c r="C154" s="443"/>
      <c r="D154" s="443"/>
      <c r="E154" s="443"/>
      <c r="F154" s="443"/>
      <c r="G154" s="443"/>
      <c r="H154" s="443"/>
      <c r="I154" s="443"/>
      <c r="J154" s="443"/>
      <c r="K154" s="443"/>
      <c r="L154" s="443"/>
      <c r="M154" s="443"/>
      <c r="N154" s="443"/>
      <c r="O154" s="443"/>
      <c r="P154" s="443"/>
      <c r="Q154" s="443"/>
      <c r="R154" s="443"/>
      <c r="S154" s="443"/>
      <c r="T154" s="443"/>
      <c r="U154" s="443"/>
      <c r="V154" s="443"/>
      <c r="W154" s="443"/>
      <c r="X154" s="443"/>
      <c r="Y154" s="443"/>
      <c r="Z154" s="443"/>
      <c r="AA154" s="443"/>
      <c r="AB154" s="443"/>
      <c r="AC154" s="443"/>
      <c r="AD154" s="443"/>
      <c r="AE154" s="443"/>
      <c r="AF154" s="444"/>
      <c r="AG154" s="443"/>
      <c r="AH154" s="443"/>
      <c r="AI154" s="443"/>
      <c r="AJ154" s="443"/>
      <c r="AK154" s="443"/>
      <c r="AL154" s="443"/>
      <c r="AM154" s="456"/>
      <c r="AN154" s="456"/>
      <c r="AO154" s="456"/>
      <c r="AP154" s="456"/>
      <c r="AQ154" s="456"/>
      <c r="AR154" s="456"/>
      <c r="AS154" s="456"/>
      <c r="AT154" s="456"/>
      <c r="AU154" s="456"/>
      <c r="AV154" s="456"/>
      <c r="AW154" s="456"/>
      <c r="AX154" s="456"/>
      <c r="AY154" s="456"/>
      <c r="AZ154" s="456"/>
      <c r="BA154" s="456"/>
      <c r="BB154" s="456"/>
      <c r="BC154" s="456"/>
      <c r="BD154" s="456"/>
      <c r="BE154" s="456"/>
      <c r="BF154" s="456"/>
      <c r="BG154" s="456"/>
      <c r="BH154" s="456"/>
      <c r="BI154" s="456"/>
      <c r="BJ154" s="456"/>
      <c r="BK154" s="456"/>
      <c r="BL154" s="456"/>
      <c r="BM154" s="456"/>
      <c r="BN154" s="456"/>
      <c r="BO154" s="456"/>
      <c r="BP154" s="456"/>
      <c r="BQ154" s="456"/>
      <c r="BR154" s="456"/>
      <c r="BS154" s="456"/>
      <c r="BT154" s="456"/>
      <c r="BU154" s="456"/>
      <c r="BV154" s="456"/>
      <c r="BW154" s="456"/>
      <c r="BX154" s="456"/>
      <c r="BY154" s="456"/>
      <c r="BZ154" s="456"/>
      <c r="CA154" s="456"/>
      <c r="CB154" s="456"/>
      <c r="CC154" s="456"/>
      <c r="CD154" s="456"/>
      <c r="CE154" s="456"/>
      <c r="CF154" s="456"/>
      <c r="CG154" s="456"/>
      <c r="CH154" s="456"/>
      <c r="CI154" s="456"/>
      <c r="CJ154" s="456"/>
      <c r="CK154" s="456"/>
      <c r="CL154" s="456"/>
      <c r="CM154" s="456"/>
    </row>
    <row r="155" spans="1:91" ht="14.25" customHeight="1">
      <c r="A155" s="443"/>
      <c r="B155" s="443"/>
      <c r="C155" s="443"/>
      <c r="D155" s="443"/>
      <c r="E155" s="443"/>
      <c r="F155" s="443"/>
      <c r="G155" s="443"/>
      <c r="H155" s="443"/>
      <c r="I155" s="443"/>
      <c r="J155" s="443"/>
      <c r="K155" s="443"/>
      <c r="L155" s="443"/>
      <c r="M155" s="443"/>
      <c r="N155" s="443"/>
      <c r="O155" s="443"/>
      <c r="P155" s="443"/>
      <c r="Q155" s="443"/>
      <c r="R155" s="443"/>
      <c r="S155" s="443"/>
      <c r="T155" s="443"/>
      <c r="U155" s="443"/>
      <c r="V155" s="443"/>
      <c r="W155" s="443"/>
      <c r="X155" s="443"/>
      <c r="Y155" s="443"/>
      <c r="Z155" s="443"/>
      <c r="AA155" s="443"/>
      <c r="AB155" s="443"/>
      <c r="AC155" s="443"/>
      <c r="AD155" s="443"/>
      <c r="AE155" s="443"/>
      <c r="AF155" s="444"/>
      <c r="AG155" s="443"/>
      <c r="AH155" s="443"/>
      <c r="AI155" s="443"/>
      <c r="AJ155" s="443"/>
      <c r="AK155" s="443"/>
      <c r="AL155" s="443"/>
      <c r="AM155" s="456"/>
      <c r="AN155" s="456"/>
      <c r="AO155" s="456"/>
      <c r="AP155" s="456"/>
      <c r="AQ155" s="456"/>
      <c r="AR155" s="456"/>
      <c r="AS155" s="456"/>
      <c r="AT155" s="456"/>
      <c r="AU155" s="456"/>
      <c r="AV155" s="456"/>
      <c r="AW155" s="456"/>
      <c r="AX155" s="456"/>
      <c r="AY155" s="456"/>
      <c r="AZ155" s="456"/>
      <c r="BA155" s="456"/>
      <c r="BB155" s="456"/>
      <c r="BC155" s="456"/>
      <c r="BD155" s="456"/>
      <c r="BE155" s="456"/>
      <c r="BF155" s="456"/>
      <c r="BG155" s="456"/>
      <c r="BH155" s="456"/>
      <c r="BI155" s="456"/>
      <c r="BJ155" s="456"/>
      <c r="BK155" s="456"/>
      <c r="BL155" s="456"/>
      <c r="BM155" s="456"/>
      <c r="BN155" s="456"/>
      <c r="BO155" s="456"/>
      <c r="BP155" s="456"/>
      <c r="BQ155" s="456"/>
      <c r="BR155" s="456"/>
      <c r="BS155" s="456"/>
      <c r="BT155" s="456"/>
      <c r="BU155" s="456"/>
      <c r="BV155" s="456"/>
      <c r="BW155" s="456"/>
      <c r="BX155" s="456"/>
      <c r="BY155" s="456"/>
      <c r="BZ155" s="456"/>
      <c r="CA155" s="456"/>
      <c r="CB155" s="456"/>
      <c r="CC155" s="456"/>
      <c r="CD155" s="456"/>
      <c r="CE155" s="456"/>
      <c r="CF155" s="456"/>
      <c r="CG155" s="456"/>
      <c r="CH155" s="456"/>
      <c r="CI155" s="456"/>
      <c r="CJ155" s="456"/>
      <c r="CK155" s="456"/>
      <c r="CL155" s="456"/>
      <c r="CM155" s="456"/>
    </row>
    <row r="156" spans="1:91" ht="14.25" customHeight="1">
      <c r="A156" s="443"/>
      <c r="B156" s="443"/>
      <c r="C156" s="443"/>
      <c r="D156" s="443"/>
      <c r="E156" s="443"/>
      <c r="F156" s="443"/>
      <c r="G156" s="443"/>
      <c r="H156" s="443"/>
      <c r="I156" s="443"/>
      <c r="J156" s="443"/>
      <c r="K156" s="443"/>
      <c r="L156" s="443"/>
      <c r="M156" s="443"/>
      <c r="N156" s="443"/>
      <c r="O156" s="443"/>
      <c r="P156" s="443"/>
      <c r="Q156" s="443"/>
      <c r="R156" s="443"/>
      <c r="S156" s="443"/>
      <c r="T156" s="443"/>
      <c r="U156" s="443"/>
      <c r="V156" s="443"/>
      <c r="W156" s="443"/>
      <c r="X156" s="443"/>
      <c r="Y156" s="443"/>
      <c r="Z156" s="443"/>
      <c r="AA156" s="443"/>
      <c r="AB156" s="443"/>
      <c r="AC156" s="443"/>
      <c r="AD156" s="443"/>
      <c r="AE156" s="443"/>
      <c r="AF156" s="444"/>
      <c r="AG156" s="443"/>
      <c r="AH156" s="443"/>
      <c r="AI156" s="443"/>
      <c r="AJ156" s="443"/>
      <c r="AK156" s="443"/>
      <c r="AL156" s="443"/>
      <c r="AM156" s="456"/>
      <c r="AN156" s="456"/>
      <c r="AO156" s="456"/>
      <c r="AP156" s="456"/>
      <c r="AQ156" s="456"/>
      <c r="AR156" s="456"/>
      <c r="AS156" s="456"/>
      <c r="AT156" s="456"/>
      <c r="AU156" s="456"/>
      <c r="AV156" s="456"/>
      <c r="AW156" s="456"/>
      <c r="AX156" s="456"/>
      <c r="AY156" s="456"/>
      <c r="AZ156" s="456"/>
      <c r="BA156" s="456"/>
      <c r="BB156" s="456"/>
      <c r="BC156" s="456"/>
      <c r="BD156" s="456"/>
      <c r="BE156" s="456"/>
      <c r="BF156" s="456"/>
      <c r="BG156" s="456"/>
      <c r="BH156" s="456"/>
      <c r="BI156" s="456"/>
      <c r="BJ156" s="456"/>
      <c r="BK156" s="456"/>
      <c r="BL156" s="456"/>
      <c r="BM156" s="456"/>
      <c r="BN156" s="456"/>
      <c r="BO156" s="456"/>
      <c r="BP156" s="456"/>
      <c r="BQ156" s="456"/>
      <c r="BR156" s="456"/>
      <c r="BS156" s="456"/>
      <c r="BT156" s="456"/>
      <c r="BU156" s="456"/>
      <c r="BV156" s="456"/>
      <c r="BW156" s="456"/>
      <c r="BX156" s="456"/>
      <c r="BY156" s="456"/>
      <c r="BZ156" s="456"/>
      <c r="CA156" s="456"/>
      <c r="CB156" s="456"/>
      <c r="CC156" s="456"/>
      <c r="CD156" s="456"/>
      <c r="CE156" s="456"/>
      <c r="CF156" s="456"/>
      <c r="CG156" s="456"/>
      <c r="CH156" s="456"/>
      <c r="CI156" s="456"/>
      <c r="CJ156" s="456"/>
      <c r="CK156" s="456"/>
      <c r="CL156" s="456"/>
      <c r="CM156" s="456"/>
    </row>
    <row r="157" spans="1:91" ht="14.25" customHeight="1">
      <c r="A157" s="443"/>
      <c r="B157" s="443"/>
      <c r="C157" s="443"/>
      <c r="D157" s="443"/>
      <c r="E157" s="443"/>
      <c r="F157" s="443"/>
      <c r="G157" s="443"/>
      <c r="H157" s="443"/>
      <c r="I157" s="443"/>
      <c r="J157" s="443"/>
      <c r="K157" s="443"/>
      <c r="L157" s="443"/>
      <c r="M157" s="443"/>
      <c r="N157" s="443"/>
      <c r="O157" s="443"/>
      <c r="P157" s="443"/>
      <c r="Q157" s="443"/>
      <c r="R157" s="443"/>
      <c r="S157" s="443"/>
      <c r="T157" s="443"/>
      <c r="U157" s="443"/>
      <c r="V157" s="443"/>
      <c r="W157" s="443"/>
      <c r="X157" s="443"/>
      <c r="Y157" s="443"/>
      <c r="Z157" s="443"/>
      <c r="AA157" s="443"/>
      <c r="AB157" s="443"/>
      <c r="AC157" s="443"/>
      <c r="AD157" s="443"/>
      <c r="AE157" s="443"/>
      <c r="AF157" s="444"/>
      <c r="AG157" s="443"/>
      <c r="AH157" s="443"/>
      <c r="AI157" s="443"/>
      <c r="AJ157" s="443"/>
      <c r="AK157" s="443"/>
      <c r="AL157" s="443"/>
      <c r="AM157" s="456"/>
      <c r="AN157" s="456"/>
      <c r="AO157" s="456"/>
      <c r="AP157" s="456"/>
      <c r="AQ157" s="456"/>
      <c r="AR157" s="456"/>
      <c r="AS157" s="456"/>
      <c r="AT157" s="456"/>
      <c r="AU157" s="456"/>
      <c r="AV157" s="456"/>
      <c r="AW157" s="456"/>
      <c r="AX157" s="456"/>
      <c r="AY157" s="456"/>
      <c r="AZ157" s="456"/>
      <c r="BA157" s="456"/>
      <c r="BB157" s="456"/>
      <c r="BC157" s="456"/>
      <c r="BD157" s="456"/>
      <c r="BE157" s="456"/>
      <c r="BF157" s="456"/>
      <c r="BG157" s="456"/>
      <c r="BH157" s="456"/>
      <c r="BI157" s="456"/>
      <c r="BJ157" s="456"/>
      <c r="BK157" s="456"/>
      <c r="BL157" s="456"/>
      <c r="BM157" s="456"/>
      <c r="BN157" s="456"/>
      <c r="BO157" s="456"/>
      <c r="BP157" s="456"/>
      <c r="BQ157" s="456"/>
      <c r="BR157" s="456"/>
      <c r="BS157" s="456"/>
      <c r="BT157" s="456"/>
      <c r="BU157" s="456"/>
      <c r="BV157" s="456"/>
      <c r="BW157" s="456"/>
      <c r="BX157" s="456"/>
      <c r="BY157" s="456"/>
      <c r="BZ157" s="456"/>
      <c r="CA157" s="456"/>
      <c r="CB157" s="456"/>
      <c r="CC157" s="456"/>
      <c r="CD157" s="456"/>
      <c r="CE157" s="456"/>
      <c r="CF157" s="456"/>
      <c r="CG157" s="456"/>
      <c r="CH157" s="456"/>
      <c r="CI157" s="456"/>
      <c r="CJ157" s="456"/>
      <c r="CK157" s="456"/>
      <c r="CL157" s="456"/>
      <c r="CM157" s="456"/>
    </row>
    <row r="158" spans="1:91" ht="14.25" customHeight="1">
      <c r="A158" s="443"/>
      <c r="B158" s="443"/>
      <c r="C158" s="443"/>
      <c r="D158" s="443"/>
      <c r="E158" s="443"/>
      <c r="F158" s="443"/>
      <c r="G158" s="443"/>
      <c r="H158" s="443"/>
      <c r="I158" s="443"/>
      <c r="J158" s="443"/>
      <c r="K158" s="443"/>
      <c r="L158" s="443"/>
      <c r="M158" s="443"/>
      <c r="N158" s="443"/>
      <c r="O158" s="443"/>
      <c r="P158" s="443"/>
      <c r="Q158" s="443"/>
      <c r="R158" s="443"/>
      <c r="S158" s="443"/>
      <c r="T158" s="443"/>
      <c r="U158" s="443"/>
      <c r="V158" s="443"/>
      <c r="W158" s="443"/>
      <c r="X158" s="443"/>
      <c r="Y158" s="443"/>
      <c r="Z158" s="443"/>
      <c r="AA158" s="443"/>
      <c r="AB158" s="443"/>
      <c r="AC158" s="443"/>
      <c r="AD158" s="443"/>
      <c r="AE158" s="443"/>
      <c r="AF158" s="444"/>
      <c r="AG158" s="443"/>
      <c r="AH158" s="443"/>
      <c r="AI158" s="443"/>
      <c r="AJ158" s="443"/>
      <c r="AK158" s="443"/>
      <c r="AL158" s="443"/>
      <c r="AM158" s="456"/>
      <c r="AN158" s="456"/>
      <c r="AO158" s="456"/>
      <c r="AP158" s="456"/>
      <c r="AQ158" s="456"/>
      <c r="AR158" s="456"/>
      <c r="AS158" s="456"/>
      <c r="AT158" s="456"/>
      <c r="AU158" s="456"/>
      <c r="AV158" s="456"/>
      <c r="AW158" s="456"/>
      <c r="AX158" s="456"/>
      <c r="AY158" s="456"/>
      <c r="AZ158" s="456"/>
      <c r="BA158" s="456"/>
      <c r="BB158" s="456"/>
      <c r="BC158" s="456"/>
      <c r="BD158" s="456"/>
      <c r="BE158" s="456"/>
      <c r="BF158" s="456"/>
      <c r="BG158" s="456"/>
      <c r="BH158" s="456"/>
      <c r="BI158" s="456"/>
      <c r="BJ158" s="456"/>
      <c r="BK158" s="456"/>
      <c r="BL158" s="456"/>
      <c r="BM158" s="456"/>
      <c r="BN158" s="456"/>
      <c r="BO158" s="456"/>
      <c r="BP158" s="456"/>
      <c r="BQ158" s="456"/>
      <c r="BR158" s="456"/>
      <c r="BS158" s="456"/>
      <c r="BT158" s="456"/>
      <c r="BU158" s="456"/>
      <c r="BV158" s="456"/>
      <c r="BW158" s="456"/>
      <c r="BX158" s="456"/>
      <c r="BY158" s="456"/>
      <c r="BZ158" s="456"/>
      <c r="CA158" s="456"/>
      <c r="CB158" s="456"/>
      <c r="CC158" s="456"/>
      <c r="CD158" s="456"/>
      <c r="CE158" s="456"/>
      <c r="CF158" s="456"/>
      <c r="CG158" s="456"/>
      <c r="CH158" s="456"/>
      <c r="CI158" s="456"/>
      <c r="CJ158" s="456"/>
      <c r="CK158" s="456"/>
      <c r="CL158" s="456"/>
      <c r="CM158" s="456"/>
    </row>
    <row r="159" spans="1:91" ht="14.25" customHeight="1">
      <c r="A159" s="443"/>
      <c r="B159" s="443"/>
      <c r="C159" s="443"/>
      <c r="D159" s="443"/>
      <c r="E159" s="443"/>
      <c r="F159" s="443"/>
      <c r="G159" s="443"/>
      <c r="H159" s="443"/>
      <c r="I159" s="443"/>
      <c r="J159" s="443"/>
      <c r="K159" s="443"/>
      <c r="L159" s="443"/>
      <c r="M159" s="443"/>
      <c r="N159" s="443"/>
      <c r="O159" s="443"/>
      <c r="P159" s="443"/>
      <c r="Q159" s="443"/>
      <c r="R159" s="443"/>
      <c r="S159" s="443"/>
      <c r="T159" s="443"/>
      <c r="U159" s="443"/>
      <c r="V159" s="443"/>
      <c r="W159" s="443"/>
      <c r="X159" s="443"/>
      <c r="Y159" s="443"/>
      <c r="Z159" s="443"/>
      <c r="AA159" s="443"/>
      <c r="AB159" s="443"/>
      <c r="AC159" s="443"/>
      <c r="AD159" s="443"/>
      <c r="AE159" s="443"/>
      <c r="AF159" s="444"/>
      <c r="AG159" s="443"/>
      <c r="AH159" s="443"/>
      <c r="AI159" s="443"/>
      <c r="AJ159" s="443"/>
      <c r="AK159" s="443"/>
      <c r="AL159" s="443"/>
      <c r="AM159" s="456"/>
      <c r="AN159" s="456"/>
      <c r="AO159" s="456"/>
      <c r="AP159" s="456"/>
      <c r="AQ159" s="456"/>
      <c r="AR159" s="456"/>
      <c r="AS159" s="456"/>
      <c r="AT159" s="456"/>
      <c r="AU159" s="456"/>
      <c r="AV159" s="456"/>
      <c r="AW159" s="456"/>
      <c r="AX159" s="456"/>
      <c r="AY159" s="456"/>
      <c r="AZ159" s="456"/>
      <c r="BA159" s="456"/>
      <c r="BB159" s="456"/>
      <c r="BC159" s="456"/>
      <c r="BD159" s="456"/>
      <c r="BE159" s="456"/>
      <c r="BF159" s="456"/>
      <c r="BG159" s="456"/>
      <c r="BH159" s="456"/>
      <c r="BI159" s="456"/>
      <c r="BJ159" s="456"/>
      <c r="BK159" s="456"/>
      <c r="BL159" s="456"/>
      <c r="BM159" s="456"/>
      <c r="BN159" s="456"/>
      <c r="BO159" s="456"/>
      <c r="BP159" s="456"/>
      <c r="BQ159" s="456"/>
      <c r="BR159" s="456"/>
      <c r="BS159" s="456"/>
      <c r="BT159" s="456"/>
      <c r="BU159" s="456"/>
      <c r="BV159" s="456"/>
      <c r="BW159" s="456"/>
      <c r="BX159" s="456"/>
      <c r="BY159" s="456"/>
      <c r="BZ159" s="456"/>
      <c r="CA159" s="456"/>
      <c r="CB159" s="456"/>
      <c r="CC159" s="456"/>
      <c r="CD159" s="456"/>
      <c r="CE159" s="456"/>
      <c r="CF159" s="456"/>
      <c r="CG159" s="456"/>
      <c r="CH159" s="456"/>
      <c r="CI159" s="456"/>
      <c r="CJ159" s="456"/>
      <c r="CK159" s="456"/>
      <c r="CL159" s="456"/>
      <c r="CM159" s="456"/>
    </row>
    <row r="160" spans="1:91" ht="14.25" customHeight="1">
      <c r="A160" s="443"/>
      <c r="B160" s="443"/>
      <c r="C160" s="443"/>
      <c r="D160" s="443"/>
      <c r="E160" s="443"/>
      <c r="F160" s="443"/>
      <c r="G160" s="443"/>
      <c r="H160" s="443"/>
      <c r="I160" s="443"/>
      <c r="J160" s="443"/>
      <c r="K160" s="443"/>
      <c r="L160" s="443"/>
      <c r="M160" s="443"/>
      <c r="N160" s="443"/>
      <c r="O160" s="443"/>
      <c r="P160" s="443"/>
      <c r="Q160" s="443"/>
      <c r="R160" s="443"/>
      <c r="S160" s="443"/>
      <c r="T160" s="443"/>
      <c r="U160" s="443"/>
      <c r="V160" s="443"/>
      <c r="W160" s="443"/>
      <c r="X160" s="443"/>
      <c r="Y160" s="443"/>
      <c r="Z160" s="443"/>
      <c r="AA160" s="443"/>
      <c r="AB160" s="443"/>
      <c r="AC160" s="443"/>
      <c r="AD160" s="443"/>
      <c r="AE160" s="443"/>
      <c r="AF160" s="444"/>
      <c r="AG160" s="443"/>
      <c r="AH160" s="443"/>
      <c r="AI160" s="443"/>
      <c r="AJ160" s="443"/>
      <c r="AK160" s="443"/>
      <c r="AL160" s="443"/>
      <c r="AM160" s="456"/>
      <c r="AN160" s="456"/>
      <c r="AO160" s="456"/>
      <c r="AP160" s="456"/>
      <c r="AQ160" s="456"/>
      <c r="AR160" s="456"/>
      <c r="AS160" s="456"/>
      <c r="AT160" s="456"/>
      <c r="AU160" s="456"/>
      <c r="AV160" s="456"/>
      <c r="AW160" s="456"/>
      <c r="AX160" s="456"/>
      <c r="AY160" s="456"/>
      <c r="AZ160" s="456"/>
      <c r="BA160" s="456"/>
      <c r="BB160" s="456"/>
      <c r="BC160" s="456"/>
      <c r="BD160" s="456"/>
      <c r="BE160" s="456"/>
      <c r="BF160" s="456"/>
      <c r="BG160" s="456"/>
      <c r="BH160" s="456"/>
      <c r="BI160" s="456"/>
      <c r="BJ160" s="456"/>
      <c r="BK160" s="456"/>
      <c r="BL160" s="456"/>
      <c r="BM160" s="456"/>
      <c r="BN160" s="456"/>
      <c r="BO160" s="456"/>
      <c r="BP160" s="456"/>
      <c r="BQ160" s="456"/>
      <c r="BR160" s="456"/>
      <c r="BS160" s="456"/>
      <c r="BT160" s="456"/>
      <c r="BU160" s="456"/>
      <c r="BV160" s="456"/>
      <c r="BW160" s="456"/>
      <c r="BX160" s="456"/>
      <c r="BY160" s="456"/>
      <c r="BZ160" s="456"/>
      <c r="CA160" s="456"/>
      <c r="CB160" s="456"/>
      <c r="CC160" s="456"/>
      <c r="CD160" s="456"/>
      <c r="CE160" s="456"/>
      <c r="CF160" s="456"/>
      <c r="CG160" s="456"/>
      <c r="CH160" s="456"/>
      <c r="CI160" s="456"/>
      <c r="CJ160" s="456"/>
      <c r="CK160" s="456"/>
      <c r="CL160" s="456"/>
      <c r="CM160" s="456"/>
    </row>
    <row r="161" spans="1:91" ht="14.25" customHeight="1">
      <c r="A161" s="443"/>
      <c r="B161" s="443"/>
      <c r="C161" s="443"/>
      <c r="D161" s="443"/>
      <c r="E161" s="443"/>
      <c r="F161" s="443"/>
      <c r="G161" s="443"/>
      <c r="H161" s="443"/>
      <c r="I161" s="443"/>
      <c r="J161" s="443"/>
      <c r="K161" s="443"/>
      <c r="L161" s="443"/>
      <c r="M161" s="443"/>
      <c r="N161" s="443"/>
      <c r="O161" s="443"/>
      <c r="P161" s="443"/>
      <c r="Q161" s="443"/>
      <c r="R161" s="443"/>
      <c r="S161" s="443"/>
      <c r="T161" s="443"/>
      <c r="U161" s="443"/>
      <c r="V161" s="443"/>
      <c r="W161" s="443"/>
      <c r="X161" s="443"/>
      <c r="Y161" s="443"/>
      <c r="Z161" s="443"/>
      <c r="AA161" s="443"/>
      <c r="AB161" s="443"/>
      <c r="AC161" s="443"/>
      <c r="AD161" s="443"/>
      <c r="AE161" s="443"/>
      <c r="AF161" s="444"/>
      <c r="AG161" s="443"/>
      <c r="AH161" s="443"/>
      <c r="AI161" s="443"/>
      <c r="AJ161" s="443"/>
      <c r="AK161" s="443"/>
      <c r="AL161" s="443"/>
      <c r="AM161" s="456"/>
      <c r="AN161" s="456"/>
      <c r="AO161" s="456"/>
      <c r="AP161" s="456"/>
      <c r="AQ161" s="456"/>
      <c r="AR161" s="456"/>
      <c r="AS161" s="456"/>
      <c r="AT161" s="456"/>
      <c r="AU161" s="456"/>
      <c r="AV161" s="456"/>
      <c r="AW161" s="456"/>
      <c r="AX161" s="456"/>
      <c r="AY161" s="456"/>
      <c r="AZ161" s="456"/>
      <c r="BA161" s="456"/>
      <c r="BB161" s="456"/>
      <c r="BC161" s="456"/>
      <c r="BD161" s="456"/>
      <c r="BE161" s="456"/>
      <c r="BF161" s="456"/>
      <c r="BG161" s="456"/>
      <c r="BH161" s="456"/>
      <c r="BI161" s="456"/>
      <c r="BJ161" s="456"/>
      <c r="BK161" s="456"/>
      <c r="BL161" s="456"/>
      <c r="BM161" s="456"/>
      <c r="BN161" s="456"/>
      <c r="BO161" s="456"/>
      <c r="BP161" s="456"/>
      <c r="BQ161" s="456"/>
      <c r="BR161" s="456"/>
      <c r="BS161" s="456"/>
      <c r="BT161" s="456"/>
      <c r="BU161" s="456"/>
      <c r="BV161" s="456"/>
      <c r="BW161" s="456"/>
      <c r="BX161" s="456"/>
      <c r="BY161" s="456"/>
      <c r="BZ161" s="456"/>
      <c r="CA161" s="456"/>
      <c r="CB161" s="456"/>
      <c r="CC161" s="456"/>
      <c r="CD161" s="456"/>
      <c r="CE161" s="456"/>
      <c r="CF161" s="456"/>
      <c r="CG161" s="456"/>
      <c r="CH161" s="456"/>
      <c r="CI161" s="456"/>
      <c r="CJ161" s="456"/>
      <c r="CK161" s="456"/>
      <c r="CL161" s="456"/>
      <c r="CM161" s="456"/>
    </row>
    <row r="162" spans="1:91" ht="14.25" customHeight="1">
      <c r="A162" s="443"/>
      <c r="B162" s="443"/>
      <c r="C162" s="443"/>
      <c r="D162" s="443"/>
      <c r="E162" s="443"/>
      <c r="F162" s="443"/>
      <c r="G162" s="443"/>
      <c r="H162" s="443"/>
      <c r="I162" s="443"/>
      <c r="J162" s="443"/>
      <c r="K162" s="443"/>
      <c r="L162" s="443"/>
      <c r="M162" s="443"/>
      <c r="N162" s="443"/>
      <c r="O162" s="443"/>
      <c r="P162" s="443"/>
      <c r="Q162" s="443"/>
      <c r="R162" s="443"/>
      <c r="S162" s="443"/>
      <c r="T162" s="443"/>
      <c r="U162" s="443"/>
      <c r="V162" s="443"/>
      <c r="W162" s="443"/>
      <c r="X162" s="443"/>
      <c r="Y162" s="443"/>
      <c r="Z162" s="443"/>
      <c r="AA162" s="443"/>
      <c r="AB162" s="443"/>
      <c r="AC162" s="443"/>
      <c r="AD162" s="443"/>
      <c r="AE162" s="443"/>
      <c r="AF162" s="444"/>
      <c r="AG162" s="443"/>
      <c r="AH162" s="443"/>
      <c r="AI162" s="443"/>
      <c r="AJ162" s="443"/>
      <c r="AK162" s="443"/>
      <c r="AL162" s="443"/>
      <c r="AM162" s="456"/>
      <c r="AN162" s="456"/>
      <c r="AO162" s="456"/>
      <c r="AP162" s="456"/>
      <c r="AQ162" s="456"/>
      <c r="AR162" s="456"/>
      <c r="AS162" s="456"/>
      <c r="AT162" s="456"/>
      <c r="AU162" s="456"/>
      <c r="AV162" s="456"/>
      <c r="AW162" s="456"/>
      <c r="AX162" s="456"/>
      <c r="AY162" s="456"/>
      <c r="AZ162" s="456"/>
      <c r="BA162" s="456"/>
      <c r="BB162" s="456"/>
      <c r="BC162" s="456"/>
      <c r="BD162" s="456"/>
      <c r="BE162" s="456"/>
      <c r="BF162" s="456"/>
      <c r="BG162" s="456"/>
      <c r="BH162" s="456"/>
      <c r="BI162" s="456"/>
      <c r="BJ162" s="456"/>
      <c r="BK162" s="456"/>
      <c r="BL162" s="456"/>
      <c r="BM162" s="456"/>
      <c r="BN162" s="456"/>
      <c r="BO162" s="456"/>
      <c r="BP162" s="456"/>
      <c r="BQ162" s="456"/>
      <c r="BR162" s="456"/>
      <c r="BS162" s="456"/>
      <c r="BT162" s="456"/>
      <c r="BU162" s="456"/>
      <c r="BV162" s="456"/>
      <c r="BW162" s="456"/>
      <c r="BX162" s="456"/>
      <c r="BY162" s="456"/>
      <c r="BZ162" s="456"/>
      <c r="CA162" s="456"/>
      <c r="CB162" s="456"/>
      <c r="CC162" s="456"/>
      <c r="CD162" s="456"/>
      <c r="CE162" s="456"/>
      <c r="CF162" s="456"/>
      <c r="CG162" s="456"/>
      <c r="CH162" s="456"/>
      <c r="CI162" s="456"/>
      <c r="CJ162" s="456"/>
      <c r="CK162" s="456"/>
      <c r="CL162" s="456"/>
      <c r="CM162" s="456"/>
    </row>
    <row r="163" spans="1:91" ht="14.25" customHeight="1">
      <c r="A163" s="443"/>
      <c r="B163" s="443"/>
      <c r="C163" s="443"/>
      <c r="D163" s="443"/>
      <c r="E163" s="443"/>
      <c r="F163" s="443"/>
      <c r="G163" s="443"/>
      <c r="H163" s="443"/>
      <c r="I163" s="443"/>
      <c r="J163" s="443"/>
      <c r="K163" s="443"/>
      <c r="L163" s="443"/>
      <c r="M163" s="443"/>
      <c r="N163" s="443"/>
      <c r="O163" s="443"/>
      <c r="P163" s="443"/>
      <c r="Q163" s="443"/>
      <c r="R163" s="443"/>
      <c r="S163" s="443"/>
      <c r="T163" s="443"/>
      <c r="U163" s="443"/>
      <c r="V163" s="443"/>
      <c r="W163" s="443"/>
      <c r="X163" s="443"/>
      <c r="Y163" s="443"/>
      <c r="Z163" s="443"/>
      <c r="AA163" s="443"/>
      <c r="AB163" s="443"/>
      <c r="AC163" s="443"/>
      <c r="AD163" s="443"/>
      <c r="AE163" s="443"/>
      <c r="AF163" s="444"/>
      <c r="AG163" s="443"/>
      <c r="AH163" s="443"/>
      <c r="AI163" s="443"/>
      <c r="AJ163" s="443"/>
      <c r="AK163" s="443"/>
      <c r="AL163" s="443"/>
      <c r="AM163" s="456"/>
      <c r="AN163" s="456"/>
      <c r="AO163" s="456"/>
      <c r="AP163" s="456"/>
      <c r="AQ163" s="456"/>
      <c r="AR163" s="456"/>
      <c r="AS163" s="456"/>
      <c r="AT163" s="456"/>
      <c r="AU163" s="456"/>
      <c r="AV163" s="456"/>
      <c r="AW163" s="456"/>
      <c r="AX163" s="456"/>
      <c r="AY163" s="456"/>
      <c r="AZ163" s="456"/>
      <c r="BA163" s="456"/>
      <c r="BB163" s="456"/>
      <c r="BC163" s="456"/>
      <c r="BD163" s="456"/>
      <c r="BE163" s="456"/>
      <c r="BF163" s="456"/>
      <c r="BG163" s="456"/>
      <c r="BH163" s="456"/>
      <c r="BI163" s="456"/>
      <c r="BJ163" s="456"/>
      <c r="BK163" s="456"/>
      <c r="BL163" s="456"/>
      <c r="BM163" s="456"/>
      <c r="BN163" s="456"/>
      <c r="BO163" s="456"/>
      <c r="BP163" s="456"/>
      <c r="BQ163" s="456"/>
      <c r="BR163" s="456"/>
      <c r="BS163" s="456"/>
      <c r="BT163" s="456"/>
      <c r="BU163" s="456"/>
      <c r="BV163" s="456"/>
      <c r="BW163" s="456"/>
      <c r="BX163" s="456"/>
      <c r="BY163" s="456"/>
      <c r="BZ163" s="456"/>
      <c r="CA163" s="456"/>
      <c r="CB163" s="456"/>
      <c r="CC163" s="456"/>
      <c r="CD163" s="456"/>
      <c r="CE163" s="456"/>
      <c r="CF163" s="456"/>
      <c r="CG163" s="456"/>
      <c r="CH163" s="456"/>
      <c r="CI163" s="456"/>
      <c r="CJ163" s="456"/>
      <c r="CK163" s="456"/>
      <c r="CL163" s="456"/>
      <c r="CM163" s="456"/>
    </row>
    <row r="164" spans="1:91" ht="14.25" customHeight="1">
      <c r="A164" s="443"/>
      <c r="B164" s="443"/>
      <c r="C164" s="443"/>
      <c r="D164" s="443"/>
      <c r="E164" s="443"/>
      <c r="F164" s="443"/>
      <c r="G164" s="443"/>
      <c r="H164" s="443"/>
      <c r="I164" s="443"/>
      <c r="J164" s="443"/>
      <c r="K164" s="443"/>
      <c r="L164" s="443"/>
      <c r="M164" s="443"/>
      <c r="N164" s="443"/>
      <c r="O164" s="443"/>
      <c r="P164" s="443"/>
      <c r="Q164" s="443"/>
      <c r="R164" s="443"/>
      <c r="S164" s="443"/>
      <c r="T164" s="443"/>
      <c r="U164" s="443"/>
      <c r="V164" s="443"/>
      <c r="W164" s="443"/>
      <c r="X164" s="443"/>
      <c r="Y164" s="443"/>
      <c r="Z164" s="443"/>
      <c r="AA164" s="443"/>
      <c r="AB164" s="443"/>
      <c r="AC164" s="443"/>
      <c r="AD164" s="443"/>
      <c r="AE164" s="443"/>
      <c r="AF164" s="444"/>
      <c r="AG164" s="443"/>
      <c r="AH164" s="443"/>
      <c r="AI164" s="443"/>
      <c r="AJ164" s="443"/>
      <c r="AK164" s="443"/>
      <c r="AL164" s="443"/>
      <c r="AM164" s="456"/>
      <c r="AN164" s="456"/>
      <c r="AO164" s="456"/>
      <c r="AP164" s="456"/>
      <c r="AQ164" s="456"/>
      <c r="AR164" s="456"/>
      <c r="AS164" s="456"/>
      <c r="AT164" s="456"/>
      <c r="AU164" s="456"/>
      <c r="AV164" s="456"/>
      <c r="AW164" s="456"/>
      <c r="AX164" s="456"/>
      <c r="AY164" s="456"/>
      <c r="AZ164" s="456"/>
      <c r="BA164" s="456"/>
      <c r="BB164" s="456"/>
      <c r="BC164" s="456"/>
      <c r="BD164" s="456"/>
      <c r="BE164" s="456"/>
      <c r="BF164" s="456"/>
      <c r="BG164" s="456"/>
      <c r="BH164" s="456"/>
      <c r="BI164" s="456"/>
      <c r="BJ164" s="456"/>
      <c r="BK164" s="456"/>
      <c r="BL164" s="456"/>
      <c r="BM164" s="456"/>
      <c r="BN164" s="456"/>
      <c r="BO164" s="456"/>
      <c r="BP164" s="456"/>
      <c r="BQ164" s="456"/>
      <c r="BR164" s="456"/>
      <c r="BS164" s="456"/>
      <c r="BT164" s="456"/>
      <c r="BU164" s="456"/>
      <c r="BV164" s="456"/>
      <c r="BW164" s="456"/>
      <c r="BX164" s="456"/>
      <c r="BY164" s="456"/>
      <c r="BZ164" s="456"/>
      <c r="CA164" s="456"/>
      <c r="CB164" s="456"/>
      <c r="CC164" s="456"/>
      <c r="CD164" s="456"/>
      <c r="CE164" s="456"/>
      <c r="CF164" s="456"/>
      <c r="CG164" s="456"/>
      <c r="CH164" s="456"/>
      <c r="CI164" s="456"/>
      <c r="CJ164" s="456"/>
      <c r="CK164" s="456"/>
      <c r="CL164" s="456"/>
      <c r="CM164" s="456"/>
    </row>
    <row r="165" spans="1:91" ht="14.25" customHeight="1">
      <c r="A165" s="443"/>
      <c r="B165" s="443"/>
      <c r="C165" s="443"/>
      <c r="D165" s="443"/>
      <c r="E165" s="443"/>
      <c r="F165" s="443"/>
      <c r="G165" s="443"/>
      <c r="H165" s="443"/>
      <c r="I165" s="443"/>
      <c r="J165" s="443"/>
      <c r="K165" s="443"/>
      <c r="L165" s="443"/>
      <c r="M165" s="443"/>
      <c r="N165" s="443"/>
      <c r="O165" s="443"/>
      <c r="P165" s="443"/>
      <c r="Q165" s="443"/>
      <c r="R165" s="443"/>
      <c r="S165" s="443"/>
      <c r="T165" s="443"/>
      <c r="U165" s="443"/>
      <c r="V165" s="443"/>
      <c r="W165" s="443"/>
      <c r="X165" s="443"/>
      <c r="Y165" s="443"/>
      <c r="Z165" s="443"/>
      <c r="AA165" s="443"/>
      <c r="AB165" s="443"/>
      <c r="AC165" s="443"/>
      <c r="AD165" s="443"/>
      <c r="AE165" s="443"/>
      <c r="AF165" s="444"/>
      <c r="AG165" s="443"/>
      <c r="AH165" s="443"/>
      <c r="AI165" s="443"/>
      <c r="AJ165" s="443"/>
      <c r="AK165" s="443"/>
      <c r="AL165" s="443"/>
      <c r="AM165" s="456"/>
      <c r="AN165" s="456"/>
      <c r="AO165" s="456"/>
      <c r="AP165" s="456"/>
      <c r="AQ165" s="456"/>
      <c r="AR165" s="456"/>
      <c r="AS165" s="456"/>
      <c r="AT165" s="456"/>
      <c r="AU165" s="456"/>
      <c r="AV165" s="456"/>
      <c r="AW165" s="456"/>
      <c r="AX165" s="456"/>
      <c r="AY165" s="456"/>
      <c r="AZ165" s="456"/>
      <c r="BA165" s="456"/>
      <c r="BB165" s="456"/>
      <c r="BC165" s="456"/>
      <c r="BD165" s="456"/>
      <c r="BE165" s="456"/>
      <c r="BF165" s="456"/>
      <c r="BG165" s="456"/>
      <c r="BH165" s="456"/>
      <c r="BI165" s="456"/>
      <c r="BJ165" s="456"/>
      <c r="BK165" s="456"/>
      <c r="BL165" s="456"/>
      <c r="BM165" s="456"/>
      <c r="BN165" s="456"/>
      <c r="BO165" s="456"/>
      <c r="BP165" s="456"/>
      <c r="BQ165" s="456"/>
      <c r="BR165" s="456"/>
      <c r="BS165" s="456"/>
      <c r="BT165" s="456"/>
      <c r="BU165" s="456"/>
      <c r="BV165" s="456"/>
      <c r="BW165" s="456"/>
      <c r="BX165" s="456"/>
      <c r="BY165" s="456"/>
      <c r="BZ165" s="456"/>
      <c r="CA165" s="456"/>
      <c r="CB165" s="456"/>
      <c r="CC165" s="456"/>
      <c r="CD165" s="456"/>
      <c r="CE165" s="456"/>
      <c r="CF165" s="456"/>
      <c r="CG165" s="456"/>
      <c r="CH165" s="456"/>
      <c r="CI165" s="456"/>
      <c r="CJ165" s="456"/>
      <c r="CK165" s="456"/>
      <c r="CL165" s="456"/>
      <c r="CM165" s="456"/>
    </row>
    <row r="166" spans="1:91" ht="14.25" customHeight="1">
      <c r="A166" s="443"/>
      <c r="B166" s="443"/>
      <c r="C166" s="443"/>
      <c r="D166" s="443"/>
      <c r="E166" s="443"/>
      <c r="F166" s="443"/>
      <c r="G166" s="443"/>
      <c r="H166" s="443"/>
      <c r="I166" s="443"/>
      <c r="J166" s="443"/>
      <c r="K166" s="443"/>
      <c r="L166" s="443"/>
      <c r="M166" s="443"/>
      <c r="N166" s="443"/>
      <c r="O166" s="443"/>
      <c r="P166" s="443"/>
      <c r="Q166" s="443"/>
      <c r="R166" s="443"/>
      <c r="S166" s="443"/>
      <c r="T166" s="443"/>
      <c r="U166" s="443"/>
      <c r="V166" s="443"/>
      <c r="W166" s="443"/>
      <c r="X166" s="443"/>
      <c r="Y166" s="443"/>
      <c r="Z166" s="443"/>
      <c r="AA166" s="443"/>
      <c r="AB166" s="443"/>
      <c r="AC166" s="443"/>
      <c r="AD166" s="443"/>
      <c r="AE166" s="443"/>
      <c r="AF166" s="444"/>
      <c r="AG166" s="443"/>
      <c r="AH166" s="443"/>
      <c r="AI166" s="443"/>
      <c r="AJ166" s="443"/>
      <c r="AK166" s="443"/>
      <c r="AL166" s="443"/>
      <c r="AM166" s="456"/>
      <c r="AN166" s="456"/>
      <c r="AO166" s="456"/>
      <c r="AP166" s="456"/>
      <c r="AQ166" s="456"/>
      <c r="AR166" s="456"/>
      <c r="AS166" s="456"/>
      <c r="AT166" s="456"/>
      <c r="AU166" s="456"/>
      <c r="AV166" s="456"/>
      <c r="AW166" s="456"/>
      <c r="AX166" s="456"/>
      <c r="AY166" s="456"/>
      <c r="AZ166" s="456"/>
      <c r="BA166" s="456"/>
      <c r="BB166" s="456"/>
      <c r="BC166" s="456"/>
      <c r="BD166" s="456"/>
      <c r="BE166" s="456"/>
      <c r="BF166" s="456"/>
      <c r="BG166" s="456"/>
      <c r="BH166" s="456"/>
      <c r="BI166" s="456"/>
      <c r="BJ166" s="456"/>
      <c r="BK166" s="456"/>
      <c r="BL166" s="456"/>
      <c r="BM166" s="456"/>
      <c r="BN166" s="456"/>
      <c r="BO166" s="456"/>
      <c r="BP166" s="456"/>
      <c r="BQ166" s="456"/>
      <c r="BR166" s="456"/>
      <c r="BS166" s="456"/>
      <c r="BT166" s="456"/>
      <c r="BU166" s="456"/>
      <c r="BV166" s="456"/>
      <c r="BW166" s="456"/>
      <c r="BX166" s="456"/>
      <c r="BY166" s="456"/>
      <c r="BZ166" s="456"/>
      <c r="CA166" s="456"/>
      <c r="CB166" s="456"/>
      <c r="CC166" s="456"/>
      <c r="CD166" s="456"/>
      <c r="CE166" s="456"/>
      <c r="CF166" s="456"/>
      <c r="CG166" s="456"/>
      <c r="CH166" s="456"/>
      <c r="CI166" s="456"/>
      <c r="CJ166" s="456"/>
      <c r="CK166" s="456"/>
      <c r="CL166" s="456"/>
      <c r="CM166" s="456"/>
    </row>
    <row r="167" spans="1:91" ht="14.25" customHeight="1">
      <c r="A167" s="443"/>
      <c r="B167" s="443"/>
      <c r="C167" s="443"/>
      <c r="D167" s="443"/>
      <c r="E167" s="443"/>
      <c r="F167" s="443"/>
      <c r="G167" s="443"/>
      <c r="H167" s="443"/>
      <c r="I167" s="443"/>
      <c r="J167" s="443"/>
      <c r="K167" s="443"/>
      <c r="L167" s="443"/>
      <c r="M167" s="443"/>
      <c r="N167" s="443"/>
      <c r="O167" s="443"/>
      <c r="P167" s="443"/>
      <c r="Q167" s="443"/>
      <c r="R167" s="443"/>
      <c r="S167" s="443"/>
      <c r="T167" s="443"/>
      <c r="U167" s="443"/>
      <c r="V167" s="443"/>
      <c r="W167" s="443"/>
      <c r="X167" s="443"/>
      <c r="Y167" s="443"/>
      <c r="Z167" s="443"/>
      <c r="AA167" s="443"/>
      <c r="AB167" s="443"/>
      <c r="AC167" s="443"/>
      <c r="AD167" s="443"/>
      <c r="AE167" s="443"/>
      <c r="AF167" s="444"/>
      <c r="AG167" s="443"/>
      <c r="AH167" s="443"/>
      <c r="AI167" s="443"/>
      <c r="AJ167" s="443"/>
      <c r="AK167" s="443"/>
      <c r="AL167" s="443"/>
      <c r="AM167" s="456"/>
      <c r="AN167" s="456"/>
      <c r="AO167" s="456"/>
      <c r="AP167" s="456"/>
      <c r="AQ167" s="456"/>
      <c r="AR167" s="456"/>
      <c r="AS167" s="456"/>
      <c r="AT167" s="456"/>
      <c r="AU167" s="456"/>
      <c r="AV167" s="456"/>
      <c r="AW167" s="456"/>
      <c r="AX167" s="456"/>
      <c r="AY167" s="456"/>
      <c r="AZ167" s="456"/>
      <c r="BA167" s="456"/>
      <c r="BB167" s="456"/>
      <c r="BC167" s="456"/>
      <c r="BD167" s="456"/>
      <c r="BE167" s="456"/>
      <c r="BF167" s="456"/>
      <c r="BG167" s="456"/>
      <c r="BH167" s="456"/>
      <c r="BI167" s="456"/>
      <c r="BJ167" s="456"/>
      <c r="BK167" s="456"/>
      <c r="BL167" s="456"/>
      <c r="BM167" s="456"/>
      <c r="BN167" s="456"/>
      <c r="BO167" s="456"/>
      <c r="BP167" s="456"/>
      <c r="BQ167" s="456"/>
      <c r="BR167" s="456"/>
      <c r="BS167" s="456"/>
      <c r="BT167" s="456"/>
      <c r="BU167" s="456"/>
      <c r="BV167" s="456"/>
      <c r="BW167" s="456"/>
      <c r="BX167" s="456"/>
      <c r="BY167" s="456"/>
      <c r="BZ167" s="456"/>
      <c r="CA167" s="456"/>
      <c r="CB167" s="456"/>
      <c r="CC167" s="456"/>
      <c r="CD167" s="456"/>
      <c r="CE167" s="456"/>
      <c r="CF167" s="456"/>
      <c r="CG167" s="456"/>
      <c r="CH167" s="456"/>
      <c r="CI167" s="456"/>
      <c r="CJ167" s="456"/>
      <c r="CK167" s="456"/>
      <c r="CL167" s="456"/>
      <c r="CM167" s="456"/>
    </row>
    <row r="168" spans="1:91" ht="14.25" customHeight="1">
      <c r="A168" s="443"/>
      <c r="B168" s="443"/>
      <c r="C168" s="443"/>
      <c r="D168" s="443"/>
      <c r="E168" s="443"/>
      <c r="F168" s="443"/>
      <c r="G168" s="443"/>
      <c r="H168" s="443"/>
      <c r="I168" s="443"/>
      <c r="J168" s="443"/>
      <c r="K168" s="443"/>
      <c r="L168" s="443"/>
      <c r="M168" s="443"/>
      <c r="N168" s="443"/>
      <c r="O168" s="443"/>
      <c r="P168" s="443"/>
      <c r="Q168" s="443"/>
      <c r="R168" s="443"/>
      <c r="S168" s="443"/>
      <c r="T168" s="443"/>
      <c r="U168" s="443"/>
      <c r="V168" s="443"/>
      <c r="W168" s="443"/>
      <c r="X168" s="443"/>
      <c r="Y168" s="443"/>
      <c r="Z168" s="443"/>
      <c r="AA168" s="443"/>
      <c r="AB168" s="443"/>
      <c r="AC168" s="443"/>
      <c r="AD168" s="443"/>
      <c r="AE168" s="443"/>
      <c r="AF168" s="444"/>
      <c r="AG168" s="443"/>
      <c r="AH168" s="443"/>
      <c r="AI168" s="443"/>
      <c r="AJ168" s="443"/>
      <c r="AK168" s="443"/>
      <c r="AL168" s="443"/>
      <c r="AM168" s="456"/>
      <c r="AN168" s="456"/>
      <c r="AO168" s="456"/>
      <c r="AP168" s="456"/>
      <c r="AQ168" s="456"/>
      <c r="AR168" s="456"/>
      <c r="AS168" s="456"/>
      <c r="AT168" s="456"/>
      <c r="AU168" s="456"/>
      <c r="AV168" s="456"/>
      <c r="AW168" s="456"/>
      <c r="AX168" s="456"/>
      <c r="AY168" s="456"/>
      <c r="AZ168" s="456"/>
      <c r="BA168" s="456"/>
      <c r="BB168" s="456"/>
      <c r="BC168" s="456"/>
      <c r="BD168" s="456"/>
      <c r="BE168" s="456"/>
      <c r="BF168" s="456"/>
      <c r="BG168" s="456"/>
      <c r="BH168" s="456"/>
      <c r="BI168" s="456"/>
      <c r="BJ168" s="456"/>
      <c r="BK168" s="456"/>
      <c r="BL168" s="456"/>
      <c r="BM168" s="456"/>
      <c r="BN168" s="456"/>
      <c r="BO168" s="456"/>
      <c r="BP168" s="456"/>
      <c r="BQ168" s="456"/>
      <c r="BR168" s="456"/>
      <c r="BS168" s="456"/>
      <c r="BT168" s="456"/>
      <c r="BU168" s="456"/>
      <c r="BV168" s="456"/>
      <c r="BW168" s="456"/>
      <c r="BX168" s="456"/>
      <c r="BY168" s="456"/>
      <c r="BZ168" s="456"/>
      <c r="CA168" s="456"/>
      <c r="CB168" s="456"/>
      <c r="CC168" s="456"/>
      <c r="CD168" s="456"/>
      <c r="CE168" s="456"/>
      <c r="CF168" s="456"/>
      <c r="CG168" s="456"/>
      <c r="CH168" s="456"/>
      <c r="CI168" s="456"/>
      <c r="CJ168" s="456"/>
      <c r="CK168" s="456"/>
      <c r="CL168" s="456"/>
      <c r="CM168" s="456"/>
    </row>
    <row r="169" spans="1:91" ht="14.25" customHeight="1">
      <c r="A169" s="443"/>
      <c r="B169" s="443"/>
      <c r="C169" s="443"/>
      <c r="D169" s="443"/>
      <c r="E169" s="443"/>
      <c r="F169" s="443"/>
      <c r="G169" s="443"/>
      <c r="H169" s="443"/>
      <c r="I169" s="443"/>
      <c r="J169" s="443"/>
      <c r="K169" s="443"/>
      <c r="L169" s="443"/>
      <c r="M169" s="443"/>
      <c r="N169" s="443"/>
      <c r="O169" s="443"/>
      <c r="P169" s="443"/>
      <c r="Q169" s="443"/>
      <c r="R169" s="443"/>
      <c r="S169" s="443"/>
      <c r="T169" s="443"/>
      <c r="U169" s="443"/>
      <c r="V169" s="443"/>
      <c r="W169" s="443"/>
      <c r="X169" s="443"/>
      <c r="Y169" s="443"/>
      <c r="Z169" s="443"/>
      <c r="AA169" s="443"/>
      <c r="AB169" s="443"/>
      <c r="AC169" s="443"/>
      <c r="AD169" s="443"/>
      <c r="AE169" s="443"/>
      <c r="AF169" s="444"/>
      <c r="AG169" s="443"/>
      <c r="AH169" s="443"/>
      <c r="AI169" s="443"/>
      <c r="AJ169" s="443"/>
      <c r="AK169" s="443"/>
      <c r="AL169" s="443"/>
      <c r="AM169" s="456"/>
      <c r="AN169" s="456"/>
      <c r="AO169" s="456"/>
      <c r="AP169" s="456"/>
      <c r="AQ169" s="456"/>
      <c r="AR169" s="456"/>
      <c r="AS169" s="456"/>
      <c r="AT169" s="456"/>
      <c r="AU169" s="456"/>
      <c r="AV169" s="456"/>
      <c r="AW169" s="456"/>
      <c r="AX169" s="456"/>
      <c r="AY169" s="456"/>
      <c r="AZ169" s="456"/>
      <c r="BA169" s="456"/>
      <c r="BB169" s="456"/>
      <c r="BC169" s="456"/>
      <c r="BD169" s="456"/>
      <c r="BE169" s="456"/>
      <c r="BF169" s="456"/>
      <c r="BG169" s="456"/>
      <c r="BH169" s="456"/>
      <c r="BI169" s="456"/>
      <c r="BJ169" s="456"/>
      <c r="BK169" s="456"/>
      <c r="BL169" s="456"/>
      <c r="BM169" s="456"/>
      <c r="BN169" s="456"/>
      <c r="BO169" s="456"/>
      <c r="BP169" s="456"/>
      <c r="BQ169" s="456"/>
      <c r="BR169" s="456"/>
      <c r="BS169" s="456"/>
      <c r="BT169" s="456"/>
      <c r="BU169" s="456"/>
      <c r="BV169" s="456"/>
      <c r="BW169" s="456"/>
      <c r="BX169" s="456"/>
      <c r="BY169" s="456"/>
      <c r="BZ169" s="456"/>
      <c r="CA169" s="456"/>
      <c r="CB169" s="456"/>
      <c r="CC169" s="456"/>
      <c r="CD169" s="456"/>
      <c r="CE169" s="456"/>
      <c r="CF169" s="456"/>
      <c r="CG169" s="456"/>
      <c r="CH169" s="456"/>
      <c r="CI169" s="456"/>
      <c r="CJ169" s="456"/>
      <c r="CK169" s="456"/>
      <c r="CL169" s="456"/>
      <c r="CM169" s="456"/>
    </row>
    <row r="170" spans="1:91" ht="14.25" customHeight="1">
      <c r="A170" s="443"/>
      <c r="B170" s="443"/>
      <c r="C170" s="443"/>
      <c r="D170" s="443"/>
      <c r="E170" s="443"/>
      <c r="F170" s="443"/>
      <c r="G170" s="443"/>
      <c r="H170" s="443"/>
      <c r="I170" s="443"/>
      <c r="J170" s="443"/>
      <c r="K170" s="443"/>
      <c r="L170" s="443"/>
      <c r="M170" s="443"/>
      <c r="N170" s="443"/>
      <c r="O170" s="443"/>
      <c r="P170" s="443"/>
      <c r="Q170" s="443"/>
      <c r="R170" s="443"/>
      <c r="S170" s="443"/>
      <c r="T170" s="443"/>
      <c r="U170" s="443"/>
      <c r="V170" s="443"/>
      <c r="W170" s="443"/>
      <c r="X170" s="443"/>
      <c r="Y170" s="443"/>
      <c r="Z170" s="443"/>
      <c r="AA170" s="443"/>
      <c r="AB170" s="443"/>
      <c r="AC170" s="443"/>
      <c r="AD170" s="443"/>
      <c r="AE170" s="443"/>
      <c r="AF170" s="444"/>
      <c r="AG170" s="443"/>
      <c r="AH170" s="443"/>
      <c r="AI170" s="443"/>
      <c r="AJ170" s="443"/>
      <c r="AK170" s="443"/>
      <c r="AL170" s="443"/>
      <c r="AM170" s="456"/>
      <c r="AN170" s="456"/>
      <c r="AO170" s="456"/>
      <c r="AP170" s="456"/>
      <c r="AQ170" s="456"/>
      <c r="AR170" s="456"/>
      <c r="AS170" s="456"/>
      <c r="AT170" s="456"/>
      <c r="AU170" s="456"/>
      <c r="AV170" s="456"/>
      <c r="AW170" s="456"/>
      <c r="AX170" s="456"/>
      <c r="AY170" s="456"/>
      <c r="AZ170" s="456"/>
      <c r="BA170" s="456"/>
      <c r="BB170" s="456"/>
      <c r="BC170" s="456"/>
      <c r="BD170" s="456"/>
      <c r="BE170" s="456"/>
      <c r="BF170" s="456"/>
      <c r="BG170" s="456"/>
      <c r="BH170" s="456"/>
      <c r="BI170" s="456"/>
      <c r="BJ170" s="456"/>
      <c r="BK170" s="456"/>
      <c r="BL170" s="456"/>
      <c r="BM170" s="456"/>
      <c r="BN170" s="456"/>
      <c r="BO170" s="456"/>
      <c r="BP170" s="456"/>
      <c r="BQ170" s="456"/>
      <c r="BR170" s="456"/>
      <c r="BS170" s="456"/>
      <c r="BT170" s="456"/>
      <c r="BU170" s="456"/>
      <c r="BV170" s="456"/>
      <c r="BW170" s="456"/>
      <c r="BX170" s="456"/>
      <c r="BY170" s="456"/>
      <c r="BZ170" s="456"/>
      <c r="CA170" s="456"/>
      <c r="CB170" s="456"/>
      <c r="CC170" s="456"/>
      <c r="CD170" s="456"/>
      <c r="CE170" s="456"/>
      <c r="CF170" s="456"/>
      <c r="CG170" s="456"/>
      <c r="CH170" s="456"/>
      <c r="CI170" s="456"/>
      <c r="CJ170" s="456"/>
      <c r="CK170" s="456"/>
      <c r="CL170" s="456"/>
      <c r="CM170" s="456"/>
    </row>
    <row r="171" spans="1:91" ht="14.25" customHeight="1">
      <c r="A171" s="443"/>
      <c r="B171" s="443"/>
      <c r="C171" s="443"/>
      <c r="D171" s="443"/>
      <c r="E171" s="443"/>
      <c r="F171" s="443"/>
      <c r="G171" s="443"/>
      <c r="H171" s="443"/>
      <c r="I171" s="443"/>
      <c r="J171" s="443"/>
      <c r="K171" s="443"/>
      <c r="L171" s="443"/>
      <c r="M171" s="443"/>
      <c r="N171" s="443"/>
      <c r="O171" s="443"/>
      <c r="P171" s="443"/>
      <c r="Q171" s="443"/>
      <c r="R171" s="443"/>
      <c r="S171" s="443"/>
      <c r="T171" s="443"/>
      <c r="U171" s="443"/>
      <c r="V171" s="443"/>
      <c r="W171" s="443"/>
      <c r="X171" s="443"/>
      <c r="Y171" s="443"/>
      <c r="Z171" s="443"/>
      <c r="AA171" s="443"/>
      <c r="AB171" s="443"/>
      <c r="AC171" s="443"/>
      <c r="AD171" s="443"/>
      <c r="AE171" s="443"/>
      <c r="AF171" s="444"/>
      <c r="AG171" s="443"/>
      <c r="AH171" s="443"/>
      <c r="AI171" s="443"/>
      <c r="AJ171" s="443"/>
      <c r="AK171" s="443"/>
      <c r="AL171" s="443"/>
      <c r="AM171" s="456"/>
      <c r="AN171" s="456"/>
      <c r="AO171" s="456"/>
      <c r="AP171" s="456"/>
      <c r="AQ171" s="456"/>
      <c r="AR171" s="456"/>
      <c r="AS171" s="456"/>
      <c r="AT171" s="456"/>
      <c r="AU171" s="456"/>
      <c r="AV171" s="456"/>
      <c r="AW171" s="456"/>
      <c r="AX171" s="456"/>
      <c r="AY171" s="456"/>
      <c r="AZ171" s="456"/>
      <c r="BA171" s="456"/>
      <c r="BB171" s="456"/>
      <c r="BC171" s="456"/>
      <c r="BD171" s="456"/>
      <c r="BE171" s="456"/>
      <c r="BF171" s="456"/>
      <c r="BG171" s="456"/>
      <c r="BH171" s="456"/>
      <c r="BI171" s="456"/>
      <c r="BJ171" s="456"/>
      <c r="BK171" s="456"/>
      <c r="BL171" s="456"/>
      <c r="BM171" s="456"/>
      <c r="BN171" s="456"/>
      <c r="BO171" s="456"/>
      <c r="BP171" s="456"/>
      <c r="BQ171" s="456"/>
      <c r="BR171" s="456"/>
      <c r="BS171" s="456"/>
      <c r="BT171" s="456"/>
      <c r="BU171" s="456"/>
      <c r="BV171" s="456"/>
      <c r="BW171" s="456"/>
      <c r="BX171" s="456"/>
      <c r="BY171" s="456"/>
      <c r="BZ171" s="456"/>
      <c r="CA171" s="456"/>
      <c r="CB171" s="456"/>
      <c r="CC171" s="456"/>
      <c r="CD171" s="456"/>
      <c r="CE171" s="456"/>
      <c r="CF171" s="456"/>
      <c r="CG171" s="456"/>
      <c r="CH171" s="456"/>
      <c r="CI171" s="456"/>
      <c r="CJ171" s="456"/>
      <c r="CK171" s="456"/>
      <c r="CL171" s="456"/>
      <c r="CM171" s="456"/>
    </row>
    <row r="172" spans="1:91" ht="14.25" customHeight="1">
      <c r="A172" s="443"/>
      <c r="B172" s="443"/>
      <c r="C172" s="443"/>
      <c r="D172" s="443"/>
      <c r="E172" s="443"/>
      <c r="F172" s="443"/>
      <c r="G172" s="443"/>
      <c r="H172" s="443"/>
      <c r="I172" s="443"/>
      <c r="J172" s="443"/>
      <c r="K172" s="443"/>
      <c r="L172" s="443"/>
      <c r="M172" s="443"/>
      <c r="N172" s="443"/>
      <c r="O172" s="443"/>
      <c r="P172" s="443"/>
      <c r="Q172" s="443"/>
      <c r="R172" s="443"/>
      <c r="S172" s="443"/>
      <c r="T172" s="443"/>
      <c r="U172" s="443"/>
      <c r="V172" s="443"/>
      <c r="W172" s="443"/>
      <c r="X172" s="443"/>
      <c r="Y172" s="443"/>
      <c r="Z172" s="443"/>
      <c r="AA172" s="443"/>
      <c r="AB172" s="443"/>
      <c r="AC172" s="443"/>
      <c r="AD172" s="443"/>
      <c r="AE172" s="443"/>
      <c r="AF172" s="444"/>
      <c r="AG172" s="443"/>
      <c r="AH172" s="443"/>
      <c r="AI172" s="443"/>
      <c r="AJ172" s="443"/>
      <c r="AK172" s="443"/>
      <c r="AL172" s="443"/>
      <c r="AM172" s="456"/>
      <c r="AN172" s="456"/>
      <c r="AO172" s="456"/>
      <c r="AP172" s="456"/>
      <c r="AQ172" s="456"/>
      <c r="AR172" s="456"/>
      <c r="AS172" s="456"/>
      <c r="AT172" s="456"/>
      <c r="AU172" s="456"/>
      <c r="AV172" s="456"/>
      <c r="AW172" s="456"/>
      <c r="AX172" s="456"/>
      <c r="AY172" s="456"/>
      <c r="AZ172" s="456"/>
      <c r="BA172" s="456"/>
      <c r="BB172" s="456"/>
      <c r="BC172" s="456"/>
      <c r="BD172" s="456"/>
      <c r="BE172" s="456"/>
      <c r="BF172" s="456"/>
      <c r="BG172" s="456"/>
      <c r="BH172" s="456"/>
      <c r="BI172" s="456"/>
      <c r="BJ172" s="456"/>
      <c r="BK172" s="456"/>
      <c r="BL172" s="456"/>
      <c r="BM172" s="456"/>
      <c r="BN172" s="456"/>
      <c r="BO172" s="456"/>
      <c r="BP172" s="456"/>
      <c r="BQ172" s="456"/>
      <c r="BR172" s="456"/>
      <c r="BS172" s="456"/>
      <c r="BT172" s="456"/>
      <c r="BU172" s="456"/>
      <c r="BV172" s="456"/>
      <c r="BW172" s="456"/>
      <c r="BX172" s="456"/>
      <c r="BY172" s="456"/>
      <c r="BZ172" s="456"/>
      <c r="CA172" s="456"/>
      <c r="CB172" s="456"/>
      <c r="CC172" s="456"/>
      <c r="CD172" s="456"/>
      <c r="CE172" s="456"/>
      <c r="CF172" s="456"/>
      <c r="CG172" s="456"/>
      <c r="CH172" s="456"/>
      <c r="CI172" s="456"/>
      <c r="CJ172" s="456"/>
      <c r="CK172" s="456"/>
      <c r="CL172" s="456"/>
      <c r="CM172" s="456"/>
    </row>
    <row r="173" spans="1:91" ht="14.25" customHeight="1">
      <c r="A173" s="443"/>
      <c r="B173" s="443"/>
      <c r="C173" s="443"/>
      <c r="D173" s="443"/>
      <c r="E173" s="443"/>
      <c r="F173" s="443"/>
      <c r="G173" s="443"/>
      <c r="H173" s="443"/>
      <c r="I173" s="443"/>
      <c r="J173" s="443"/>
      <c r="K173" s="443"/>
      <c r="L173" s="443"/>
      <c r="M173" s="443"/>
      <c r="N173" s="443"/>
      <c r="O173" s="443"/>
      <c r="P173" s="443"/>
      <c r="Q173" s="443"/>
      <c r="R173" s="443"/>
      <c r="S173" s="443"/>
      <c r="T173" s="443"/>
      <c r="U173" s="443"/>
      <c r="V173" s="443"/>
      <c r="W173" s="443"/>
      <c r="X173" s="443"/>
      <c r="Y173" s="443"/>
      <c r="Z173" s="443"/>
      <c r="AA173" s="443"/>
      <c r="AB173" s="443"/>
      <c r="AC173" s="443"/>
      <c r="AD173" s="443"/>
      <c r="AE173" s="443"/>
      <c r="AF173" s="444"/>
      <c r="AG173" s="443"/>
      <c r="AH173" s="443"/>
      <c r="AI173" s="443"/>
      <c r="AJ173" s="443"/>
      <c r="AK173" s="443"/>
      <c r="AL173" s="443"/>
      <c r="AM173" s="456"/>
      <c r="AN173" s="456"/>
      <c r="AO173" s="456"/>
      <c r="AP173" s="456"/>
      <c r="AQ173" s="456"/>
      <c r="AR173" s="456"/>
      <c r="AS173" s="456"/>
      <c r="AT173" s="456"/>
      <c r="AU173" s="456"/>
      <c r="AV173" s="456"/>
      <c r="AW173" s="456"/>
      <c r="AX173" s="456"/>
      <c r="AY173" s="456"/>
      <c r="AZ173" s="456"/>
      <c r="BA173" s="456"/>
      <c r="BB173" s="456"/>
      <c r="BC173" s="456"/>
      <c r="BD173" s="456"/>
      <c r="BE173" s="456"/>
      <c r="BF173" s="456"/>
      <c r="BG173" s="456"/>
      <c r="BH173" s="456"/>
      <c r="BI173" s="456"/>
      <c r="BJ173" s="456"/>
      <c r="BK173" s="456"/>
      <c r="BL173" s="456"/>
      <c r="BM173" s="456"/>
      <c r="BN173" s="456"/>
      <c r="BO173" s="456"/>
      <c r="BP173" s="456"/>
      <c r="BQ173" s="456"/>
      <c r="BR173" s="456"/>
      <c r="BS173" s="456"/>
      <c r="BT173" s="456"/>
      <c r="BU173" s="456"/>
      <c r="BV173" s="456"/>
      <c r="BW173" s="456"/>
      <c r="BX173" s="456"/>
      <c r="BY173" s="456"/>
      <c r="BZ173" s="456"/>
      <c r="CA173" s="456"/>
      <c r="CB173" s="456"/>
      <c r="CC173" s="456"/>
      <c r="CD173" s="456"/>
      <c r="CE173" s="456"/>
      <c r="CF173" s="456"/>
      <c r="CG173" s="456"/>
      <c r="CH173" s="456"/>
      <c r="CI173" s="456"/>
      <c r="CJ173" s="456"/>
      <c r="CK173" s="456"/>
      <c r="CL173" s="456"/>
      <c r="CM173" s="456"/>
    </row>
    <row r="174" spans="1:91" ht="14.25" customHeight="1">
      <c r="A174" s="443"/>
      <c r="B174" s="443"/>
      <c r="C174" s="443"/>
      <c r="D174" s="443"/>
      <c r="E174" s="443"/>
      <c r="F174" s="443"/>
      <c r="G174" s="443"/>
      <c r="H174" s="443"/>
      <c r="I174" s="443"/>
      <c r="J174" s="443"/>
      <c r="K174" s="443"/>
      <c r="L174" s="443"/>
      <c r="M174" s="443"/>
      <c r="N174" s="443"/>
      <c r="O174" s="443"/>
      <c r="P174" s="443"/>
      <c r="Q174" s="443"/>
      <c r="R174" s="443"/>
      <c r="S174" s="443"/>
      <c r="T174" s="443"/>
      <c r="U174" s="443"/>
      <c r="V174" s="443"/>
      <c r="W174" s="443"/>
      <c r="X174" s="443"/>
      <c r="Y174" s="443"/>
      <c r="Z174" s="443"/>
      <c r="AA174" s="443"/>
      <c r="AB174" s="443"/>
      <c r="AC174" s="443"/>
      <c r="AD174" s="443"/>
      <c r="AE174" s="443"/>
      <c r="AF174" s="444"/>
      <c r="AG174" s="443"/>
      <c r="AH174" s="443"/>
      <c r="AI174" s="443"/>
      <c r="AJ174" s="443"/>
      <c r="AK174" s="443"/>
      <c r="AL174" s="443"/>
      <c r="AM174" s="456"/>
      <c r="AN174" s="456"/>
      <c r="AO174" s="456"/>
      <c r="AP174" s="456"/>
      <c r="AQ174" s="456"/>
      <c r="AR174" s="456"/>
      <c r="AS174" s="456"/>
      <c r="AT174" s="456"/>
      <c r="AU174" s="456"/>
      <c r="AV174" s="456"/>
      <c r="AW174" s="456"/>
      <c r="AX174" s="456"/>
      <c r="AY174" s="456"/>
      <c r="AZ174" s="456"/>
      <c r="BA174" s="456"/>
      <c r="BB174" s="456"/>
      <c r="BC174" s="456"/>
      <c r="BD174" s="456"/>
      <c r="BE174" s="456"/>
      <c r="BF174" s="456"/>
      <c r="BG174" s="456"/>
      <c r="BH174" s="456"/>
      <c r="BI174" s="456"/>
      <c r="BJ174" s="456"/>
      <c r="BK174" s="456"/>
      <c r="BL174" s="456"/>
      <c r="BM174" s="456"/>
      <c r="BN174" s="456"/>
      <c r="BO174" s="456"/>
      <c r="BP174" s="456"/>
      <c r="BQ174" s="456"/>
      <c r="BR174" s="456"/>
      <c r="BS174" s="456"/>
      <c r="BT174" s="456"/>
      <c r="BU174" s="456"/>
      <c r="BV174" s="456"/>
      <c r="BW174" s="456"/>
      <c r="BX174" s="456"/>
      <c r="BY174" s="456"/>
      <c r="BZ174" s="456"/>
      <c r="CA174" s="456"/>
      <c r="CB174" s="456"/>
      <c r="CC174" s="456"/>
      <c r="CD174" s="456"/>
      <c r="CE174" s="456"/>
      <c r="CF174" s="456"/>
      <c r="CG174" s="456"/>
      <c r="CH174" s="456"/>
      <c r="CI174" s="456"/>
      <c r="CJ174" s="456"/>
      <c r="CK174" s="456"/>
      <c r="CL174" s="456"/>
      <c r="CM174" s="456"/>
    </row>
    <row r="175" spans="1:91" ht="14.25" customHeight="1">
      <c r="A175" s="443"/>
      <c r="B175" s="443"/>
      <c r="C175" s="443"/>
      <c r="D175" s="443"/>
      <c r="E175" s="443"/>
      <c r="F175" s="443"/>
      <c r="G175" s="443"/>
      <c r="H175" s="443"/>
      <c r="I175" s="443"/>
      <c r="J175" s="443"/>
      <c r="K175" s="443"/>
      <c r="L175" s="443"/>
      <c r="M175" s="443"/>
      <c r="N175" s="443"/>
      <c r="O175" s="443"/>
      <c r="P175" s="443"/>
      <c r="Q175" s="443"/>
      <c r="R175" s="443"/>
      <c r="S175" s="443"/>
      <c r="T175" s="443"/>
      <c r="U175" s="443"/>
      <c r="V175" s="443"/>
      <c r="W175" s="443"/>
      <c r="X175" s="443"/>
      <c r="Y175" s="443"/>
      <c r="Z175" s="443"/>
      <c r="AA175" s="443"/>
      <c r="AB175" s="443"/>
      <c r="AC175" s="443"/>
      <c r="AD175" s="443"/>
      <c r="AE175" s="443"/>
      <c r="AF175" s="444"/>
      <c r="AG175" s="443"/>
      <c r="AH175" s="443"/>
      <c r="AI175" s="443"/>
      <c r="AJ175" s="443"/>
      <c r="AK175" s="443"/>
      <c r="AL175" s="443"/>
      <c r="AM175" s="456"/>
      <c r="AN175" s="456"/>
      <c r="AO175" s="456"/>
      <c r="AP175" s="456"/>
      <c r="AQ175" s="456"/>
      <c r="AR175" s="456"/>
      <c r="AS175" s="456"/>
      <c r="AT175" s="456"/>
      <c r="AU175" s="456"/>
      <c r="AV175" s="456"/>
      <c r="AW175" s="456"/>
      <c r="AX175" s="456"/>
      <c r="AY175" s="456"/>
      <c r="AZ175" s="456"/>
      <c r="BA175" s="456"/>
      <c r="BB175" s="456"/>
      <c r="BC175" s="456"/>
      <c r="BD175" s="456"/>
      <c r="BE175" s="456"/>
      <c r="BF175" s="456"/>
      <c r="BG175" s="456"/>
      <c r="BH175" s="456"/>
      <c r="BI175" s="456"/>
      <c r="BJ175" s="456"/>
      <c r="BK175" s="456"/>
      <c r="BL175" s="456"/>
      <c r="BM175" s="456"/>
      <c r="BN175" s="456"/>
      <c r="BO175" s="456"/>
      <c r="BP175" s="456"/>
      <c r="BQ175" s="456"/>
      <c r="BR175" s="456"/>
      <c r="BS175" s="456"/>
      <c r="BT175" s="456"/>
      <c r="BU175" s="456"/>
      <c r="BV175" s="456"/>
      <c r="BW175" s="456"/>
      <c r="BX175" s="456"/>
      <c r="BY175" s="456"/>
      <c r="BZ175" s="456"/>
      <c r="CA175" s="456"/>
      <c r="CB175" s="456"/>
      <c r="CC175" s="456"/>
      <c r="CD175" s="456"/>
      <c r="CE175" s="456"/>
      <c r="CF175" s="456"/>
      <c r="CG175" s="456"/>
      <c r="CH175" s="456"/>
      <c r="CI175" s="456"/>
      <c r="CJ175" s="456"/>
      <c r="CK175" s="456"/>
      <c r="CL175" s="456"/>
      <c r="CM175" s="456"/>
    </row>
    <row r="176" spans="1:91" ht="14.25" customHeight="1">
      <c r="A176" s="443"/>
      <c r="B176" s="443"/>
      <c r="C176" s="443"/>
      <c r="D176" s="443"/>
      <c r="E176" s="443"/>
      <c r="F176" s="443"/>
      <c r="G176" s="443"/>
      <c r="H176" s="443"/>
      <c r="I176" s="443"/>
      <c r="J176" s="443"/>
      <c r="K176" s="443"/>
      <c r="L176" s="443"/>
      <c r="M176" s="443"/>
      <c r="N176" s="443"/>
      <c r="O176" s="443"/>
      <c r="P176" s="443"/>
      <c r="Q176" s="443"/>
      <c r="R176" s="443"/>
      <c r="S176" s="443"/>
      <c r="T176" s="443"/>
      <c r="U176" s="443"/>
      <c r="V176" s="443"/>
      <c r="W176" s="443"/>
      <c r="X176" s="443"/>
      <c r="Y176" s="443"/>
      <c r="Z176" s="443"/>
      <c r="AA176" s="443"/>
      <c r="AB176" s="443"/>
      <c r="AC176" s="443"/>
      <c r="AD176" s="443"/>
      <c r="AE176" s="443"/>
      <c r="AF176" s="444"/>
      <c r="AG176" s="443"/>
      <c r="AH176" s="443"/>
      <c r="AI176" s="443"/>
      <c r="AJ176" s="443"/>
      <c r="AK176" s="443"/>
      <c r="AL176" s="443"/>
      <c r="AM176" s="456"/>
      <c r="AN176" s="456"/>
      <c r="AO176" s="456"/>
      <c r="AP176" s="456"/>
      <c r="AQ176" s="456"/>
      <c r="AR176" s="456"/>
      <c r="AS176" s="456"/>
      <c r="AT176" s="456"/>
      <c r="AU176" s="456"/>
      <c r="AV176" s="456"/>
      <c r="AW176" s="456"/>
      <c r="AX176" s="456"/>
      <c r="AY176" s="456"/>
      <c r="AZ176" s="456"/>
      <c r="BA176" s="456"/>
      <c r="BB176" s="456"/>
      <c r="BC176" s="456"/>
      <c r="BD176" s="456"/>
      <c r="BE176" s="456"/>
      <c r="BF176" s="456"/>
      <c r="BG176" s="456"/>
      <c r="BH176" s="456"/>
      <c r="BI176" s="456"/>
      <c r="BJ176" s="456"/>
      <c r="BK176" s="456"/>
      <c r="BL176" s="456"/>
      <c r="BM176" s="456"/>
      <c r="BN176" s="456"/>
      <c r="BO176" s="456"/>
      <c r="BP176" s="456"/>
      <c r="BQ176" s="456"/>
      <c r="BR176" s="456"/>
      <c r="BS176" s="456"/>
      <c r="BT176" s="456"/>
      <c r="BU176" s="456"/>
      <c r="BV176" s="456"/>
      <c r="BW176" s="456"/>
      <c r="BX176" s="456"/>
      <c r="BY176" s="456"/>
      <c r="BZ176" s="456"/>
      <c r="CA176" s="456"/>
      <c r="CB176" s="456"/>
      <c r="CC176" s="456"/>
      <c r="CD176" s="456"/>
      <c r="CE176" s="456"/>
      <c r="CF176" s="456"/>
      <c r="CG176" s="456"/>
      <c r="CH176" s="456"/>
      <c r="CI176" s="456"/>
      <c r="CJ176" s="456"/>
      <c r="CK176" s="456"/>
      <c r="CL176" s="456"/>
      <c r="CM176" s="456"/>
    </row>
    <row r="177" spans="1:91" ht="14.25" customHeight="1">
      <c r="A177" s="443"/>
      <c r="B177" s="443"/>
      <c r="C177" s="443"/>
      <c r="D177" s="443"/>
      <c r="E177" s="443"/>
      <c r="F177" s="443"/>
      <c r="G177" s="443"/>
      <c r="H177" s="443"/>
      <c r="I177" s="443"/>
      <c r="J177" s="443"/>
      <c r="K177" s="443"/>
      <c r="L177" s="443"/>
      <c r="M177" s="443"/>
      <c r="N177" s="443"/>
      <c r="O177" s="443"/>
      <c r="P177" s="443"/>
      <c r="Q177" s="443"/>
      <c r="R177" s="443"/>
      <c r="S177" s="443"/>
      <c r="T177" s="443"/>
      <c r="U177" s="443"/>
      <c r="V177" s="443"/>
      <c r="W177" s="443"/>
      <c r="X177" s="443"/>
      <c r="Y177" s="443"/>
      <c r="Z177" s="443"/>
      <c r="AA177" s="443"/>
      <c r="AB177" s="443"/>
      <c r="AC177" s="443"/>
      <c r="AD177" s="443"/>
      <c r="AE177" s="443"/>
      <c r="AF177" s="444"/>
      <c r="AG177" s="443"/>
      <c r="AH177" s="443"/>
      <c r="AI177" s="443"/>
      <c r="AJ177" s="443"/>
      <c r="AK177" s="443"/>
      <c r="AL177" s="443"/>
      <c r="AM177" s="456"/>
      <c r="AN177" s="456"/>
      <c r="AO177" s="456"/>
      <c r="AP177" s="456"/>
      <c r="AQ177" s="456"/>
      <c r="AR177" s="456"/>
      <c r="AS177" s="456"/>
      <c r="AT177" s="456"/>
      <c r="AU177" s="456"/>
      <c r="AV177" s="456"/>
      <c r="AW177" s="456"/>
      <c r="AX177" s="456"/>
      <c r="AY177" s="456"/>
      <c r="AZ177" s="456"/>
      <c r="BA177" s="456"/>
      <c r="BB177" s="456"/>
      <c r="BC177" s="456"/>
      <c r="BD177" s="456"/>
      <c r="BE177" s="456"/>
      <c r="BF177" s="456"/>
      <c r="BG177" s="456"/>
      <c r="BH177" s="456"/>
      <c r="BI177" s="456"/>
      <c r="BJ177" s="456"/>
      <c r="BK177" s="456"/>
      <c r="BL177" s="456"/>
      <c r="BM177" s="456"/>
      <c r="BN177" s="456"/>
      <c r="BO177" s="456"/>
      <c r="BP177" s="456"/>
      <c r="BQ177" s="456"/>
      <c r="BR177" s="456"/>
      <c r="BS177" s="456"/>
      <c r="BT177" s="456"/>
      <c r="BU177" s="456"/>
      <c r="BV177" s="456"/>
      <c r="BW177" s="456"/>
      <c r="BX177" s="456"/>
      <c r="BY177" s="456"/>
      <c r="BZ177" s="456"/>
      <c r="CA177" s="456"/>
      <c r="CB177" s="456"/>
      <c r="CC177" s="456"/>
      <c r="CD177" s="456"/>
      <c r="CE177" s="456"/>
      <c r="CF177" s="456"/>
      <c r="CG177" s="456"/>
      <c r="CH177" s="456"/>
      <c r="CI177" s="456"/>
      <c r="CJ177" s="456"/>
      <c r="CK177" s="456"/>
      <c r="CL177" s="456"/>
      <c r="CM177" s="456"/>
    </row>
    <row r="178" spans="1:91" ht="14.25" customHeight="1">
      <c r="A178" s="443"/>
      <c r="B178" s="443"/>
      <c r="C178" s="443"/>
      <c r="D178" s="443"/>
      <c r="E178" s="443"/>
      <c r="F178" s="443"/>
      <c r="G178" s="443"/>
      <c r="H178" s="443"/>
      <c r="I178" s="443"/>
      <c r="J178" s="443"/>
      <c r="K178" s="443"/>
      <c r="L178" s="443"/>
      <c r="M178" s="443"/>
      <c r="N178" s="443"/>
      <c r="O178" s="443"/>
      <c r="P178" s="443"/>
      <c r="Q178" s="443"/>
      <c r="R178" s="443"/>
      <c r="S178" s="443"/>
      <c r="T178" s="443"/>
      <c r="U178" s="443"/>
      <c r="V178" s="443"/>
      <c r="W178" s="443"/>
      <c r="X178" s="443"/>
      <c r="Y178" s="443"/>
      <c r="Z178" s="443"/>
      <c r="AA178" s="443"/>
      <c r="AB178" s="443"/>
      <c r="AC178" s="443"/>
      <c r="AD178" s="443"/>
      <c r="AE178" s="443"/>
      <c r="AF178" s="444"/>
      <c r="AG178" s="443"/>
      <c r="AH178" s="443"/>
      <c r="AI178" s="443"/>
      <c r="AJ178" s="443"/>
      <c r="AK178" s="443"/>
      <c r="AL178" s="443"/>
      <c r="AM178" s="456"/>
      <c r="AN178" s="456"/>
      <c r="AO178" s="456"/>
      <c r="AP178" s="456"/>
      <c r="AQ178" s="456"/>
      <c r="AR178" s="456"/>
      <c r="AS178" s="456"/>
      <c r="AT178" s="456"/>
      <c r="AU178" s="456"/>
      <c r="AV178" s="456"/>
      <c r="AW178" s="456"/>
      <c r="AX178" s="456"/>
      <c r="AY178" s="456"/>
      <c r="AZ178" s="456"/>
      <c r="BA178" s="456"/>
      <c r="BB178" s="456"/>
      <c r="BC178" s="456"/>
      <c r="BD178" s="456"/>
      <c r="BE178" s="456"/>
      <c r="BF178" s="456"/>
      <c r="BG178" s="456"/>
      <c r="BH178" s="456"/>
      <c r="BI178" s="456"/>
      <c r="BJ178" s="456"/>
      <c r="BK178" s="456"/>
      <c r="BL178" s="456"/>
      <c r="BM178" s="456"/>
      <c r="BN178" s="456"/>
      <c r="BO178" s="456"/>
      <c r="BP178" s="456"/>
      <c r="BQ178" s="456"/>
      <c r="BR178" s="456"/>
      <c r="BS178" s="456"/>
      <c r="BT178" s="456"/>
      <c r="BU178" s="456"/>
      <c r="BV178" s="456"/>
      <c r="BW178" s="456"/>
      <c r="BX178" s="456"/>
      <c r="BY178" s="456"/>
      <c r="BZ178" s="456"/>
      <c r="CA178" s="456"/>
      <c r="CB178" s="456"/>
      <c r="CC178" s="456"/>
      <c r="CD178" s="456"/>
      <c r="CE178" s="456"/>
      <c r="CF178" s="456"/>
      <c r="CG178" s="456"/>
      <c r="CH178" s="456"/>
      <c r="CI178" s="456"/>
      <c r="CJ178" s="456"/>
      <c r="CK178" s="456"/>
      <c r="CL178" s="456"/>
      <c r="CM178" s="456"/>
    </row>
    <row r="179" spans="1:91" ht="14.25" customHeight="1">
      <c r="A179" s="443"/>
      <c r="B179" s="443"/>
      <c r="C179" s="443"/>
      <c r="D179" s="443"/>
      <c r="E179" s="443"/>
      <c r="F179" s="443"/>
      <c r="G179" s="443"/>
      <c r="H179" s="443"/>
      <c r="I179" s="443"/>
      <c r="J179" s="443"/>
      <c r="K179" s="443"/>
      <c r="L179" s="443"/>
      <c r="M179" s="443"/>
      <c r="N179" s="443"/>
      <c r="O179" s="443"/>
      <c r="P179" s="443"/>
      <c r="Q179" s="443"/>
      <c r="R179" s="443"/>
      <c r="S179" s="443"/>
      <c r="T179" s="443"/>
      <c r="U179" s="443"/>
      <c r="V179" s="443"/>
      <c r="W179" s="443"/>
      <c r="X179" s="443"/>
      <c r="Y179" s="443"/>
      <c r="Z179" s="443"/>
      <c r="AA179" s="443"/>
      <c r="AB179" s="443"/>
      <c r="AC179" s="443"/>
      <c r="AD179" s="443"/>
      <c r="AE179" s="443"/>
      <c r="AF179" s="444"/>
      <c r="AG179" s="443"/>
      <c r="AH179" s="443"/>
      <c r="AI179" s="443"/>
      <c r="AJ179" s="443"/>
      <c r="AK179" s="443"/>
      <c r="AL179" s="443"/>
      <c r="AM179" s="456"/>
      <c r="AN179" s="456"/>
      <c r="AO179" s="456"/>
      <c r="AP179" s="456"/>
      <c r="AQ179" s="456"/>
      <c r="AR179" s="456"/>
      <c r="AS179" s="456"/>
      <c r="AT179" s="456"/>
      <c r="AU179" s="456"/>
      <c r="AV179" s="456"/>
      <c r="AW179" s="456"/>
      <c r="AX179" s="456"/>
      <c r="AY179" s="456"/>
      <c r="AZ179" s="456"/>
      <c r="BA179" s="456"/>
      <c r="BB179" s="456"/>
      <c r="BC179" s="456"/>
      <c r="BD179" s="456"/>
      <c r="BE179" s="456"/>
      <c r="BF179" s="456"/>
      <c r="BG179" s="456"/>
      <c r="BH179" s="456"/>
      <c r="BI179" s="456"/>
      <c r="BJ179" s="456"/>
      <c r="BK179" s="456"/>
      <c r="BL179" s="456"/>
      <c r="BM179" s="456"/>
      <c r="BN179" s="456"/>
      <c r="BO179" s="456"/>
      <c r="BP179" s="456"/>
      <c r="BQ179" s="456"/>
      <c r="BR179" s="456"/>
      <c r="BS179" s="456"/>
      <c r="BT179" s="456"/>
      <c r="BU179" s="456"/>
      <c r="BV179" s="456"/>
      <c r="BW179" s="456"/>
      <c r="BX179" s="456"/>
      <c r="BY179" s="456"/>
      <c r="BZ179" s="456"/>
      <c r="CA179" s="456"/>
      <c r="CB179" s="456"/>
      <c r="CC179" s="456"/>
      <c r="CD179" s="456"/>
      <c r="CE179" s="456"/>
      <c r="CF179" s="456"/>
      <c r="CG179" s="456"/>
      <c r="CH179" s="456"/>
      <c r="CI179" s="456"/>
      <c r="CJ179" s="456"/>
      <c r="CK179" s="456"/>
      <c r="CL179" s="456"/>
      <c r="CM179" s="456"/>
    </row>
    <row r="180" spans="1:91" ht="14.25" customHeight="1">
      <c r="A180" s="443"/>
      <c r="B180" s="443"/>
      <c r="C180" s="443"/>
      <c r="D180" s="443"/>
      <c r="E180" s="443"/>
      <c r="F180" s="443"/>
      <c r="G180" s="443"/>
      <c r="H180" s="443"/>
      <c r="I180" s="443"/>
      <c r="J180" s="443"/>
      <c r="K180" s="443"/>
      <c r="L180" s="443"/>
      <c r="M180" s="443"/>
      <c r="N180" s="443"/>
      <c r="O180" s="443"/>
      <c r="P180" s="443"/>
      <c r="Q180" s="443"/>
      <c r="R180" s="443"/>
      <c r="S180" s="443"/>
      <c r="T180" s="443"/>
      <c r="U180" s="443"/>
      <c r="V180" s="443"/>
      <c r="W180" s="443"/>
      <c r="X180" s="443"/>
      <c r="Y180" s="443"/>
      <c r="Z180" s="443"/>
      <c r="AA180" s="443"/>
      <c r="AB180" s="443"/>
      <c r="AC180" s="443"/>
      <c r="AD180" s="443"/>
      <c r="AE180" s="443"/>
      <c r="AF180" s="444"/>
      <c r="AG180" s="443"/>
      <c r="AH180" s="443"/>
      <c r="AI180" s="443"/>
      <c r="AJ180" s="443"/>
      <c r="AK180" s="443"/>
      <c r="AL180" s="443"/>
      <c r="AM180" s="456"/>
      <c r="AN180" s="456"/>
      <c r="AO180" s="456"/>
      <c r="AP180" s="456"/>
      <c r="AQ180" s="456"/>
      <c r="AR180" s="456"/>
      <c r="AS180" s="456"/>
      <c r="AT180" s="456"/>
      <c r="AU180" s="456"/>
      <c r="AV180" s="456"/>
      <c r="AW180" s="456"/>
      <c r="AX180" s="456"/>
      <c r="AY180" s="456"/>
      <c r="AZ180" s="456"/>
      <c r="BA180" s="456"/>
      <c r="BB180" s="456"/>
      <c r="BC180" s="456"/>
      <c r="BD180" s="456"/>
      <c r="BE180" s="456"/>
      <c r="BF180" s="456"/>
      <c r="BG180" s="456"/>
      <c r="BH180" s="456"/>
      <c r="BI180" s="456"/>
      <c r="BJ180" s="456"/>
      <c r="BK180" s="456"/>
      <c r="BL180" s="456"/>
      <c r="BM180" s="456"/>
      <c r="BN180" s="456"/>
      <c r="BO180" s="456"/>
      <c r="BP180" s="456"/>
      <c r="BQ180" s="456"/>
      <c r="BR180" s="456"/>
      <c r="BS180" s="456"/>
      <c r="BT180" s="456"/>
      <c r="BU180" s="456"/>
      <c r="BV180" s="456"/>
      <c r="BW180" s="456"/>
      <c r="BX180" s="456"/>
      <c r="BY180" s="456"/>
      <c r="BZ180" s="456"/>
      <c r="CA180" s="456"/>
      <c r="CB180" s="456"/>
      <c r="CC180" s="456"/>
      <c r="CD180" s="456"/>
      <c r="CE180" s="456"/>
      <c r="CF180" s="456"/>
      <c r="CG180" s="456"/>
      <c r="CH180" s="456"/>
      <c r="CI180" s="456"/>
      <c r="CJ180" s="456"/>
      <c r="CK180" s="456"/>
      <c r="CL180" s="456"/>
      <c r="CM180" s="456"/>
    </row>
    <row r="181" spans="1:91" ht="14.25" customHeight="1">
      <c r="A181" s="443"/>
      <c r="B181" s="443"/>
      <c r="C181" s="443"/>
      <c r="D181" s="443"/>
      <c r="E181" s="443"/>
      <c r="F181" s="443"/>
      <c r="G181" s="443"/>
      <c r="H181" s="443"/>
      <c r="I181" s="443"/>
      <c r="J181" s="443"/>
      <c r="K181" s="443"/>
      <c r="L181" s="443"/>
      <c r="M181" s="443"/>
      <c r="N181" s="443"/>
      <c r="O181" s="443"/>
      <c r="P181" s="443"/>
      <c r="Q181" s="443"/>
      <c r="R181" s="443"/>
      <c r="S181" s="443"/>
      <c r="T181" s="443"/>
      <c r="U181" s="443"/>
      <c r="V181" s="443"/>
      <c r="W181" s="443"/>
      <c r="X181" s="443"/>
      <c r="Y181" s="443"/>
      <c r="Z181" s="443"/>
      <c r="AA181" s="443"/>
      <c r="AB181" s="443"/>
      <c r="AC181" s="443"/>
      <c r="AD181" s="443"/>
      <c r="AE181" s="443"/>
      <c r="AF181" s="444"/>
      <c r="AG181" s="443"/>
      <c r="AH181" s="443"/>
      <c r="AI181" s="443"/>
      <c r="AJ181" s="443"/>
      <c r="AK181" s="443"/>
      <c r="AL181" s="443"/>
      <c r="AM181" s="456"/>
      <c r="AN181" s="456"/>
      <c r="AO181" s="456"/>
      <c r="AP181" s="456"/>
      <c r="AQ181" s="456"/>
      <c r="AR181" s="456"/>
      <c r="AS181" s="456"/>
      <c r="AT181" s="456"/>
      <c r="AU181" s="456"/>
      <c r="AV181" s="456"/>
      <c r="AW181" s="456"/>
      <c r="AX181" s="456"/>
      <c r="AY181" s="456"/>
      <c r="AZ181" s="456"/>
      <c r="BA181" s="456"/>
      <c r="BB181" s="456"/>
      <c r="BC181" s="456"/>
      <c r="BD181" s="456"/>
      <c r="BE181" s="456"/>
      <c r="BF181" s="456"/>
      <c r="BG181" s="456"/>
      <c r="BH181" s="456"/>
      <c r="BI181" s="456"/>
      <c r="BJ181" s="456"/>
      <c r="BK181" s="456"/>
      <c r="BL181" s="456"/>
      <c r="BM181" s="456"/>
      <c r="BN181" s="456"/>
      <c r="BO181" s="456"/>
      <c r="BP181" s="456"/>
      <c r="BQ181" s="456"/>
      <c r="BR181" s="456"/>
      <c r="BS181" s="456"/>
      <c r="BT181" s="456"/>
      <c r="BU181" s="456"/>
      <c r="BV181" s="456"/>
      <c r="BW181" s="456"/>
      <c r="BX181" s="456"/>
      <c r="BY181" s="456"/>
      <c r="BZ181" s="456"/>
      <c r="CA181" s="456"/>
      <c r="CB181" s="456"/>
      <c r="CC181" s="456"/>
      <c r="CD181" s="456"/>
      <c r="CE181" s="456"/>
      <c r="CF181" s="456"/>
      <c r="CG181" s="456"/>
      <c r="CH181" s="456"/>
      <c r="CI181" s="456"/>
      <c r="CJ181" s="456"/>
      <c r="CK181" s="456"/>
      <c r="CL181" s="456"/>
      <c r="CM181" s="456"/>
    </row>
    <row r="182" spans="1:91" ht="14.25" customHeight="1">
      <c r="A182" s="443"/>
      <c r="B182" s="443"/>
      <c r="C182" s="443"/>
      <c r="D182" s="443"/>
      <c r="E182" s="443"/>
      <c r="F182" s="443"/>
      <c r="G182" s="443"/>
      <c r="H182" s="443"/>
      <c r="I182" s="443"/>
      <c r="J182" s="443"/>
      <c r="K182" s="443"/>
      <c r="L182" s="443"/>
      <c r="M182" s="443"/>
      <c r="N182" s="443"/>
      <c r="O182" s="443"/>
      <c r="P182" s="443"/>
      <c r="Q182" s="443"/>
      <c r="R182" s="443"/>
      <c r="S182" s="443"/>
      <c r="T182" s="443"/>
      <c r="U182" s="443"/>
      <c r="V182" s="443"/>
      <c r="W182" s="443"/>
      <c r="X182" s="443"/>
      <c r="Y182" s="443"/>
      <c r="Z182" s="443"/>
      <c r="AA182" s="443"/>
      <c r="AB182" s="443"/>
      <c r="AC182" s="443"/>
      <c r="AD182" s="443"/>
      <c r="AE182" s="443"/>
      <c r="AF182" s="444"/>
      <c r="AG182" s="443"/>
      <c r="AH182" s="443"/>
      <c r="AI182" s="443"/>
      <c r="AJ182" s="443"/>
      <c r="AK182" s="443"/>
      <c r="AL182" s="443"/>
      <c r="AM182" s="456"/>
      <c r="AN182" s="456"/>
      <c r="AO182" s="456"/>
      <c r="AP182" s="456"/>
      <c r="AQ182" s="456"/>
      <c r="AR182" s="456"/>
      <c r="AS182" s="456"/>
      <c r="AT182" s="456"/>
      <c r="AU182" s="456"/>
      <c r="AV182" s="456"/>
      <c r="AW182" s="456"/>
      <c r="AX182" s="456"/>
      <c r="AY182" s="456"/>
      <c r="AZ182" s="456"/>
      <c r="BA182" s="456"/>
      <c r="BB182" s="456"/>
      <c r="BC182" s="456"/>
      <c r="BD182" s="456"/>
      <c r="BE182" s="456"/>
      <c r="BF182" s="456"/>
      <c r="BG182" s="456"/>
      <c r="BH182" s="456"/>
      <c r="BI182" s="456"/>
      <c r="BJ182" s="456"/>
      <c r="BK182" s="456"/>
      <c r="BL182" s="456"/>
      <c r="BM182" s="456"/>
      <c r="BN182" s="456"/>
      <c r="BO182" s="456"/>
      <c r="BP182" s="456"/>
      <c r="BQ182" s="456"/>
      <c r="BR182" s="456"/>
      <c r="BS182" s="456"/>
      <c r="BT182" s="456"/>
      <c r="BU182" s="456"/>
      <c r="BV182" s="456"/>
      <c r="BW182" s="456"/>
      <c r="BX182" s="456"/>
      <c r="BY182" s="456"/>
      <c r="BZ182" s="456"/>
      <c r="CA182" s="456"/>
      <c r="CB182" s="456"/>
      <c r="CC182" s="456"/>
      <c r="CD182" s="456"/>
      <c r="CE182" s="456"/>
      <c r="CF182" s="456"/>
      <c r="CG182" s="456"/>
      <c r="CH182" s="456"/>
      <c r="CI182" s="456"/>
      <c r="CJ182" s="456"/>
      <c r="CK182" s="456"/>
      <c r="CL182" s="456"/>
      <c r="CM182" s="456"/>
    </row>
    <row r="183" spans="1:91" ht="14.25" customHeight="1">
      <c r="A183" s="443"/>
      <c r="B183" s="443"/>
      <c r="C183" s="443"/>
      <c r="D183" s="443"/>
      <c r="E183" s="443"/>
      <c r="F183" s="443"/>
      <c r="G183" s="443"/>
      <c r="H183" s="443"/>
      <c r="I183" s="443"/>
      <c r="J183" s="443"/>
      <c r="K183" s="443"/>
      <c r="L183" s="443"/>
      <c r="M183" s="443"/>
      <c r="N183" s="443"/>
      <c r="O183" s="443"/>
      <c r="P183" s="443"/>
      <c r="Q183" s="443"/>
      <c r="R183" s="443"/>
      <c r="S183" s="443"/>
      <c r="T183" s="443"/>
      <c r="U183" s="443"/>
      <c r="V183" s="443"/>
      <c r="W183" s="443"/>
      <c r="X183" s="443"/>
      <c r="Y183" s="443"/>
      <c r="Z183" s="443"/>
      <c r="AA183" s="443"/>
      <c r="AB183" s="443"/>
      <c r="AC183" s="443"/>
      <c r="AD183" s="443"/>
      <c r="AE183" s="443"/>
      <c r="AF183" s="444"/>
      <c r="AG183" s="443"/>
      <c r="AH183" s="443"/>
      <c r="AI183" s="443"/>
      <c r="AJ183" s="443"/>
      <c r="AK183" s="443"/>
      <c r="AL183" s="443"/>
      <c r="AM183" s="456"/>
      <c r="AN183" s="456"/>
      <c r="AO183" s="456"/>
      <c r="AP183" s="456"/>
      <c r="AQ183" s="456"/>
      <c r="AR183" s="456"/>
      <c r="AS183" s="456"/>
      <c r="AT183" s="456"/>
      <c r="AU183" s="456"/>
      <c r="AV183" s="456"/>
      <c r="AW183" s="456"/>
      <c r="AX183" s="456"/>
      <c r="AY183" s="456"/>
      <c r="AZ183" s="456"/>
      <c r="BA183" s="456"/>
      <c r="BB183" s="456"/>
      <c r="BC183" s="456"/>
      <c r="BD183" s="456"/>
      <c r="BE183" s="456"/>
      <c r="BF183" s="456"/>
      <c r="BG183" s="456"/>
      <c r="BH183" s="456"/>
      <c r="BI183" s="456"/>
      <c r="BJ183" s="456"/>
      <c r="BK183" s="456"/>
      <c r="BL183" s="456"/>
      <c r="BM183" s="456"/>
      <c r="BN183" s="456"/>
      <c r="BO183" s="456"/>
      <c r="BP183" s="456"/>
      <c r="BQ183" s="456"/>
      <c r="BR183" s="456"/>
      <c r="BS183" s="456"/>
      <c r="BT183" s="456"/>
      <c r="BU183" s="456"/>
      <c r="BV183" s="456"/>
      <c r="BW183" s="456"/>
      <c r="BX183" s="456"/>
      <c r="BY183" s="456"/>
      <c r="BZ183" s="456"/>
      <c r="CA183" s="456"/>
      <c r="CB183" s="456"/>
      <c r="CC183" s="456"/>
      <c r="CD183" s="456"/>
      <c r="CE183" s="456"/>
      <c r="CF183" s="456"/>
      <c r="CG183" s="456"/>
      <c r="CH183" s="456"/>
      <c r="CI183" s="456"/>
      <c r="CJ183" s="456"/>
      <c r="CK183" s="456"/>
      <c r="CL183" s="456"/>
      <c r="CM183" s="456"/>
    </row>
    <row r="184" spans="1:91" ht="14.25" customHeight="1">
      <c r="A184" s="443"/>
      <c r="B184" s="443"/>
      <c r="C184" s="443"/>
      <c r="D184" s="443"/>
      <c r="E184" s="443"/>
      <c r="F184" s="443"/>
      <c r="G184" s="443"/>
      <c r="H184" s="443"/>
      <c r="I184" s="443"/>
      <c r="J184" s="443"/>
      <c r="K184" s="443"/>
      <c r="L184" s="443"/>
      <c r="M184" s="443"/>
      <c r="N184" s="443"/>
      <c r="O184" s="443"/>
      <c r="P184" s="443"/>
      <c r="Q184" s="443"/>
      <c r="R184" s="443"/>
      <c r="S184" s="443"/>
      <c r="T184" s="443"/>
      <c r="U184" s="443"/>
      <c r="V184" s="443"/>
      <c r="W184" s="443"/>
      <c r="X184" s="443"/>
      <c r="Y184" s="443"/>
      <c r="Z184" s="443"/>
      <c r="AA184" s="443"/>
      <c r="AB184" s="443"/>
      <c r="AC184" s="443"/>
      <c r="AD184" s="443"/>
      <c r="AE184" s="443"/>
      <c r="AF184" s="444"/>
      <c r="AG184" s="443"/>
      <c r="AH184" s="443"/>
      <c r="AI184" s="443"/>
      <c r="AJ184" s="443"/>
      <c r="AK184" s="443"/>
      <c r="AL184" s="443"/>
      <c r="AM184" s="456"/>
      <c r="AN184" s="456"/>
      <c r="AO184" s="456"/>
      <c r="AP184" s="456"/>
      <c r="AQ184" s="456"/>
      <c r="AR184" s="456"/>
      <c r="AS184" s="456"/>
      <c r="AT184" s="456"/>
      <c r="AU184" s="456"/>
      <c r="AV184" s="456"/>
      <c r="AW184" s="456"/>
      <c r="AX184" s="456"/>
      <c r="AY184" s="456"/>
      <c r="AZ184" s="456"/>
      <c r="BA184" s="456"/>
      <c r="BB184" s="456"/>
      <c r="BC184" s="456"/>
      <c r="BD184" s="456"/>
      <c r="BE184" s="456"/>
      <c r="BF184" s="456"/>
      <c r="BG184" s="456"/>
      <c r="BH184" s="456"/>
      <c r="BI184" s="456"/>
      <c r="BJ184" s="456"/>
      <c r="BK184" s="456"/>
      <c r="BL184" s="456"/>
      <c r="BM184" s="456"/>
      <c r="BN184" s="456"/>
      <c r="BO184" s="456"/>
      <c r="BP184" s="456"/>
      <c r="BQ184" s="456"/>
      <c r="BR184" s="456"/>
      <c r="BS184" s="456"/>
      <c r="BT184" s="456"/>
      <c r="BU184" s="456"/>
      <c r="BV184" s="456"/>
      <c r="BW184" s="456"/>
      <c r="BX184" s="456"/>
      <c r="BY184" s="456"/>
      <c r="BZ184" s="456"/>
      <c r="CA184" s="456"/>
      <c r="CB184" s="456"/>
      <c r="CC184" s="456"/>
      <c r="CD184" s="456"/>
      <c r="CE184" s="456"/>
      <c r="CF184" s="456"/>
      <c r="CG184" s="456"/>
      <c r="CH184" s="456"/>
      <c r="CI184" s="456"/>
      <c r="CJ184" s="456"/>
      <c r="CK184" s="456"/>
      <c r="CL184" s="456"/>
      <c r="CM184" s="456"/>
    </row>
    <row r="185" spans="1:91" ht="14.25" customHeight="1">
      <c r="A185" s="443"/>
      <c r="B185" s="443"/>
      <c r="C185" s="443"/>
      <c r="D185" s="443"/>
      <c r="E185" s="443"/>
      <c r="F185" s="443"/>
      <c r="G185" s="443"/>
      <c r="H185" s="443"/>
      <c r="I185" s="443"/>
      <c r="J185" s="443"/>
      <c r="K185" s="443"/>
      <c r="L185" s="443"/>
      <c r="M185" s="443"/>
      <c r="N185" s="443"/>
      <c r="O185" s="443"/>
      <c r="P185" s="443"/>
      <c r="Q185" s="443"/>
      <c r="R185" s="443"/>
      <c r="S185" s="443"/>
      <c r="T185" s="443"/>
      <c r="U185" s="443"/>
      <c r="V185" s="443"/>
      <c r="W185" s="443"/>
      <c r="X185" s="443"/>
      <c r="Y185" s="443"/>
      <c r="Z185" s="443"/>
      <c r="AA185" s="443"/>
      <c r="AB185" s="443"/>
      <c r="AC185" s="443"/>
      <c r="AD185" s="443"/>
      <c r="AE185" s="443"/>
      <c r="AF185" s="444"/>
      <c r="AG185" s="443"/>
      <c r="AH185" s="443"/>
      <c r="AI185" s="443"/>
      <c r="AJ185" s="443"/>
      <c r="AK185" s="443"/>
      <c r="AL185" s="443"/>
      <c r="AM185" s="456"/>
      <c r="AN185" s="456"/>
      <c r="AO185" s="456"/>
      <c r="AP185" s="456"/>
      <c r="AQ185" s="456"/>
      <c r="AR185" s="456"/>
      <c r="AS185" s="456"/>
      <c r="AT185" s="456"/>
      <c r="AU185" s="456"/>
      <c r="AV185" s="456"/>
      <c r="AW185" s="456"/>
      <c r="AX185" s="456"/>
      <c r="AY185" s="456"/>
      <c r="AZ185" s="456"/>
      <c r="BA185" s="456"/>
      <c r="BB185" s="456"/>
      <c r="BC185" s="456"/>
      <c r="BD185" s="456"/>
      <c r="BE185" s="456"/>
      <c r="BF185" s="456"/>
      <c r="BG185" s="456"/>
      <c r="BH185" s="456"/>
      <c r="BI185" s="456"/>
      <c r="BJ185" s="456"/>
      <c r="BK185" s="456"/>
      <c r="BL185" s="456"/>
      <c r="BM185" s="456"/>
      <c r="BN185" s="456"/>
      <c r="BO185" s="456"/>
      <c r="BP185" s="456"/>
      <c r="BQ185" s="456"/>
      <c r="BR185" s="456"/>
      <c r="BS185" s="456"/>
      <c r="BT185" s="456"/>
      <c r="BU185" s="456"/>
      <c r="BV185" s="456"/>
      <c r="BW185" s="456"/>
      <c r="BX185" s="456"/>
      <c r="BY185" s="456"/>
      <c r="BZ185" s="456"/>
      <c r="CA185" s="456"/>
      <c r="CB185" s="456"/>
      <c r="CC185" s="456"/>
      <c r="CD185" s="456"/>
      <c r="CE185" s="456"/>
      <c r="CF185" s="456"/>
      <c r="CG185" s="456"/>
      <c r="CH185" s="456"/>
      <c r="CI185" s="456"/>
      <c r="CJ185" s="456"/>
      <c r="CK185" s="456"/>
      <c r="CL185" s="456"/>
      <c r="CM185" s="456"/>
    </row>
    <row r="186" spans="1:91" ht="14.25" customHeight="1">
      <c r="A186" s="443"/>
      <c r="B186" s="443"/>
      <c r="C186" s="443"/>
      <c r="D186" s="443"/>
      <c r="E186" s="443"/>
      <c r="F186" s="443"/>
      <c r="G186" s="443"/>
      <c r="H186" s="443"/>
      <c r="I186" s="443"/>
      <c r="J186" s="443"/>
      <c r="K186" s="443"/>
      <c r="L186" s="443"/>
      <c r="M186" s="443"/>
      <c r="N186" s="443"/>
      <c r="O186" s="443"/>
      <c r="P186" s="443"/>
      <c r="Q186" s="443"/>
      <c r="R186" s="443"/>
      <c r="S186" s="443"/>
      <c r="T186" s="443"/>
      <c r="U186" s="443"/>
      <c r="V186" s="443"/>
      <c r="W186" s="443"/>
      <c r="X186" s="443"/>
      <c r="Y186" s="443"/>
      <c r="Z186" s="443"/>
      <c r="AA186" s="443"/>
      <c r="AB186" s="443"/>
      <c r="AC186" s="443"/>
      <c r="AD186" s="443"/>
      <c r="AE186" s="443"/>
      <c r="AF186" s="444"/>
      <c r="AG186" s="443"/>
      <c r="AH186" s="443"/>
      <c r="AI186" s="443"/>
      <c r="AJ186" s="443"/>
      <c r="AK186" s="443"/>
      <c r="AL186" s="443"/>
      <c r="AM186" s="456"/>
      <c r="AN186" s="456"/>
      <c r="AO186" s="456"/>
      <c r="AP186" s="456"/>
      <c r="AQ186" s="456"/>
      <c r="AR186" s="456"/>
      <c r="AS186" s="456"/>
      <c r="AT186" s="456"/>
      <c r="AU186" s="456"/>
      <c r="AV186" s="456"/>
      <c r="AW186" s="456"/>
      <c r="AX186" s="456"/>
      <c r="AY186" s="456"/>
      <c r="AZ186" s="456"/>
      <c r="BA186" s="456"/>
      <c r="BB186" s="456"/>
      <c r="BC186" s="456"/>
      <c r="BD186" s="456"/>
      <c r="BE186" s="456"/>
      <c r="BF186" s="456"/>
      <c r="BG186" s="456"/>
      <c r="BH186" s="456"/>
      <c r="BI186" s="456"/>
      <c r="BJ186" s="456"/>
      <c r="BK186" s="456"/>
      <c r="BL186" s="456"/>
      <c r="BM186" s="456"/>
      <c r="BN186" s="456"/>
      <c r="BO186" s="456"/>
      <c r="BP186" s="456"/>
      <c r="BQ186" s="456"/>
      <c r="BR186" s="456"/>
      <c r="BS186" s="456"/>
      <c r="BT186" s="456"/>
      <c r="BU186" s="456"/>
      <c r="BV186" s="456"/>
      <c r="BW186" s="456"/>
      <c r="BX186" s="456"/>
      <c r="BY186" s="456"/>
      <c r="BZ186" s="456"/>
      <c r="CA186" s="456"/>
      <c r="CB186" s="456"/>
      <c r="CC186" s="456"/>
      <c r="CD186" s="456"/>
      <c r="CE186" s="456"/>
      <c r="CF186" s="456"/>
      <c r="CG186" s="456"/>
      <c r="CH186" s="456"/>
      <c r="CI186" s="456"/>
      <c r="CJ186" s="456"/>
      <c r="CK186" s="456"/>
      <c r="CL186" s="456"/>
      <c r="CM186" s="456"/>
    </row>
    <row r="187" spans="1:91" ht="14.25" customHeight="1">
      <c r="A187" s="443"/>
      <c r="B187" s="443"/>
      <c r="C187" s="443"/>
      <c r="D187" s="443"/>
      <c r="E187" s="443"/>
      <c r="F187" s="443"/>
      <c r="G187" s="443"/>
      <c r="H187" s="443"/>
      <c r="I187" s="443"/>
      <c r="J187" s="443"/>
      <c r="K187" s="443"/>
      <c r="L187" s="443"/>
      <c r="M187" s="443"/>
      <c r="N187" s="443"/>
      <c r="O187" s="443"/>
      <c r="P187" s="443"/>
      <c r="Q187" s="443"/>
      <c r="R187" s="443"/>
      <c r="S187" s="443"/>
      <c r="T187" s="443"/>
      <c r="U187" s="443"/>
      <c r="V187" s="443"/>
      <c r="W187" s="443"/>
      <c r="X187" s="443"/>
      <c r="Y187" s="443"/>
      <c r="Z187" s="443"/>
      <c r="AA187" s="443"/>
      <c r="AB187" s="443"/>
      <c r="AC187" s="443"/>
      <c r="AD187" s="443"/>
      <c r="AE187" s="443"/>
      <c r="AF187" s="444"/>
      <c r="AG187" s="443"/>
      <c r="AH187" s="443"/>
      <c r="AI187" s="443"/>
      <c r="AJ187" s="443"/>
      <c r="AK187" s="443"/>
      <c r="AL187" s="443"/>
      <c r="AM187" s="456"/>
      <c r="AN187" s="456"/>
      <c r="AO187" s="456"/>
      <c r="AP187" s="456"/>
      <c r="AQ187" s="456"/>
      <c r="AR187" s="456"/>
      <c r="AS187" s="456"/>
      <c r="AT187" s="456"/>
      <c r="AU187" s="456"/>
      <c r="AV187" s="456"/>
      <c r="AW187" s="456"/>
      <c r="AX187" s="456"/>
      <c r="AY187" s="456"/>
      <c r="AZ187" s="456"/>
      <c r="BA187" s="456"/>
      <c r="BB187" s="456"/>
      <c r="BC187" s="456"/>
      <c r="BD187" s="456"/>
      <c r="BE187" s="456"/>
      <c r="BF187" s="456"/>
      <c r="BG187" s="456"/>
      <c r="BH187" s="456"/>
      <c r="BI187" s="456"/>
      <c r="BJ187" s="456"/>
      <c r="BK187" s="456"/>
      <c r="BL187" s="456"/>
      <c r="BM187" s="456"/>
      <c r="BN187" s="456"/>
      <c r="BO187" s="456"/>
      <c r="BP187" s="456"/>
      <c r="BQ187" s="456"/>
      <c r="BR187" s="456"/>
      <c r="BS187" s="456"/>
      <c r="BT187" s="456"/>
      <c r="BU187" s="456"/>
      <c r="BV187" s="456"/>
      <c r="BW187" s="456"/>
      <c r="BX187" s="456"/>
      <c r="BY187" s="456"/>
      <c r="BZ187" s="456"/>
      <c r="CA187" s="456"/>
      <c r="CB187" s="456"/>
      <c r="CC187" s="456"/>
      <c r="CD187" s="456"/>
      <c r="CE187" s="456"/>
      <c r="CF187" s="456"/>
      <c r="CG187" s="456"/>
      <c r="CH187" s="456"/>
      <c r="CI187" s="456"/>
      <c r="CJ187" s="456"/>
      <c r="CK187" s="456"/>
      <c r="CL187" s="456"/>
      <c r="CM187" s="456"/>
    </row>
    <row r="188" spans="1:91" ht="14.25" customHeight="1">
      <c r="A188" s="443"/>
      <c r="B188" s="443"/>
      <c r="C188" s="443"/>
      <c r="D188" s="443"/>
      <c r="E188" s="443"/>
      <c r="F188" s="443"/>
      <c r="G188" s="443"/>
      <c r="H188" s="443"/>
      <c r="I188" s="443"/>
      <c r="J188" s="443"/>
      <c r="K188" s="443"/>
      <c r="L188" s="443"/>
      <c r="M188" s="443"/>
      <c r="N188" s="443"/>
      <c r="O188" s="443"/>
      <c r="P188" s="443"/>
      <c r="Q188" s="443"/>
      <c r="R188" s="443"/>
      <c r="S188" s="443"/>
      <c r="T188" s="443"/>
      <c r="U188" s="443"/>
      <c r="V188" s="443"/>
      <c r="W188" s="443"/>
      <c r="X188" s="443"/>
      <c r="Y188" s="443"/>
      <c r="Z188" s="443"/>
      <c r="AA188" s="443"/>
      <c r="AB188" s="443"/>
      <c r="AC188" s="443"/>
      <c r="AD188" s="443"/>
      <c r="AE188" s="443"/>
      <c r="AF188" s="444"/>
      <c r="AG188" s="443"/>
      <c r="AH188" s="443"/>
      <c r="AI188" s="443"/>
      <c r="AJ188" s="443"/>
      <c r="AK188" s="443"/>
      <c r="AL188" s="443"/>
      <c r="AM188" s="456"/>
      <c r="AN188" s="456"/>
      <c r="AO188" s="456"/>
      <c r="AP188" s="456"/>
      <c r="AQ188" s="456"/>
      <c r="AR188" s="456"/>
      <c r="AS188" s="456"/>
      <c r="AT188" s="456"/>
      <c r="AU188" s="456"/>
      <c r="AV188" s="456"/>
      <c r="AW188" s="456"/>
      <c r="AX188" s="456"/>
      <c r="AY188" s="456"/>
      <c r="AZ188" s="456"/>
      <c r="BA188" s="456"/>
      <c r="BB188" s="456"/>
      <c r="BC188" s="456"/>
      <c r="BD188" s="456"/>
      <c r="BE188" s="456"/>
      <c r="BF188" s="456"/>
      <c r="BG188" s="456"/>
      <c r="BH188" s="456"/>
      <c r="BI188" s="456"/>
      <c r="BJ188" s="456"/>
      <c r="BK188" s="456"/>
      <c r="BL188" s="456"/>
      <c r="BM188" s="456"/>
      <c r="BN188" s="456"/>
      <c r="BO188" s="456"/>
      <c r="BP188" s="456"/>
      <c r="BQ188" s="456"/>
      <c r="BR188" s="456"/>
      <c r="BS188" s="456"/>
      <c r="BT188" s="456"/>
      <c r="BU188" s="456"/>
      <c r="BV188" s="456"/>
      <c r="BW188" s="456"/>
      <c r="BX188" s="456"/>
      <c r="BY188" s="456"/>
      <c r="BZ188" s="456"/>
      <c r="CA188" s="456"/>
      <c r="CB188" s="456"/>
      <c r="CC188" s="456"/>
      <c r="CD188" s="456"/>
      <c r="CE188" s="456"/>
      <c r="CF188" s="456"/>
      <c r="CG188" s="456"/>
      <c r="CH188" s="456"/>
      <c r="CI188" s="456"/>
      <c r="CJ188" s="456"/>
      <c r="CK188" s="456"/>
      <c r="CL188" s="456"/>
      <c r="CM188" s="456"/>
    </row>
    <row r="189" spans="1:91" ht="14.25" customHeight="1">
      <c r="A189" s="443"/>
      <c r="B189" s="443"/>
      <c r="C189" s="443"/>
      <c r="D189" s="443"/>
      <c r="E189" s="443"/>
      <c r="F189" s="443"/>
      <c r="G189" s="443"/>
      <c r="H189" s="443"/>
      <c r="I189" s="443"/>
      <c r="J189" s="443"/>
      <c r="K189" s="443"/>
      <c r="L189" s="443"/>
      <c r="M189" s="443"/>
      <c r="N189" s="443"/>
      <c r="O189" s="443"/>
      <c r="P189" s="443"/>
      <c r="Q189" s="443"/>
      <c r="R189" s="443"/>
      <c r="S189" s="443"/>
      <c r="T189" s="443"/>
      <c r="U189" s="443"/>
      <c r="V189" s="443"/>
      <c r="W189" s="443"/>
      <c r="X189" s="443"/>
      <c r="Y189" s="443"/>
      <c r="Z189" s="443"/>
      <c r="AA189" s="443"/>
      <c r="AB189" s="443"/>
      <c r="AC189" s="443"/>
      <c r="AD189" s="443"/>
      <c r="AE189" s="443"/>
      <c r="AF189" s="444"/>
      <c r="AG189" s="443"/>
      <c r="AH189" s="443"/>
      <c r="AI189" s="443"/>
      <c r="AJ189" s="443"/>
      <c r="AK189" s="443"/>
      <c r="AL189" s="443"/>
      <c r="AM189" s="456"/>
      <c r="AN189" s="456"/>
      <c r="AO189" s="456"/>
      <c r="AP189" s="456"/>
      <c r="AQ189" s="456"/>
      <c r="AR189" s="456"/>
      <c r="AS189" s="456"/>
      <c r="AT189" s="456"/>
      <c r="AU189" s="456"/>
      <c r="AV189" s="456"/>
      <c r="AW189" s="456"/>
      <c r="AX189" s="456"/>
      <c r="AY189" s="456"/>
      <c r="AZ189" s="456"/>
      <c r="BA189" s="456"/>
      <c r="BB189" s="456"/>
      <c r="BC189" s="456"/>
      <c r="BD189" s="456"/>
      <c r="BE189" s="456"/>
      <c r="BF189" s="456"/>
      <c r="BG189" s="456"/>
      <c r="BH189" s="456"/>
      <c r="BI189" s="456"/>
      <c r="BJ189" s="456"/>
      <c r="BK189" s="456"/>
      <c r="BL189" s="456"/>
      <c r="BM189" s="456"/>
      <c r="BN189" s="456"/>
      <c r="BO189" s="456"/>
      <c r="BP189" s="456"/>
      <c r="BQ189" s="456"/>
      <c r="BR189" s="456"/>
      <c r="BS189" s="456"/>
      <c r="BT189" s="456"/>
      <c r="BU189" s="456"/>
      <c r="BV189" s="456"/>
      <c r="BW189" s="456"/>
      <c r="BX189" s="456"/>
      <c r="BY189" s="456"/>
      <c r="BZ189" s="456"/>
      <c r="CA189" s="456"/>
      <c r="CB189" s="456"/>
      <c r="CC189" s="456"/>
      <c r="CD189" s="456"/>
      <c r="CE189" s="456"/>
      <c r="CF189" s="456"/>
      <c r="CG189" s="456"/>
      <c r="CH189" s="456"/>
      <c r="CI189" s="456"/>
      <c r="CJ189" s="456"/>
      <c r="CK189" s="456"/>
      <c r="CL189" s="456"/>
      <c r="CM189" s="456"/>
    </row>
    <row r="190" spans="1:91" ht="14.25" customHeight="1">
      <c r="A190" s="443"/>
      <c r="B190" s="443"/>
      <c r="C190" s="443"/>
      <c r="D190" s="443"/>
      <c r="E190" s="443"/>
      <c r="F190" s="443"/>
      <c r="G190" s="443"/>
      <c r="H190" s="443"/>
      <c r="I190" s="443"/>
      <c r="J190" s="443"/>
      <c r="K190" s="443"/>
      <c r="L190" s="443"/>
      <c r="M190" s="443"/>
      <c r="N190" s="443"/>
      <c r="O190" s="443"/>
      <c r="P190" s="443"/>
      <c r="Q190" s="443"/>
      <c r="R190" s="443"/>
      <c r="S190" s="443"/>
      <c r="T190" s="443"/>
      <c r="U190" s="443"/>
      <c r="V190" s="443"/>
      <c r="W190" s="443"/>
      <c r="X190" s="443"/>
      <c r="Y190" s="443"/>
      <c r="Z190" s="443"/>
      <c r="AA190" s="443"/>
      <c r="AB190" s="443"/>
      <c r="AC190" s="443"/>
      <c r="AD190" s="443"/>
      <c r="AE190" s="443"/>
      <c r="AF190" s="444"/>
      <c r="AG190" s="443"/>
      <c r="AH190" s="443"/>
      <c r="AI190" s="443"/>
      <c r="AJ190" s="443"/>
      <c r="AK190" s="443"/>
      <c r="AL190" s="443"/>
      <c r="AM190" s="456"/>
      <c r="AN190" s="456"/>
      <c r="AO190" s="456"/>
      <c r="AP190" s="456"/>
      <c r="AQ190" s="456"/>
      <c r="AR190" s="456"/>
      <c r="AS190" s="456"/>
      <c r="AT190" s="456"/>
      <c r="AU190" s="456"/>
      <c r="AV190" s="456"/>
      <c r="AW190" s="456"/>
      <c r="AX190" s="456"/>
      <c r="AY190" s="456"/>
      <c r="AZ190" s="456"/>
      <c r="BA190" s="456"/>
      <c r="BB190" s="456"/>
      <c r="BC190" s="456"/>
      <c r="BD190" s="456"/>
      <c r="BE190" s="456"/>
      <c r="BF190" s="456"/>
      <c r="BG190" s="456"/>
      <c r="BH190" s="456"/>
      <c r="BI190" s="456"/>
      <c r="BJ190" s="456"/>
      <c r="BK190" s="456"/>
      <c r="BL190" s="456"/>
      <c r="BM190" s="456"/>
      <c r="BN190" s="456"/>
      <c r="BO190" s="456"/>
      <c r="BP190" s="456"/>
      <c r="BQ190" s="456"/>
      <c r="BR190" s="456"/>
      <c r="BS190" s="456"/>
      <c r="BT190" s="456"/>
      <c r="BU190" s="456"/>
      <c r="BV190" s="456"/>
      <c r="BW190" s="456"/>
      <c r="BX190" s="456"/>
      <c r="BY190" s="456"/>
      <c r="BZ190" s="456"/>
      <c r="CA190" s="456"/>
      <c r="CB190" s="456"/>
      <c r="CC190" s="456"/>
      <c r="CD190" s="456"/>
      <c r="CE190" s="456"/>
      <c r="CF190" s="456"/>
      <c r="CG190" s="456"/>
      <c r="CH190" s="456"/>
      <c r="CI190" s="456"/>
      <c r="CJ190" s="456"/>
      <c r="CK190" s="456"/>
      <c r="CL190" s="456"/>
      <c r="CM190" s="456"/>
    </row>
    <row r="191" spans="1:91" ht="14.25" customHeight="1">
      <c r="A191" s="443"/>
      <c r="B191" s="443"/>
      <c r="C191" s="443"/>
      <c r="D191" s="443"/>
      <c r="E191" s="443"/>
      <c r="F191" s="443"/>
      <c r="G191" s="443"/>
      <c r="H191" s="443"/>
      <c r="I191" s="443"/>
      <c r="J191" s="443"/>
      <c r="K191" s="443"/>
      <c r="L191" s="443"/>
      <c r="M191" s="443"/>
      <c r="N191" s="443"/>
      <c r="O191" s="443"/>
      <c r="P191" s="443"/>
      <c r="Q191" s="443"/>
      <c r="R191" s="443"/>
      <c r="S191" s="443"/>
      <c r="T191" s="443"/>
      <c r="U191" s="443"/>
      <c r="V191" s="443"/>
      <c r="W191" s="443"/>
      <c r="X191" s="443"/>
      <c r="Y191" s="443"/>
      <c r="Z191" s="443"/>
      <c r="AA191" s="443"/>
      <c r="AB191" s="443"/>
      <c r="AC191" s="443"/>
      <c r="AD191" s="443"/>
      <c r="AE191" s="443"/>
      <c r="AF191" s="444"/>
      <c r="AG191" s="443"/>
      <c r="AH191" s="443"/>
      <c r="AI191" s="443"/>
      <c r="AJ191" s="443"/>
      <c r="AK191" s="443"/>
      <c r="AL191" s="443"/>
      <c r="AM191" s="456"/>
      <c r="AN191" s="456"/>
      <c r="AO191" s="456"/>
      <c r="AP191" s="456"/>
      <c r="AQ191" s="456"/>
      <c r="AR191" s="456"/>
      <c r="AS191" s="456"/>
      <c r="AT191" s="456"/>
      <c r="AU191" s="456"/>
      <c r="AV191" s="456"/>
      <c r="AW191" s="456"/>
      <c r="AX191" s="456"/>
      <c r="AY191" s="456"/>
      <c r="AZ191" s="456"/>
      <c r="BA191" s="456"/>
      <c r="BB191" s="456"/>
      <c r="BC191" s="456"/>
      <c r="BD191" s="456"/>
      <c r="BE191" s="456"/>
      <c r="BF191" s="456"/>
      <c r="BG191" s="456"/>
      <c r="BH191" s="456"/>
      <c r="BI191" s="456"/>
      <c r="BJ191" s="456"/>
      <c r="BK191" s="456"/>
      <c r="BL191" s="456"/>
      <c r="BM191" s="456"/>
      <c r="BN191" s="456"/>
      <c r="BO191" s="456"/>
      <c r="BP191" s="456"/>
      <c r="BQ191" s="456"/>
      <c r="BR191" s="456"/>
      <c r="BS191" s="456"/>
      <c r="BT191" s="456"/>
      <c r="BU191" s="456"/>
      <c r="BV191" s="456"/>
      <c r="BW191" s="456"/>
      <c r="BX191" s="456"/>
      <c r="BY191" s="456"/>
      <c r="BZ191" s="456"/>
      <c r="CA191" s="456"/>
      <c r="CB191" s="456"/>
      <c r="CC191" s="456"/>
      <c r="CD191" s="456"/>
      <c r="CE191" s="456"/>
      <c r="CF191" s="456"/>
      <c r="CG191" s="456"/>
      <c r="CH191" s="456"/>
      <c r="CI191" s="456"/>
      <c r="CJ191" s="456"/>
      <c r="CK191" s="456"/>
      <c r="CL191" s="456"/>
      <c r="CM191" s="456"/>
    </row>
    <row r="192" spans="1:91" ht="14.25" customHeight="1">
      <c r="A192" s="443"/>
      <c r="B192" s="443"/>
      <c r="C192" s="443"/>
      <c r="D192" s="443"/>
      <c r="E192" s="443"/>
      <c r="F192" s="443"/>
      <c r="G192" s="443"/>
      <c r="H192" s="443"/>
      <c r="I192" s="443"/>
      <c r="J192" s="443"/>
      <c r="K192" s="443"/>
      <c r="L192" s="443"/>
      <c r="M192" s="443"/>
      <c r="N192" s="443"/>
      <c r="O192" s="443"/>
      <c r="P192" s="443"/>
      <c r="Q192" s="443"/>
      <c r="R192" s="443"/>
      <c r="S192" s="443"/>
      <c r="T192" s="443"/>
      <c r="U192" s="443"/>
      <c r="V192" s="443"/>
      <c r="W192" s="443"/>
      <c r="X192" s="443"/>
      <c r="Y192" s="443"/>
      <c r="Z192" s="443"/>
      <c r="AA192" s="443"/>
      <c r="AB192" s="443"/>
      <c r="AC192" s="443"/>
      <c r="AD192" s="443"/>
      <c r="AE192" s="443"/>
      <c r="AF192" s="444"/>
      <c r="AG192" s="443"/>
      <c r="AH192" s="443"/>
      <c r="AI192" s="443"/>
      <c r="AJ192" s="443"/>
      <c r="AK192" s="443"/>
      <c r="AL192" s="443"/>
      <c r="AM192" s="456"/>
      <c r="AN192" s="456"/>
      <c r="AO192" s="456"/>
      <c r="AP192" s="456"/>
      <c r="AQ192" s="456"/>
      <c r="AR192" s="456"/>
      <c r="AS192" s="456"/>
      <c r="AT192" s="456"/>
      <c r="AU192" s="456"/>
      <c r="AV192" s="456"/>
      <c r="AW192" s="456"/>
      <c r="AX192" s="456"/>
      <c r="AY192" s="456"/>
      <c r="AZ192" s="456"/>
      <c r="BA192" s="456"/>
      <c r="BB192" s="456"/>
      <c r="BC192" s="456"/>
      <c r="BD192" s="456"/>
      <c r="BE192" s="456"/>
      <c r="BF192" s="456"/>
      <c r="BG192" s="456"/>
      <c r="BH192" s="456"/>
      <c r="BI192" s="456"/>
      <c r="BJ192" s="456"/>
      <c r="BK192" s="456"/>
      <c r="BL192" s="456"/>
      <c r="BM192" s="456"/>
      <c r="BN192" s="456"/>
      <c r="BO192" s="456"/>
      <c r="BP192" s="456"/>
      <c r="BQ192" s="456"/>
      <c r="BR192" s="456"/>
      <c r="BS192" s="456"/>
      <c r="BT192" s="456"/>
      <c r="BU192" s="456"/>
      <c r="BV192" s="456"/>
      <c r="BW192" s="456"/>
      <c r="BX192" s="456"/>
      <c r="BY192" s="456"/>
      <c r="BZ192" s="456"/>
      <c r="CA192" s="456"/>
      <c r="CB192" s="456"/>
      <c r="CC192" s="456"/>
      <c r="CD192" s="456"/>
      <c r="CE192" s="456"/>
      <c r="CF192" s="456"/>
      <c r="CG192" s="456"/>
      <c r="CH192" s="456"/>
      <c r="CI192" s="456"/>
      <c r="CJ192" s="456"/>
      <c r="CK192" s="456"/>
      <c r="CL192" s="456"/>
      <c r="CM192" s="456"/>
    </row>
    <row r="193" spans="1:91" ht="14.25" customHeight="1">
      <c r="A193" s="443"/>
      <c r="B193" s="443"/>
      <c r="C193" s="443"/>
      <c r="D193" s="443"/>
      <c r="E193" s="443"/>
      <c r="F193" s="443"/>
      <c r="G193" s="443"/>
      <c r="H193" s="443"/>
      <c r="I193" s="443"/>
      <c r="J193" s="443"/>
      <c r="K193" s="443"/>
      <c r="L193" s="443"/>
      <c r="M193" s="443"/>
      <c r="N193" s="443"/>
      <c r="O193" s="443"/>
      <c r="P193" s="443"/>
      <c r="Q193" s="443"/>
      <c r="R193" s="443"/>
      <c r="S193" s="443"/>
      <c r="T193" s="443"/>
      <c r="U193" s="443"/>
      <c r="V193" s="443"/>
      <c r="W193" s="443"/>
      <c r="X193" s="443"/>
      <c r="Y193" s="443"/>
      <c r="Z193" s="443"/>
      <c r="AA193" s="443"/>
      <c r="AB193" s="443"/>
      <c r="AC193" s="443"/>
      <c r="AD193" s="443"/>
      <c r="AE193" s="443"/>
      <c r="AF193" s="444"/>
      <c r="AG193" s="443"/>
      <c r="AH193" s="443"/>
      <c r="AI193" s="443"/>
      <c r="AJ193" s="443"/>
      <c r="AK193" s="443"/>
      <c r="AL193" s="443"/>
      <c r="AM193" s="456"/>
      <c r="AN193" s="456"/>
      <c r="AO193" s="456"/>
      <c r="AP193" s="456"/>
      <c r="AQ193" s="456"/>
      <c r="AR193" s="456"/>
      <c r="AS193" s="456"/>
      <c r="AT193" s="456"/>
      <c r="AU193" s="456"/>
      <c r="AV193" s="456"/>
      <c r="AW193" s="456"/>
      <c r="AX193" s="456"/>
      <c r="AY193" s="456"/>
      <c r="AZ193" s="456"/>
      <c r="BA193" s="456"/>
      <c r="BB193" s="456"/>
      <c r="BC193" s="456"/>
      <c r="BD193" s="456"/>
      <c r="BE193" s="456"/>
      <c r="BF193" s="456"/>
      <c r="BG193" s="456"/>
      <c r="BH193" s="456"/>
      <c r="BI193" s="456"/>
      <c r="BJ193" s="456"/>
      <c r="BK193" s="456"/>
      <c r="BL193" s="456"/>
      <c r="BM193" s="456"/>
      <c r="BN193" s="456"/>
      <c r="BO193" s="456"/>
      <c r="BP193" s="456"/>
      <c r="BQ193" s="456"/>
      <c r="BR193" s="456"/>
      <c r="BS193" s="456"/>
      <c r="BT193" s="456"/>
      <c r="BU193" s="456"/>
      <c r="BV193" s="456"/>
      <c r="BW193" s="456"/>
      <c r="BX193" s="456"/>
      <c r="BY193" s="456"/>
      <c r="BZ193" s="456"/>
      <c r="CA193" s="456"/>
      <c r="CB193" s="456"/>
      <c r="CC193" s="456"/>
      <c r="CD193" s="456"/>
      <c r="CE193" s="456"/>
      <c r="CF193" s="456"/>
      <c r="CG193" s="456"/>
      <c r="CH193" s="456"/>
      <c r="CI193" s="456"/>
      <c r="CJ193" s="456"/>
      <c r="CK193" s="456"/>
      <c r="CL193" s="456"/>
      <c r="CM193" s="456"/>
    </row>
    <row r="194" spans="1:91" ht="14.25" customHeight="1">
      <c r="A194" s="443"/>
      <c r="B194" s="443"/>
      <c r="C194" s="443"/>
      <c r="D194" s="443"/>
      <c r="E194" s="443"/>
      <c r="F194" s="443"/>
      <c r="G194" s="443"/>
      <c r="H194" s="443"/>
      <c r="I194" s="443"/>
      <c r="J194" s="443"/>
      <c r="K194" s="443"/>
      <c r="L194" s="443"/>
      <c r="M194" s="443"/>
      <c r="N194" s="443"/>
      <c r="O194" s="443"/>
      <c r="P194" s="443"/>
      <c r="Q194" s="443"/>
      <c r="R194" s="443"/>
      <c r="S194" s="443"/>
      <c r="T194" s="443"/>
      <c r="U194" s="443"/>
      <c r="V194" s="443"/>
      <c r="W194" s="443"/>
      <c r="X194" s="443"/>
      <c r="Y194" s="443"/>
      <c r="Z194" s="443"/>
      <c r="AA194" s="443"/>
      <c r="AB194" s="443"/>
      <c r="AC194" s="443"/>
      <c r="AD194" s="443"/>
      <c r="AE194" s="443"/>
      <c r="AF194" s="444"/>
      <c r="AG194" s="443"/>
      <c r="AH194" s="443"/>
      <c r="AI194" s="443"/>
      <c r="AJ194" s="443"/>
      <c r="AK194" s="443"/>
      <c r="AL194" s="443"/>
      <c r="AM194" s="456"/>
      <c r="AN194" s="456"/>
      <c r="AO194" s="456"/>
      <c r="AP194" s="456"/>
      <c r="AQ194" s="456"/>
      <c r="AR194" s="456"/>
      <c r="AS194" s="456"/>
      <c r="AT194" s="456"/>
      <c r="AU194" s="456"/>
      <c r="AV194" s="456"/>
      <c r="AW194" s="456"/>
      <c r="AX194" s="456"/>
      <c r="AY194" s="456"/>
      <c r="AZ194" s="456"/>
      <c r="BA194" s="456"/>
      <c r="BB194" s="456"/>
      <c r="BC194" s="456"/>
      <c r="BD194" s="456"/>
      <c r="BE194" s="456"/>
      <c r="BF194" s="456"/>
      <c r="BG194" s="456"/>
      <c r="BH194" s="456"/>
      <c r="BI194" s="456"/>
      <c r="BJ194" s="456"/>
      <c r="BK194" s="456"/>
      <c r="BL194" s="456"/>
      <c r="BM194" s="456"/>
      <c r="BN194" s="456"/>
      <c r="BO194" s="456"/>
      <c r="BP194" s="456"/>
      <c r="BQ194" s="456"/>
      <c r="BR194" s="456"/>
      <c r="BS194" s="456"/>
      <c r="BT194" s="456"/>
      <c r="BU194" s="456"/>
      <c r="BV194" s="456"/>
      <c r="BW194" s="456"/>
      <c r="BX194" s="456"/>
      <c r="BY194" s="456"/>
      <c r="BZ194" s="456"/>
      <c r="CA194" s="456"/>
      <c r="CB194" s="456"/>
      <c r="CC194" s="456"/>
      <c r="CD194" s="456"/>
      <c r="CE194" s="456"/>
      <c r="CF194" s="456"/>
      <c r="CG194" s="456"/>
      <c r="CH194" s="456"/>
      <c r="CI194" s="456"/>
      <c r="CJ194" s="456"/>
      <c r="CK194" s="456"/>
      <c r="CL194" s="456"/>
      <c r="CM194" s="456"/>
    </row>
    <row r="195" spans="1:91" ht="14.25" customHeight="1">
      <c r="A195" s="443"/>
      <c r="B195" s="443"/>
      <c r="C195" s="443"/>
      <c r="D195" s="443"/>
      <c r="E195" s="443"/>
      <c r="F195" s="443"/>
      <c r="G195" s="443"/>
      <c r="H195" s="443"/>
      <c r="I195" s="443"/>
      <c r="J195" s="443"/>
      <c r="K195" s="443"/>
      <c r="L195" s="443"/>
      <c r="M195" s="443"/>
      <c r="N195" s="443"/>
      <c r="O195" s="443"/>
      <c r="P195" s="443"/>
      <c r="Q195" s="443"/>
      <c r="R195" s="443"/>
      <c r="S195" s="443"/>
      <c r="T195" s="443"/>
      <c r="U195" s="443"/>
      <c r="V195" s="443"/>
      <c r="W195" s="443"/>
      <c r="X195" s="443"/>
      <c r="Y195" s="443"/>
      <c r="Z195" s="443"/>
      <c r="AA195" s="443"/>
      <c r="AB195" s="443"/>
      <c r="AC195" s="443"/>
      <c r="AD195" s="443"/>
      <c r="AE195" s="443"/>
      <c r="AF195" s="444"/>
      <c r="AG195" s="443"/>
      <c r="AH195" s="443"/>
      <c r="AI195" s="443"/>
      <c r="AJ195" s="443"/>
      <c r="AK195" s="443"/>
      <c r="AL195" s="443"/>
      <c r="AM195" s="456"/>
      <c r="AN195" s="456"/>
      <c r="AO195" s="456"/>
      <c r="AP195" s="456"/>
      <c r="AQ195" s="456"/>
      <c r="AR195" s="456"/>
      <c r="AS195" s="456"/>
      <c r="AT195" s="456"/>
      <c r="AU195" s="456"/>
      <c r="AV195" s="456"/>
      <c r="AW195" s="456"/>
      <c r="AX195" s="456"/>
      <c r="AY195" s="456"/>
      <c r="AZ195" s="456"/>
      <c r="BA195" s="456"/>
      <c r="BB195" s="456"/>
      <c r="BC195" s="456"/>
      <c r="BD195" s="456"/>
      <c r="BE195" s="456"/>
      <c r="BF195" s="456"/>
      <c r="BG195" s="456"/>
      <c r="BH195" s="456"/>
      <c r="BI195" s="456"/>
      <c r="BJ195" s="456"/>
      <c r="BK195" s="456"/>
      <c r="BL195" s="456"/>
      <c r="BM195" s="456"/>
      <c r="BN195" s="456"/>
      <c r="BO195" s="456"/>
      <c r="BP195" s="456"/>
      <c r="BQ195" s="456"/>
      <c r="BR195" s="456"/>
      <c r="BS195" s="456"/>
      <c r="BT195" s="456"/>
      <c r="BU195" s="456"/>
      <c r="BV195" s="456"/>
      <c r="BW195" s="456"/>
      <c r="BX195" s="456"/>
      <c r="BY195" s="456"/>
      <c r="BZ195" s="456"/>
      <c r="CA195" s="456"/>
      <c r="CB195" s="456"/>
      <c r="CC195" s="456"/>
      <c r="CD195" s="456"/>
      <c r="CE195" s="456"/>
      <c r="CF195" s="456"/>
      <c r="CG195" s="456"/>
      <c r="CH195" s="456"/>
      <c r="CI195" s="456"/>
      <c r="CJ195" s="456"/>
      <c r="CK195" s="456"/>
      <c r="CL195" s="456"/>
      <c r="CM195" s="456"/>
    </row>
    <row r="196" spans="1:91" ht="14.25" customHeight="1">
      <c r="A196" s="443"/>
      <c r="B196" s="443"/>
      <c r="C196" s="443"/>
      <c r="D196" s="443"/>
      <c r="E196" s="443"/>
      <c r="F196" s="443"/>
      <c r="G196" s="443"/>
      <c r="H196" s="443"/>
      <c r="I196" s="443"/>
      <c r="J196" s="443"/>
      <c r="K196" s="443"/>
      <c r="L196" s="443"/>
      <c r="M196" s="443"/>
      <c r="N196" s="443"/>
      <c r="O196" s="443"/>
      <c r="P196" s="443"/>
      <c r="Q196" s="443"/>
      <c r="R196" s="443"/>
      <c r="S196" s="443"/>
      <c r="T196" s="443"/>
      <c r="U196" s="443"/>
      <c r="V196" s="443"/>
      <c r="W196" s="443"/>
      <c r="X196" s="443"/>
      <c r="Y196" s="443"/>
      <c r="Z196" s="443"/>
      <c r="AA196" s="443"/>
      <c r="AB196" s="443"/>
      <c r="AC196" s="443"/>
      <c r="AD196" s="443"/>
      <c r="AE196" s="443"/>
      <c r="AF196" s="444"/>
      <c r="AG196" s="443"/>
      <c r="AH196" s="443"/>
      <c r="AI196" s="443"/>
      <c r="AJ196" s="443"/>
      <c r="AK196" s="443"/>
      <c r="AL196" s="443"/>
      <c r="AM196" s="456"/>
      <c r="AN196" s="456"/>
      <c r="AO196" s="456"/>
      <c r="AP196" s="456"/>
      <c r="AQ196" s="456"/>
      <c r="AR196" s="456"/>
      <c r="AS196" s="456"/>
      <c r="AT196" s="456"/>
      <c r="AU196" s="456"/>
      <c r="AV196" s="456"/>
      <c r="AW196" s="456"/>
      <c r="AX196" s="456"/>
      <c r="AY196" s="456"/>
      <c r="AZ196" s="456"/>
      <c r="BA196" s="456"/>
      <c r="BB196" s="456"/>
      <c r="BC196" s="456"/>
      <c r="BD196" s="456"/>
      <c r="BE196" s="456"/>
      <c r="BF196" s="456"/>
      <c r="BG196" s="456"/>
      <c r="BH196" s="456"/>
      <c r="BI196" s="456"/>
      <c r="BJ196" s="456"/>
      <c r="BK196" s="456"/>
      <c r="BL196" s="456"/>
      <c r="BM196" s="456"/>
      <c r="BN196" s="456"/>
      <c r="BO196" s="456"/>
      <c r="BP196" s="456"/>
      <c r="BQ196" s="456"/>
      <c r="BR196" s="456"/>
      <c r="BS196" s="456"/>
      <c r="BT196" s="456"/>
      <c r="BU196" s="456"/>
      <c r="BV196" s="456"/>
      <c r="BW196" s="456"/>
      <c r="BX196" s="456"/>
      <c r="BY196" s="456"/>
      <c r="BZ196" s="456"/>
      <c r="CA196" s="456"/>
      <c r="CB196" s="456"/>
      <c r="CC196" s="456"/>
      <c r="CD196" s="456"/>
      <c r="CE196" s="456"/>
      <c r="CF196" s="456"/>
      <c r="CG196" s="456"/>
      <c r="CH196" s="456"/>
      <c r="CI196" s="456"/>
      <c r="CJ196" s="456"/>
      <c r="CK196" s="456"/>
      <c r="CL196" s="456"/>
      <c r="CM196" s="456"/>
    </row>
    <row r="197" spans="1:91" ht="14.25" customHeight="1">
      <c r="A197" s="443"/>
      <c r="B197" s="443"/>
      <c r="C197" s="443"/>
      <c r="D197" s="443"/>
      <c r="E197" s="443"/>
      <c r="F197" s="443"/>
      <c r="G197" s="443"/>
      <c r="H197" s="443"/>
      <c r="I197" s="443"/>
      <c r="J197" s="443"/>
      <c r="K197" s="443"/>
      <c r="L197" s="443"/>
      <c r="M197" s="443"/>
      <c r="N197" s="443"/>
      <c r="O197" s="443"/>
      <c r="P197" s="443"/>
      <c r="Q197" s="443"/>
      <c r="R197" s="443"/>
      <c r="S197" s="443"/>
      <c r="T197" s="443"/>
      <c r="U197" s="443"/>
      <c r="V197" s="443"/>
      <c r="W197" s="443"/>
      <c r="X197" s="443"/>
      <c r="Y197" s="443"/>
      <c r="Z197" s="443"/>
      <c r="AA197" s="443"/>
      <c r="AB197" s="443"/>
      <c r="AC197" s="443"/>
      <c r="AD197" s="443"/>
      <c r="AE197" s="443"/>
      <c r="AF197" s="444"/>
      <c r="AG197" s="443"/>
      <c r="AH197" s="443"/>
      <c r="AI197" s="443"/>
      <c r="AJ197" s="443"/>
      <c r="AK197" s="443"/>
      <c r="AL197" s="443"/>
      <c r="AM197" s="456"/>
      <c r="AN197" s="456"/>
      <c r="AO197" s="456"/>
      <c r="AP197" s="456"/>
      <c r="AQ197" s="456"/>
      <c r="AR197" s="456"/>
      <c r="AS197" s="456"/>
      <c r="AT197" s="456"/>
      <c r="AU197" s="456"/>
      <c r="AV197" s="456"/>
      <c r="AW197" s="456"/>
      <c r="AX197" s="456"/>
      <c r="AY197" s="456"/>
      <c r="AZ197" s="456"/>
      <c r="BA197" s="456"/>
      <c r="BB197" s="456"/>
      <c r="BC197" s="456"/>
      <c r="BD197" s="456"/>
      <c r="BE197" s="456"/>
      <c r="BF197" s="456"/>
      <c r="BG197" s="456"/>
      <c r="BH197" s="456"/>
      <c r="BI197" s="456"/>
      <c r="BJ197" s="456"/>
      <c r="BK197" s="456"/>
      <c r="BL197" s="456"/>
      <c r="BM197" s="456"/>
      <c r="BN197" s="456"/>
      <c r="BO197" s="456"/>
      <c r="BP197" s="456"/>
      <c r="BQ197" s="456"/>
      <c r="BR197" s="456"/>
      <c r="BS197" s="456"/>
      <c r="BT197" s="456"/>
      <c r="BU197" s="456"/>
      <c r="BV197" s="456"/>
      <c r="BW197" s="456"/>
      <c r="BX197" s="456"/>
      <c r="BY197" s="456"/>
      <c r="BZ197" s="456"/>
      <c r="CA197" s="456"/>
      <c r="CB197" s="456"/>
      <c r="CC197" s="456"/>
      <c r="CD197" s="456"/>
      <c r="CE197" s="456"/>
      <c r="CF197" s="456"/>
      <c r="CG197" s="456"/>
      <c r="CH197" s="456"/>
      <c r="CI197" s="456"/>
      <c r="CJ197" s="456"/>
      <c r="CK197" s="456"/>
      <c r="CL197" s="456"/>
      <c r="CM197" s="456"/>
    </row>
    <row r="198" spans="1:91" ht="14.25" customHeight="1">
      <c r="A198" s="443"/>
      <c r="B198" s="443"/>
      <c r="C198" s="443"/>
      <c r="D198" s="443"/>
      <c r="E198" s="443"/>
      <c r="F198" s="443"/>
      <c r="G198" s="443"/>
      <c r="H198" s="443"/>
      <c r="I198" s="443"/>
      <c r="J198" s="443"/>
      <c r="K198" s="443"/>
      <c r="L198" s="443"/>
      <c r="M198" s="443"/>
      <c r="N198" s="443"/>
      <c r="O198" s="443"/>
      <c r="P198" s="443"/>
      <c r="Q198" s="443"/>
      <c r="R198" s="443"/>
      <c r="S198" s="443"/>
      <c r="T198" s="443"/>
      <c r="U198" s="443"/>
      <c r="V198" s="443"/>
      <c r="W198" s="443"/>
      <c r="X198" s="443"/>
      <c r="Y198" s="443"/>
      <c r="Z198" s="443"/>
      <c r="AA198" s="443"/>
      <c r="AB198" s="443"/>
      <c r="AC198" s="443"/>
      <c r="AD198" s="443"/>
      <c r="AE198" s="443"/>
      <c r="AF198" s="444"/>
      <c r="AG198" s="443"/>
      <c r="AH198" s="443"/>
      <c r="AI198" s="443"/>
      <c r="AJ198" s="443"/>
      <c r="AK198" s="443"/>
      <c r="AL198" s="443"/>
      <c r="AM198" s="456"/>
      <c r="AN198" s="456"/>
      <c r="AO198" s="456"/>
      <c r="AP198" s="456"/>
      <c r="AQ198" s="456"/>
      <c r="AR198" s="456"/>
      <c r="AS198" s="456"/>
      <c r="AT198" s="456"/>
      <c r="AU198" s="456"/>
      <c r="AV198" s="456"/>
      <c r="AW198" s="456"/>
      <c r="AX198" s="456"/>
      <c r="AY198" s="456"/>
      <c r="AZ198" s="456"/>
      <c r="BA198" s="456"/>
      <c r="BB198" s="456"/>
      <c r="BC198" s="456"/>
      <c r="BD198" s="456"/>
      <c r="BE198" s="456"/>
      <c r="BF198" s="456"/>
      <c r="BG198" s="456"/>
      <c r="BH198" s="456"/>
      <c r="BI198" s="456"/>
      <c r="BJ198" s="456"/>
      <c r="BK198" s="456"/>
      <c r="BL198" s="456"/>
      <c r="BM198" s="456"/>
      <c r="BN198" s="456"/>
      <c r="BO198" s="456"/>
      <c r="BP198" s="456"/>
      <c r="BQ198" s="456"/>
      <c r="BR198" s="456"/>
      <c r="BS198" s="456"/>
      <c r="BT198" s="456"/>
      <c r="BU198" s="456"/>
      <c r="BV198" s="456"/>
      <c r="BW198" s="456"/>
      <c r="BX198" s="456"/>
      <c r="BY198" s="456"/>
      <c r="BZ198" s="456"/>
      <c r="CA198" s="456"/>
      <c r="CB198" s="456"/>
      <c r="CC198" s="456"/>
      <c r="CD198" s="456"/>
      <c r="CE198" s="456"/>
      <c r="CF198" s="456"/>
      <c r="CG198" s="456"/>
      <c r="CH198" s="456"/>
      <c r="CI198" s="456"/>
      <c r="CJ198" s="456"/>
      <c r="CK198" s="456"/>
      <c r="CL198" s="456"/>
      <c r="CM198" s="456"/>
    </row>
    <row r="199" spans="1:91" ht="14.25" customHeight="1">
      <c r="A199" s="443"/>
      <c r="B199" s="443"/>
      <c r="C199" s="443"/>
      <c r="D199" s="443"/>
      <c r="E199" s="443"/>
      <c r="F199" s="443"/>
      <c r="G199" s="443"/>
      <c r="H199" s="443"/>
      <c r="I199" s="443"/>
      <c r="J199" s="443"/>
      <c r="K199" s="443"/>
      <c r="L199" s="443"/>
      <c r="M199" s="443"/>
      <c r="N199" s="443"/>
      <c r="O199" s="443"/>
      <c r="P199" s="443"/>
      <c r="Q199" s="443"/>
      <c r="R199" s="443"/>
      <c r="S199" s="443"/>
      <c r="T199" s="443"/>
      <c r="U199" s="443"/>
      <c r="V199" s="443"/>
      <c r="W199" s="443"/>
      <c r="X199" s="443"/>
      <c r="Y199" s="443"/>
      <c r="Z199" s="443"/>
      <c r="AA199" s="443"/>
      <c r="AB199" s="443"/>
      <c r="AC199" s="443"/>
      <c r="AD199" s="443"/>
      <c r="AE199" s="443"/>
      <c r="AF199" s="444"/>
      <c r="AG199" s="443"/>
      <c r="AH199" s="443"/>
      <c r="AI199" s="443"/>
      <c r="AJ199" s="443"/>
      <c r="AK199" s="443"/>
      <c r="AL199" s="443"/>
      <c r="AM199" s="456"/>
      <c r="AN199" s="456"/>
      <c r="AO199" s="456"/>
      <c r="AP199" s="456"/>
      <c r="AQ199" s="456"/>
      <c r="AR199" s="456"/>
      <c r="AS199" s="456"/>
      <c r="AT199" s="456"/>
      <c r="AU199" s="456"/>
      <c r="AV199" s="456"/>
      <c r="AW199" s="456"/>
      <c r="AX199" s="456"/>
      <c r="AY199" s="456"/>
      <c r="AZ199" s="456"/>
      <c r="BA199" s="456"/>
      <c r="BB199" s="456"/>
      <c r="BC199" s="456"/>
      <c r="BD199" s="456"/>
      <c r="BE199" s="456"/>
      <c r="BF199" s="456"/>
      <c r="BG199" s="456"/>
      <c r="BH199" s="456"/>
      <c r="BI199" s="456"/>
      <c r="BJ199" s="456"/>
      <c r="BK199" s="456"/>
      <c r="BL199" s="456"/>
      <c r="BM199" s="456"/>
      <c r="BN199" s="456"/>
      <c r="BO199" s="456"/>
      <c r="BP199" s="456"/>
      <c r="BQ199" s="456"/>
      <c r="BR199" s="456"/>
      <c r="BS199" s="456"/>
      <c r="BT199" s="456"/>
      <c r="BU199" s="456"/>
      <c r="BV199" s="456"/>
      <c r="BW199" s="456"/>
      <c r="BX199" s="456"/>
      <c r="BY199" s="456"/>
      <c r="BZ199" s="456"/>
      <c r="CA199" s="456"/>
      <c r="CB199" s="456"/>
      <c r="CC199" s="456"/>
      <c r="CD199" s="456"/>
      <c r="CE199" s="456"/>
      <c r="CF199" s="456"/>
      <c r="CG199" s="456"/>
      <c r="CH199" s="456"/>
      <c r="CI199" s="456"/>
      <c r="CJ199" s="456"/>
      <c r="CK199" s="456"/>
      <c r="CL199" s="456"/>
      <c r="CM199" s="456"/>
    </row>
    <row r="200" spans="1:91" ht="14.25" customHeight="1">
      <c r="A200" s="443"/>
      <c r="B200" s="443"/>
      <c r="C200" s="443"/>
      <c r="D200" s="443"/>
      <c r="E200" s="443"/>
      <c r="F200" s="443"/>
      <c r="G200" s="443"/>
      <c r="H200" s="443"/>
      <c r="I200" s="443"/>
      <c r="J200" s="443"/>
      <c r="K200" s="443"/>
      <c r="L200" s="443"/>
      <c r="M200" s="443"/>
      <c r="N200" s="443"/>
      <c r="O200" s="443"/>
      <c r="P200" s="443"/>
      <c r="Q200" s="443"/>
      <c r="R200" s="443"/>
      <c r="S200" s="443"/>
      <c r="T200" s="443"/>
      <c r="U200" s="443"/>
      <c r="V200" s="443"/>
      <c r="W200" s="443"/>
      <c r="X200" s="443"/>
      <c r="Y200" s="443"/>
      <c r="Z200" s="443"/>
      <c r="AA200" s="443"/>
      <c r="AB200" s="443"/>
      <c r="AC200" s="443"/>
      <c r="AD200" s="443"/>
      <c r="AE200" s="443"/>
      <c r="AF200" s="444"/>
      <c r="AG200" s="443"/>
      <c r="AH200" s="443"/>
      <c r="AI200" s="443"/>
      <c r="AJ200" s="443"/>
      <c r="AK200" s="443"/>
      <c r="AL200" s="443"/>
      <c r="AM200" s="456"/>
      <c r="AN200" s="456"/>
      <c r="AO200" s="456"/>
      <c r="AP200" s="456"/>
      <c r="AQ200" s="456"/>
      <c r="AR200" s="456"/>
      <c r="AS200" s="456"/>
      <c r="AT200" s="456"/>
      <c r="AU200" s="456"/>
      <c r="AV200" s="456"/>
      <c r="AW200" s="456"/>
      <c r="AX200" s="456"/>
      <c r="AY200" s="456"/>
      <c r="AZ200" s="456"/>
      <c r="BA200" s="456"/>
      <c r="BB200" s="456"/>
      <c r="BC200" s="456"/>
      <c r="BD200" s="456"/>
      <c r="BE200" s="456"/>
      <c r="BF200" s="456"/>
      <c r="BG200" s="456"/>
      <c r="BH200" s="456"/>
      <c r="BI200" s="456"/>
      <c r="BJ200" s="456"/>
      <c r="BK200" s="456"/>
      <c r="BL200" s="456"/>
      <c r="BM200" s="456"/>
      <c r="BN200" s="456"/>
      <c r="BO200" s="456"/>
      <c r="BP200" s="456"/>
      <c r="BQ200" s="456"/>
      <c r="BR200" s="456"/>
      <c r="BS200" s="456"/>
      <c r="BT200" s="456"/>
      <c r="BU200" s="456"/>
      <c r="BV200" s="456"/>
      <c r="BW200" s="456"/>
      <c r="BX200" s="456"/>
      <c r="BY200" s="456"/>
      <c r="BZ200" s="456"/>
      <c r="CA200" s="456"/>
      <c r="CB200" s="456"/>
      <c r="CC200" s="456"/>
      <c r="CD200" s="456"/>
      <c r="CE200" s="456"/>
      <c r="CF200" s="456"/>
      <c r="CG200" s="456"/>
      <c r="CH200" s="456"/>
      <c r="CI200" s="456"/>
      <c r="CJ200" s="456"/>
      <c r="CK200" s="456"/>
      <c r="CL200" s="456"/>
      <c r="CM200" s="456"/>
    </row>
    <row r="201" spans="1:91" ht="14.25" customHeight="1">
      <c r="A201" s="443"/>
      <c r="B201" s="443"/>
      <c r="C201" s="443"/>
      <c r="D201" s="443"/>
      <c r="E201" s="443"/>
      <c r="F201" s="443"/>
      <c r="G201" s="443"/>
      <c r="H201" s="443"/>
      <c r="I201" s="443"/>
      <c r="J201" s="443"/>
      <c r="K201" s="443"/>
      <c r="L201" s="443"/>
      <c r="M201" s="443"/>
      <c r="N201" s="443"/>
      <c r="O201" s="443"/>
      <c r="P201" s="443"/>
      <c r="Q201" s="443"/>
      <c r="R201" s="443"/>
      <c r="S201" s="443"/>
      <c r="T201" s="443"/>
      <c r="U201" s="443"/>
      <c r="V201" s="443"/>
      <c r="W201" s="443"/>
      <c r="X201" s="443"/>
      <c r="Y201" s="443"/>
      <c r="Z201" s="443"/>
      <c r="AA201" s="443"/>
      <c r="AB201" s="443"/>
      <c r="AC201" s="443"/>
      <c r="AD201" s="443"/>
      <c r="AE201" s="443"/>
      <c r="AF201" s="444"/>
      <c r="AG201" s="443"/>
      <c r="AH201" s="443"/>
      <c r="AI201" s="443"/>
      <c r="AJ201" s="443"/>
      <c r="AK201" s="443"/>
      <c r="AL201" s="443"/>
      <c r="AM201" s="456"/>
      <c r="AN201" s="456"/>
      <c r="AO201" s="456"/>
      <c r="AP201" s="456"/>
      <c r="AQ201" s="456"/>
      <c r="AR201" s="456"/>
      <c r="AS201" s="456"/>
      <c r="AT201" s="456"/>
      <c r="AU201" s="456"/>
      <c r="AV201" s="456"/>
      <c r="AW201" s="456"/>
      <c r="AX201" s="456"/>
      <c r="AY201" s="456"/>
      <c r="AZ201" s="456"/>
      <c r="BA201" s="456"/>
      <c r="BB201" s="456"/>
      <c r="BC201" s="456"/>
      <c r="BD201" s="456"/>
      <c r="BE201" s="456"/>
      <c r="BF201" s="456"/>
      <c r="BG201" s="456"/>
      <c r="BH201" s="456"/>
      <c r="BI201" s="456"/>
      <c r="BJ201" s="456"/>
      <c r="BK201" s="456"/>
      <c r="BL201" s="456"/>
      <c r="BM201" s="456"/>
      <c r="BN201" s="456"/>
      <c r="BO201" s="456"/>
      <c r="BP201" s="456"/>
      <c r="BQ201" s="456"/>
      <c r="BR201" s="456"/>
      <c r="BS201" s="456"/>
      <c r="BT201" s="456"/>
      <c r="BU201" s="456"/>
      <c r="BV201" s="456"/>
      <c r="BW201" s="456"/>
      <c r="BX201" s="456"/>
      <c r="BY201" s="456"/>
      <c r="BZ201" s="456"/>
      <c r="CA201" s="456"/>
      <c r="CB201" s="456"/>
      <c r="CC201" s="456"/>
      <c r="CD201" s="456"/>
      <c r="CE201" s="456"/>
      <c r="CF201" s="456"/>
      <c r="CG201" s="456"/>
      <c r="CH201" s="456"/>
      <c r="CI201" s="456"/>
      <c r="CJ201" s="456"/>
      <c r="CK201" s="456"/>
      <c r="CL201" s="456"/>
      <c r="CM201" s="456"/>
    </row>
    <row r="202" spans="1:91" ht="14.25" customHeight="1">
      <c r="A202" s="443"/>
      <c r="B202" s="443"/>
      <c r="C202" s="443"/>
      <c r="D202" s="443"/>
      <c r="E202" s="443"/>
      <c r="F202" s="443"/>
      <c r="G202" s="443"/>
      <c r="H202" s="443"/>
      <c r="I202" s="443"/>
      <c r="J202" s="443"/>
      <c r="K202" s="443"/>
      <c r="L202" s="443"/>
      <c r="M202" s="443"/>
      <c r="N202" s="443"/>
      <c r="O202" s="443"/>
      <c r="P202" s="443"/>
      <c r="Q202" s="443"/>
      <c r="R202" s="443"/>
      <c r="S202" s="443"/>
      <c r="T202" s="443"/>
      <c r="U202" s="443"/>
      <c r="V202" s="443"/>
      <c r="W202" s="443"/>
      <c r="X202" s="443"/>
      <c r="Y202" s="443"/>
      <c r="Z202" s="443"/>
      <c r="AA202" s="443"/>
      <c r="AB202" s="443"/>
      <c r="AC202" s="443"/>
      <c r="AD202" s="443"/>
      <c r="AE202" s="443"/>
      <c r="AF202" s="444"/>
      <c r="AG202" s="443"/>
      <c r="AH202" s="443"/>
      <c r="AI202" s="443"/>
      <c r="AJ202" s="443"/>
      <c r="AK202" s="443"/>
      <c r="AL202" s="443"/>
      <c r="AM202" s="456"/>
      <c r="AN202" s="456"/>
      <c r="AO202" s="456"/>
      <c r="AP202" s="456"/>
      <c r="AQ202" s="456"/>
      <c r="AR202" s="456"/>
      <c r="AS202" s="456"/>
      <c r="AT202" s="456"/>
      <c r="AU202" s="456"/>
      <c r="AV202" s="456"/>
      <c r="AW202" s="456"/>
      <c r="AX202" s="456"/>
      <c r="AY202" s="456"/>
      <c r="AZ202" s="456"/>
      <c r="BA202" s="456"/>
      <c r="BB202" s="456"/>
      <c r="BC202" s="456"/>
      <c r="BD202" s="456"/>
      <c r="BE202" s="456"/>
      <c r="BF202" s="456"/>
      <c r="BG202" s="456"/>
      <c r="BH202" s="456"/>
      <c r="BI202" s="456"/>
      <c r="BJ202" s="456"/>
      <c r="BK202" s="456"/>
      <c r="BL202" s="456"/>
      <c r="BM202" s="456"/>
      <c r="BN202" s="456"/>
      <c r="BO202" s="456"/>
      <c r="BP202" s="456"/>
      <c r="BQ202" s="456"/>
      <c r="BR202" s="456"/>
      <c r="BS202" s="456"/>
      <c r="BT202" s="456"/>
      <c r="BU202" s="456"/>
      <c r="BV202" s="456"/>
      <c r="BW202" s="456"/>
      <c r="BX202" s="456"/>
      <c r="BY202" s="456"/>
      <c r="BZ202" s="456"/>
      <c r="CA202" s="456"/>
      <c r="CB202" s="456"/>
      <c r="CC202" s="456"/>
      <c r="CD202" s="456"/>
      <c r="CE202" s="456"/>
      <c r="CF202" s="456"/>
      <c r="CG202" s="456"/>
      <c r="CH202" s="456"/>
      <c r="CI202" s="456"/>
      <c r="CJ202" s="456"/>
      <c r="CK202" s="456"/>
      <c r="CL202" s="456"/>
      <c r="CM202" s="456"/>
    </row>
    <row r="203" spans="1:91" ht="14.25" customHeight="1">
      <c r="A203" s="443"/>
      <c r="B203" s="443"/>
      <c r="C203" s="443"/>
      <c r="D203" s="443"/>
      <c r="E203" s="443"/>
      <c r="F203" s="443"/>
      <c r="G203" s="443"/>
      <c r="H203" s="443"/>
      <c r="I203" s="443"/>
      <c r="J203" s="443"/>
      <c r="K203" s="443"/>
      <c r="L203" s="443"/>
      <c r="M203" s="443"/>
      <c r="N203" s="443"/>
      <c r="O203" s="443"/>
      <c r="P203" s="443"/>
      <c r="Q203" s="443"/>
      <c r="R203" s="443"/>
      <c r="S203" s="443"/>
      <c r="T203" s="443"/>
      <c r="U203" s="443"/>
      <c r="V203" s="443"/>
      <c r="W203" s="443"/>
      <c r="X203" s="443"/>
      <c r="Y203" s="443"/>
      <c r="Z203" s="443"/>
      <c r="AA203" s="443"/>
      <c r="AB203" s="443"/>
      <c r="AC203" s="443"/>
      <c r="AD203" s="443"/>
      <c r="AE203" s="443"/>
      <c r="AF203" s="444"/>
      <c r="AG203" s="443"/>
      <c r="AH203" s="443"/>
      <c r="AI203" s="443"/>
      <c r="AJ203" s="443"/>
      <c r="AK203" s="443"/>
      <c r="AL203" s="443"/>
      <c r="AM203" s="456"/>
      <c r="AN203" s="456"/>
      <c r="AO203" s="456"/>
      <c r="AP203" s="456"/>
      <c r="AQ203" s="456"/>
      <c r="AR203" s="456"/>
      <c r="AS203" s="456"/>
      <c r="AT203" s="456"/>
      <c r="AU203" s="456"/>
      <c r="AV203" s="456"/>
      <c r="AW203" s="456"/>
      <c r="AX203" s="456"/>
      <c r="AY203" s="456"/>
      <c r="AZ203" s="456"/>
      <c r="BA203" s="456"/>
      <c r="BB203" s="456"/>
      <c r="BC203" s="456"/>
      <c r="BD203" s="456"/>
      <c r="BE203" s="456"/>
      <c r="BF203" s="456"/>
      <c r="BG203" s="456"/>
      <c r="BH203" s="456"/>
      <c r="BI203" s="456"/>
      <c r="BJ203" s="456"/>
      <c r="BK203" s="456"/>
      <c r="BL203" s="456"/>
      <c r="BM203" s="456"/>
      <c r="BN203" s="456"/>
      <c r="BO203" s="456"/>
      <c r="BP203" s="456"/>
      <c r="BQ203" s="456"/>
      <c r="BR203" s="456"/>
      <c r="BS203" s="456"/>
      <c r="BT203" s="456"/>
      <c r="BU203" s="456"/>
      <c r="BV203" s="456"/>
      <c r="BW203" s="456"/>
      <c r="BX203" s="456"/>
      <c r="BY203" s="456"/>
      <c r="BZ203" s="456"/>
      <c r="CA203" s="456"/>
      <c r="CB203" s="456"/>
      <c r="CC203" s="456"/>
      <c r="CD203" s="456"/>
      <c r="CE203" s="456"/>
      <c r="CF203" s="456"/>
      <c r="CG203" s="456"/>
      <c r="CH203" s="456"/>
      <c r="CI203" s="456"/>
      <c r="CJ203" s="456"/>
      <c r="CK203" s="456"/>
      <c r="CL203" s="456"/>
      <c r="CM203" s="456"/>
    </row>
    <row r="204" spans="1:91" ht="14.25" customHeight="1">
      <c r="A204" s="443"/>
      <c r="B204" s="443"/>
      <c r="C204" s="443"/>
      <c r="D204" s="443"/>
      <c r="E204" s="443"/>
      <c r="F204" s="443"/>
      <c r="G204" s="443"/>
      <c r="H204" s="443"/>
      <c r="I204" s="443"/>
      <c r="J204" s="443"/>
      <c r="K204" s="443"/>
      <c r="L204" s="443"/>
      <c r="M204" s="443"/>
      <c r="N204" s="443"/>
      <c r="O204" s="443"/>
      <c r="P204" s="443"/>
      <c r="Q204" s="443"/>
      <c r="R204" s="443"/>
      <c r="S204" s="443"/>
      <c r="T204" s="443"/>
      <c r="U204" s="443"/>
      <c r="V204" s="443"/>
      <c r="W204" s="443"/>
      <c r="X204" s="443"/>
      <c r="Y204" s="443"/>
      <c r="Z204" s="443"/>
      <c r="AA204" s="443"/>
      <c r="AB204" s="443"/>
      <c r="AC204" s="443"/>
      <c r="AD204" s="443"/>
      <c r="AE204" s="443"/>
      <c r="AF204" s="444"/>
      <c r="AG204" s="443"/>
      <c r="AH204" s="443"/>
      <c r="AI204" s="443"/>
      <c r="AJ204" s="443"/>
      <c r="AK204" s="443"/>
      <c r="AL204" s="443"/>
      <c r="AM204" s="456"/>
      <c r="AN204" s="456"/>
      <c r="AO204" s="456"/>
      <c r="AP204" s="456"/>
      <c r="AQ204" s="456"/>
      <c r="AR204" s="456"/>
      <c r="AS204" s="456"/>
      <c r="AT204" s="456"/>
      <c r="AU204" s="456"/>
      <c r="AV204" s="456"/>
      <c r="AW204" s="456"/>
      <c r="AX204" s="456"/>
      <c r="AY204" s="456"/>
      <c r="AZ204" s="456"/>
      <c r="BA204" s="456"/>
      <c r="BB204" s="456"/>
      <c r="BC204" s="456"/>
      <c r="BD204" s="456"/>
      <c r="BE204" s="456"/>
      <c r="BF204" s="456"/>
      <c r="BG204" s="456"/>
      <c r="BH204" s="456"/>
      <c r="BI204" s="456"/>
      <c r="BJ204" s="456"/>
      <c r="BK204" s="456"/>
      <c r="BL204" s="456"/>
      <c r="BM204" s="456"/>
      <c r="BN204" s="456"/>
      <c r="BO204" s="456"/>
      <c r="BP204" s="456"/>
      <c r="BQ204" s="456"/>
      <c r="BR204" s="456"/>
      <c r="BS204" s="456"/>
      <c r="BT204" s="456"/>
      <c r="BU204" s="456"/>
      <c r="BV204" s="456"/>
      <c r="BW204" s="456"/>
      <c r="BX204" s="456"/>
      <c r="BY204" s="456"/>
      <c r="BZ204" s="456"/>
      <c r="CA204" s="456"/>
      <c r="CB204" s="456"/>
      <c r="CC204" s="456"/>
      <c r="CD204" s="456"/>
      <c r="CE204" s="456"/>
      <c r="CF204" s="456"/>
      <c r="CG204" s="456"/>
      <c r="CH204" s="456"/>
      <c r="CI204" s="456"/>
      <c r="CJ204" s="456"/>
      <c r="CK204" s="456"/>
      <c r="CL204" s="456"/>
      <c r="CM204" s="456"/>
    </row>
    <row r="205" spans="1:91" ht="14.25" customHeight="1">
      <c r="A205" s="443"/>
      <c r="B205" s="443"/>
      <c r="C205" s="443"/>
      <c r="D205" s="443"/>
      <c r="E205" s="443"/>
      <c r="F205" s="443"/>
      <c r="G205" s="443"/>
      <c r="H205" s="443"/>
      <c r="I205" s="443"/>
      <c r="J205" s="443"/>
      <c r="K205" s="443"/>
      <c r="L205" s="443"/>
      <c r="M205" s="443"/>
      <c r="N205" s="443"/>
      <c r="O205" s="443"/>
      <c r="P205" s="443"/>
      <c r="Q205" s="443"/>
      <c r="R205" s="443"/>
      <c r="S205" s="443"/>
      <c r="T205" s="443"/>
      <c r="U205" s="443"/>
      <c r="V205" s="443"/>
      <c r="W205" s="443"/>
      <c r="X205" s="443"/>
      <c r="Y205" s="443"/>
      <c r="Z205" s="443"/>
      <c r="AA205" s="443"/>
      <c r="AB205" s="443"/>
      <c r="AC205" s="443"/>
      <c r="AD205" s="443"/>
      <c r="AE205" s="443"/>
      <c r="AF205" s="444"/>
      <c r="AG205" s="443"/>
      <c r="AH205" s="443"/>
      <c r="AI205" s="443"/>
      <c r="AJ205" s="443"/>
      <c r="AK205" s="443"/>
      <c r="AL205" s="443"/>
      <c r="AM205" s="456"/>
      <c r="AN205" s="456"/>
      <c r="AO205" s="456"/>
      <c r="AP205" s="456"/>
      <c r="AQ205" s="456"/>
      <c r="AR205" s="456"/>
      <c r="AS205" s="456"/>
      <c r="AT205" s="456"/>
      <c r="AU205" s="456"/>
      <c r="AV205" s="456"/>
      <c r="AW205" s="456"/>
      <c r="AX205" s="456"/>
      <c r="AY205" s="456"/>
      <c r="AZ205" s="456"/>
      <c r="BA205" s="456"/>
      <c r="BB205" s="456"/>
      <c r="BC205" s="456"/>
      <c r="BD205" s="456"/>
      <c r="BE205" s="456"/>
      <c r="BF205" s="456"/>
      <c r="BG205" s="456"/>
      <c r="BH205" s="456"/>
      <c r="BI205" s="456"/>
      <c r="BJ205" s="456"/>
      <c r="BK205" s="456"/>
      <c r="BL205" s="456"/>
      <c r="BM205" s="456"/>
      <c r="BN205" s="456"/>
      <c r="BO205" s="456"/>
      <c r="BP205" s="456"/>
      <c r="BQ205" s="456"/>
      <c r="BR205" s="456"/>
      <c r="BS205" s="456"/>
      <c r="BT205" s="456"/>
      <c r="BU205" s="456"/>
      <c r="BV205" s="456"/>
      <c r="BW205" s="456"/>
      <c r="BX205" s="456"/>
      <c r="BY205" s="456"/>
      <c r="BZ205" s="456"/>
      <c r="CA205" s="456"/>
      <c r="CB205" s="456"/>
      <c r="CC205" s="456"/>
      <c r="CD205" s="456"/>
      <c r="CE205" s="456"/>
      <c r="CF205" s="456"/>
      <c r="CG205" s="456"/>
      <c r="CH205" s="456"/>
      <c r="CI205" s="456"/>
      <c r="CJ205" s="456"/>
      <c r="CK205" s="456"/>
      <c r="CL205" s="456"/>
      <c r="CM205" s="456"/>
    </row>
    <row r="206" spans="1:91" ht="14.25" customHeight="1">
      <c r="A206" s="443"/>
      <c r="B206" s="443"/>
      <c r="C206" s="443"/>
      <c r="D206" s="443"/>
      <c r="E206" s="443"/>
      <c r="F206" s="443"/>
      <c r="G206" s="443"/>
      <c r="H206" s="443"/>
      <c r="I206" s="443"/>
      <c r="J206" s="443"/>
      <c r="K206" s="443"/>
      <c r="L206" s="443"/>
      <c r="M206" s="443"/>
      <c r="N206" s="443"/>
      <c r="O206" s="443"/>
      <c r="P206" s="443"/>
      <c r="Q206" s="443"/>
      <c r="R206" s="443"/>
      <c r="S206" s="443"/>
      <c r="T206" s="443"/>
      <c r="U206" s="443"/>
      <c r="V206" s="443"/>
      <c r="W206" s="443"/>
      <c r="X206" s="443"/>
      <c r="Y206" s="443"/>
      <c r="Z206" s="443"/>
      <c r="AA206" s="443"/>
      <c r="AB206" s="443"/>
      <c r="AC206" s="443"/>
      <c r="AD206" s="443"/>
      <c r="AE206" s="443"/>
      <c r="AF206" s="444"/>
      <c r="AG206" s="443"/>
      <c r="AH206" s="443"/>
      <c r="AI206" s="443"/>
      <c r="AJ206" s="443"/>
      <c r="AK206" s="443"/>
      <c r="AL206" s="443"/>
      <c r="AM206" s="456"/>
      <c r="AN206" s="456"/>
      <c r="AO206" s="456"/>
      <c r="AP206" s="456"/>
      <c r="AQ206" s="456"/>
      <c r="AR206" s="456"/>
      <c r="AS206" s="456"/>
      <c r="AT206" s="456"/>
      <c r="AU206" s="456"/>
      <c r="AV206" s="456"/>
      <c r="AW206" s="456"/>
      <c r="AX206" s="456"/>
      <c r="AY206" s="456"/>
      <c r="AZ206" s="456"/>
      <c r="BA206" s="456"/>
      <c r="BB206" s="456"/>
      <c r="BC206" s="456"/>
      <c r="BD206" s="456"/>
      <c r="BE206" s="456"/>
      <c r="BF206" s="456"/>
      <c r="BG206" s="456"/>
      <c r="BH206" s="456"/>
      <c r="BI206" s="456"/>
      <c r="BJ206" s="456"/>
      <c r="BK206" s="456"/>
      <c r="BL206" s="456"/>
      <c r="BM206" s="456"/>
      <c r="BN206" s="456"/>
      <c r="BO206" s="456"/>
      <c r="BP206" s="456"/>
      <c r="BQ206" s="456"/>
      <c r="BR206" s="456"/>
      <c r="BS206" s="456"/>
      <c r="BT206" s="456"/>
      <c r="BU206" s="456"/>
      <c r="BV206" s="456"/>
      <c r="BW206" s="456"/>
      <c r="BX206" s="456"/>
      <c r="BY206" s="456"/>
      <c r="BZ206" s="456"/>
      <c r="CA206" s="456"/>
      <c r="CB206" s="456"/>
      <c r="CC206" s="456"/>
      <c r="CD206" s="456"/>
      <c r="CE206" s="456"/>
      <c r="CF206" s="456"/>
      <c r="CG206" s="456"/>
      <c r="CH206" s="456"/>
      <c r="CI206" s="456"/>
      <c r="CJ206" s="456"/>
      <c r="CK206" s="456"/>
      <c r="CL206" s="456"/>
      <c r="CM206" s="456"/>
    </row>
    <row r="207" spans="1:91" ht="14.25" customHeight="1">
      <c r="A207" s="443"/>
      <c r="B207" s="443"/>
      <c r="C207" s="443"/>
      <c r="D207" s="443"/>
      <c r="E207" s="443"/>
      <c r="F207" s="443"/>
      <c r="G207" s="443"/>
      <c r="H207" s="443"/>
      <c r="I207" s="443"/>
      <c r="J207" s="443"/>
      <c r="K207" s="443"/>
      <c r="L207" s="443"/>
      <c r="M207" s="443"/>
      <c r="N207" s="443"/>
      <c r="O207" s="443"/>
      <c r="P207" s="443"/>
      <c r="Q207" s="443"/>
      <c r="R207" s="443"/>
      <c r="S207" s="443"/>
      <c r="T207" s="443"/>
      <c r="U207" s="443"/>
      <c r="V207" s="443"/>
      <c r="W207" s="443"/>
      <c r="X207" s="443"/>
      <c r="Y207" s="443"/>
      <c r="Z207" s="443"/>
      <c r="AA207" s="443"/>
      <c r="AB207" s="443"/>
      <c r="AC207" s="443"/>
      <c r="AD207" s="443"/>
      <c r="AE207" s="443"/>
      <c r="AF207" s="444"/>
      <c r="AG207" s="443"/>
      <c r="AH207" s="443"/>
      <c r="AI207" s="443"/>
      <c r="AJ207" s="443"/>
      <c r="AK207" s="443"/>
      <c r="AL207" s="443"/>
      <c r="AM207" s="456"/>
      <c r="AN207" s="456"/>
      <c r="AO207" s="456"/>
      <c r="AP207" s="456"/>
      <c r="AQ207" s="456"/>
      <c r="AR207" s="456"/>
      <c r="AS207" s="456"/>
      <c r="AT207" s="456"/>
      <c r="AU207" s="456"/>
      <c r="AV207" s="456"/>
      <c r="AW207" s="456"/>
      <c r="AX207" s="456"/>
      <c r="AY207" s="456"/>
      <c r="AZ207" s="456"/>
      <c r="BA207" s="456"/>
      <c r="BB207" s="456"/>
      <c r="BC207" s="456"/>
      <c r="BD207" s="456"/>
      <c r="BE207" s="456"/>
      <c r="BF207" s="456"/>
      <c r="BG207" s="456"/>
      <c r="BH207" s="456"/>
      <c r="BI207" s="456"/>
      <c r="BJ207" s="456"/>
      <c r="BK207" s="456"/>
      <c r="BL207" s="456"/>
      <c r="BM207" s="456"/>
      <c r="BN207" s="456"/>
      <c r="BO207" s="456"/>
      <c r="BP207" s="456"/>
      <c r="BQ207" s="456"/>
      <c r="BR207" s="456"/>
      <c r="BS207" s="456"/>
      <c r="BT207" s="456"/>
      <c r="BU207" s="456"/>
      <c r="BV207" s="456"/>
      <c r="BW207" s="456"/>
      <c r="BX207" s="456"/>
      <c r="BY207" s="456"/>
      <c r="BZ207" s="456"/>
      <c r="CA207" s="456"/>
      <c r="CB207" s="456"/>
      <c r="CC207" s="456"/>
      <c r="CD207" s="456"/>
      <c r="CE207" s="456"/>
      <c r="CF207" s="456"/>
      <c r="CG207" s="456"/>
      <c r="CH207" s="456"/>
      <c r="CI207" s="456"/>
      <c r="CJ207" s="456"/>
      <c r="CK207" s="456"/>
      <c r="CL207" s="456"/>
      <c r="CM207" s="456"/>
    </row>
    <row r="208" spans="1:91" ht="14.25" customHeight="1">
      <c r="A208" s="443"/>
      <c r="B208" s="443"/>
      <c r="C208" s="443"/>
      <c r="D208" s="443"/>
      <c r="E208" s="443"/>
      <c r="F208" s="443"/>
      <c r="G208" s="443"/>
      <c r="H208" s="443"/>
      <c r="I208" s="443"/>
      <c r="J208" s="443"/>
      <c r="K208" s="443"/>
      <c r="L208" s="443"/>
      <c r="M208" s="443"/>
      <c r="N208" s="443"/>
      <c r="O208" s="443"/>
      <c r="P208" s="443"/>
      <c r="Q208" s="443"/>
      <c r="R208" s="443"/>
      <c r="S208" s="443"/>
      <c r="T208" s="443"/>
      <c r="U208" s="443"/>
      <c r="V208" s="443"/>
      <c r="W208" s="443"/>
      <c r="X208" s="443"/>
      <c r="Y208" s="443"/>
      <c r="Z208" s="443"/>
      <c r="AA208" s="443"/>
      <c r="AB208" s="443"/>
      <c r="AC208" s="443"/>
      <c r="AD208" s="443"/>
      <c r="AE208" s="443"/>
      <c r="AF208" s="444"/>
      <c r="AG208" s="443"/>
      <c r="AH208" s="443"/>
      <c r="AI208" s="443"/>
      <c r="AJ208" s="443"/>
      <c r="AK208" s="443"/>
      <c r="AL208" s="443"/>
      <c r="AM208" s="456"/>
      <c r="AN208" s="456"/>
      <c r="AO208" s="456"/>
      <c r="AP208" s="456"/>
      <c r="AQ208" s="456"/>
      <c r="AR208" s="456"/>
      <c r="AS208" s="456"/>
      <c r="AT208" s="456"/>
      <c r="AU208" s="456"/>
      <c r="AV208" s="456"/>
      <c r="AW208" s="456"/>
      <c r="AX208" s="456"/>
      <c r="AY208" s="456"/>
      <c r="AZ208" s="456"/>
      <c r="BA208" s="456"/>
      <c r="BB208" s="456"/>
      <c r="BC208" s="456"/>
      <c r="BD208" s="456"/>
      <c r="BE208" s="456"/>
      <c r="BF208" s="456"/>
      <c r="BG208" s="456"/>
      <c r="BH208" s="456"/>
      <c r="BI208" s="456"/>
      <c r="BJ208" s="456"/>
      <c r="BK208" s="456"/>
      <c r="BL208" s="456"/>
      <c r="BM208" s="456"/>
      <c r="BN208" s="456"/>
      <c r="BO208" s="456"/>
      <c r="BP208" s="456"/>
      <c r="BQ208" s="456"/>
      <c r="BR208" s="456"/>
      <c r="BS208" s="456"/>
      <c r="BT208" s="456"/>
      <c r="BU208" s="456"/>
      <c r="BV208" s="456"/>
      <c r="BW208" s="456"/>
      <c r="BX208" s="456"/>
      <c r="BY208" s="456"/>
      <c r="BZ208" s="456"/>
      <c r="CA208" s="456"/>
      <c r="CB208" s="456"/>
      <c r="CC208" s="456"/>
      <c r="CD208" s="456"/>
      <c r="CE208" s="456"/>
      <c r="CF208" s="456"/>
      <c r="CG208" s="456"/>
      <c r="CH208" s="456"/>
      <c r="CI208" s="456"/>
      <c r="CJ208" s="456"/>
      <c r="CK208" s="456"/>
      <c r="CL208" s="456"/>
      <c r="CM208" s="456"/>
    </row>
    <row r="209" spans="1:91" ht="14.25" customHeight="1">
      <c r="A209" s="443"/>
      <c r="B209" s="443"/>
      <c r="C209" s="443"/>
      <c r="D209" s="443"/>
      <c r="E209" s="443"/>
      <c r="F209" s="443"/>
      <c r="G209" s="443"/>
      <c r="H209" s="443"/>
      <c r="I209" s="443"/>
      <c r="J209" s="443"/>
      <c r="K209" s="443"/>
      <c r="L209" s="443"/>
      <c r="M209" s="443"/>
      <c r="N209" s="443"/>
      <c r="O209" s="443"/>
      <c r="P209" s="443"/>
      <c r="Q209" s="443"/>
      <c r="R209" s="443"/>
      <c r="S209" s="443"/>
      <c r="T209" s="443"/>
      <c r="U209" s="443"/>
      <c r="V209" s="443"/>
      <c r="W209" s="443"/>
      <c r="X209" s="443"/>
      <c r="Y209" s="443"/>
      <c r="Z209" s="443"/>
      <c r="AA209" s="443"/>
      <c r="AB209" s="443"/>
      <c r="AC209" s="443"/>
      <c r="AD209" s="443"/>
      <c r="AE209" s="443"/>
      <c r="AF209" s="444"/>
      <c r="AG209" s="443"/>
      <c r="AH209" s="443"/>
      <c r="AI209" s="443"/>
      <c r="AJ209" s="443"/>
      <c r="AK209" s="443"/>
      <c r="AL209" s="443"/>
      <c r="AM209" s="456"/>
      <c r="AN209" s="456"/>
      <c r="AO209" s="456"/>
      <c r="AP209" s="456"/>
      <c r="AQ209" s="456"/>
      <c r="AR209" s="456"/>
      <c r="AS209" s="456"/>
      <c r="AT209" s="456"/>
      <c r="AU209" s="456"/>
      <c r="AV209" s="456"/>
      <c r="AW209" s="456"/>
      <c r="AX209" s="456"/>
      <c r="AY209" s="456"/>
      <c r="AZ209" s="456"/>
      <c r="BA209" s="456"/>
      <c r="BB209" s="456"/>
      <c r="BC209" s="456"/>
      <c r="BD209" s="456"/>
      <c r="BE209" s="456"/>
      <c r="BF209" s="456"/>
      <c r="BG209" s="456"/>
      <c r="BH209" s="456"/>
      <c r="BI209" s="456"/>
      <c r="BJ209" s="456"/>
      <c r="BK209" s="456"/>
      <c r="BL209" s="456"/>
      <c r="BM209" s="456"/>
      <c r="BN209" s="456"/>
      <c r="BO209" s="456"/>
      <c r="BP209" s="456"/>
      <c r="BQ209" s="456"/>
      <c r="BR209" s="456"/>
      <c r="BS209" s="456"/>
      <c r="BT209" s="456"/>
      <c r="BU209" s="456"/>
      <c r="BV209" s="456"/>
      <c r="BW209" s="456"/>
      <c r="BX209" s="456"/>
      <c r="BY209" s="456"/>
      <c r="BZ209" s="456"/>
      <c r="CA209" s="456"/>
      <c r="CB209" s="456"/>
      <c r="CC209" s="456"/>
      <c r="CD209" s="456"/>
      <c r="CE209" s="456"/>
      <c r="CF209" s="456"/>
      <c r="CG209" s="456"/>
      <c r="CH209" s="456"/>
      <c r="CI209" s="456"/>
      <c r="CJ209" s="456"/>
      <c r="CK209" s="456"/>
      <c r="CL209" s="456"/>
      <c r="CM209" s="456"/>
    </row>
    <row r="210" spans="1:91" ht="14.25" customHeight="1">
      <c r="A210" s="443"/>
      <c r="B210" s="443"/>
      <c r="C210" s="443"/>
      <c r="D210" s="443"/>
      <c r="E210" s="443"/>
      <c r="F210" s="443"/>
      <c r="G210" s="443"/>
      <c r="H210" s="443"/>
      <c r="I210" s="443"/>
      <c r="J210" s="443"/>
      <c r="K210" s="443"/>
      <c r="L210" s="443"/>
      <c r="M210" s="443"/>
      <c r="N210" s="443"/>
      <c r="O210" s="443"/>
      <c r="P210" s="443"/>
      <c r="Q210" s="443"/>
      <c r="R210" s="443"/>
      <c r="S210" s="443"/>
      <c r="T210" s="443"/>
      <c r="U210" s="443"/>
      <c r="V210" s="443"/>
      <c r="W210" s="443"/>
      <c r="X210" s="443"/>
      <c r="Y210" s="443"/>
      <c r="Z210" s="443"/>
      <c r="AA210" s="443"/>
      <c r="AB210" s="443"/>
      <c r="AC210" s="443"/>
      <c r="AD210" s="443"/>
      <c r="AE210" s="443"/>
      <c r="AF210" s="444"/>
      <c r="AG210" s="443"/>
      <c r="AH210" s="443"/>
      <c r="AI210" s="443"/>
      <c r="AJ210" s="443"/>
      <c r="AK210" s="443"/>
      <c r="AL210" s="443"/>
      <c r="AM210" s="456"/>
      <c r="AN210" s="456"/>
      <c r="AO210" s="456"/>
      <c r="AP210" s="456"/>
      <c r="AQ210" s="456"/>
      <c r="AR210" s="456"/>
      <c r="AS210" s="456"/>
      <c r="AT210" s="456"/>
      <c r="AU210" s="456"/>
      <c r="AV210" s="456"/>
      <c r="AW210" s="456"/>
      <c r="AX210" s="456"/>
      <c r="AY210" s="456"/>
      <c r="AZ210" s="456"/>
      <c r="BA210" s="456"/>
      <c r="BB210" s="456"/>
      <c r="BC210" s="456"/>
      <c r="BD210" s="456"/>
      <c r="BE210" s="456"/>
      <c r="BF210" s="456"/>
      <c r="BG210" s="456"/>
      <c r="BH210" s="456"/>
      <c r="BI210" s="456"/>
      <c r="BJ210" s="456"/>
      <c r="BK210" s="456"/>
      <c r="BL210" s="456"/>
      <c r="BM210" s="456"/>
      <c r="BN210" s="456"/>
      <c r="BO210" s="456"/>
      <c r="BP210" s="456"/>
      <c r="BQ210" s="456"/>
      <c r="BR210" s="456"/>
      <c r="BS210" s="456"/>
      <c r="BT210" s="456"/>
      <c r="BU210" s="456"/>
      <c r="BV210" s="456"/>
      <c r="BW210" s="456"/>
      <c r="BX210" s="456"/>
      <c r="BY210" s="456"/>
      <c r="BZ210" s="456"/>
      <c r="CA210" s="456"/>
      <c r="CB210" s="456"/>
      <c r="CC210" s="456"/>
      <c r="CD210" s="456"/>
      <c r="CE210" s="456"/>
      <c r="CF210" s="456"/>
      <c r="CG210" s="456"/>
      <c r="CH210" s="456"/>
      <c r="CI210" s="456"/>
      <c r="CJ210" s="456"/>
      <c r="CK210" s="456"/>
      <c r="CL210" s="456"/>
      <c r="CM210" s="456"/>
    </row>
    <row r="211" spans="1:91" ht="14.25" customHeight="1">
      <c r="A211" s="443"/>
      <c r="B211" s="443"/>
      <c r="C211" s="443"/>
      <c r="D211" s="443"/>
      <c r="E211" s="443"/>
      <c r="F211" s="443"/>
      <c r="G211" s="443"/>
      <c r="H211" s="443"/>
      <c r="I211" s="443"/>
      <c r="J211" s="443"/>
      <c r="K211" s="443"/>
      <c r="L211" s="443"/>
      <c r="M211" s="443"/>
      <c r="N211" s="443"/>
      <c r="O211" s="443"/>
      <c r="P211" s="443"/>
      <c r="Q211" s="443"/>
      <c r="R211" s="443"/>
      <c r="S211" s="443"/>
      <c r="T211" s="443"/>
      <c r="U211" s="443"/>
      <c r="V211" s="443"/>
      <c r="W211" s="443"/>
      <c r="X211" s="443"/>
      <c r="Y211" s="443"/>
      <c r="Z211" s="443"/>
      <c r="AA211" s="443"/>
      <c r="AB211" s="443"/>
      <c r="AC211" s="443"/>
      <c r="AD211" s="443"/>
      <c r="AE211" s="443"/>
      <c r="AF211" s="444"/>
      <c r="AG211" s="443"/>
      <c r="AH211" s="443"/>
      <c r="AI211" s="443"/>
      <c r="AJ211" s="443"/>
      <c r="AK211" s="443"/>
      <c r="AL211" s="443"/>
      <c r="AM211" s="456"/>
      <c r="AN211" s="456"/>
      <c r="AO211" s="456"/>
      <c r="AP211" s="456"/>
      <c r="AQ211" s="456"/>
      <c r="AR211" s="456"/>
      <c r="AS211" s="456"/>
      <c r="AT211" s="456"/>
      <c r="AU211" s="456"/>
      <c r="AV211" s="456"/>
      <c r="AW211" s="456"/>
      <c r="AX211" s="456"/>
      <c r="AY211" s="456"/>
      <c r="AZ211" s="456"/>
      <c r="BA211" s="456"/>
      <c r="BB211" s="456"/>
      <c r="BC211" s="456"/>
      <c r="BD211" s="456"/>
      <c r="BE211" s="456"/>
      <c r="BF211" s="456"/>
      <c r="BG211" s="456"/>
      <c r="BH211" s="456"/>
      <c r="BI211" s="456"/>
      <c r="BJ211" s="456"/>
      <c r="BK211" s="456"/>
      <c r="BL211" s="456"/>
      <c r="BM211" s="456"/>
      <c r="BN211" s="456"/>
      <c r="BO211" s="456"/>
      <c r="BP211" s="456"/>
      <c r="BQ211" s="456"/>
      <c r="BR211" s="456"/>
      <c r="BS211" s="456"/>
      <c r="BT211" s="456"/>
      <c r="BU211" s="456"/>
      <c r="BV211" s="456"/>
      <c r="BW211" s="456"/>
      <c r="BX211" s="456"/>
      <c r="BY211" s="456"/>
      <c r="BZ211" s="456"/>
      <c r="CA211" s="456"/>
      <c r="CB211" s="456"/>
      <c r="CC211" s="456"/>
      <c r="CD211" s="456"/>
      <c r="CE211" s="456"/>
      <c r="CF211" s="456"/>
      <c r="CG211" s="456"/>
      <c r="CH211" s="456"/>
      <c r="CI211" s="456"/>
      <c r="CJ211" s="456"/>
      <c r="CK211" s="456"/>
      <c r="CL211" s="456"/>
      <c r="CM211" s="456"/>
    </row>
    <row r="212" spans="1:91" ht="14.25" customHeight="1">
      <c r="A212" s="443"/>
      <c r="B212" s="443"/>
      <c r="C212" s="443"/>
      <c r="D212" s="443"/>
      <c r="E212" s="443"/>
      <c r="F212" s="443"/>
      <c r="G212" s="443"/>
      <c r="H212" s="443"/>
      <c r="I212" s="443"/>
      <c r="J212" s="443"/>
      <c r="K212" s="443"/>
      <c r="L212" s="443"/>
      <c r="M212" s="443"/>
      <c r="N212" s="443"/>
      <c r="O212" s="443"/>
      <c r="P212" s="443"/>
      <c r="Q212" s="443"/>
      <c r="R212" s="443"/>
      <c r="S212" s="443"/>
      <c r="T212" s="443"/>
      <c r="U212" s="443"/>
      <c r="V212" s="443"/>
      <c r="W212" s="443"/>
      <c r="X212" s="443"/>
      <c r="Y212" s="443"/>
      <c r="Z212" s="443"/>
      <c r="AA212" s="443"/>
      <c r="AB212" s="443"/>
      <c r="AC212" s="443"/>
      <c r="AD212" s="443"/>
      <c r="AE212" s="443"/>
      <c r="AF212" s="444"/>
      <c r="AG212" s="443"/>
      <c r="AH212" s="443"/>
      <c r="AI212" s="443"/>
      <c r="AJ212" s="443"/>
      <c r="AK212" s="443"/>
      <c r="AL212" s="443"/>
      <c r="AM212" s="456"/>
      <c r="AN212" s="456"/>
      <c r="AO212" s="456"/>
      <c r="AP212" s="456"/>
      <c r="AQ212" s="456"/>
      <c r="AR212" s="456"/>
      <c r="AS212" s="456"/>
      <c r="AT212" s="456"/>
      <c r="AU212" s="456"/>
      <c r="AV212" s="456"/>
      <c r="AW212" s="456"/>
      <c r="AX212" s="456"/>
      <c r="AY212" s="456"/>
      <c r="AZ212" s="456"/>
      <c r="BA212" s="456"/>
      <c r="BB212" s="456"/>
      <c r="BC212" s="456"/>
      <c r="BD212" s="456"/>
      <c r="BE212" s="456"/>
      <c r="BF212" s="456"/>
      <c r="BG212" s="456"/>
      <c r="BH212" s="456"/>
      <c r="BI212" s="456"/>
      <c r="BJ212" s="456"/>
      <c r="BK212" s="456"/>
      <c r="BL212" s="456"/>
      <c r="BM212" s="456"/>
      <c r="BN212" s="456"/>
      <c r="BO212" s="456"/>
      <c r="BP212" s="456"/>
      <c r="BQ212" s="456"/>
      <c r="BR212" s="456"/>
      <c r="BS212" s="456"/>
      <c r="BT212" s="456"/>
      <c r="BU212" s="456"/>
      <c r="BV212" s="456"/>
      <c r="BW212" s="456"/>
      <c r="BX212" s="456"/>
      <c r="BY212" s="456"/>
      <c r="BZ212" s="456"/>
      <c r="CA212" s="456"/>
      <c r="CB212" s="456"/>
      <c r="CC212" s="456"/>
      <c r="CD212" s="456"/>
      <c r="CE212" s="456"/>
      <c r="CF212" s="456"/>
      <c r="CG212" s="456"/>
      <c r="CH212" s="456"/>
      <c r="CI212" s="456"/>
      <c r="CJ212" s="456"/>
      <c r="CK212" s="456"/>
      <c r="CL212" s="456"/>
      <c r="CM212" s="456"/>
    </row>
    <row r="213" spans="1:91" ht="14.25" customHeight="1">
      <c r="A213" s="443"/>
      <c r="B213" s="443"/>
      <c r="C213" s="443"/>
      <c r="D213" s="443"/>
      <c r="E213" s="443"/>
      <c r="F213" s="443"/>
      <c r="G213" s="443"/>
      <c r="H213" s="443"/>
      <c r="I213" s="443"/>
      <c r="J213" s="443"/>
      <c r="K213" s="443"/>
      <c r="L213" s="443"/>
      <c r="M213" s="443"/>
      <c r="N213" s="443"/>
      <c r="O213" s="443"/>
      <c r="P213" s="443"/>
      <c r="Q213" s="443"/>
      <c r="R213" s="443"/>
      <c r="S213" s="443"/>
      <c r="T213" s="443"/>
      <c r="U213" s="443"/>
      <c r="V213" s="443"/>
      <c r="W213" s="443"/>
      <c r="X213" s="443"/>
      <c r="Y213" s="443"/>
      <c r="Z213" s="443"/>
      <c r="AA213" s="443"/>
      <c r="AB213" s="443"/>
      <c r="AC213" s="443"/>
      <c r="AD213" s="443"/>
      <c r="AE213" s="443"/>
      <c r="AF213" s="444"/>
      <c r="AG213" s="443"/>
      <c r="AH213" s="443"/>
      <c r="AI213" s="443"/>
      <c r="AJ213" s="443"/>
      <c r="AK213" s="443"/>
      <c r="AL213" s="443"/>
      <c r="AM213" s="456"/>
      <c r="AN213" s="456"/>
      <c r="AO213" s="456"/>
      <c r="AP213" s="456"/>
      <c r="AQ213" s="456"/>
      <c r="AR213" s="456"/>
      <c r="AS213" s="456"/>
      <c r="AT213" s="456"/>
      <c r="AU213" s="456"/>
      <c r="AV213" s="456"/>
      <c r="AW213" s="456"/>
      <c r="AX213" s="456"/>
      <c r="AY213" s="456"/>
      <c r="AZ213" s="456"/>
      <c r="BA213" s="456"/>
      <c r="BB213" s="456"/>
      <c r="BC213" s="456"/>
      <c r="BD213" s="456"/>
      <c r="BE213" s="456"/>
      <c r="BF213" s="456"/>
      <c r="BG213" s="456"/>
      <c r="BH213" s="456"/>
      <c r="BI213" s="456"/>
      <c r="BJ213" s="456"/>
      <c r="BK213" s="456"/>
      <c r="BL213" s="456"/>
      <c r="BM213" s="456"/>
      <c r="BN213" s="456"/>
      <c r="BO213" s="456"/>
      <c r="BP213" s="456"/>
      <c r="BQ213" s="456"/>
      <c r="BR213" s="456"/>
      <c r="BS213" s="456"/>
      <c r="BT213" s="456"/>
      <c r="BU213" s="456"/>
      <c r="BV213" s="456"/>
      <c r="BW213" s="456"/>
      <c r="BX213" s="456"/>
      <c r="BY213" s="456"/>
      <c r="BZ213" s="456"/>
      <c r="CA213" s="456"/>
      <c r="CB213" s="456"/>
      <c r="CC213" s="456"/>
      <c r="CD213" s="456"/>
      <c r="CE213" s="456"/>
      <c r="CF213" s="456"/>
      <c r="CG213" s="456"/>
      <c r="CH213" s="456"/>
      <c r="CI213" s="456"/>
      <c r="CJ213" s="456"/>
      <c r="CK213" s="456"/>
      <c r="CL213" s="456"/>
      <c r="CM213" s="456"/>
    </row>
    <row r="214" spans="1:91" ht="14.25" customHeight="1">
      <c r="A214" s="443"/>
      <c r="B214" s="443"/>
      <c r="C214" s="443"/>
      <c r="D214" s="443"/>
      <c r="E214" s="443"/>
      <c r="F214" s="443"/>
      <c r="G214" s="443"/>
      <c r="H214" s="443"/>
      <c r="I214" s="443"/>
      <c r="J214" s="443"/>
      <c r="K214" s="443"/>
      <c r="L214" s="443"/>
      <c r="M214" s="443"/>
      <c r="N214" s="443"/>
      <c r="O214" s="443"/>
      <c r="P214" s="443"/>
      <c r="Q214" s="443"/>
      <c r="R214" s="443"/>
      <c r="S214" s="443"/>
      <c r="T214" s="443"/>
      <c r="U214" s="443"/>
      <c r="V214" s="443"/>
      <c r="W214" s="443"/>
      <c r="X214" s="443"/>
      <c r="Y214" s="443"/>
      <c r="Z214" s="443"/>
      <c r="AA214" s="443"/>
      <c r="AB214" s="443"/>
      <c r="AC214" s="443"/>
      <c r="AD214" s="443"/>
      <c r="AE214" s="443"/>
      <c r="AF214" s="444"/>
      <c r="AG214" s="443"/>
      <c r="AH214" s="443"/>
      <c r="AI214" s="443"/>
      <c r="AJ214" s="443"/>
      <c r="AK214" s="443"/>
      <c r="AL214" s="443"/>
      <c r="AM214" s="456"/>
      <c r="AN214" s="456"/>
      <c r="AO214" s="456"/>
      <c r="AP214" s="456"/>
      <c r="AQ214" s="456"/>
      <c r="AR214" s="456"/>
      <c r="AS214" s="456"/>
      <c r="AT214" s="456"/>
      <c r="AU214" s="456"/>
      <c r="AV214" s="456"/>
      <c r="AW214" s="456"/>
      <c r="AX214" s="456"/>
      <c r="AY214" s="456"/>
      <c r="AZ214" s="456"/>
      <c r="BA214" s="456"/>
      <c r="BB214" s="456"/>
      <c r="BC214" s="456"/>
      <c r="BD214" s="456"/>
      <c r="BE214" s="456"/>
      <c r="BF214" s="456"/>
      <c r="BG214" s="456"/>
      <c r="BH214" s="456"/>
      <c r="BI214" s="456"/>
      <c r="BJ214" s="456"/>
      <c r="BK214" s="456"/>
      <c r="BL214" s="456"/>
      <c r="BM214" s="456"/>
      <c r="BN214" s="456"/>
      <c r="BO214" s="456"/>
      <c r="BP214" s="456"/>
      <c r="BQ214" s="456"/>
      <c r="BR214" s="456"/>
      <c r="BS214" s="456"/>
      <c r="BT214" s="456"/>
      <c r="BU214" s="456"/>
      <c r="BV214" s="456"/>
      <c r="BW214" s="456"/>
      <c r="BX214" s="456"/>
      <c r="BY214" s="456"/>
      <c r="BZ214" s="456"/>
      <c r="CA214" s="456"/>
      <c r="CB214" s="456"/>
      <c r="CC214" s="456"/>
      <c r="CD214" s="456"/>
      <c r="CE214" s="456"/>
      <c r="CF214" s="456"/>
      <c r="CG214" s="456"/>
      <c r="CH214" s="456"/>
      <c r="CI214" s="456"/>
      <c r="CJ214" s="456"/>
      <c r="CK214" s="456"/>
      <c r="CL214" s="456"/>
      <c r="CM214" s="456"/>
    </row>
    <row r="215" spans="1:91" ht="14.25" customHeight="1">
      <c r="A215" s="443"/>
      <c r="B215" s="443"/>
      <c r="C215" s="443"/>
      <c r="D215" s="443"/>
      <c r="E215" s="443"/>
      <c r="F215" s="443"/>
      <c r="G215" s="443"/>
      <c r="H215" s="443"/>
      <c r="I215" s="443"/>
      <c r="J215" s="443"/>
      <c r="K215" s="443"/>
      <c r="L215" s="443"/>
      <c r="M215" s="443"/>
      <c r="N215" s="443"/>
      <c r="O215" s="443"/>
      <c r="P215" s="443"/>
      <c r="Q215" s="443"/>
      <c r="R215" s="443"/>
      <c r="S215" s="443"/>
      <c r="T215" s="443"/>
      <c r="U215" s="443"/>
      <c r="V215" s="443"/>
      <c r="W215" s="443"/>
      <c r="X215" s="443"/>
      <c r="Y215" s="443"/>
      <c r="Z215" s="443"/>
      <c r="AA215" s="443"/>
      <c r="AB215" s="443"/>
      <c r="AC215" s="443"/>
      <c r="AD215" s="443"/>
      <c r="AE215" s="443"/>
      <c r="AF215" s="444"/>
      <c r="AG215" s="443"/>
      <c r="AH215" s="443"/>
      <c r="AI215" s="443"/>
      <c r="AJ215" s="443"/>
      <c r="AK215" s="443"/>
      <c r="AL215" s="443"/>
      <c r="AM215" s="456"/>
      <c r="AN215" s="456"/>
      <c r="AO215" s="456"/>
      <c r="AP215" s="456"/>
      <c r="AQ215" s="456"/>
      <c r="AR215" s="456"/>
      <c r="AS215" s="456"/>
      <c r="AT215" s="456"/>
      <c r="AU215" s="456"/>
      <c r="AV215" s="456"/>
      <c r="AW215" s="456"/>
      <c r="AX215" s="456"/>
      <c r="AY215" s="456"/>
      <c r="AZ215" s="456"/>
      <c r="BA215" s="456"/>
      <c r="BB215" s="456"/>
      <c r="BC215" s="456"/>
      <c r="BD215" s="456"/>
      <c r="BE215" s="456"/>
      <c r="BF215" s="456"/>
      <c r="BG215" s="456"/>
      <c r="BH215" s="456"/>
      <c r="BI215" s="456"/>
      <c r="BJ215" s="456"/>
      <c r="BK215" s="456"/>
      <c r="BL215" s="456"/>
      <c r="BM215" s="456"/>
      <c r="BN215" s="456"/>
      <c r="BO215" s="456"/>
      <c r="BP215" s="456"/>
      <c r="BQ215" s="456"/>
      <c r="BR215" s="456"/>
      <c r="BS215" s="456"/>
      <c r="BT215" s="456"/>
      <c r="BU215" s="456"/>
      <c r="BV215" s="456"/>
      <c r="BW215" s="456"/>
      <c r="BX215" s="456"/>
      <c r="BY215" s="456"/>
      <c r="BZ215" s="456"/>
      <c r="CA215" s="456"/>
      <c r="CB215" s="456"/>
      <c r="CC215" s="456"/>
      <c r="CD215" s="456"/>
      <c r="CE215" s="456"/>
      <c r="CF215" s="456"/>
      <c r="CG215" s="456"/>
      <c r="CH215" s="456"/>
      <c r="CI215" s="456"/>
      <c r="CJ215" s="456"/>
      <c r="CK215" s="456"/>
      <c r="CL215" s="456"/>
      <c r="CM215" s="456"/>
    </row>
    <row r="216" spans="1:91" ht="14.25" customHeight="1">
      <c r="A216" s="443"/>
      <c r="B216" s="443"/>
      <c r="C216" s="443"/>
      <c r="D216" s="443"/>
      <c r="E216" s="443"/>
      <c r="F216" s="443"/>
      <c r="G216" s="443"/>
      <c r="H216" s="443"/>
      <c r="I216" s="443"/>
      <c r="J216" s="443"/>
      <c r="K216" s="443"/>
      <c r="L216" s="443"/>
      <c r="M216" s="443"/>
      <c r="N216" s="443"/>
      <c r="O216" s="443"/>
      <c r="P216" s="443"/>
      <c r="Q216" s="443"/>
      <c r="R216" s="443"/>
      <c r="S216" s="443"/>
      <c r="T216" s="443"/>
      <c r="U216" s="443"/>
      <c r="V216" s="443"/>
      <c r="W216" s="443"/>
      <c r="X216" s="443"/>
      <c r="Y216" s="443"/>
      <c r="Z216" s="443"/>
      <c r="AA216" s="443"/>
      <c r="AB216" s="443"/>
      <c r="AC216" s="443"/>
      <c r="AD216" s="443"/>
      <c r="AE216" s="443"/>
      <c r="AF216" s="444"/>
      <c r="AG216" s="443"/>
      <c r="AH216" s="443"/>
      <c r="AI216" s="443"/>
      <c r="AJ216" s="443"/>
      <c r="AK216" s="443"/>
      <c r="AL216" s="443"/>
      <c r="AM216" s="456"/>
      <c r="AN216" s="456"/>
      <c r="AO216" s="456"/>
      <c r="AP216" s="456"/>
      <c r="AQ216" s="456"/>
      <c r="AR216" s="456"/>
      <c r="AS216" s="456"/>
      <c r="AT216" s="456"/>
      <c r="AU216" s="456"/>
      <c r="AV216" s="456"/>
      <c r="AW216" s="456"/>
      <c r="AX216" s="456"/>
      <c r="AY216" s="456"/>
      <c r="AZ216" s="456"/>
      <c r="BA216" s="456"/>
      <c r="BB216" s="456"/>
      <c r="BC216" s="456"/>
      <c r="BD216" s="456"/>
      <c r="BE216" s="456"/>
      <c r="BF216" s="456"/>
      <c r="BG216" s="456"/>
      <c r="BH216" s="456"/>
      <c r="BI216" s="456"/>
      <c r="BJ216" s="456"/>
      <c r="BK216" s="456"/>
      <c r="BL216" s="456"/>
      <c r="BM216" s="456"/>
      <c r="BN216" s="456"/>
      <c r="BO216" s="456"/>
      <c r="BP216" s="456"/>
      <c r="BQ216" s="456"/>
      <c r="BR216" s="456"/>
      <c r="BS216" s="456"/>
      <c r="BT216" s="456"/>
      <c r="BU216" s="456"/>
      <c r="BV216" s="456"/>
      <c r="BW216" s="456"/>
      <c r="BX216" s="456"/>
      <c r="BY216" s="456"/>
      <c r="BZ216" s="456"/>
      <c r="CA216" s="456"/>
      <c r="CB216" s="456"/>
      <c r="CC216" s="456"/>
      <c r="CD216" s="456"/>
      <c r="CE216" s="456"/>
      <c r="CF216" s="456"/>
      <c r="CG216" s="456"/>
      <c r="CH216" s="456"/>
      <c r="CI216" s="456"/>
      <c r="CJ216" s="456"/>
      <c r="CK216" s="456"/>
      <c r="CL216" s="456"/>
      <c r="CM216" s="456"/>
    </row>
    <row r="217" spans="1:91" ht="14.25" customHeight="1">
      <c r="A217" s="443"/>
      <c r="B217" s="443"/>
      <c r="C217" s="443"/>
      <c r="D217" s="443"/>
      <c r="E217" s="443"/>
      <c r="F217" s="443"/>
      <c r="G217" s="443"/>
      <c r="H217" s="443"/>
      <c r="I217" s="443"/>
      <c r="J217" s="443"/>
      <c r="K217" s="443"/>
      <c r="L217" s="443"/>
      <c r="M217" s="443"/>
      <c r="N217" s="443"/>
      <c r="O217" s="443"/>
      <c r="P217" s="443"/>
      <c r="Q217" s="443"/>
      <c r="R217" s="443"/>
      <c r="S217" s="443"/>
      <c r="T217" s="443"/>
      <c r="U217" s="443"/>
      <c r="V217" s="443"/>
      <c r="W217" s="443"/>
      <c r="X217" s="443"/>
      <c r="Y217" s="443"/>
      <c r="Z217" s="443"/>
      <c r="AA217" s="443"/>
      <c r="AB217" s="443"/>
      <c r="AC217" s="443"/>
      <c r="AD217" s="443"/>
      <c r="AE217" s="443"/>
      <c r="AF217" s="444"/>
      <c r="AG217" s="443"/>
      <c r="AH217" s="443"/>
      <c r="AI217" s="443"/>
      <c r="AJ217" s="443"/>
      <c r="AK217" s="443"/>
      <c r="AL217" s="443"/>
      <c r="AM217" s="456"/>
      <c r="AN217" s="456"/>
      <c r="AO217" s="456"/>
      <c r="AP217" s="456"/>
      <c r="AQ217" s="456"/>
      <c r="AR217" s="456"/>
      <c r="AS217" s="456"/>
      <c r="AT217" s="456"/>
      <c r="AU217" s="456"/>
      <c r="AV217" s="456"/>
      <c r="AW217" s="456"/>
      <c r="AX217" s="456"/>
      <c r="AY217" s="456"/>
      <c r="AZ217" s="456"/>
      <c r="BA217" s="456"/>
      <c r="BB217" s="456"/>
      <c r="BC217" s="456"/>
      <c r="BD217" s="456"/>
      <c r="BE217" s="456"/>
      <c r="BF217" s="456"/>
      <c r="BG217" s="456"/>
      <c r="BH217" s="456"/>
      <c r="BI217" s="456"/>
      <c r="BJ217" s="456"/>
      <c r="BK217" s="456"/>
      <c r="BL217" s="456"/>
      <c r="BM217" s="456"/>
      <c r="BN217" s="456"/>
      <c r="BO217" s="456"/>
      <c r="BP217" s="456"/>
      <c r="BQ217" s="456"/>
      <c r="BR217" s="456"/>
      <c r="BS217" s="456"/>
      <c r="BT217" s="456"/>
      <c r="BU217" s="456"/>
      <c r="BV217" s="456"/>
      <c r="BW217" s="456"/>
      <c r="BX217" s="456"/>
      <c r="BY217" s="456"/>
      <c r="BZ217" s="456"/>
      <c r="CA217" s="456"/>
      <c r="CB217" s="456"/>
      <c r="CC217" s="456"/>
      <c r="CD217" s="456"/>
      <c r="CE217" s="456"/>
      <c r="CF217" s="456"/>
      <c r="CG217" s="456"/>
      <c r="CH217" s="456"/>
      <c r="CI217" s="456"/>
      <c r="CJ217" s="456"/>
      <c r="CK217" s="456"/>
      <c r="CL217" s="456"/>
      <c r="CM217" s="456"/>
    </row>
    <row r="218" spans="1:91" ht="14.25" customHeight="1">
      <c r="A218" s="443"/>
      <c r="B218" s="443"/>
      <c r="C218" s="443"/>
      <c r="D218" s="443"/>
      <c r="E218" s="443"/>
      <c r="F218" s="443"/>
      <c r="G218" s="443"/>
      <c r="H218" s="443"/>
      <c r="I218" s="443"/>
      <c r="J218" s="443"/>
      <c r="K218" s="443"/>
      <c r="L218" s="443"/>
      <c r="M218" s="443"/>
      <c r="N218" s="443"/>
      <c r="O218" s="443"/>
      <c r="P218" s="443"/>
      <c r="Q218" s="443"/>
      <c r="R218" s="443"/>
      <c r="S218" s="443"/>
      <c r="T218" s="443"/>
      <c r="U218" s="443"/>
      <c r="V218" s="443"/>
      <c r="W218" s="443"/>
      <c r="X218" s="443"/>
      <c r="Y218" s="443"/>
      <c r="Z218" s="443"/>
      <c r="AA218" s="443"/>
      <c r="AB218" s="443"/>
      <c r="AC218" s="443"/>
      <c r="AD218" s="443"/>
      <c r="AE218" s="443"/>
      <c r="AF218" s="444"/>
      <c r="AG218" s="443"/>
      <c r="AH218" s="443"/>
      <c r="AI218" s="443"/>
      <c r="AJ218" s="443"/>
      <c r="AK218" s="443"/>
      <c r="AL218" s="443"/>
      <c r="AM218" s="456"/>
      <c r="AN218" s="456"/>
      <c r="AO218" s="456"/>
      <c r="AP218" s="456"/>
      <c r="AQ218" s="456"/>
      <c r="AR218" s="456"/>
      <c r="AS218" s="456"/>
      <c r="AT218" s="456"/>
      <c r="AU218" s="456"/>
      <c r="AV218" s="456"/>
      <c r="AW218" s="456"/>
      <c r="AX218" s="456"/>
      <c r="AY218" s="456"/>
      <c r="AZ218" s="456"/>
      <c r="BA218" s="456"/>
      <c r="BB218" s="456"/>
      <c r="BC218" s="456"/>
      <c r="BD218" s="456"/>
      <c r="BE218" s="456"/>
      <c r="BF218" s="456"/>
      <c r="BG218" s="456"/>
      <c r="BH218" s="456"/>
      <c r="BI218" s="456"/>
      <c r="BJ218" s="456"/>
      <c r="BK218" s="456"/>
      <c r="BL218" s="456"/>
      <c r="BM218" s="456"/>
      <c r="BN218" s="456"/>
      <c r="BO218" s="456"/>
      <c r="BP218" s="456"/>
      <c r="BQ218" s="456"/>
      <c r="BR218" s="456"/>
      <c r="BS218" s="456"/>
      <c r="BT218" s="456"/>
      <c r="BU218" s="456"/>
      <c r="BV218" s="456"/>
      <c r="BW218" s="456"/>
      <c r="BX218" s="456"/>
      <c r="BY218" s="456"/>
      <c r="BZ218" s="456"/>
      <c r="CA218" s="456"/>
      <c r="CB218" s="456"/>
      <c r="CC218" s="456"/>
      <c r="CD218" s="456"/>
      <c r="CE218" s="456"/>
      <c r="CF218" s="456"/>
      <c r="CG218" s="456"/>
      <c r="CH218" s="456"/>
      <c r="CI218" s="456"/>
      <c r="CJ218" s="456"/>
      <c r="CK218" s="456"/>
      <c r="CL218" s="456"/>
      <c r="CM218" s="456"/>
    </row>
    <row r="219" spans="1:91" ht="14.25" customHeight="1">
      <c r="A219" s="443"/>
      <c r="B219" s="443"/>
      <c r="C219" s="443"/>
      <c r="D219" s="443"/>
      <c r="E219" s="443"/>
      <c r="F219" s="443"/>
      <c r="G219" s="443"/>
      <c r="H219" s="443"/>
      <c r="I219" s="443"/>
      <c r="J219" s="443"/>
      <c r="K219" s="443"/>
      <c r="L219" s="443"/>
      <c r="M219" s="443"/>
      <c r="N219" s="443"/>
      <c r="O219" s="443"/>
      <c r="P219" s="443"/>
      <c r="Q219" s="443"/>
      <c r="R219" s="443"/>
      <c r="S219" s="443"/>
      <c r="T219" s="443"/>
      <c r="U219" s="443"/>
      <c r="V219" s="443"/>
      <c r="W219" s="443"/>
      <c r="X219" s="443"/>
      <c r="Y219" s="443"/>
      <c r="Z219" s="443"/>
      <c r="AA219" s="443"/>
      <c r="AB219" s="443"/>
      <c r="AC219" s="443"/>
      <c r="AD219" s="443"/>
      <c r="AE219" s="443"/>
      <c r="AF219" s="444"/>
      <c r="AG219" s="443"/>
      <c r="AH219" s="443"/>
      <c r="AI219" s="443"/>
      <c r="AJ219" s="443"/>
      <c r="AK219" s="443"/>
      <c r="AL219" s="443"/>
      <c r="AM219" s="456"/>
      <c r="AN219" s="456"/>
      <c r="AO219" s="456"/>
      <c r="AP219" s="456"/>
      <c r="AQ219" s="456"/>
      <c r="AR219" s="456"/>
      <c r="AS219" s="456"/>
      <c r="AT219" s="456"/>
      <c r="AU219" s="456"/>
      <c r="AV219" s="456"/>
      <c r="AW219" s="456"/>
      <c r="AX219" s="456"/>
      <c r="AY219" s="456"/>
      <c r="AZ219" s="456"/>
      <c r="BA219" s="456"/>
      <c r="BB219" s="456"/>
      <c r="BC219" s="456"/>
      <c r="BD219" s="456"/>
      <c r="BE219" s="456"/>
      <c r="BF219" s="456"/>
      <c r="BG219" s="456"/>
      <c r="BH219" s="456"/>
      <c r="BI219" s="456"/>
      <c r="BJ219" s="456"/>
      <c r="BK219" s="456"/>
      <c r="BL219" s="456"/>
      <c r="BM219" s="456"/>
      <c r="BN219" s="456"/>
      <c r="BO219" s="456"/>
      <c r="BP219" s="456"/>
      <c r="BQ219" s="456"/>
      <c r="BR219" s="456"/>
      <c r="BS219" s="456"/>
      <c r="BT219" s="456"/>
      <c r="BU219" s="456"/>
      <c r="BV219" s="456"/>
      <c r="BW219" s="456"/>
      <c r="BX219" s="456"/>
      <c r="BY219" s="456"/>
      <c r="BZ219" s="456"/>
      <c r="CA219" s="456"/>
      <c r="CB219" s="456"/>
      <c r="CC219" s="456"/>
      <c r="CD219" s="456"/>
      <c r="CE219" s="456"/>
      <c r="CF219" s="456"/>
      <c r="CG219" s="456"/>
      <c r="CH219" s="456"/>
      <c r="CI219" s="456"/>
      <c r="CJ219" s="456"/>
      <c r="CK219" s="456"/>
      <c r="CL219" s="456"/>
      <c r="CM219" s="456"/>
    </row>
    <row r="220" spans="1:91" ht="14.25" customHeight="1">
      <c r="A220" s="443"/>
      <c r="B220" s="443"/>
      <c r="C220" s="443"/>
      <c r="D220" s="443"/>
      <c r="E220" s="443"/>
      <c r="F220" s="443"/>
      <c r="G220" s="443"/>
      <c r="H220" s="443"/>
      <c r="I220" s="443"/>
      <c r="J220" s="443"/>
      <c r="K220" s="443"/>
      <c r="L220" s="443"/>
      <c r="M220" s="443"/>
      <c r="N220" s="443"/>
      <c r="O220" s="443"/>
      <c r="P220" s="443"/>
      <c r="Q220" s="443"/>
      <c r="R220" s="443"/>
      <c r="S220" s="443"/>
      <c r="T220" s="443"/>
      <c r="U220" s="443"/>
      <c r="V220" s="443"/>
      <c r="W220" s="443"/>
      <c r="X220" s="443"/>
      <c r="Y220" s="443"/>
      <c r="Z220" s="443"/>
      <c r="AA220" s="443"/>
      <c r="AB220" s="443"/>
      <c r="AC220" s="443"/>
      <c r="AD220" s="443"/>
      <c r="AE220" s="443"/>
      <c r="AF220" s="444"/>
      <c r="AG220" s="443"/>
      <c r="AH220" s="443"/>
      <c r="AI220" s="443"/>
      <c r="AJ220" s="443"/>
      <c r="AK220" s="443"/>
      <c r="AL220" s="443"/>
      <c r="AM220" s="456"/>
      <c r="AN220" s="456"/>
      <c r="AO220" s="456"/>
      <c r="AP220" s="456"/>
      <c r="AQ220" s="456"/>
      <c r="AR220" s="456"/>
      <c r="AS220" s="456"/>
      <c r="AT220" s="456"/>
      <c r="AU220" s="456"/>
      <c r="AV220" s="456"/>
      <c r="AW220" s="456"/>
      <c r="AX220" s="456"/>
      <c r="AY220" s="456"/>
      <c r="AZ220" s="456"/>
      <c r="BA220" s="456"/>
      <c r="BB220" s="456"/>
      <c r="BC220" s="456"/>
      <c r="BD220" s="456"/>
      <c r="BE220" s="456"/>
      <c r="BF220" s="456"/>
      <c r="BG220" s="456"/>
      <c r="BH220" s="456"/>
      <c r="BI220" s="456"/>
      <c r="BJ220" s="456"/>
      <c r="BK220" s="456"/>
      <c r="BL220" s="456"/>
      <c r="BM220" s="456"/>
      <c r="BN220" s="456"/>
      <c r="BO220" s="456"/>
      <c r="BP220" s="456"/>
      <c r="BQ220" s="456"/>
      <c r="BR220" s="456"/>
      <c r="BS220" s="456"/>
      <c r="BT220" s="456"/>
      <c r="BU220" s="456"/>
      <c r="BV220" s="456"/>
      <c r="BW220" s="456"/>
      <c r="BX220" s="456"/>
      <c r="BY220" s="456"/>
      <c r="BZ220" s="456"/>
      <c r="CA220" s="456"/>
      <c r="CB220" s="456"/>
      <c r="CC220" s="456"/>
      <c r="CD220" s="456"/>
      <c r="CE220" s="456"/>
      <c r="CF220" s="456"/>
      <c r="CG220" s="456"/>
      <c r="CH220" s="456"/>
      <c r="CI220" s="456"/>
      <c r="CJ220" s="456"/>
      <c r="CK220" s="456"/>
      <c r="CL220" s="456"/>
      <c r="CM220" s="456"/>
    </row>
    <row r="221" spans="1:91" ht="14.25" customHeight="1">
      <c r="A221" s="443"/>
      <c r="B221" s="443"/>
      <c r="C221" s="443"/>
      <c r="D221" s="443"/>
      <c r="E221" s="443"/>
      <c r="F221" s="443"/>
      <c r="G221" s="443"/>
      <c r="H221" s="443"/>
      <c r="I221" s="443"/>
      <c r="J221" s="443"/>
      <c r="K221" s="443"/>
      <c r="L221" s="443"/>
      <c r="M221" s="443"/>
      <c r="N221" s="443"/>
      <c r="O221" s="443"/>
      <c r="P221" s="443"/>
      <c r="Q221" s="443"/>
      <c r="R221" s="443"/>
      <c r="S221" s="443"/>
      <c r="T221" s="443"/>
      <c r="U221" s="443"/>
      <c r="V221" s="443"/>
      <c r="W221" s="443"/>
      <c r="X221" s="443"/>
      <c r="Y221" s="443"/>
      <c r="Z221" s="443"/>
      <c r="AA221" s="443"/>
      <c r="AB221" s="443"/>
      <c r="AC221" s="443"/>
      <c r="AD221" s="443"/>
      <c r="AE221" s="443"/>
      <c r="AF221" s="444"/>
      <c r="AG221" s="443"/>
      <c r="AH221" s="443"/>
      <c r="AI221" s="443"/>
      <c r="AJ221" s="443"/>
      <c r="AK221" s="443"/>
      <c r="AL221" s="443"/>
      <c r="AM221" s="456"/>
      <c r="AN221" s="456"/>
      <c r="AO221" s="456"/>
      <c r="AP221" s="456"/>
      <c r="AQ221" s="456"/>
      <c r="AR221" s="456"/>
      <c r="AS221" s="456"/>
      <c r="AT221" s="456"/>
      <c r="AU221" s="456"/>
      <c r="AV221" s="456"/>
      <c r="AW221" s="456"/>
      <c r="AX221" s="456"/>
      <c r="AY221" s="456"/>
      <c r="AZ221" s="456"/>
      <c r="BA221" s="456"/>
      <c r="BB221" s="456"/>
      <c r="BC221" s="456"/>
      <c r="BD221" s="456"/>
      <c r="BE221" s="456"/>
      <c r="BF221" s="456"/>
      <c r="BG221" s="456"/>
      <c r="BH221" s="456"/>
      <c r="BI221" s="456"/>
      <c r="BJ221" s="456"/>
      <c r="BK221" s="456"/>
      <c r="BL221" s="456"/>
      <c r="BM221" s="456"/>
      <c r="BN221" s="456"/>
      <c r="BO221" s="456"/>
      <c r="BP221" s="456"/>
      <c r="BQ221" s="456"/>
      <c r="BR221" s="456"/>
      <c r="BS221" s="456"/>
      <c r="BT221" s="456"/>
      <c r="BU221" s="456"/>
      <c r="BV221" s="456"/>
      <c r="BW221" s="456"/>
      <c r="BX221" s="456"/>
      <c r="BY221" s="456"/>
      <c r="BZ221" s="456"/>
      <c r="CA221" s="456"/>
      <c r="CB221" s="456"/>
      <c r="CC221" s="456"/>
      <c r="CD221" s="456"/>
      <c r="CE221" s="456"/>
      <c r="CF221" s="456"/>
      <c r="CG221" s="456"/>
      <c r="CH221" s="456"/>
      <c r="CI221" s="456"/>
      <c r="CJ221" s="456"/>
      <c r="CK221" s="456"/>
      <c r="CL221" s="456"/>
      <c r="CM221" s="456"/>
    </row>
    <row r="222" spans="1:91" ht="14.25" customHeight="1">
      <c r="A222" s="443"/>
      <c r="B222" s="443"/>
      <c r="C222" s="443"/>
      <c r="D222" s="443"/>
      <c r="E222" s="443"/>
      <c r="F222" s="443"/>
      <c r="G222" s="443"/>
      <c r="H222" s="443"/>
      <c r="I222" s="443"/>
      <c r="J222" s="443"/>
      <c r="K222" s="443"/>
      <c r="L222" s="443"/>
      <c r="M222" s="443"/>
      <c r="N222" s="443"/>
      <c r="O222" s="443"/>
      <c r="P222" s="443"/>
      <c r="Q222" s="443"/>
      <c r="R222" s="443"/>
      <c r="S222" s="443"/>
      <c r="T222" s="443"/>
      <c r="U222" s="443"/>
      <c r="V222" s="443"/>
      <c r="W222" s="443"/>
      <c r="X222" s="443"/>
      <c r="Y222" s="443"/>
      <c r="Z222" s="443"/>
      <c r="AA222" s="443"/>
      <c r="AB222" s="443"/>
      <c r="AC222" s="443"/>
      <c r="AD222" s="443"/>
      <c r="AE222" s="443"/>
      <c r="AF222" s="444"/>
      <c r="AG222" s="443"/>
      <c r="AH222" s="443"/>
      <c r="AI222" s="443"/>
      <c r="AJ222" s="443"/>
      <c r="AK222" s="443"/>
      <c r="AL222" s="443"/>
      <c r="AM222" s="456"/>
      <c r="AN222" s="456"/>
      <c r="AO222" s="456"/>
      <c r="AP222" s="456"/>
      <c r="AQ222" s="456"/>
      <c r="AR222" s="456"/>
      <c r="AS222" s="456"/>
      <c r="AT222" s="456"/>
      <c r="AU222" s="456"/>
      <c r="AV222" s="456"/>
      <c r="AW222" s="456"/>
      <c r="AX222" s="456"/>
      <c r="AY222" s="456"/>
      <c r="AZ222" s="456"/>
      <c r="BA222" s="456"/>
      <c r="BB222" s="456"/>
      <c r="BC222" s="456"/>
      <c r="BD222" s="456"/>
      <c r="BE222" s="456"/>
      <c r="BF222" s="456"/>
      <c r="BG222" s="456"/>
      <c r="BH222" s="456"/>
      <c r="BI222" s="456"/>
      <c r="BJ222" s="456"/>
      <c r="BK222" s="456"/>
      <c r="BL222" s="456"/>
      <c r="BM222" s="456"/>
      <c r="BN222" s="456"/>
      <c r="BO222" s="456"/>
      <c r="BP222" s="456"/>
      <c r="BQ222" s="456"/>
      <c r="BR222" s="456"/>
      <c r="BS222" s="456"/>
      <c r="BT222" s="456"/>
      <c r="BU222" s="456"/>
      <c r="BV222" s="456"/>
      <c r="BW222" s="456"/>
      <c r="BX222" s="456"/>
      <c r="BY222" s="456"/>
      <c r="BZ222" s="456"/>
      <c r="CA222" s="456"/>
      <c r="CB222" s="456"/>
      <c r="CC222" s="456"/>
      <c r="CD222" s="456"/>
      <c r="CE222" s="456"/>
      <c r="CF222" s="456"/>
      <c r="CG222" s="456"/>
      <c r="CH222" s="456"/>
      <c r="CI222" s="456"/>
      <c r="CJ222" s="456"/>
      <c r="CK222" s="456"/>
      <c r="CL222" s="456"/>
      <c r="CM222" s="456"/>
    </row>
    <row r="223" spans="1:91" ht="14.25" customHeight="1">
      <c r="A223" s="443"/>
      <c r="B223" s="443"/>
      <c r="C223" s="443"/>
      <c r="D223" s="443"/>
      <c r="E223" s="443"/>
      <c r="F223" s="443"/>
      <c r="G223" s="443"/>
      <c r="H223" s="443"/>
      <c r="I223" s="443"/>
      <c r="J223" s="443"/>
      <c r="K223" s="443"/>
      <c r="L223" s="443"/>
      <c r="M223" s="443"/>
      <c r="N223" s="443"/>
      <c r="O223" s="443"/>
      <c r="P223" s="443"/>
      <c r="Q223" s="443"/>
      <c r="R223" s="443"/>
      <c r="S223" s="443"/>
      <c r="T223" s="443"/>
      <c r="U223" s="443"/>
      <c r="V223" s="443"/>
      <c r="W223" s="443"/>
      <c r="X223" s="443"/>
      <c r="Y223" s="443"/>
      <c r="Z223" s="443"/>
      <c r="AA223" s="443"/>
      <c r="AB223" s="443"/>
      <c r="AC223" s="443"/>
      <c r="AD223" s="443"/>
      <c r="AE223" s="443"/>
      <c r="AF223" s="444"/>
      <c r="AG223" s="443"/>
      <c r="AH223" s="443"/>
      <c r="AI223" s="443"/>
      <c r="AJ223" s="443"/>
      <c r="AK223" s="443"/>
      <c r="AL223" s="443"/>
      <c r="AM223" s="456"/>
      <c r="AN223" s="456"/>
      <c r="AO223" s="456"/>
      <c r="AP223" s="456"/>
      <c r="AQ223" s="456"/>
      <c r="AR223" s="456"/>
      <c r="AS223" s="456"/>
      <c r="AT223" s="456"/>
      <c r="AU223" s="456"/>
      <c r="AV223" s="456"/>
      <c r="AW223" s="456"/>
      <c r="AX223" s="456"/>
      <c r="AY223" s="456"/>
      <c r="AZ223" s="456"/>
      <c r="BA223" s="456"/>
      <c r="BB223" s="456"/>
      <c r="BC223" s="456"/>
      <c r="BD223" s="456"/>
      <c r="BE223" s="456"/>
      <c r="BF223" s="456"/>
      <c r="BG223" s="456"/>
      <c r="BH223" s="456"/>
      <c r="BI223" s="456"/>
      <c r="BJ223" s="456"/>
      <c r="BK223" s="456"/>
      <c r="BL223" s="456"/>
      <c r="BM223" s="456"/>
      <c r="BN223" s="456"/>
      <c r="BO223" s="456"/>
      <c r="BP223" s="456"/>
      <c r="BQ223" s="456"/>
      <c r="BR223" s="456"/>
      <c r="BS223" s="456"/>
      <c r="BT223" s="456"/>
      <c r="BU223" s="456"/>
      <c r="BV223" s="456"/>
      <c r="BW223" s="456"/>
      <c r="BX223" s="456"/>
      <c r="BY223" s="456"/>
      <c r="BZ223" s="456"/>
      <c r="CA223" s="456"/>
      <c r="CB223" s="456"/>
      <c r="CC223" s="456"/>
      <c r="CD223" s="456"/>
      <c r="CE223" s="456"/>
      <c r="CF223" s="456"/>
      <c r="CG223" s="456"/>
      <c r="CH223" s="456"/>
      <c r="CI223" s="456"/>
      <c r="CJ223" s="456"/>
      <c r="CK223" s="456"/>
      <c r="CL223" s="456"/>
      <c r="CM223" s="456"/>
    </row>
    <row r="224" spans="1:91" ht="14.25" customHeight="1">
      <c r="A224" s="443"/>
      <c r="B224" s="443"/>
      <c r="C224" s="443"/>
      <c r="D224" s="443"/>
      <c r="E224" s="443"/>
      <c r="F224" s="443"/>
      <c r="G224" s="443"/>
      <c r="H224" s="443"/>
      <c r="I224" s="443"/>
      <c r="J224" s="443"/>
      <c r="K224" s="443"/>
      <c r="L224" s="443"/>
      <c r="M224" s="443"/>
      <c r="N224" s="443"/>
      <c r="O224" s="443"/>
      <c r="P224" s="443"/>
      <c r="Q224" s="443"/>
      <c r="R224" s="443"/>
      <c r="S224" s="443"/>
      <c r="T224" s="443"/>
      <c r="U224" s="443"/>
      <c r="V224" s="443"/>
      <c r="W224" s="443"/>
      <c r="X224" s="443"/>
      <c r="Y224" s="443"/>
      <c r="Z224" s="443"/>
      <c r="AA224" s="443"/>
      <c r="AB224" s="443"/>
      <c r="AC224" s="443"/>
      <c r="AD224" s="443"/>
      <c r="AE224" s="443"/>
      <c r="AF224" s="444"/>
      <c r="AG224" s="443"/>
      <c r="AH224" s="443"/>
      <c r="AI224" s="443"/>
      <c r="AJ224" s="443"/>
      <c r="AK224" s="443"/>
      <c r="AL224" s="443"/>
      <c r="AM224" s="456"/>
      <c r="AN224" s="456"/>
      <c r="AO224" s="456"/>
      <c r="AP224" s="456"/>
      <c r="AQ224" s="456"/>
      <c r="AR224" s="456"/>
      <c r="AS224" s="456"/>
      <c r="AT224" s="456"/>
      <c r="AU224" s="456"/>
      <c r="AV224" s="456"/>
      <c r="AW224" s="456"/>
      <c r="AX224" s="456"/>
      <c r="AY224" s="456"/>
      <c r="AZ224" s="456"/>
      <c r="BA224" s="456"/>
      <c r="BB224" s="456"/>
      <c r="BC224" s="456"/>
      <c r="BD224" s="456"/>
      <c r="BE224" s="456"/>
      <c r="BF224" s="456"/>
      <c r="BG224" s="456"/>
      <c r="BH224" s="456"/>
      <c r="BI224" s="456"/>
      <c r="BJ224" s="456"/>
      <c r="BK224" s="456"/>
      <c r="BL224" s="456"/>
      <c r="BM224" s="456"/>
      <c r="BN224" s="456"/>
      <c r="BO224" s="456"/>
      <c r="BP224" s="456"/>
      <c r="BQ224" s="456"/>
      <c r="BR224" s="456"/>
      <c r="BS224" s="456"/>
      <c r="BT224" s="456"/>
      <c r="BU224" s="456"/>
      <c r="BV224" s="456"/>
      <c r="BW224" s="456"/>
      <c r="BX224" s="456"/>
      <c r="BY224" s="456"/>
      <c r="BZ224" s="456"/>
      <c r="CA224" s="456"/>
      <c r="CB224" s="456"/>
      <c r="CC224" s="456"/>
      <c r="CD224" s="456"/>
      <c r="CE224" s="456"/>
      <c r="CF224" s="456"/>
      <c r="CG224" s="456"/>
      <c r="CH224" s="456"/>
      <c r="CI224" s="456"/>
      <c r="CJ224" s="456"/>
      <c r="CK224" s="456"/>
      <c r="CL224" s="456"/>
      <c r="CM224" s="456"/>
    </row>
    <row r="225" spans="1:91" ht="14.25" customHeight="1">
      <c r="A225" s="443"/>
      <c r="B225" s="443"/>
      <c r="C225" s="443"/>
      <c r="D225" s="443"/>
      <c r="E225" s="443"/>
      <c r="F225" s="443"/>
      <c r="G225" s="443"/>
      <c r="H225" s="443"/>
      <c r="I225" s="443"/>
      <c r="J225" s="443"/>
      <c r="K225" s="443"/>
      <c r="L225" s="443"/>
      <c r="M225" s="443"/>
      <c r="N225" s="443"/>
      <c r="O225" s="443"/>
      <c r="P225" s="443"/>
      <c r="Q225" s="443"/>
      <c r="R225" s="443"/>
      <c r="S225" s="443"/>
      <c r="T225" s="443"/>
      <c r="U225" s="443"/>
      <c r="V225" s="443"/>
      <c r="W225" s="443"/>
      <c r="X225" s="443"/>
      <c r="Y225" s="443"/>
      <c r="Z225" s="443"/>
      <c r="AA225" s="443"/>
      <c r="AB225" s="443"/>
      <c r="AC225" s="443"/>
      <c r="AD225" s="443"/>
      <c r="AE225" s="443"/>
      <c r="AF225" s="444"/>
      <c r="AG225" s="443"/>
      <c r="AH225" s="443"/>
      <c r="AI225" s="443"/>
      <c r="AJ225" s="443"/>
      <c r="AK225" s="443"/>
      <c r="AL225" s="443"/>
      <c r="AM225" s="456"/>
      <c r="AN225" s="456"/>
      <c r="AO225" s="456"/>
      <c r="AP225" s="456"/>
      <c r="AQ225" s="456"/>
      <c r="AR225" s="456"/>
      <c r="AS225" s="456"/>
      <c r="AT225" s="456"/>
      <c r="AU225" s="456"/>
      <c r="AV225" s="456"/>
      <c r="AW225" s="456"/>
      <c r="AX225" s="456"/>
      <c r="AY225" s="456"/>
      <c r="AZ225" s="456"/>
      <c r="BA225" s="456"/>
      <c r="BB225" s="456"/>
      <c r="BC225" s="456"/>
      <c r="BD225" s="456"/>
      <c r="BE225" s="456"/>
      <c r="BF225" s="456"/>
      <c r="BG225" s="456"/>
      <c r="BH225" s="456"/>
      <c r="BI225" s="456"/>
      <c r="BJ225" s="456"/>
      <c r="BK225" s="456"/>
      <c r="BL225" s="456"/>
      <c r="BM225" s="456"/>
      <c r="BN225" s="456"/>
      <c r="BO225" s="456"/>
      <c r="BP225" s="456"/>
      <c r="BQ225" s="456"/>
      <c r="BR225" s="456"/>
      <c r="BS225" s="456"/>
      <c r="BT225" s="456"/>
      <c r="BU225" s="456"/>
      <c r="BV225" s="456"/>
      <c r="BW225" s="456"/>
      <c r="BX225" s="456"/>
      <c r="BY225" s="456"/>
      <c r="BZ225" s="456"/>
      <c r="CA225" s="456"/>
      <c r="CB225" s="456"/>
      <c r="CC225" s="456"/>
      <c r="CD225" s="456"/>
      <c r="CE225" s="456"/>
      <c r="CF225" s="456"/>
      <c r="CG225" s="456"/>
      <c r="CH225" s="456"/>
      <c r="CI225" s="456"/>
      <c r="CJ225" s="456"/>
      <c r="CK225" s="456"/>
      <c r="CL225" s="456"/>
      <c r="CM225" s="456"/>
    </row>
    <row r="226" spans="1:91" ht="14.25" customHeight="1">
      <c r="A226" s="443"/>
      <c r="B226" s="443"/>
      <c r="C226" s="443"/>
      <c r="D226" s="443"/>
      <c r="E226" s="443"/>
      <c r="F226" s="443"/>
      <c r="G226" s="443"/>
      <c r="H226" s="443"/>
      <c r="I226" s="443"/>
      <c r="J226" s="443"/>
      <c r="K226" s="443"/>
      <c r="L226" s="443"/>
      <c r="M226" s="443"/>
      <c r="N226" s="443"/>
      <c r="O226" s="443"/>
      <c r="P226" s="443"/>
      <c r="Q226" s="443"/>
      <c r="R226" s="443"/>
      <c r="S226" s="443"/>
      <c r="T226" s="443"/>
      <c r="U226" s="443"/>
      <c r="V226" s="443"/>
      <c r="W226" s="443"/>
      <c r="X226" s="443"/>
      <c r="Y226" s="443"/>
      <c r="Z226" s="443"/>
      <c r="AA226" s="443"/>
      <c r="AB226" s="443"/>
      <c r="AC226" s="443"/>
      <c r="AD226" s="443"/>
      <c r="AE226" s="443"/>
      <c r="AF226" s="444"/>
      <c r="AG226" s="443"/>
      <c r="AH226" s="443"/>
      <c r="AI226" s="443"/>
      <c r="AJ226" s="443"/>
      <c r="AK226" s="443"/>
      <c r="AL226" s="443"/>
      <c r="AM226" s="456"/>
      <c r="AN226" s="456"/>
      <c r="AO226" s="456"/>
      <c r="AP226" s="456"/>
      <c r="AQ226" s="456"/>
      <c r="AR226" s="456"/>
      <c r="AS226" s="456"/>
      <c r="AT226" s="456"/>
      <c r="AU226" s="456"/>
      <c r="AV226" s="456"/>
      <c r="AW226" s="456"/>
      <c r="AX226" s="456"/>
      <c r="AY226" s="456"/>
      <c r="AZ226" s="456"/>
      <c r="BA226" s="456"/>
      <c r="BB226" s="456"/>
      <c r="BC226" s="456"/>
      <c r="BD226" s="456"/>
      <c r="BE226" s="456"/>
      <c r="BF226" s="456"/>
      <c r="BG226" s="456"/>
      <c r="BH226" s="456"/>
      <c r="BI226" s="456"/>
      <c r="BJ226" s="456"/>
      <c r="BK226" s="456"/>
      <c r="BL226" s="456"/>
      <c r="BM226" s="456"/>
      <c r="BN226" s="456"/>
      <c r="BO226" s="456"/>
      <c r="BP226" s="456"/>
      <c r="BQ226" s="456"/>
      <c r="BR226" s="456"/>
      <c r="BS226" s="456"/>
      <c r="BT226" s="456"/>
      <c r="BU226" s="456"/>
      <c r="BV226" s="456"/>
      <c r="BW226" s="456"/>
      <c r="BX226" s="456"/>
      <c r="BY226" s="456"/>
      <c r="BZ226" s="456"/>
      <c r="CA226" s="456"/>
      <c r="CB226" s="456"/>
      <c r="CC226" s="456"/>
      <c r="CD226" s="456"/>
      <c r="CE226" s="456"/>
      <c r="CF226" s="456"/>
      <c r="CG226" s="456"/>
      <c r="CH226" s="456"/>
      <c r="CI226" s="456"/>
      <c r="CJ226" s="456"/>
      <c r="CK226" s="456"/>
      <c r="CL226" s="456"/>
      <c r="CM226" s="456"/>
    </row>
    <row r="227" spans="1:91" ht="14.25" customHeight="1">
      <c r="A227" s="443"/>
      <c r="B227" s="443"/>
      <c r="C227" s="443"/>
      <c r="D227" s="443"/>
      <c r="E227" s="443"/>
      <c r="F227" s="443"/>
      <c r="G227" s="443"/>
      <c r="H227" s="443"/>
      <c r="I227" s="443"/>
      <c r="J227" s="443"/>
      <c r="K227" s="443"/>
      <c r="L227" s="443"/>
      <c r="M227" s="443"/>
      <c r="N227" s="443"/>
      <c r="O227" s="443"/>
      <c r="P227" s="443"/>
      <c r="Q227" s="443"/>
      <c r="R227" s="443"/>
      <c r="S227" s="443"/>
      <c r="T227" s="443"/>
      <c r="U227" s="443"/>
      <c r="V227" s="443"/>
      <c r="W227" s="443"/>
      <c r="X227" s="443"/>
      <c r="Y227" s="443"/>
      <c r="Z227" s="443"/>
      <c r="AA227" s="443"/>
      <c r="AB227" s="443"/>
      <c r="AC227" s="443"/>
      <c r="AD227" s="443"/>
      <c r="AE227" s="443"/>
      <c r="AF227" s="444"/>
      <c r="AG227" s="443"/>
      <c r="AH227" s="443"/>
      <c r="AI227" s="443"/>
      <c r="AJ227" s="443"/>
      <c r="AK227" s="443"/>
      <c r="AL227" s="443"/>
      <c r="AM227" s="456"/>
      <c r="AN227" s="456"/>
      <c r="AO227" s="456"/>
      <c r="AP227" s="456"/>
      <c r="AQ227" s="456"/>
      <c r="AR227" s="456"/>
      <c r="AS227" s="456"/>
      <c r="AT227" s="456"/>
      <c r="AU227" s="456"/>
      <c r="AV227" s="456"/>
      <c r="AW227" s="456"/>
      <c r="AX227" s="456"/>
      <c r="AY227" s="456"/>
      <c r="AZ227" s="456"/>
      <c r="BA227" s="456"/>
      <c r="BB227" s="456"/>
      <c r="BC227" s="456"/>
      <c r="BD227" s="456"/>
      <c r="BE227" s="456"/>
      <c r="BF227" s="456"/>
      <c r="BG227" s="456"/>
      <c r="BH227" s="456"/>
      <c r="BI227" s="456"/>
      <c r="BJ227" s="456"/>
      <c r="BK227" s="456"/>
      <c r="BL227" s="456"/>
      <c r="BM227" s="456"/>
      <c r="BN227" s="456"/>
      <c r="BO227" s="456"/>
      <c r="BP227" s="456"/>
      <c r="BQ227" s="456"/>
      <c r="BR227" s="456"/>
      <c r="BS227" s="456"/>
      <c r="BT227" s="456"/>
      <c r="BU227" s="456"/>
      <c r="BV227" s="456"/>
      <c r="BW227" s="456"/>
      <c r="BX227" s="456"/>
      <c r="BY227" s="456"/>
      <c r="BZ227" s="456"/>
      <c r="CA227" s="456"/>
      <c r="CB227" s="456"/>
      <c r="CC227" s="456"/>
      <c r="CD227" s="456"/>
      <c r="CE227" s="456"/>
      <c r="CF227" s="456"/>
      <c r="CG227" s="456"/>
      <c r="CH227" s="456"/>
      <c r="CI227" s="456"/>
      <c r="CJ227" s="456"/>
      <c r="CK227" s="456"/>
      <c r="CL227" s="456"/>
      <c r="CM227" s="456"/>
    </row>
    <row r="228" spans="1:91" ht="14.25" customHeight="1">
      <c r="A228" s="443"/>
      <c r="B228" s="443"/>
      <c r="C228" s="443"/>
      <c r="D228" s="443"/>
      <c r="E228" s="443"/>
      <c r="F228" s="443"/>
      <c r="G228" s="443"/>
      <c r="H228" s="443"/>
      <c r="I228" s="443"/>
      <c r="J228" s="443"/>
      <c r="K228" s="443"/>
      <c r="L228" s="443"/>
      <c r="M228" s="443"/>
      <c r="N228" s="443"/>
      <c r="O228" s="443"/>
      <c r="P228" s="443"/>
      <c r="Q228" s="443"/>
      <c r="R228" s="443"/>
      <c r="S228" s="443"/>
      <c r="T228" s="443"/>
      <c r="U228" s="443"/>
      <c r="V228" s="443"/>
      <c r="W228" s="443"/>
      <c r="X228" s="443"/>
      <c r="Y228" s="443"/>
      <c r="Z228" s="443"/>
      <c r="AA228" s="443"/>
      <c r="AB228" s="443"/>
      <c r="AC228" s="443"/>
      <c r="AD228" s="443"/>
      <c r="AE228" s="443"/>
      <c r="AF228" s="444"/>
      <c r="AG228" s="443"/>
      <c r="AH228" s="443"/>
      <c r="AI228" s="443"/>
      <c r="AJ228" s="443"/>
      <c r="AK228" s="443"/>
      <c r="AL228" s="443"/>
      <c r="AM228" s="456"/>
      <c r="AN228" s="456"/>
      <c r="AO228" s="456"/>
      <c r="AP228" s="456"/>
      <c r="AQ228" s="456"/>
      <c r="AR228" s="456"/>
      <c r="AS228" s="456"/>
      <c r="AT228" s="456"/>
      <c r="AU228" s="456"/>
      <c r="AV228" s="456"/>
      <c r="AW228" s="456"/>
      <c r="AX228" s="456"/>
      <c r="AY228" s="456"/>
      <c r="AZ228" s="456"/>
      <c r="BA228" s="456"/>
      <c r="BB228" s="456"/>
      <c r="BC228" s="456"/>
      <c r="BD228" s="456"/>
      <c r="BE228" s="456"/>
      <c r="BF228" s="456"/>
      <c r="BG228" s="456"/>
      <c r="BH228" s="456"/>
      <c r="BI228" s="456"/>
      <c r="BJ228" s="456"/>
      <c r="BK228" s="456"/>
      <c r="BL228" s="456"/>
      <c r="BM228" s="456"/>
      <c r="BN228" s="456"/>
      <c r="BO228" s="456"/>
      <c r="BP228" s="456"/>
      <c r="BQ228" s="456"/>
      <c r="BR228" s="456"/>
      <c r="BS228" s="456"/>
      <c r="BT228" s="456"/>
      <c r="BU228" s="456"/>
      <c r="BV228" s="456"/>
      <c r="BW228" s="456"/>
      <c r="BX228" s="456"/>
      <c r="BY228" s="456"/>
      <c r="BZ228" s="456"/>
      <c r="CA228" s="456"/>
      <c r="CB228" s="456"/>
      <c r="CC228" s="456"/>
      <c r="CD228" s="456"/>
      <c r="CE228" s="456"/>
      <c r="CF228" s="456"/>
      <c r="CG228" s="456"/>
      <c r="CH228" s="456"/>
      <c r="CI228" s="456"/>
      <c r="CJ228" s="456"/>
      <c r="CK228" s="456"/>
      <c r="CL228" s="456"/>
      <c r="CM228" s="456"/>
    </row>
    <row r="229" spans="1:91" ht="14.25" customHeight="1">
      <c r="A229" s="443"/>
      <c r="B229" s="443"/>
      <c r="C229" s="443"/>
      <c r="D229" s="443"/>
      <c r="E229" s="443"/>
      <c r="F229" s="443"/>
      <c r="G229" s="443"/>
      <c r="H229" s="443"/>
      <c r="I229" s="443"/>
      <c r="J229" s="443"/>
      <c r="K229" s="443"/>
      <c r="L229" s="443"/>
      <c r="M229" s="443"/>
      <c r="N229" s="443"/>
      <c r="O229" s="443"/>
      <c r="P229" s="443"/>
      <c r="Q229" s="443"/>
      <c r="R229" s="443"/>
      <c r="S229" s="443"/>
      <c r="T229" s="443"/>
      <c r="U229" s="443"/>
      <c r="V229" s="443"/>
      <c r="W229" s="443"/>
      <c r="X229" s="443"/>
      <c r="Y229" s="443"/>
      <c r="Z229" s="443"/>
      <c r="AA229" s="443"/>
      <c r="AB229" s="443"/>
      <c r="AC229" s="443"/>
      <c r="AD229" s="443"/>
      <c r="AE229" s="443"/>
      <c r="AF229" s="444"/>
      <c r="AG229" s="443"/>
      <c r="AH229" s="443"/>
      <c r="AI229" s="443"/>
      <c r="AJ229" s="443"/>
      <c r="AK229" s="443"/>
      <c r="AL229" s="443"/>
      <c r="AM229" s="456"/>
      <c r="AN229" s="456"/>
      <c r="AO229" s="456"/>
      <c r="AP229" s="456"/>
      <c r="AQ229" s="456"/>
      <c r="AR229" s="456"/>
      <c r="AS229" s="456"/>
      <c r="AT229" s="456"/>
      <c r="AU229" s="456"/>
      <c r="AV229" s="456"/>
      <c r="AW229" s="456"/>
      <c r="AX229" s="456"/>
      <c r="AY229" s="456"/>
      <c r="AZ229" s="456"/>
      <c r="BA229" s="456"/>
      <c r="BB229" s="456"/>
      <c r="BC229" s="456"/>
      <c r="BD229" s="456"/>
      <c r="BE229" s="456"/>
      <c r="BF229" s="456"/>
      <c r="BG229" s="456"/>
      <c r="BH229" s="456"/>
      <c r="BI229" s="456"/>
      <c r="BJ229" s="456"/>
      <c r="BK229" s="456"/>
      <c r="BL229" s="456"/>
      <c r="BM229" s="456"/>
      <c r="BN229" s="456"/>
      <c r="BO229" s="456"/>
      <c r="BP229" s="456"/>
      <c r="BQ229" s="456"/>
      <c r="BR229" s="456"/>
      <c r="BS229" s="456"/>
      <c r="BT229" s="456"/>
      <c r="BU229" s="456"/>
      <c r="BV229" s="456"/>
      <c r="BW229" s="456"/>
      <c r="BX229" s="456"/>
      <c r="BY229" s="456"/>
      <c r="BZ229" s="456"/>
      <c r="CA229" s="456"/>
      <c r="CB229" s="456"/>
      <c r="CC229" s="456"/>
      <c r="CD229" s="456"/>
      <c r="CE229" s="456"/>
      <c r="CF229" s="456"/>
      <c r="CG229" s="456"/>
      <c r="CH229" s="456"/>
      <c r="CI229" s="456"/>
      <c r="CJ229" s="456"/>
      <c r="CK229" s="456"/>
      <c r="CL229" s="456"/>
      <c r="CM229" s="456"/>
    </row>
    <row r="230" spans="1:91" ht="14.25" customHeight="1">
      <c r="A230" s="443"/>
      <c r="B230" s="443"/>
      <c r="C230" s="443"/>
      <c r="D230" s="443"/>
      <c r="E230" s="443"/>
      <c r="F230" s="443"/>
      <c r="G230" s="443"/>
      <c r="H230" s="443"/>
      <c r="I230" s="443"/>
      <c r="J230" s="443"/>
      <c r="K230" s="443"/>
      <c r="L230" s="443"/>
      <c r="M230" s="443"/>
      <c r="N230" s="443"/>
      <c r="O230" s="443"/>
      <c r="P230" s="443"/>
      <c r="Q230" s="443"/>
      <c r="R230" s="443"/>
      <c r="S230" s="443"/>
      <c r="T230" s="443"/>
      <c r="U230" s="443"/>
      <c r="V230" s="443"/>
      <c r="W230" s="443"/>
      <c r="X230" s="443"/>
      <c r="Y230" s="443"/>
      <c r="Z230" s="443"/>
      <c r="AA230" s="443"/>
      <c r="AB230" s="443"/>
      <c r="AC230" s="443"/>
      <c r="AD230" s="443"/>
      <c r="AE230" s="443"/>
      <c r="AF230" s="444"/>
      <c r="AG230" s="443"/>
      <c r="AH230" s="443"/>
      <c r="AI230" s="443"/>
      <c r="AJ230" s="443"/>
      <c r="AK230" s="443"/>
      <c r="AL230" s="443"/>
      <c r="AM230" s="456"/>
      <c r="AN230" s="456"/>
      <c r="AO230" s="456"/>
      <c r="AP230" s="456"/>
      <c r="AQ230" s="456"/>
      <c r="AR230" s="456"/>
      <c r="AS230" s="456"/>
      <c r="AT230" s="456"/>
      <c r="AU230" s="456"/>
      <c r="AV230" s="456"/>
      <c r="AW230" s="456"/>
      <c r="AX230" s="456"/>
      <c r="AY230" s="456"/>
      <c r="AZ230" s="456"/>
      <c r="BA230" s="456"/>
      <c r="BB230" s="456"/>
      <c r="BC230" s="456"/>
      <c r="BD230" s="456"/>
      <c r="BE230" s="456"/>
      <c r="BF230" s="456"/>
      <c r="BG230" s="456"/>
      <c r="BH230" s="456"/>
      <c r="BI230" s="456"/>
      <c r="BJ230" s="456"/>
      <c r="BK230" s="456"/>
      <c r="BL230" s="456"/>
      <c r="BM230" s="456"/>
      <c r="BN230" s="456"/>
      <c r="BO230" s="456"/>
      <c r="BP230" s="456"/>
      <c r="BQ230" s="456"/>
      <c r="BR230" s="456"/>
      <c r="BS230" s="456"/>
      <c r="BT230" s="456"/>
      <c r="BU230" s="456"/>
      <c r="BV230" s="456"/>
      <c r="BW230" s="456"/>
      <c r="BX230" s="456"/>
      <c r="BY230" s="456"/>
      <c r="BZ230" s="456"/>
      <c r="CA230" s="456"/>
      <c r="CB230" s="456"/>
      <c r="CC230" s="456"/>
      <c r="CD230" s="456"/>
      <c r="CE230" s="456"/>
      <c r="CF230" s="456"/>
      <c r="CG230" s="456"/>
      <c r="CH230" s="456"/>
      <c r="CI230" s="456"/>
      <c r="CJ230" s="456"/>
      <c r="CK230" s="456"/>
      <c r="CL230" s="456"/>
      <c r="CM230" s="456"/>
    </row>
    <row r="231" spans="1:91" ht="14.25" customHeight="1">
      <c r="A231" s="443"/>
      <c r="B231" s="443"/>
      <c r="C231" s="443"/>
      <c r="D231" s="443"/>
      <c r="E231" s="443"/>
      <c r="F231" s="443"/>
      <c r="G231" s="443"/>
      <c r="H231" s="443"/>
      <c r="I231" s="443"/>
      <c r="J231" s="443"/>
      <c r="K231" s="443"/>
      <c r="L231" s="443"/>
      <c r="M231" s="443"/>
      <c r="N231" s="443"/>
      <c r="O231" s="443"/>
      <c r="P231" s="443"/>
      <c r="Q231" s="443"/>
      <c r="R231" s="443"/>
      <c r="S231" s="443"/>
      <c r="T231" s="443"/>
      <c r="U231" s="443"/>
      <c r="V231" s="443"/>
      <c r="W231" s="443"/>
      <c r="X231" s="443"/>
      <c r="Y231" s="443"/>
      <c r="Z231" s="443"/>
      <c r="AA231" s="443"/>
      <c r="AB231" s="443"/>
      <c r="AC231" s="443"/>
      <c r="AD231" s="443"/>
      <c r="AE231" s="443"/>
      <c r="AF231" s="444"/>
      <c r="AG231" s="443"/>
      <c r="AH231" s="443"/>
      <c r="AI231" s="443"/>
      <c r="AJ231" s="443"/>
      <c r="AK231" s="443"/>
      <c r="AL231" s="443"/>
      <c r="AM231" s="456"/>
      <c r="AN231" s="456"/>
      <c r="AO231" s="456"/>
      <c r="AP231" s="456"/>
      <c r="AQ231" s="456"/>
      <c r="AR231" s="456"/>
      <c r="AS231" s="456"/>
      <c r="AT231" s="456"/>
      <c r="AU231" s="456"/>
      <c r="AV231" s="456"/>
      <c r="AW231" s="456"/>
      <c r="AX231" s="456"/>
      <c r="AY231" s="456"/>
      <c r="AZ231" s="456"/>
      <c r="BA231" s="456"/>
      <c r="BB231" s="456"/>
      <c r="BC231" s="456"/>
      <c r="BD231" s="456"/>
      <c r="BE231" s="456"/>
      <c r="BF231" s="456"/>
      <c r="BG231" s="456"/>
      <c r="BH231" s="456"/>
      <c r="BI231" s="456"/>
      <c r="BJ231" s="456"/>
      <c r="BK231" s="456"/>
      <c r="BL231" s="456"/>
      <c r="BM231" s="456"/>
      <c r="BN231" s="456"/>
      <c r="BO231" s="456"/>
      <c r="BP231" s="456"/>
      <c r="BQ231" s="456"/>
      <c r="BR231" s="456"/>
      <c r="BS231" s="456"/>
      <c r="BT231" s="456"/>
      <c r="BU231" s="456"/>
      <c r="BV231" s="456"/>
      <c r="BW231" s="456"/>
      <c r="BX231" s="456"/>
      <c r="BY231" s="456"/>
      <c r="BZ231" s="456"/>
      <c r="CA231" s="456"/>
      <c r="CB231" s="456"/>
      <c r="CC231" s="456"/>
      <c r="CD231" s="456"/>
      <c r="CE231" s="456"/>
      <c r="CF231" s="456"/>
      <c r="CG231" s="456"/>
      <c r="CH231" s="456"/>
      <c r="CI231" s="456"/>
      <c r="CJ231" s="456"/>
      <c r="CK231" s="456"/>
      <c r="CL231" s="456"/>
      <c r="CM231" s="456"/>
    </row>
    <row r="232" spans="1:91" ht="14.25" customHeight="1">
      <c r="A232" s="443"/>
      <c r="B232" s="443"/>
      <c r="C232" s="443"/>
      <c r="D232" s="443"/>
      <c r="E232" s="443"/>
      <c r="F232" s="443"/>
      <c r="G232" s="443"/>
      <c r="H232" s="443"/>
      <c r="I232" s="443"/>
      <c r="J232" s="443"/>
      <c r="K232" s="443"/>
      <c r="L232" s="443"/>
      <c r="M232" s="443"/>
      <c r="N232" s="443"/>
      <c r="O232" s="443"/>
      <c r="P232" s="443"/>
      <c r="Q232" s="443"/>
      <c r="R232" s="443"/>
      <c r="S232" s="443"/>
      <c r="T232" s="443"/>
      <c r="U232" s="443"/>
      <c r="V232" s="443"/>
      <c r="W232" s="443"/>
      <c r="X232" s="443"/>
      <c r="Y232" s="443"/>
      <c r="Z232" s="443"/>
      <c r="AA232" s="443"/>
      <c r="AB232" s="443"/>
      <c r="AC232" s="443"/>
      <c r="AD232" s="443"/>
      <c r="AE232" s="443"/>
      <c r="AF232" s="444"/>
      <c r="AG232" s="443"/>
      <c r="AH232" s="443"/>
      <c r="AI232" s="443"/>
      <c r="AJ232" s="443"/>
      <c r="AK232" s="443"/>
      <c r="AL232" s="443"/>
      <c r="AM232" s="456"/>
      <c r="AN232" s="456"/>
      <c r="AO232" s="456"/>
      <c r="AP232" s="456"/>
      <c r="AQ232" s="456"/>
      <c r="AR232" s="456"/>
      <c r="AS232" s="456"/>
      <c r="AT232" s="456"/>
      <c r="AU232" s="456"/>
      <c r="AV232" s="456"/>
      <c r="AW232" s="456"/>
      <c r="AX232" s="456"/>
      <c r="AY232" s="456"/>
      <c r="AZ232" s="456"/>
      <c r="BA232" s="456"/>
      <c r="BB232" s="456"/>
      <c r="BC232" s="456"/>
      <c r="BD232" s="456"/>
      <c r="BE232" s="456"/>
      <c r="BF232" s="456"/>
      <c r="BG232" s="456"/>
      <c r="BH232" s="456"/>
      <c r="BI232" s="456"/>
      <c r="BJ232" s="456"/>
      <c r="BK232" s="456"/>
      <c r="BL232" s="456"/>
      <c r="BM232" s="456"/>
      <c r="BN232" s="456"/>
      <c r="BO232" s="456"/>
      <c r="BP232" s="456"/>
      <c r="BQ232" s="456"/>
      <c r="BR232" s="456"/>
      <c r="BS232" s="456"/>
      <c r="BT232" s="456"/>
      <c r="BU232" s="456"/>
      <c r="BV232" s="456"/>
      <c r="BW232" s="456"/>
      <c r="BX232" s="456"/>
      <c r="BY232" s="456"/>
      <c r="BZ232" s="456"/>
      <c r="CA232" s="456"/>
      <c r="CB232" s="456"/>
      <c r="CC232" s="456"/>
      <c r="CD232" s="456"/>
      <c r="CE232" s="456"/>
      <c r="CF232" s="456"/>
      <c r="CG232" s="456"/>
      <c r="CH232" s="456"/>
      <c r="CI232" s="456"/>
      <c r="CJ232" s="456"/>
      <c r="CK232" s="456"/>
      <c r="CL232" s="456"/>
      <c r="CM232" s="456"/>
    </row>
    <row r="233" spans="1:91" ht="14.25" customHeight="1">
      <c r="A233" s="443"/>
      <c r="B233" s="443"/>
      <c r="C233" s="443"/>
      <c r="D233" s="443"/>
      <c r="E233" s="443"/>
      <c r="F233" s="443"/>
      <c r="G233" s="443"/>
      <c r="H233" s="443"/>
      <c r="I233" s="443"/>
      <c r="J233" s="443"/>
      <c r="K233" s="443"/>
      <c r="L233" s="443"/>
      <c r="M233" s="443"/>
      <c r="N233" s="443"/>
      <c r="O233" s="443"/>
      <c r="P233" s="443"/>
      <c r="Q233" s="443"/>
      <c r="R233" s="443"/>
      <c r="S233" s="443"/>
      <c r="T233" s="443"/>
      <c r="U233" s="443"/>
      <c r="V233" s="443"/>
      <c r="W233" s="443"/>
      <c r="X233" s="443"/>
      <c r="Y233" s="443"/>
      <c r="Z233" s="443"/>
      <c r="AA233" s="443"/>
      <c r="AB233" s="443"/>
      <c r="AC233" s="443"/>
      <c r="AD233" s="443"/>
      <c r="AE233" s="443"/>
      <c r="AF233" s="444"/>
      <c r="AG233" s="443"/>
      <c r="AH233" s="443"/>
      <c r="AI233" s="443"/>
      <c r="AJ233" s="443"/>
      <c r="AK233" s="443"/>
      <c r="AL233" s="443"/>
      <c r="AM233" s="456"/>
      <c r="AN233" s="456"/>
      <c r="AO233" s="456"/>
      <c r="AP233" s="456"/>
      <c r="AQ233" s="456"/>
      <c r="AR233" s="456"/>
      <c r="AS233" s="456"/>
      <c r="AT233" s="456"/>
      <c r="AU233" s="456"/>
      <c r="AV233" s="456"/>
      <c r="AW233" s="456"/>
      <c r="AX233" s="456"/>
      <c r="AY233" s="456"/>
      <c r="AZ233" s="456"/>
      <c r="BA233" s="456"/>
      <c r="BB233" s="456"/>
      <c r="BC233" s="456"/>
      <c r="BD233" s="456"/>
      <c r="BE233" s="456"/>
      <c r="BF233" s="456"/>
      <c r="BG233" s="456"/>
      <c r="BH233" s="456"/>
      <c r="BI233" s="456"/>
      <c r="BJ233" s="456"/>
      <c r="BK233" s="456"/>
      <c r="BL233" s="456"/>
      <c r="BM233" s="456"/>
      <c r="BN233" s="456"/>
      <c r="BO233" s="456"/>
      <c r="BP233" s="456"/>
      <c r="BQ233" s="456"/>
      <c r="BR233" s="456"/>
      <c r="BS233" s="456"/>
      <c r="BT233" s="456"/>
      <c r="BU233" s="456"/>
      <c r="BV233" s="456"/>
      <c r="BW233" s="456"/>
      <c r="BX233" s="456"/>
      <c r="BY233" s="456"/>
      <c r="BZ233" s="456"/>
      <c r="CA233" s="456"/>
      <c r="CB233" s="456"/>
      <c r="CC233" s="456"/>
      <c r="CD233" s="456"/>
      <c r="CE233" s="456"/>
      <c r="CF233" s="456"/>
      <c r="CG233" s="456"/>
      <c r="CH233" s="456"/>
      <c r="CI233" s="456"/>
      <c r="CJ233" s="456"/>
      <c r="CK233" s="456"/>
      <c r="CL233" s="456"/>
      <c r="CM233" s="456"/>
    </row>
    <row r="234" spans="1:91" ht="14.25" customHeight="1">
      <c r="A234" s="443"/>
      <c r="B234" s="443"/>
      <c r="C234" s="443"/>
      <c r="D234" s="443"/>
      <c r="E234" s="443"/>
      <c r="F234" s="443"/>
      <c r="G234" s="443"/>
      <c r="H234" s="443"/>
      <c r="I234" s="443"/>
      <c r="J234" s="443"/>
      <c r="K234" s="443"/>
      <c r="L234" s="443"/>
      <c r="M234" s="443"/>
      <c r="N234" s="443"/>
      <c r="O234" s="443"/>
      <c r="P234" s="443"/>
      <c r="Q234" s="443"/>
      <c r="R234" s="443"/>
      <c r="S234" s="443"/>
      <c r="T234" s="443"/>
      <c r="U234" s="443"/>
      <c r="V234" s="443"/>
      <c r="W234" s="443"/>
      <c r="X234" s="443"/>
      <c r="Y234" s="443"/>
      <c r="Z234" s="443"/>
      <c r="AA234" s="443"/>
      <c r="AB234" s="443"/>
      <c r="AC234" s="443"/>
      <c r="AD234" s="443"/>
      <c r="AE234" s="443"/>
      <c r="AF234" s="444"/>
      <c r="AG234" s="443"/>
      <c r="AH234" s="443"/>
      <c r="AI234" s="443"/>
      <c r="AJ234" s="443"/>
      <c r="AK234" s="443"/>
      <c r="AL234" s="443"/>
      <c r="AM234" s="456"/>
      <c r="AN234" s="456"/>
      <c r="AO234" s="456"/>
      <c r="AP234" s="456"/>
      <c r="AQ234" s="456"/>
      <c r="AR234" s="456"/>
      <c r="AS234" s="456"/>
      <c r="AT234" s="456"/>
      <c r="AU234" s="456"/>
      <c r="AV234" s="456"/>
      <c r="AW234" s="456"/>
      <c r="AX234" s="456"/>
      <c r="AY234" s="456"/>
      <c r="AZ234" s="456"/>
      <c r="BA234" s="456"/>
      <c r="BB234" s="456"/>
      <c r="BC234" s="456"/>
      <c r="BD234" s="456"/>
      <c r="BE234" s="456"/>
      <c r="BF234" s="456"/>
      <c r="BG234" s="456"/>
      <c r="BH234" s="456"/>
      <c r="BI234" s="456"/>
      <c r="BJ234" s="456"/>
      <c r="BK234" s="456"/>
      <c r="BL234" s="456"/>
      <c r="BM234" s="456"/>
      <c r="BN234" s="456"/>
      <c r="BO234" s="456"/>
      <c r="BP234" s="456"/>
      <c r="BQ234" s="456"/>
      <c r="BR234" s="456"/>
      <c r="BS234" s="456"/>
      <c r="BT234" s="456"/>
      <c r="BU234" s="456"/>
      <c r="BV234" s="456"/>
      <c r="BW234" s="456"/>
      <c r="BX234" s="456"/>
      <c r="BY234" s="456"/>
      <c r="BZ234" s="456"/>
      <c r="CA234" s="456"/>
      <c r="CB234" s="456"/>
      <c r="CC234" s="456"/>
      <c r="CD234" s="456"/>
      <c r="CE234" s="456"/>
      <c r="CF234" s="456"/>
      <c r="CG234" s="456"/>
      <c r="CH234" s="456"/>
      <c r="CI234" s="456"/>
      <c r="CJ234" s="456"/>
      <c r="CK234" s="456"/>
      <c r="CL234" s="456"/>
      <c r="CM234" s="456"/>
    </row>
    <row r="235" spans="1:91" ht="14.25" customHeight="1">
      <c r="A235" s="443"/>
      <c r="B235" s="443"/>
      <c r="C235" s="443"/>
      <c r="D235" s="443"/>
      <c r="E235" s="443"/>
      <c r="F235" s="443"/>
      <c r="G235" s="443"/>
      <c r="H235" s="443"/>
      <c r="I235" s="443"/>
      <c r="J235" s="443"/>
      <c r="K235" s="443"/>
      <c r="L235" s="443"/>
      <c r="M235" s="443"/>
      <c r="N235" s="443"/>
      <c r="O235" s="443"/>
      <c r="P235" s="443"/>
      <c r="Q235" s="443"/>
      <c r="R235" s="443"/>
      <c r="S235" s="443"/>
      <c r="T235" s="443"/>
      <c r="U235" s="443"/>
      <c r="V235" s="443"/>
      <c r="W235" s="443"/>
      <c r="X235" s="443"/>
      <c r="Y235" s="443"/>
      <c r="Z235" s="443"/>
      <c r="AA235" s="443"/>
      <c r="AB235" s="443"/>
      <c r="AC235" s="443"/>
      <c r="AD235" s="443"/>
      <c r="AE235" s="443"/>
      <c r="AF235" s="444"/>
      <c r="AG235" s="443"/>
      <c r="AH235" s="443"/>
      <c r="AI235" s="443"/>
      <c r="AJ235" s="443"/>
      <c r="AK235" s="443"/>
      <c r="AL235" s="443"/>
      <c r="AM235" s="456"/>
      <c r="AN235" s="456"/>
      <c r="AO235" s="456"/>
      <c r="AP235" s="456"/>
      <c r="AQ235" s="456"/>
      <c r="AR235" s="456"/>
      <c r="AS235" s="456"/>
      <c r="AT235" s="456"/>
      <c r="AU235" s="456"/>
      <c r="AV235" s="456"/>
      <c r="AW235" s="456"/>
      <c r="AX235" s="456"/>
      <c r="AY235" s="456"/>
      <c r="AZ235" s="456"/>
      <c r="BA235" s="456"/>
      <c r="BB235" s="456"/>
      <c r="BC235" s="456"/>
      <c r="BD235" s="456"/>
      <c r="BE235" s="456"/>
      <c r="BF235" s="456"/>
      <c r="BG235" s="456"/>
      <c r="BH235" s="456"/>
      <c r="BI235" s="456"/>
      <c r="BJ235" s="456"/>
      <c r="BK235" s="456"/>
      <c r="BL235" s="456"/>
      <c r="BM235" s="456"/>
      <c r="BN235" s="456"/>
      <c r="BO235" s="456"/>
      <c r="BP235" s="456"/>
      <c r="BQ235" s="456"/>
      <c r="BR235" s="456"/>
      <c r="BS235" s="456"/>
      <c r="BT235" s="456"/>
      <c r="BU235" s="456"/>
      <c r="BV235" s="456"/>
      <c r="BW235" s="456"/>
      <c r="BX235" s="456"/>
      <c r="BY235" s="456"/>
      <c r="BZ235" s="456"/>
      <c r="CA235" s="456"/>
      <c r="CB235" s="456"/>
      <c r="CC235" s="456"/>
      <c r="CD235" s="456"/>
      <c r="CE235" s="456"/>
      <c r="CF235" s="456"/>
      <c r="CG235" s="456"/>
      <c r="CH235" s="456"/>
      <c r="CI235" s="456"/>
      <c r="CJ235" s="456"/>
      <c r="CK235" s="456"/>
      <c r="CL235" s="456"/>
      <c r="CM235" s="456"/>
    </row>
    <row r="236" spans="1:91" ht="14.25" customHeight="1">
      <c r="A236" s="443"/>
      <c r="B236" s="443"/>
      <c r="C236" s="443"/>
      <c r="D236" s="443"/>
      <c r="E236" s="443"/>
      <c r="F236" s="443"/>
      <c r="G236" s="443"/>
      <c r="H236" s="443"/>
      <c r="I236" s="443"/>
      <c r="J236" s="443"/>
      <c r="K236" s="443"/>
      <c r="L236" s="443"/>
      <c r="M236" s="443"/>
      <c r="N236" s="443"/>
      <c r="O236" s="443"/>
      <c r="P236" s="443"/>
      <c r="Q236" s="443"/>
      <c r="R236" s="443"/>
      <c r="S236" s="443"/>
      <c r="T236" s="443"/>
      <c r="U236" s="443"/>
      <c r="V236" s="443"/>
      <c r="W236" s="443"/>
      <c r="X236" s="443"/>
      <c r="Y236" s="443"/>
      <c r="Z236" s="443"/>
      <c r="AA236" s="443"/>
      <c r="AB236" s="443"/>
      <c r="AC236" s="443"/>
      <c r="AD236" s="443"/>
      <c r="AE236" s="443"/>
      <c r="AF236" s="444"/>
      <c r="AG236" s="443"/>
      <c r="AH236" s="443"/>
      <c r="AI236" s="443"/>
      <c r="AJ236" s="443"/>
      <c r="AK236" s="443"/>
      <c r="AL236" s="443"/>
      <c r="AM236" s="456"/>
      <c r="AN236" s="456"/>
      <c r="AO236" s="456"/>
      <c r="AP236" s="456"/>
      <c r="AQ236" s="456"/>
      <c r="AR236" s="456"/>
      <c r="AS236" s="456"/>
      <c r="AT236" s="456"/>
      <c r="AU236" s="456"/>
      <c r="AV236" s="456"/>
      <c r="AW236" s="456"/>
      <c r="AX236" s="456"/>
      <c r="AY236" s="456"/>
      <c r="AZ236" s="456"/>
      <c r="BA236" s="456"/>
      <c r="BB236" s="456"/>
      <c r="BC236" s="456"/>
      <c r="BD236" s="456"/>
      <c r="BE236" s="456"/>
      <c r="BF236" s="456"/>
      <c r="BG236" s="456"/>
      <c r="BH236" s="456"/>
      <c r="BI236" s="456"/>
      <c r="BJ236" s="456"/>
      <c r="BK236" s="456"/>
      <c r="BL236" s="456"/>
      <c r="BM236" s="456"/>
      <c r="BN236" s="456"/>
      <c r="BO236" s="456"/>
      <c r="BP236" s="456"/>
      <c r="BQ236" s="456"/>
      <c r="BR236" s="456"/>
      <c r="BS236" s="456"/>
      <c r="BT236" s="456"/>
      <c r="BU236" s="456"/>
      <c r="BV236" s="456"/>
      <c r="BW236" s="456"/>
      <c r="BX236" s="456"/>
      <c r="BY236" s="456"/>
      <c r="BZ236" s="456"/>
      <c r="CA236" s="456"/>
      <c r="CB236" s="456"/>
      <c r="CC236" s="456"/>
      <c r="CD236" s="456"/>
      <c r="CE236" s="456"/>
      <c r="CF236" s="456"/>
      <c r="CG236" s="456"/>
      <c r="CH236" s="456"/>
      <c r="CI236" s="456"/>
      <c r="CJ236" s="456"/>
      <c r="CK236" s="456"/>
      <c r="CL236" s="456"/>
      <c r="CM236" s="456"/>
    </row>
    <row r="237" spans="1:91" ht="14.25" customHeight="1">
      <c r="A237" s="443"/>
      <c r="B237" s="443"/>
      <c r="C237" s="443"/>
      <c r="D237" s="443"/>
      <c r="E237" s="443"/>
      <c r="F237" s="443"/>
      <c r="G237" s="443"/>
      <c r="H237" s="443"/>
      <c r="I237" s="443"/>
      <c r="J237" s="443"/>
      <c r="K237" s="443"/>
      <c r="L237" s="443"/>
      <c r="M237" s="443"/>
      <c r="N237" s="443"/>
      <c r="O237" s="443"/>
      <c r="P237" s="443"/>
      <c r="Q237" s="443"/>
      <c r="R237" s="443"/>
      <c r="S237" s="443"/>
      <c r="T237" s="443"/>
      <c r="U237" s="443"/>
      <c r="V237" s="443"/>
      <c r="W237" s="443"/>
      <c r="X237" s="443"/>
      <c r="Y237" s="443"/>
      <c r="Z237" s="443"/>
      <c r="AA237" s="443"/>
      <c r="AB237" s="443"/>
      <c r="AC237" s="443"/>
      <c r="AD237" s="443"/>
      <c r="AE237" s="443"/>
      <c r="AF237" s="444"/>
      <c r="AG237" s="443"/>
      <c r="AH237" s="443"/>
      <c r="AI237" s="443"/>
      <c r="AJ237" s="443"/>
      <c r="AK237" s="443"/>
      <c r="AL237" s="443"/>
      <c r="AM237" s="456"/>
      <c r="AN237" s="456"/>
      <c r="AO237" s="456"/>
      <c r="AP237" s="456"/>
      <c r="AQ237" s="456"/>
      <c r="AR237" s="456"/>
      <c r="AS237" s="456"/>
      <c r="AT237" s="456"/>
      <c r="AU237" s="456"/>
      <c r="AV237" s="456"/>
      <c r="AW237" s="456"/>
      <c r="AX237" s="456"/>
      <c r="AY237" s="456"/>
      <c r="AZ237" s="456"/>
      <c r="BA237" s="456"/>
      <c r="BB237" s="456"/>
      <c r="BC237" s="456"/>
      <c r="BD237" s="456"/>
      <c r="BE237" s="456"/>
      <c r="BF237" s="456"/>
      <c r="BG237" s="456"/>
      <c r="BH237" s="456"/>
      <c r="BI237" s="456"/>
      <c r="BJ237" s="456"/>
      <c r="BK237" s="456"/>
      <c r="BL237" s="456"/>
      <c r="BM237" s="456"/>
      <c r="BN237" s="456"/>
      <c r="BO237" s="456"/>
      <c r="BP237" s="456"/>
      <c r="BQ237" s="456"/>
      <c r="BR237" s="456"/>
      <c r="BS237" s="456"/>
      <c r="BT237" s="456"/>
      <c r="BU237" s="456"/>
      <c r="BV237" s="456"/>
      <c r="BW237" s="456"/>
      <c r="BX237" s="456"/>
      <c r="BY237" s="456"/>
      <c r="BZ237" s="456"/>
      <c r="CA237" s="456"/>
      <c r="CB237" s="456"/>
      <c r="CC237" s="456"/>
      <c r="CD237" s="456"/>
      <c r="CE237" s="456"/>
      <c r="CF237" s="456"/>
      <c r="CG237" s="456"/>
      <c r="CH237" s="456"/>
      <c r="CI237" s="456"/>
      <c r="CJ237" s="456"/>
      <c r="CK237" s="456"/>
      <c r="CL237" s="456"/>
      <c r="CM237" s="456"/>
    </row>
    <row r="238" spans="1:91" ht="14.25" customHeight="1">
      <c r="A238" s="443"/>
      <c r="B238" s="443"/>
      <c r="C238" s="443"/>
      <c r="D238" s="443"/>
      <c r="E238" s="443"/>
      <c r="F238" s="443"/>
      <c r="G238" s="443"/>
      <c r="H238" s="443"/>
      <c r="I238" s="443"/>
      <c r="J238" s="443"/>
      <c r="K238" s="443"/>
      <c r="L238" s="443"/>
      <c r="M238" s="443"/>
      <c r="N238" s="443"/>
      <c r="O238" s="443"/>
      <c r="P238" s="443"/>
      <c r="Q238" s="443"/>
      <c r="R238" s="443"/>
      <c r="S238" s="443"/>
      <c r="T238" s="443"/>
      <c r="U238" s="443"/>
      <c r="V238" s="443"/>
      <c r="W238" s="443"/>
      <c r="X238" s="443"/>
      <c r="Y238" s="443"/>
      <c r="Z238" s="443"/>
      <c r="AA238" s="443"/>
      <c r="AB238" s="443"/>
      <c r="AC238" s="443"/>
      <c r="AD238" s="443"/>
      <c r="AE238" s="443"/>
      <c r="AF238" s="444"/>
      <c r="AG238" s="443"/>
      <c r="AH238" s="443"/>
      <c r="AI238" s="443"/>
      <c r="AJ238" s="443"/>
      <c r="AK238" s="443"/>
      <c r="AL238" s="443"/>
      <c r="AM238" s="456"/>
      <c r="AN238" s="456"/>
      <c r="AO238" s="456"/>
      <c r="AP238" s="456"/>
      <c r="AQ238" s="456"/>
      <c r="AR238" s="456"/>
      <c r="AS238" s="456"/>
      <c r="AT238" s="456"/>
      <c r="AU238" s="456"/>
      <c r="AV238" s="456"/>
      <c r="AW238" s="456"/>
      <c r="AX238" s="456"/>
      <c r="AY238" s="456"/>
      <c r="AZ238" s="456"/>
      <c r="BA238" s="456"/>
      <c r="BB238" s="456"/>
      <c r="BC238" s="456"/>
      <c r="BD238" s="456"/>
      <c r="BE238" s="456"/>
      <c r="BF238" s="456"/>
      <c r="BG238" s="456"/>
      <c r="BH238" s="456"/>
      <c r="BI238" s="456"/>
      <c r="BJ238" s="456"/>
      <c r="BK238" s="456"/>
      <c r="BL238" s="456"/>
      <c r="BM238" s="456"/>
      <c r="BN238" s="456"/>
      <c r="BO238" s="456"/>
      <c r="BP238" s="456"/>
      <c r="BQ238" s="456"/>
      <c r="BR238" s="456"/>
      <c r="BS238" s="456"/>
      <c r="BT238" s="456"/>
      <c r="BU238" s="456"/>
      <c r="BV238" s="456"/>
      <c r="BW238" s="456"/>
      <c r="BX238" s="456"/>
      <c r="BY238" s="456"/>
      <c r="BZ238" s="456"/>
      <c r="CA238" s="456"/>
      <c r="CB238" s="456"/>
      <c r="CC238" s="456"/>
      <c r="CD238" s="456"/>
      <c r="CE238" s="456"/>
      <c r="CF238" s="456"/>
      <c r="CG238" s="456"/>
      <c r="CH238" s="456"/>
      <c r="CI238" s="456"/>
      <c r="CJ238" s="456"/>
      <c r="CK238" s="456"/>
      <c r="CL238" s="456"/>
      <c r="CM238" s="456"/>
    </row>
    <row r="239" spans="1:91" ht="14.25" customHeight="1">
      <c r="A239" s="443"/>
      <c r="B239" s="443"/>
      <c r="C239" s="443"/>
      <c r="D239" s="443"/>
      <c r="E239" s="443"/>
      <c r="F239" s="443"/>
      <c r="G239" s="443"/>
      <c r="H239" s="443"/>
      <c r="I239" s="443"/>
      <c r="J239" s="443"/>
      <c r="K239" s="443"/>
      <c r="L239" s="443"/>
      <c r="M239" s="443"/>
      <c r="N239" s="443"/>
      <c r="O239" s="443"/>
      <c r="P239" s="443"/>
      <c r="Q239" s="443"/>
      <c r="R239" s="443"/>
      <c r="S239" s="443"/>
      <c r="T239" s="443"/>
      <c r="U239" s="443"/>
      <c r="V239" s="443"/>
      <c r="W239" s="443"/>
      <c r="X239" s="443"/>
      <c r="Y239" s="443"/>
      <c r="Z239" s="443"/>
      <c r="AA239" s="443"/>
      <c r="AB239" s="443"/>
      <c r="AC239" s="443"/>
      <c r="AD239" s="443"/>
      <c r="AE239" s="443"/>
      <c r="AF239" s="444"/>
      <c r="AG239" s="443"/>
      <c r="AH239" s="443"/>
      <c r="AI239" s="443"/>
      <c r="AJ239" s="443"/>
      <c r="AK239" s="443"/>
      <c r="AL239" s="443"/>
      <c r="AM239" s="456"/>
      <c r="AN239" s="456"/>
      <c r="AO239" s="456"/>
      <c r="AP239" s="456"/>
      <c r="AQ239" s="456"/>
      <c r="AR239" s="456"/>
      <c r="AS239" s="456"/>
      <c r="AT239" s="456"/>
      <c r="AU239" s="456"/>
      <c r="AV239" s="456"/>
      <c r="AW239" s="456"/>
      <c r="AX239" s="456"/>
      <c r="AY239" s="456"/>
      <c r="AZ239" s="456"/>
      <c r="BA239" s="456"/>
      <c r="BB239" s="456"/>
      <c r="BC239" s="456"/>
      <c r="BD239" s="456"/>
      <c r="BE239" s="456"/>
      <c r="BF239" s="456"/>
      <c r="BG239" s="456"/>
      <c r="BH239" s="456"/>
      <c r="BI239" s="456"/>
      <c r="BJ239" s="456"/>
      <c r="BK239" s="456"/>
      <c r="BL239" s="456"/>
      <c r="BM239" s="456"/>
      <c r="BN239" s="456"/>
      <c r="BO239" s="456"/>
      <c r="BP239" s="456"/>
      <c r="BQ239" s="456"/>
      <c r="BR239" s="456"/>
      <c r="BS239" s="456"/>
      <c r="BT239" s="456"/>
      <c r="BU239" s="456"/>
      <c r="BV239" s="456"/>
      <c r="BW239" s="456"/>
      <c r="BX239" s="456"/>
      <c r="BY239" s="456"/>
      <c r="BZ239" s="456"/>
      <c r="CA239" s="456"/>
      <c r="CB239" s="456"/>
      <c r="CC239" s="456"/>
      <c r="CD239" s="456"/>
      <c r="CE239" s="456"/>
      <c r="CF239" s="456"/>
      <c r="CG239" s="456"/>
      <c r="CH239" s="456"/>
      <c r="CI239" s="456"/>
      <c r="CJ239" s="456"/>
      <c r="CK239" s="456"/>
      <c r="CL239" s="456"/>
      <c r="CM239" s="456"/>
    </row>
    <row r="240" spans="1:91" ht="14.25" customHeight="1">
      <c r="A240" s="443"/>
      <c r="B240" s="443"/>
      <c r="C240" s="443"/>
      <c r="D240" s="443"/>
      <c r="E240" s="443"/>
      <c r="F240" s="443"/>
      <c r="G240" s="443"/>
      <c r="H240" s="443"/>
      <c r="I240" s="443"/>
      <c r="J240" s="443"/>
      <c r="K240" s="443"/>
      <c r="L240" s="443"/>
      <c r="M240" s="443"/>
      <c r="N240" s="443"/>
      <c r="O240" s="443"/>
      <c r="P240" s="443"/>
      <c r="Q240" s="443"/>
      <c r="R240" s="443"/>
      <c r="S240" s="443"/>
      <c r="T240" s="443"/>
      <c r="U240" s="443"/>
      <c r="V240" s="443"/>
      <c r="W240" s="443"/>
      <c r="X240" s="443"/>
      <c r="Y240" s="443"/>
      <c r="Z240" s="443"/>
      <c r="AA240" s="443"/>
      <c r="AB240" s="443"/>
      <c r="AC240" s="443"/>
      <c r="AD240" s="443"/>
      <c r="AE240" s="443"/>
      <c r="AF240" s="444"/>
      <c r="AG240" s="443"/>
      <c r="AH240" s="443"/>
      <c r="AI240" s="443"/>
      <c r="AJ240" s="443"/>
      <c r="AK240" s="443"/>
      <c r="AL240" s="443"/>
      <c r="AM240" s="456"/>
      <c r="AN240" s="456"/>
      <c r="AO240" s="456"/>
      <c r="AP240" s="456"/>
      <c r="AQ240" s="456"/>
      <c r="AR240" s="456"/>
      <c r="AS240" s="456"/>
      <c r="AT240" s="456"/>
      <c r="AU240" s="456"/>
      <c r="AV240" s="456"/>
      <c r="AW240" s="456"/>
      <c r="AX240" s="456"/>
      <c r="AY240" s="456"/>
      <c r="AZ240" s="456"/>
      <c r="BA240" s="456"/>
      <c r="BB240" s="456"/>
      <c r="BC240" s="456"/>
      <c r="BD240" s="456"/>
      <c r="BE240" s="456"/>
      <c r="BF240" s="456"/>
      <c r="BG240" s="456"/>
      <c r="BH240" s="456"/>
      <c r="BI240" s="456"/>
      <c r="BJ240" s="456"/>
      <c r="BK240" s="456"/>
      <c r="BL240" s="456"/>
      <c r="BM240" s="456"/>
      <c r="BN240" s="456"/>
      <c r="BO240" s="456"/>
      <c r="BP240" s="456"/>
      <c r="BQ240" s="456"/>
      <c r="BR240" s="456"/>
      <c r="BS240" s="456"/>
      <c r="BT240" s="456"/>
      <c r="BU240" s="456"/>
      <c r="BV240" s="456"/>
      <c r="BW240" s="456"/>
      <c r="BX240" s="456"/>
      <c r="BY240" s="456"/>
      <c r="BZ240" s="456"/>
      <c r="CA240" s="456"/>
      <c r="CB240" s="456"/>
      <c r="CC240" s="456"/>
      <c r="CD240" s="456"/>
      <c r="CE240" s="456"/>
      <c r="CF240" s="456"/>
      <c r="CG240" s="456"/>
      <c r="CH240" s="456"/>
      <c r="CI240" s="456"/>
      <c r="CJ240" s="456"/>
      <c r="CK240" s="456"/>
      <c r="CL240" s="456"/>
      <c r="CM240" s="456"/>
    </row>
    <row r="241" spans="1:91" ht="14.25" customHeight="1">
      <c r="A241" s="443"/>
      <c r="B241" s="443"/>
      <c r="C241" s="443"/>
      <c r="D241" s="443"/>
      <c r="E241" s="443"/>
      <c r="F241" s="443"/>
      <c r="G241" s="443"/>
      <c r="H241" s="443"/>
      <c r="I241" s="443"/>
      <c r="J241" s="443"/>
      <c r="K241" s="443"/>
      <c r="L241" s="443"/>
      <c r="M241" s="443"/>
      <c r="N241" s="443"/>
      <c r="O241" s="443"/>
      <c r="P241" s="443"/>
      <c r="Q241" s="443"/>
      <c r="R241" s="443"/>
      <c r="S241" s="443"/>
      <c r="T241" s="443"/>
      <c r="U241" s="443"/>
      <c r="V241" s="443"/>
      <c r="W241" s="443"/>
      <c r="X241" s="443"/>
      <c r="Y241" s="443"/>
      <c r="Z241" s="443"/>
      <c r="AA241" s="443"/>
      <c r="AB241" s="443"/>
      <c r="AC241" s="443"/>
      <c r="AD241" s="443"/>
      <c r="AE241" s="443"/>
      <c r="AF241" s="444"/>
      <c r="AG241" s="443"/>
      <c r="AH241" s="443"/>
      <c r="AI241" s="443"/>
      <c r="AJ241" s="443"/>
      <c r="AK241" s="443"/>
      <c r="AL241" s="443"/>
      <c r="AM241" s="456"/>
      <c r="AN241" s="456"/>
      <c r="AO241" s="456"/>
      <c r="AP241" s="456"/>
      <c r="AQ241" s="456"/>
      <c r="AR241" s="456"/>
      <c r="AS241" s="456"/>
      <c r="AT241" s="456"/>
      <c r="AU241" s="456"/>
      <c r="AV241" s="456"/>
      <c r="AW241" s="456"/>
      <c r="AX241" s="456"/>
      <c r="AY241" s="456"/>
      <c r="AZ241" s="456"/>
      <c r="BA241" s="456"/>
      <c r="BB241" s="456"/>
      <c r="BC241" s="456"/>
      <c r="BD241" s="456"/>
      <c r="BE241" s="456"/>
      <c r="BF241" s="456"/>
      <c r="BG241" s="456"/>
      <c r="BH241" s="456"/>
      <c r="BI241" s="456"/>
      <c r="BJ241" s="456"/>
      <c r="BK241" s="456"/>
      <c r="BL241" s="456"/>
      <c r="BM241" s="456"/>
      <c r="BN241" s="456"/>
      <c r="BO241" s="456"/>
      <c r="BP241" s="456"/>
      <c r="BQ241" s="456"/>
      <c r="BR241" s="456"/>
      <c r="BS241" s="456"/>
      <c r="BT241" s="456"/>
      <c r="BU241" s="456"/>
      <c r="BV241" s="456"/>
      <c r="BW241" s="456"/>
      <c r="BX241" s="456"/>
      <c r="BY241" s="456"/>
      <c r="BZ241" s="456"/>
      <c r="CA241" s="456"/>
      <c r="CB241" s="456"/>
      <c r="CC241" s="456"/>
      <c r="CD241" s="456"/>
      <c r="CE241" s="456"/>
      <c r="CF241" s="456"/>
      <c r="CG241" s="456"/>
      <c r="CH241" s="456"/>
      <c r="CI241" s="456"/>
      <c r="CJ241" s="456"/>
      <c r="CK241" s="456"/>
      <c r="CL241" s="456"/>
      <c r="CM241" s="456"/>
    </row>
    <row r="242" spans="1:91" ht="14.25" customHeight="1">
      <c r="A242" s="443"/>
      <c r="B242" s="443"/>
      <c r="C242" s="443"/>
      <c r="D242" s="443"/>
      <c r="E242" s="443"/>
      <c r="F242" s="443"/>
      <c r="G242" s="443"/>
      <c r="H242" s="443"/>
      <c r="I242" s="443"/>
      <c r="J242" s="443"/>
      <c r="K242" s="443"/>
      <c r="L242" s="443"/>
      <c r="M242" s="443"/>
      <c r="N242" s="443"/>
      <c r="O242" s="443"/>
      <c r="P242" s="443"/>
      <c r="Q242" s="443"/>
      <c r="R242" s="443"/>
      <c r="S242" s="443"/>
      <c r="T242" s="443"/>
      <c r="U242" s="443"/>
      <c r="V242" s="443"/>
      <c r="W242" s="443"/>
      <c r="X242" s="443"/>
      <c r="Y242" s="443"/>
      <c r="Z242" s="443"/>
      <c r="AA242" s="443"/>
      <c r="AB242" s="443"/>
      <c r="AC242" s="443"/>
      <c r="AD242" s="443"/>
      <c r="AE242" s="443"/>
      <c r="AF242" s="444"/>
      <c r="AG242" s="443"/>
      <c r="AH242" s="443"/>
      <c r="AI242" s="443"/>
      <c r="AJ242" s="443"/>
      <c r="AK242" s="443"/>
      <c r="AL242" s="443"/>
      <c r="AM242" s="456"/>
      <c r="AN242" s="456"/>
      <c r="AO242" s="456"/>
      <c r="AP242" s="456"/>
      <c r="AQ242" s="456"/>
      <c r="AR242" s="456"/>
      <c r="AS242" s="456"/>
      <c r="AT242" s="456"/>
      <c r="AU242" s="456"/>
      <c r="AV242" s="456"/>
      <c r="AW242" s="456"/>
      <c r="AX242" s="456"/>
      <c r="AY242" s="456"/>
      <c r="AZ242" s="456"/>
      <c r="BA242" s="456"/>
      <c r="BB242" s="456"/>
      <c r="BC242" s="456"/>
      <c r="BD242" s="456"/>
      <c r="BE242" s="456"/>
      <c r="BF242" s="456"/>
      <c r="BG242" s="456"/>
      <c r="BH242" s="456"/>
      <c r="BI242" s="456"/>
      <c r="BJ242" s="456"/>
      <c r="BK242" s="456"/>
      <c r="BL242" s="456"/>
      <c r="BM242" s="456"/>
      <c r="BN242" s="456"/>
      <c r="BO242" s="456"/>
      <c r="BP242" s="456"/>
      <c r="BQ242" s="456"/>
      <c r="BR242" s="456"/>
      <c r="BS242" s="456"/>
      <c r="BT242" s="456"/>
      <c r="BU242" s="456"/>
      <c r="BV242" s="456"/>
      <c r="BW242" s="456"/>
      <c r="BX242" s="456"/>
      <c r="BY242" s="456"/>
      <c r="BZ242" s="456"/>
      <c r="CA242" s="456"/>
      <c r="CB242" s="456"/>
      <c r="CC242" s="456"/>
      <c r="CD242" s="456"/>
      <c r="CE242" s="456"/>
      <c r="CF242" s="456"/>
      <c r="CG242" s="456"/>
      <c r="CH242" s="456"/>
      <c r="CI242" s="456"/>
      <c r="CJ242" s="456"/>
      <c r="CK242" s="456"/>
      <c r="CL242" s="456"/>
      <c r="CM242" s="456"/>
    </row>
    <row r="243" spans="1:91" ht="14.25" customHeight="1">
      <c r="A243" s="443"/>
      <c r="B243" s="443"/>
      <c r="C243" s="443"/>
      <c r="D243" s="443"/>
      <c r="E243" s="443"/>
      <c r="F243" s="443"/>
      <c r="G243" s="443"/>
      <c r="H243" s="443"/>
      <c r="I243" s="443"/>
      <c r="J243" s="443"/>
      <c r="K243" s="443"/>
      <c r="L243" s="443"/>
      <c r="M243" s="443"/>
      <c r="N243" s="443"/>
      <c r="O243" s="443"/>
      <c r="P243" s="443"/>
      <c r="Q243" s="443"/>
      <c r="R243" s="443"/>
      <c r="S243" s="443"/>
      <c r="T243" s="443"/>
      <c r="U243" s="443"/>
      <c r="V243" s="443"/>
      <c r="W243" s="443"/>
      <c r="X243" s="443"/>
      <c r="Y243" s="443"/>
      <c r="Z243" s="443"/>
      <c r="AA243" s="443"/>
      <c r="AB243" s="443"/>
      <c r="AC243" s="443"/>
      <c r="AD243" s="443"/>
      <c r="AE243" s="443"/>
      <c r="AF243" s="444"/>
      <c r="AG243" s="443"/>
      <c r="AH243" s="443"/>
      <c r="AI243" s="443"/>
      <c r="AJ243" s="443"/>
      <c r="AK243" s="443"/>
      <c r="AL243" s="443"/>
      <c r="AM243" s="456"/>
      <c r="AN243" s="456"/>
      <c r="AO243" s="456"/>
      <c r="AP243" s="456"/>
      <c r="AQ243" s="456"/>
      <c r="AR243" s="456"/>
      <c r="AS243" s="456"/>
      <c r="AT243" s="456"/>
      <c r="AU243" s="456"/>
      <c r="AV243" s="456"/>
      <c r="AW243" s="456"/>
      <c r="AX243" s="456"/>
      <c r="AY243" s="456"/>
      <c r="AZ243" s="456"/>
      <c r="BA243" s="456"/>
      <c r="BB243" s="456"/>
      <c r="BC243" s="456"/>
      <c r="BD243" s="456"/>
      <c r="BE243" s="456"/>
      <c r="BF243" s="456"/>
      <c r="BG243" s="456"/>
      <c r="BH243" s="456"/>
      <c r="BI243" s="456"/>
      <c r="BJ243" s="456"/>
      <c r="BK243" s="456"/>
      <c r="BL243" s="456"/>
      <c r="BM243" s="456"/>
      <c r="BN243" s="456"/>
      <c r="BO243" s="456"/>
      <c r="BP243" s="456"/>
      <c r="BQ243" s="456"/>
      <c r="BR243" s="456"/>
      <c r="BS243" s="456"/>
      <c r="BT243" s="456"/>
      <c r="BU243" s="456"/>
      <c r="BV243" s="456"/>
      <c r="BW243" s="456"/>
      <c r="BX243" s="456"/>
      <c r="BY243" s="456"/>
      <c r="BZ243" s="456"/>
      <c r="CA243" s="456"/>
      <c r="CB243" s="456"/>
      <c r="CC243" s="456"/>
      <c r="CD243" s="456"/>
      <c r="CE243" s="456"/>
      <c r="CF243" s="456"/>
      <c r="CG243" s="456"/>
      <c r="CH243" s="456"/>
      <c r="CI243" s="456"/>
      <c r="CJ243" s="456"/>
      <c r="CK243" s="456"/>
      <c r="CL243" s="456"/>
      <c r="CM243" s="456"/>
    </row>
    <row r="244" spans="1:91" ht="14.25" customHeight="1">
      <c r="A244" s="443"/>
      <c r="B244" s="443"/>
      <c r="C244" s="443"/>
      <c r="D244" s="443"/>
      <c r="E244" s="443"/>
      <c r="F244" s="443"/>
      <c r="G244" s="443"/>
      <c r="H244" s="443"/>
      <c r="I244" s="443"/>
      <c r="J244" s="443"/>
      <c r="K244" s="443"/>
      <c r="L244" s="443"/>
      <c r="M244" s="443"/>
      <c r="N244" s="443"/>
      <c r="O244" s="443"/>
      <c r="P244" s="443"/>
      <c r="Q244" s="443"/>
      <c r="R244" s="443"/>
      <c r="S244" s="443"/>
      <c r="T244" s="443"/>
      <c r="U244" s="443"/>
      <c r="V244" s="443"/>
      <c r="W244" s="443"/>
      <c r="X244" s="443"/>
      <c r="Y244" s="443"/>
      <c r="Z244" s="443"/>
      <c r="AA244" s="443"/>
      <c r="AB244" s="443"/>
      <c r="AC244" s="443"/>
      <c r="AD244" s="443"/>
      <c r="AE244" s="443"/>
      <c r="AF244" s="444"/>
      <c r="AG244" s="443"/>
      <c r="AH244" s="443"/>
      <c r="AI244" s="443"/>
      <c r="AJ244" s="443"/>
      <c r="AK244" s="443"/>
      <c r="AL244" s="443"/>
      <c r="AM244" s="456"/>
      <c r="AN244" s="456"/>
      <c r="AO244" s="456"/>
      <c r="AP244" s="456"/>
      <c r="AQ244" s="456"/>
      <c r="AR244" s="456"/>
      <c r="AS244" s="456"/>
      <c r="AT244" s="456"/>
      <c r="AU244" s="456"/>
      <c r="AV244" s="456"/>
      <c r="AW244" s="456"/>
      <c r="AX244" s="456"/>
      <c r="AY244" s="456"/>
      <c r="AZ244" s="456"/>
      <c r="BA244" s="456"/>
      <c r="BB244" s="456"/>
      <c r="BC244" s="456"/>
      <c r="BD244" s="456"/>
      <c r="BE244" s="456"/>
      <c r="BF244" s="456"/>
      <c r="BG244" s="456"/>
      <c r="BH244" s="456"/>
      <c r="BI244" s="456"/>
      <c r="BJ244" s="456"/>
      <c r="BK244" s="456"/>
      <c r="BL244" s="456"/>
      <c r="BM244" s="456"/>
      <c r="BN244" s="456"/>
      <c r="BO244" s="456"/>
      <c r="BP244" s="456"/>
      <c r="BQ244" s="456"/>
      <c r="BR244" s="456"/>
      <c r="BS244" s="456"/>
      <c r="BT244" s="456"/>
      <c r="BU244" s="456"/>
      <c r="BV244" s="456"/>
      <c r="BW244" s="456"/>
      <c r="BX244" s="456"/>
      <c r="BY244" s="456"/>
      <c r="BZ244" s="456"/>
      <c r="CA244" s="456"/>
      <c r="CB244" s="456"/>
      <c r="CC244" s="456"/>
      <c r="CD244" s="456"/>
      <c r="CE244" s="456"/>
      <c r="CF244" s="456"/>
      <c r="CG244" s="456"/>
      <c r="CH244" s="456"/>
      <c r="CI244" s="456"/>
      <c r="CJ244" s="456"/>
      <c r="CK244" s="456"/>
      <c r="CL244" s="456"/>
      <c r="CM244" s="456"/>
    </row>
    <row r="245" spans="1:91" ht="14.25" customHeight="1">
      <c r="A245" s="443"/>
      <c r="B245" s="443"/>
      <c r="C245" s="443"/>
      <c r="D245" s="443"/>
      <c r="E245" s="443"/>
      <c r="F245" s="443"/>
      <c r="G245" s="443"/>
      <c r="H245" s="443"/>
      <c r="I245" s="443"/>
      <c r="J245" s="443"/>
      <c r="K245" s="443"/>
      <c r="L245" s="443"/>
      <c r="M245" s="443"/>
      <c r="N245" s="443"/>
      <c r="O245" s="443"/>
      <c r="P245" s="443"/>
      <c r="Q245" s="443"/>
      <c r="R245" s="443"/>
      <c r="S245" s="443"/>
      <c r="T245" s="443"/>
      <c r="U245" s="443"/>
      <c r="V245" s="443"/>
      <c r="W245" s="443"/>
      <c r="X245" s="443"/>
      <c r="Y245" s="443"/>
      <c r="Z245" s="443"/>
      <c r="AA245" s="443"/>
      <c r="AB245" s="443"/>
      <c r="AC245" s="443"/>
      <c r="AD245" s="443"/>
      <c r="AE245" s="443"/>
      <c r="AF245" s="444"/>
      <c r="AG245" s="443"/>
      <c r="AH245" s="443"/>
      <c r="AI245" s="443"/>
      <c r="AJ245" s="443"/>
      <c r="AK245" s="443"/>
      <c r="AL245" s="443"/>
      <c r="AM245" s="456"/>
      <c r="AN245" s="456"/>
      <c r="AO245" s="456"/>
      <c r="AP245" s="456"/>
      <c r="AQ245" s="456"/>
      <c r="AR245" s="456"/>
      <c r="AS245" s="456"/>
      <c r="AT245" s="456"/>
      <c r="AU245" s="456"/>
      <c r="AV245" s="456"/>
      <c r="AW245" s="456"/>
      <c r="AX245" s="456"/>
      <c r="AY245" s="456"/>
      <c r="AZ245" s="456"/>
      <c r="BA245" s="456"/>
      <c r="BB245" s="456"/>
      <c r="BC245" s="456"/>
      <c r="BD245" s="456"/>
      <c r="BE245" s="456"/>
      <c r="BF245" s="456"/>
      <c r="BG245" s="456"/>
      <c r="BH245" s="456"/>
      <c r="BI245" s="456"/>
      <c r="BJ245" s="456"/>
      <c r="BK245" s="456"/>
      <c r="BL245" s="456"/>
      <c r="BM245" s="456"/>
      <c r="BN245" s="456"/>
      <c r="BO245" s="456"/>
      <c r="BP245" s="456"/>
      <c r="BQ245" s="456"/>
      <c r="BR245" s="456"/>
      <c r="BS245" s="456"/>
      <c r="BT245" s="456"/>
      <c r="BU245" s="456"/>
      <c r="BV245" s="456"/>
      <c r="BW245" s="456"/>
      <c r="BX245" s="456"/>
      <c r="BY245" s="456"/>
      <c r="BZ245" s="456"/>
      <c r="CA245" s="456"/>
      <c r="CB245" s="456"/>
      <c r="CC245" s="456"/>
      <c r="CD245" s="456"/>
      <c r="CE245" s="456"/>
      <c r="CF245" s="456"/>
      <c r="CG245" s="456"/>
      <c r="CH245" s="456"/>
      <c r="CI245" s="456"/>
      <c r="CJ245" s="456"/>
      <c r="CK245" s="456"/>
      <c r="CL245" s="456"/>
      <c r="CM245" s="456"/>
    </row>
    <row r="246" spans="1:91" ht="14.25" customHeight="1">
      <c r="A246" s="443"/>
      <c r="B246" s="443"/>
      <c r="C246" s="443"/>
      <c r="D246" s="443"/>
      <c r="E246" s="443"/>
      <c r="F246" s="443"/>
      <c r="G246" s="443"/>
      <c r="H246" s="443"/>
      <c r="I246" s="443"/>
      <c r="J246" s="443"/>
      <c r="K246" s="443"/>
      <c r="L246" s="443"/>
      <c r="M246" s="443"/>
      <c r="N246" s="443"/>
      <c r="O246" s="443"/>
      <c r="P246" s="443"/>
      <c r="Q246" s="443"/>
      <c r="R246" s="443"/>
      <c r="S246" s="443"/>
      <c r="T246" s="443"/>
      <c r="U246" s="443"/>
      <c r="V246" s="443"/>
      <c r="W246" s="443"/>
      <c r="X246" s="443"/>
      <c r="Y246" s="443"/>
      <c r="Z246" s="443"/>
      <c r="AA246" s="443"/>
      <c r="AB246" s="443"/>
      <c r="AC246" s="443"/>
      <c r="AD246" s="443"/>
      <c r="AE246" s="443"/>
      <c r="AF246" s="444"/>
      <c r="AG246" s="443"/>
      <c r="AH246" s="443"/>
      <c r="AI246" s="443"/>
      <c r="AJ246" s="443"/>
      <c r="AK246" s="443"/>
      <c r="AL246" s="443"/>
      <c r="AM246" s="456"/>
      <c r="AN246" s="456"/>
      <c r="AO246" s="456"/>
      <c r="AP246" s="456"/>
      <c r="AQ246" s="456"/>
      <c r="AR246" s="456"/>
      <c r="AS246" s="456"/>
      <c r="AT246" s="456"/>
      <c r="AU246" s="456"/>
      <c r="AV246" s="456"/>
      <c r="AW246" s="456"/>
      <c r="AX246" s="456"/>
      <c r="AY246" s="456"/>
      <c r="AZ246" s="456"/>
      <c r="BA246" s="456"/>
      <c r="BB246" s="456"/>
      <c r="BC246" s="456"/>
      <c r="BD246" s="456"/>
      <c r="BE246" s="456"/>
      <c r="BF246" s="456"/>
      <c r="BG246" s="456"/>
      <c r="BH246" s="456"/>
      <c r="BI246" s="456"/>
      <c r="BJ246" s="456"/>
      <c r="BK246" s="456"/>
      <c r="BL246" s="456"/>
      <c r="BM246" s="456"/>
      <c r="BN246" s="456"/>
      <c r="BO246" s="456"/>
      <c r="BP246" s="456"/>
      <c r="BQ246" s="456"/>
      <c r="BR246" s="456"/>
      <c r="BS246" s="456"/>
      <c r="BT246" s="456"/>
      <c r="BU246" s="456"/>
      <c r="BV246" s="456"/>
      <c r="BW246" s="456"/>
      <c r="BX246" s="456"/>
      <c r="BY246" s="456"/>
      <c r="BZ246" s="456"/>
      <c r="CA246" s="456"/>
      <c r="CB246" s="456"/>
      <c r="CC246" s="456"/>
      <c r="CD246" s="456"/>
      <c r="CE246" s="456"/>
      <c r="CF246" s="456"/>
      <c r="CG246" s="456"/>
      <c r="CH246" s="456"/>
      <c r="CI246" s="456"/>
      <c r="CJ246" s="456"/>
      <c r="CK246" s="456"/>
      <c r="CL246" s="456"/>
      <c r="CM246" s="456"/>
    </row>
    <row r="247" spans="1:91" ht="14.25" customHeight="1">
      <c r="A247" s="443"/>
      <c r="B247" s="443"/>
      <c r="C247" s="443"/>
      <c r="D247" s="443"/>
      <c r="E247" s="443"/>
      <c r="F247" s="443"/>
      <c r="G247" s="443"/>
      <c r="H247" s="443"/>
      <c r="I247" s="443"/>
      <c r="J247" s="443"/>
      <c r="K247" s="443"/>
      <c r="L247" s="443"/>
      <c r="M247" s="443"/>
      <c r="N247" s="443"/>
      <c r="O247" s="443"/>
      <c r="P247" s="443"/>
      <c r="Q247" s="443"/>
      <c r="R247" s="443"/>
      <c r="S247" s="443"/>
      <c r="T247" s="443"/>
      <c r="U247" s="443"/>
      <c r="V247" s="443"/>
      <c r="W247" s="443"/>
      <c r="X247" s="443"/>
      <c r="Y247" s="443"/>
      <c r="Z247" s="443"/>
      <c r="AA247" s="443"/>
      <c r="AB247" s="443"/>
      <c r="AC247" s="443"/>
      <c r="AD247" s="443"/>
      <c r="AE247" s="443"/>
      <c r="AF247" s="444"/>
      <c r="AG247" s="443"/>
      <c r="AH247" s="443"/>
      <c r="AI247" s="443"/>
      <c r="AJ247" s="443"/>
      <c r="AK247" s="443"/>
      <c r="AL247" s="443"/>
      <c r="AM247" s="456"/>
      <c r="AN247" s="456"/>
      <c r="AO247" s="456"/>
      <c r="AP247" s="456"/>
      <c r="AQ247" s="456"/>
      <c r="AR247" s="456"/>
      <c r="AS247" s="456"/>
      <c r="AT247" s="456"/>
      <c r="AU247" s="456"/>
      <c r="AV247" s="456"/>
      <c r="AW247" s="456"/>
      <c r="AX247" s="456"/>
      <c r="AY247" s="456"/>
      <c r="AZ247" s="456"/>
      <c r="BA247" s="456"/>
      <c r="BB247" s="456"/>
      <c r="BC247" s="456"/>
      <c r="BD247" s="456"/>
      <c r="BE247" s="456"/>
      <c r="BF247" s="456"/>
      <c r="BG247" s="456"/>
      <c r="BH247" s="456"/>
      <c r="BI247" s="456"/>
      <c r="BJ247" s="456"/>
      <c r="BK247" s="456"/>
      <c r="BL247" s="456"/>
      <c r="BM247" s="456"/>
      <c r="BN247" s="456"/>
      <c r="BO247" s="456"/>
      <c r="BP247" s="456"/>
      <c r="BQ247" s="456"/>
      <c r="BR247" s="456"/>
      <c r="BS247" s="456"/>
      <c r="BT247" s="456"/>
      <c r="BU247" s="456"/>
      <c r="BV247" s="456"/>
      <c r="BW247" s="456"/>
      <c r="BX247" s="456"/>
      <c r="BY247" s="456"/>
      <c r="BZ247" s="456"/>
      <c r="CA247" s="456"/>
      <c r="CB247" s="456"/>
      <c r="CC247" s="456"/>
      <c r="CD247" s="456"/>
      <c r="CE247" s="456"/>
      <c r="CF247" s="456"/>
      <c r="CG247" s="456"/>
      <c r="CH247" s="456"/>
      <c r="CI247" s="456"/>
      <c r="CJ247" s="456"/>
      <c r="CK247" s="456"/>
      <c r="CL247" s="456"/>
      <c r="CM247" s="456"/>
    </row>
    <row r="248" spans="1:91" ht="14.25" customHeight="1">
      <c r="A248" s="443"/>
      <c r="B248" s="443"/>
      <c r="C248" s="443"/>
      <c r="D248" s="443"/>
      <c r="E248" s="443"/>
      <c r="F248" s="443"/>
      <c r="G248" s="443"/>
      <c r="H248" s="443"/>
      <c r="I248" s="443"/>
      <c r="J248" s="443"/>
      <c r="K248" s="443"/>
      <c r="L248" s="443"/>
      <c r="M248" s="443"/>
      <c r="N248" s="443"/>
      <c r="O248" s="443"/>
      <c r="P248" s="443"/>
      <c r="Q248" s="443"/>
      <c r="R248" s="443"/>
      <c r="S248" s="443"/>
      <c r="T248" s="443"/>
      <c r="U248" s="443"/>
      <c r="V248" s="443"/>
      <c r="W248" s="443"/>
      <c r="X248" s="443"/>
      <c r="Y248" s="443"/>
      <c r="Z248" s="443"/>
      <c r="AA248" s="443"/>
      <c r="AB248" s="443"/>
      <c r="AC248" s="443"/>
      <c r="AD248" s="443"/>
      <c r="AE248" s="443"/>
      <c r="AF248" s="444"/>
      <c r="AG248" s="443"/>
      <c r="AH248" s="443"/>
      <c r="AI248" s="443"/>
      <c r="AJ248" s="443"/>
      <c r="AK248" s="443"/>
      <c r="AL248" s="443"/>
      <c r="AM248" s="456"/>
      <c r="AN248" s="456"/>
      <c r="AO248" s="456"/>
      <c r="AP248" s="456"/>
      <c r="AQ248" s="456"/>
      <c r="AR248" s="456"/>
      <c r="AS248" s="456"/>
      <c r="AT248" s="456"/>
      <c r="AU248" s="456"/>
      <c r="AV248" s="456"/>
      <c r="AW248" s="456"/>
      <c r="AX248" s="456"/>
      <c r="AY248" s="456"/>
      <c r="AZ248" s="456"/>
      <c r="BA248" s="456"/>
      <c r="BB248" s="456"/>
      <c r="BC248" s="456"/>
      <c r="BD248" s="456"/>
      <c r="BE248" s="456"/>
      <c r="BF248" s="456"/>
      <c r="BG248" s="456"/>
      <c r="BH248" s="456"/>
      <c r="BI248" s="456"/>
      <c r="BJ248" s="456"/>
      <c r="BK248" s="456"/>
      <c r="BL248" s="456"/>
      <c r="BM248" s="456"/>
      <c r="BN248" s="456"/>
      <c r="BO248" s="456"/>
      <c r="BP248" s="456"/>
      <c r="BQ248" s="456"/>
      <c r="BR248" s="456"/>
      <c r="BS248" s="456"/>
      <c r="BT248" s="456"/>
      <c r="BU248" s="456"/>
      <c r="BV248" s="456"/>
      <c r="BW248" s="456"/>
      <c r="BX248" s="456"/>
      <c r="BY248" s="456"/>
      <c r="BZ248" s="456"/>
      <c r="CA248" s="456"/>
      <c r="CB248" s="456"/>
      <c r="CC248" s="456"/>
      <c r="CD248" s="456"/>
      <c r="CE248" s="456"/>
      <c r="CF248" s="456"/>
      <c r="CG248" s="456"/>
      <c r="CH248" s="456"/>
      <c r="CI248" s="456"/>
      <c r="CJ248" s="456"/>
      <c r="CK248" s="456"/>
      <c r="CL248" s="456"/>
      <c r="CM248" s="456"/>
    </row>
    <row r="249" spans="1:91" ht="14.25" customHeight="1">
      <c r="A249" s="443"/>
      <c r="B249" s="443"/>
      <c r="C249" s="443"/>
      <c r="D249" s="443"/>
      <c r="E249" s="443"/>
      <c r="F249" s="443"/>
      <c r="G249" s="443"/>
      <c r="H249" s="443"/>
      <c r="I249" s="443"/>
      <c r="J249" s="443"/>
      <c r="K249" s="443"/>
      <c r="L249" s="443"/>
      <c r="M249" s="443"/>
      <c r="N249" s="443"/>
      <c r="O249" s="443"/>
      <c r="P249" s="443"/>
      <c r="Q249" s="443"/>
      <c r="R249" s="443"/>
      <c r="S249" s="443"/>
      <c r="T249" s="443"/>
      <c r="U249" s="443"/>
      <c r="V249" s="443"/>
      <c r="W249" s="443"/>
      <c r="X249" s="443"/>
      <c r="Y249" s="443"/>
      <c r="Z249" s="443"/>
      <c r="AA249" s="443"/>
      <c r="AB249" s="443"/>
      <c r="AC249" s="443"/>
      <c r="AD249" s="443"/>
      <c r="AE249" s="443"/>
      <c r="AF249" s="444"/>
      <c r="AG249" s="443"/>
      <c r="AH249" s="443"/>
      <c r="AI249" s="443"/>
      <c r="AJ249" s="443"/>
      <c r="AK249" s="443"/>
      <c r="AL249" s="443"/>
      <c r="AM249" s="456"/>
      <c r="AN249" s="456"/>
      <c r="AO249" s="456"/>
      <c r="AP249" s="456"/>
      <c r="AQ249" s="456"/>
      <c r="AR249" s="456"/>
      <c r="AS249" s="456"/>
      <c r="AT249" s="456"/>
      <c r="AU249" s="456"/>
      <c r="AV249" s="456"/>
      <c r="AW249" s="456"/>
      <c r="AX249" s="456"/>
      <c r="AY249" s="456"/>
      <c r="AZ249" s="456"/>
      <c r="BA249" s="456"/>
      <c r="BB249" s="456"/>
      <c r="BC249" s="456"/>
      <c r="BD249" s="456"/>
      <c r="BE249" s="456"/>
      <c r="BF249" s="456"/>
      <c r="BG249" s="456"/>
      <c r="BH249" s="456"/>
      <c r="BI249" s="456"/>
      <c r="BJ249" s="456"/>
      <c r="BK249" s="456"/>
      <c r="BL249" s="456"/>
      <c r="BM249" s="456"/>
      <c r="BN249" s="456"/>
      <c r="BO249" s="456"/>
      <c r="BP249" s="456"/>
      <c r="BQ249" s="456"/>
      <c r="BR249" s="456"/>
      <c r="BS249" s="456"/>
      <c r="BT249" s="456"/>
      <c r="BU249" s="456"/>
      <c r="BV249" s="456"/>
      <c r="BW249" s="456"/>
      <c r="BX249" s="456"/>
      <c r="BY249" s="456"/>
      <c r="BZ249" s="456"/>
      <c r="CA249" s="456"/>
      <c r="CB249" s="456"/>
      <c r="CC249" s="456"/>
      <c r="CD249" s="456"/>
      <c r="CE249" s="456"/>
      <c r="CF249" s="456"/>
      <c r="CG249" s="456"/>
      <c r="CH249" s="456"/>
      <c r="CI249" s="456"/>
      <c r="CJ249" s="456"/>
      <c r="CK249" s="456"/>
      <c r="CL249" s="456"/>
      <c r="CM249" s="456"/>
    </row>
    <row r="250" spans="1:91" ht="14.25" customHeight="1">
      <c r="A250" s="443"/>
      <c r="B250" s="443"/>
      <c r="C250" s="443"/>
      <c r="D250" s="443"/>
      <c r="E250" s="443"/>
      <c r="F250" s="443"/>
      <c r="G250" s="443"/>
      <c r="H250" s="443"/>
      <c r="I250" s="443"/>
      <c r="J250" s="443"/>
      <c r="K250" s="443"/>
      <c r="L250" s="443"/>
      <c r="M250" s="443"/>
      <c r="N250" s="443"/>
      <c r="O250" s="443"/>
      <c r="P250" s="443"/>
      <c r="Q250" s="443"/>
      <c r="R250" s="443"/>
      <c r="S250" s="443"/>
      <c r="T250" s="443"/>
      <c r="U250" s="443"/>
      <c r="V250" s="443"/>
      <c r="W250" s="443"/>
      <c r="X250" s="443"/>
      <c r="Y250" s="443"/>
      <c r="Z250" s="443"/>
      <c r="AA250" s="443"/>
      <c r="AB250" s="443"/>
      <c r="AC250" s="443"/>
      <c r="AD250" s="443"/>
      <c r="AE250" s="443"/>
      <c r="AF250" s="444"/>
      <c r="AG250" s="443"/>
      <c r="AH250" s="443"/>
      <c r="AI250" s="443"/>
      <c r="AJ250" s="443"/>
      <c r="AK250" s="443"/>
      <c r="AL250" s="443"/>
      <c r="AM250" s="456"/>
      <c r="AN250" s="456"/>
      <c r="AO250" s="456"/>
      <c r="AP250" s="456"/>
      <c r="AQ250" s="456"/>
      <c r="AR250" s="456"/>
      <c r="AS250" s="456"/>
      <c r="AT250" s="456"/>
      <c r="AU250" s="456"/>
      <c r="AV250" s="456"/>
      <c r="AW250" s="456"/>
      <c r="AX250" s="456"/>
      <c r="AY250" s="456"/>
      <c r="AZ250" s="456"/>
      <c r="BA250" s="456"/>
      <c r="BB250" s="456"/>
      <c r="BC250" s="456"/>
      <c r="BD250" s="456"/>
      <c r="BE250" s="456"/>
      <c r="BF250" s="456"/>
      <c r="BG250" s="456"/>
      <c r="BH250" s="456"/>
      <c r="BI250" s="456"/>
      <c r="BJ250" s="456"/>
      <c r="BK250" s="456"/>
      <c r="BL250" s="456"/>
      <c r="BM250" s="456"/>
      <c r="BN250" s="456"/>
      <c r="BO250" s="456"/>
      <c r="BP250" s="456"/>
      <c r="BQ250" s="456"/>
      <c r="BR250" s="456"/>
      <c r="BS250" s="456"/>
      <c r="BT250" s="456"/>
      <c r="BU250" s="456"/>
      <c r="BV250" s="456"/>
      <c r="BW250" s="456"/>
      <c r="BX250" s="456"/>
      <c r="BY250" s="456"/>
      <c r="BZ250" s="456"/>
      <c r="CA250" s="456"/>
      <c r="CB250" s="456"/>
      <c r="CC250" s="456"/>
      <c r="CD250" s="456"/>
      <c r="CE250" s="456"/>
      <c r="CF250" s="456"/>
      <c r="CG250" s="456"/>
      <c r="CH250" s="456"/>
      <c r="CI250" s="456"/>
      <c r="CJ250" s="456"/>
      <c r="CK250" s="456"/>
      <c r="CL250" s="456"/>
      <c r="CM250" s="456"/>
    </row>
    <row r="251" spans="1:91" ht="14.25" customHeight="1">
      <c r="A251" s="443"/>
      <c r="B251" s="443"/>
      <c r="C251" s="443"/>
      <c r="D251" s="443"/>
      <c r="E251" s="443"/>
      <c r="F251" s="443"/>
      <c r="G251" s="443"/>
      <c r="H251" s="443"/>
      <c r="I251" s="443"/>
      <c r="J251" s="443"/>
      <c r="K251" s="443"/>
      <c r="L251" s="443"/>
      <c r="M251" s="443"/>
      <c r="N251" s="443"/>
      <c r="O251" s="443"/>
      <c r="P251" s="443"/>
      <c r="Q251" s="443"/>
      <c r="R251" s="443"/>
      <c r="S251" s="443"/>
      <c r="T251" s="443"/>
      <c r="U251" s="443"/>
      <c r="V251" s="443"/>
      <c r="W251" s="443"/>
      <c r="X251" s="443"/>
      <c r="Y251" s="443"/>
      <c r="Z251" s="443"/>
      <c r="AA251" s="443"/>
      <c r="AB251" s="443"/>
      <c r="AC251" s="443"/>
      <c r="AD251" s="443"/>
      <c r="AE251" s="443"/>
      <c r="AF251" s="444"/>
      <c r="AG251" s="443"/>
      <c r="AH251" s="443"/>
      <c r="AI251" s="443"/>
      <c r="AJ251" s="443"/>
      <c r="AK251" s="443"/>
      <c r="AL251" s="443"/>
      <c r="AM251" s="456"/>
      <c r="AN251" s="456"/>
      <c r="AO251" s="456"/>
      <c r="AP251" s="456"/>
      <c r="AQ251" s="456"/>
      <c r="AR251" s="456"/>
      <c r="AS251" s="456"/>
      <c r="AT251" s="456"/>
      <c r="AU251" s="456"/>
      <c r="AV251" s="456"/>
      <c r="AW251" s="456"/>
      <c r="AX251" s="456"/>
      <c r="AY251" s="456"/>
      <c r="AZ251" s="456"/>
      <c r="BA251" s="456"/>
      <c r="BB251" s="456"/>
      <c r="BC251" s="456"/>
      <c r="BD251" s="456"/>
      <c r="BE251" s="456"/>
      <c r="BF251" s="456"/>
      <c r="BG251" s="456"/>
      <c r="BH251" s="456"/>
      <c r="BI251" s="456"/>
      <c r="BJ251" s="456"/>
      <c r="BK251" s="456"/>
      <c r="BL251" s="456"/>
      <c r="BM251" s="456"/>
      <c r="BN251" s="456"/>
      <c r="BO251" s="456"/>
      <c r="BP251" s="456"/>
      <c r="BQ251" s="456"/>
      <c r="BR251" s="456"/>
      <c r="BS251" s="456"/>
      <c r="BT251" s="456"/>
      <c r="BU251" s="456"/>
      <c r="BV251" s="456"/>
      <c r="BW251" s="456"/>
      <c r="BX251" s="456"/>
      <c r="BY251" s="456"/>
      <c r="BZ251" s="456"/>
      <c r="CA251" s="456"/>
      <c r="CB251" s="456"/>
      <c r="CC251" s="456"/>
      <c r="CD251" s="456"/>
      <c r="CE251" s="456"/>
      <c r="CF251" s="456"/>
      <c r="CG251" s="456"/>
      <c r="CH251" s="456"/>
      <c r="CI251" s="456"/>
      <c r="CJ251" s="456"/>
      <c r="CK251" s="456"/>
      <c r="CL251" s="456"/>
      <c r="CM251" s="456"/>
    </row>
    <row r="252" spans="1:91" ht="14.25" customHeight="1">
      <c r="A252" s="443"/>
      <c r="B252" s="443"/>
      <c r="C252" s="443"/>
      <c r="D252" s="443"/>
      <c r="E252" s="443"/>
      <c r="F252" s="443"/>
      <c r="G252" s="443"/>
      <c r="H252" s="443"/>
      <c r="I252" s="443"/>
      <c r="J252" s="443"/>
      <c r="K252" s="443"/>
      <c r="L252" s="443"/>
      <c r="M252" s="443"/>
      <c r="N252" s="443"/>
      <c r="O252" s="443"/>
      <c r="P252" s="443"/>
      <c r="Q252" s="443"/>
      <c r="R252" s="443"/>
      <c r="S252" s="443"/>
      <c r="T252" s="443"/>
      <c r="U252" s="443"/>
      <c r="V252" s="443"/>
      <c r="W252" s="443"/>
      <c r="X252" s="443"/>
      <c r="Y252" s="443"/>
      <c r="Z252" s="443"/>
      <c r="AA252" s="443"/>
      <c r="AB252" s="443"/>
      <c r="AC252" s="443"/>
      <c r="AD252" s="443"/>
      <c r="AE252" s="443"/>
      <c r="AF252" s="444"/>
      <c r="AG252" s="443"/>
      <c r="AH252" s="443"/>
      <c r="AI252" s="443"/>
      <c r="AJ252" s="443"/>
      <c r="AK252" s="443"/>
      <c r="AL252" s="443"/>
      <c r="AM252" s="456"/>
      <c r="AN252" s="456"/>
      <c r="AO252" s="456"/>
      <c r="AP252" s="456"/>
      <c r="AQ252" s="456"/>
      <c r="AR252" s="456"/>
      <c r="AS252" s="456"/>
      <c r="AT252" s="456"/>
      <c r="AU252" s="456"/>
      <c r="AV252" s="456"/>
      <c r="AW252" s="456"/>
      <c r="AX252" s="456"/>
      <c r="AY252" s="456"/>
      <c r="AZ252" s="456"/>
      <c r="BA252" s="456"/>
      <c r="BB252" s="456"/>
      <c r="BC252" s="456"/>
      <c r="BD252" s="456"/>
      <c r="BE252" s="456"/>
      <c r="BF252" s="456"/>
      <c r="BG252" s="456"/>
      <c r="BH252" s="456"/>
      <c r="BI252" s="456"/>
      <c r="BJ252" s="456"/>
      <c r="BK252" s="456"/>
      <c r="BL252" s="456"/>
      <c r="BM252" s="456"/>
      <c r="BN252" s="456"/>
      <c r="BO252" s="456"/>
      <c r="BP252" s="456"/>
      <c r="BQ252" s="456"/>
      <c r="BR252" s="456"/>
      <c r="BS252" s="456"/>
      <c r="BT252" s="456"/>
      <c r="BU252" s="456"/>
      <c r="BV252" s="456"/>
      <c r="BW252" s="456"/>
      <c r="BX252" s="456"/>
      <c r="BY252" s="456"/>
      <c r="BZ252" s="456"/>
      <c r="CA252" s="456"/>
      <c r="CB252" s="456"/>
      <c r="CC252" s="456"/>
      <c r="CD252" s="456"/>
      <c r="CE252" s="456"/>
      <c r="CF252" s="456"/>
      <c r="CG252" s="456"/>
      <c r="CH252" s="456"/>
      <c r="CI252" s="456"/>
      <c r="CJ252" s="456"/>
      <c r="CK252" s="456"/>
      <c r="CL252" s="456"/>
      <c r="CM252" s="456"/>
    </row>
    <row r="253" spans="1:91" ht="14.25" customHeight="1">
      <c r="A253" s="443"/>
      <c r="B253" s="443"/>
      <c r="C253" s="443"/>
      <c r="D253" s="443"/>
      <c r="E253" s="443"/>
      <c r="F253" s="443"/>
      <c r="G253" s="443"/>
      <c r="H253" s="443"/>
      <c r="I253" s="443"/>
      <c r="J253" s="443"/>
      <c r="K253" s="443"/>
      <c r="L253" s="443"/>
      <c r="M253" s="443"/>
      <c r="N253" s="443"/>
      <c r="O253" s="443"/>
      <c r="P253" s="443"/>
      <c r="Q253" s="443"/>
      <c r="R253" s="443"/>
      <c r="S253" s="443"/>
      <c r="T253" s="443"/>
      <c r="U253" s="443"/>
      <c r="V253" s="443"/>
      <c r="W253" s="443"/>
      <c r="X253" s="443"/>
      <c r="Y253" s="443"/>
      <c r="Z253" s="443"/>
      <c r="AA253" s="443"/>
      <c r="AB253" s="443"/>
      <c r="AC253" s="443"/>
      <c r="AD253" s="443"/>
      <c r="AE253" s="443"/>
      <c r="AF253" s="444"/>
      <c r="AG253" s="443"/>
      <c r="AH253" s="443"/>
      <c r="AI253" s="443"/>
      <c r="AJ253" s="443"/>
      <c r="AK253" s="443"/>
      <c r="AL253" s="443"/>
      <c r="AM253" s="456"/>
      <c r="AN253" s="456"/>
      <c r="AO253" s="456"/>
      <c r="AP253" s="456"/>
      <c r="AQ253" s="456"/>
      <c r="AR253" s="456"/>
      <c r="AS253" s="456"/>
      <c r="AT253" s="456"/>
      <c r="AU253" s="456"/>
      <c r="AV253" s="456"/>
      <c r="AW253" s="456"/>
      <c r="AX253" s="456"/>
      <c r="AY253" s="456"/>
      <c r="AZ253" s="456"/>
      <c r="BA253" s="456"/>
      <c r="BB253" s="456"/>
      <c r="BC253" s="456"/>
      <c r="BD253" s="456"/>
      <c r="BE253" s="456"/>
      <c r="BF253" s="456"/>
      <c r="BG253" s="456"/>
      <c r="BH253" s="456"/>
      <c r="BI253" s="456"/>
      <c r="BJ253" s="456"/>
      <c r="BK253" s="456"/>
      <c r="BL253" s="456"/>
      <c r="BM253" s="456"/>
      <c r="BN253" s="456"/>
      <c r="BO253" s="456"/>
      <c r="BP253" s="456"/>
      <c r="BQ253" s="456"/>
      <c r="BR253" s="456"/>
      <c r="BS253" s="456"/>
      <c r="BT253" s="456"/>
      <c r="BU253" s="456"/>
      <c r="BV253" s="456"/>
      <c r="BW253" s="456"/>
      <c r="BX253" s="456"/>
      <c r="BY253" s="456"/>
      <c r="BZ253" s="456"/>
      <c r="CA253" s="456"/>
      <c r="CB253" s="456"/>
      <c r="CC253" s="456"/>
      <c r="CD253" s="456"/>
      <c r="CE253" s="456"/>
      <c r="CF253" s="456"/>
      <c r="CG253" s="456"/>
      <c r="CH253" s="456"/>
      <c r="CI253" s="456"/>
      <c r="CJ253" s="456"/>
      <c r="CK253" s="456"/>
      <c r="CL253" s="456"/>
      <c r="CM253" s="456"/>
    </row>
    <row r="254" spans="1:91" ht="14.25" customHeight="1">
      <c r="A254" s="443"/>
      <c r="B254" s="443"/>
      <c r="C254" s="443"/>
      <c r="D254" s="443"/>
      <c r="E254" s="443"/>
      <c r="F254" s="443"/>
      <c r="G254" s="443"/>
      <c r="H254" s="443"/>
      <c r="I254" s="443"/>
      <c r="J254" s="443"/>
      <c r="K254" s="443"/>
      <c r="L254" s="443"/>
      <c r="M254" s="443"/>
      <c r="N254" s="443"/>
      <c r="O254" s="443"/>
      <c r="P254" s="443"/>
      <c r="Q254" s="443"/>
      <c r="R254" s="443"/>
      <c r="S254" s="443"/>
      <c r="T254" s="443"/>
      <c r="U254" s="443"/>
      <c r="V254" s="443"/>
      <c r="W254" s="443"/>
      <c r="X254" s="443"/>
      <c r="Y254" s="443"/>
      <c r="Z254" s="443"/>
      <c r="AA254" s="443"/>
      <c r="AB254" s="443"/>
      <c r="AC254" s="443"/>
      <c r="AD254" s="443"/>
      <c r="AE254" s="443"/>
      <c r="AF254" s="444"/>
      <c r="AG254" s="443"/>
      <c r="AH254" s="443"/>
      <c r="AI254" s="443"/>
      <c r="AJ254" s="443"/>
      <c r="AK254" s="443"/>
      <c r="AL254" s="443"/>
      <c r="AM254" s="456"/>
      <c r="AN254" s="456"/>
      <c r="AO254" s="456"/>
      <c r="AP254" s="456"/>
      <c r="AQ254" s="456"/>
      <c r="AR254" s="456"/>
      <c r="AS254" s="456"/>
      <c r="AT254" s="456"/>
      <c r="AU254" s="456"/>
      <c r="AV254" s="456"/>
      <c r="AW254" s="456"/>
      <c r="AX254" s="456"/>
      <c r="AY254" s="456"/>
      <c r="AZ254" s="456"/>
      <c r="BA254" s="456"/>
      <c r="BB254" s="456"/>
      <c r="BC254" s="456"/>
      <c r="BD254" s="456"/>
      <c r="BE254" s="456"/>
      <c r="BF254" s="456"/>
      <c r="BG254" s="456"/>
      <c r="BH254" s="456"/>
      <c r="BI254" s="456"/>
      <c r="BJ254" s="456"/>
      <c r="BK254" s="456"/>
      <c r="BL254" s="456"/>
      <c r="BM254" s="456"/>
      <c r="BN254" s="456"/>
      <c r="BO254" s="456"/>
      <c r="BP254" s="456"/>
      <c r="BQ254" s="456"/>
      <c r="BR254" s="456"/>
      <c r="BS254" s="456"/>
      <c r="BT254" s="456"/>
      <c r="BU254" s="456"/>
      <c r="BV254" s="456"/>
      <c r="BW254" s="456"/>
      <c r="BX254" s="456"/>
      <c r="BY254" s="456"/>
      <c r="BZ254" s="456"/>
      <c r="CA254" s="456"/>
      <c r="CB254" s="456"/>
      <c r="CC254" s="456"/>
      <c r="CD254" s="456"/>
      <c r="CE254" s="456"/>
      <c r="CF254" s="456"/>
      <c r="CG254" s="456"/>
      <c r="CH254" s="456"/>
      <c r="CI254" s="456"/>
      <c r="CJ254" s="456"/>
      <c r="CK254" s="456"/>
      <c r="CL254" s="456"/>
      <c r="CM254" s="456"/>
    </row>
    <row r="255" spans="1:91" ht="14.25" customHeight="1">
      <c r="A255" s="443"/>
      <c r="B255" s="443"/>
      <c r="C255" s="443"/>
      <c r="D255" s="443"/>
      <c r="E255" s="443"/>
      <c r="F255" s="443"/>
      <c r="G255" s="443"/>
      <c r="H255" s="443"/>
      <c r="I255" s="443"/>
      <c r="J255" s="443"/>
      <c r="K255" s="443"/>
      <c r="L255" s="443"/>
      <c r="M255" s="443"/>
      <c r="N255" s="443"/>
      <c r="O255" s="443"/>
      <c r="P255" s="443"/>
      <c r="Q255" s="443"/>
      <c r="R255" s="443"/>
      <c r="S255" s="443"/>
      <c r="T255" s="443"/>
      <c r="U255" s="443"/>
      <c r="V255" s="443"/>
      <c r="W255" s="443"/>
      <c r="X255" s="443"/>
      <c r="Y255" s="443"/>
      <c r="Z255" s="443"/>
      <c r="AA255" s="443"/>
      <c r="AB255" s="443"/>
      <c r="AC255" s="443"/>
      <c r="AD255" s="443"/>
      <c r="AE255" s="443"/>
      <c r="AF255" s="444"/>
      <c r="AG255" s="443"/>
      <c r="AH255" s="443"/>
      <c r="AI255" s="443"/>
      <c r="AJ255" s="443"/>
      <c r="AK255" s="443"/>
      <c r="AL255" s="443"/>
      <c r="AM255" s="456"/>
      <c r="AN255" s="456"/>
      <c r="AO255" s="456"/>
      <c r="AP255" s="456"/>
      <c r="AQ255" s="456"/>
      <c r="AR255" s="456"/>
      <c r="AS255" s="456"/>
      <c r="AT255" s="456"/>
      <c r="AU255" s="456"/>
      <c r="AV255" s="456"/>
      <c r="AW255" s="456"/>
      <c r="AX255" s="456"/>
      <c r="AY255" s="456"/>
      <c r="AZ255" s="456"/>
      <c r="BA255" s="456"/>
      <c r="BB255" s="456"/>
      <c r="BC255" s="456"/>
      <c r="BD255" s="456"/>
      <c r="BE255" s="456"/>
      <c r="BF255" s="456"/>
      <c r="BG255" s="456"/>
      <c r="BH255" s="456"/>
      <c r="BI255" s="456"/>
      <c r="BJ255" s="456"/>
      <c r="BK255" s="456"/>
      <c r="BL255" s="456"/>
      <c r="BM255" s="456"/>
      <c r="BN255" s="456"/>
      <c r="BO255" s="456"/>
      <c r="BP255" s="456"/>
      <c r="BQ255" s="456"/>
      <c r="BR255" s="456"/>
      <c r="BS255" s="456"/>
      <c r="BT255" s="456"/>
      <c r="BU255" s="456"/>
      <c r="BV255" s="456"/>
      <c r="BW255" s="456"/>
      <c r="BX255" s="456"/>
      <c r="BY255" s="456"/>
      <c r="BZ255" s="456"/>
      <c r="CA255" s="456"/>
      <c r="CB255" s="456"/>
      <c r="CC255" s="456"/>
      <c r="CD255" s="456"/>
      <c r="CE255" s="456"/>
      <c r="CF255" s="456"/>
      <c r="CG255" s="456"/>
      <c r="CH255" s="456"/>
      <c r="CI255" s="456"/>
      <c r="CJ255" s="456"/>
      <c r="CK255" s="456"/>
      <c r="CL255" s="456"/>
      <c r="CM255" s="456"/>
    </row>
    <row r="256" spans="1:91" ht="14.25" customHeight="1">
      <c r="A256" s="443"/>
      <c r="B256" s="443"/>
      <c r="C256" s="443"/>
      <c r="D256" s="443"/>
      <c r="E256" s="443"/>
      <c r="F256" s="443"/>
      <c r="G256" s="443"/>
      <c r="H256" s="443"/>
      <c r="I256" s="443"/>
      <c r="J256" s="443"/>
      <c r="K256" s="443"/>
      <c r="L256" s="443"/>
      <c r="M256" s="443"/>
      <c r="N256" s="443"/>
      <c r="O256" s="443"/>
      <c r="P256" s="443"/>
      <c r="Q256" s="443"/>
      <c r="R256" s="443"/>
      <c r="S256" s="443"/>
      <c r="T256" s="443"/>
      <c r="U256" s="443"/>
      <c r="V256" s="443"/>
      <c r="W256" s="443"/>
      <c r="X256" s="443"/>
      <c r="Y256" s="443"/>
      <c r="Z256" s="443"/>
      <c r="AA256" s="443"/>
      <c r="AB256" s="443"/>
      <c r="AC256" s="443"/>
      <c r="AD256" s="443"/>
      <c r="AE256" s="443"/>
      <c r="AF256" s="444"/>
      <c r="AG256" s="443"/>
      <c r="AH256" s="443"/>
      <c r="AI256" s="443"/>
      <c r="AJ256" s="443"/>
      <c r="AK256" s="443"/>
      <c r="AL256" s="443"/>
      <c r="AM256" s="456"/>
      <c r="AN256" s="456"/>
      <c r="AO256" s="456"/>
      <c r="AP256" s="456"/>
      <c r="AQ256" s="456"/>
      <c r="AR256" s="456"/>
      <c r="AS256" s="456"/>
      <c r="AT256" s="456"/>
      <c r="AU256" s="456"/>
      <c r="AV256" s="456"/>
      <c r="AW256" s="456"/>
      <c r="AX256" s="456"/>
      <c r="AY256" s="456"/>
      <c r="AZ256" s="456"/>
      <c r="BA256" s="456"/>
      <c r="BB256" s="456"/>
      <c r="BC256" s="456"/>
      <c r="BD256" s="456"/>
      <c r="BE256" s="456"/>
      <c r="BF256" s="456"/>
      <c r="BG256" s="456"/>
      <c r="BH256" s="456"/>
      <c r="BI256" s="456"/>
      <c r="BJ256" s="456"/>
      <c r="BK256" s="456"/>
      <c r="BL256" s="456"/>
      <c r="BM256" s="456"/>
      <c r="BN256" s="456"/>
      <c r="BO256" s="456"/>
      <c r="BP256" s="456"/>
      <c r="BQ256" s="456"/>
      <c r="BR256" s="456"/>
      <c r="BS256" s="456"/>
      <c r="BT256" s="456"/>
      <c r="BU256" s="456"/>
      <c r="BV256" s="456"/>
      <c r="BW256" s="456"/>
      <c r="BX256" s="456"/>
      <c r="BY256" s="456"/>
      <c r="BZ256" s="456"/>
      <c r="CA256" s="456"/>
      <c r="CB256" s="456"/>
      <c r="CC256" s="456"/>
      <c r="CD256" s="456"/>
      <c r="CE256" s="456"/>
      <c r="CF256" s="456"/>
      <c r="CG256" s="456"/>
      <c r="CH256" s="456"/>
      <c r="CI256" s="456"/>
      <c r="CJ256" s="456"/>
      <c r="CK256" s="456"/>
      <c r="CL256" s="456"/>
      <c r="CM256" s="456"/>
    </row>
    <row r="257" spans="1:91" ht="14.25" customHeight="1">
      <c r="A257" s="443"/>
      <c r="B257" s="443"/>
      <c r="C257" s="443"/>
      <c r="D257" s="443"/>
      <c r="E257" s="443"/>
      <c r="F257" s="443"/>
      <c r="G257" s="443"/>
      <c r="H257" s="443"/>
      <c r="I257" s="443"/>
      <c r="J257" s="443"/>
      <c r="K257" s="443"/>
      <c r="L257" s="443"/>
      <c r="M257" s="443"/>
      <c r="N257" s="443"/>
      <c r="O257" s="443"/>
      <c r="P257" s="443"/>
      <c r="Q257" s="443"/>
      <c r="R257" s="443"/>
      <c r="S257" s="443"/>
      <c r="T257" s="443"/>
      <c r="U257" s="443"/>
      <c r="V257" s="443"/>
      <c r="W257" s="443"/>
      <c r="X257" s="443"/>
      <c r="Y257" s="443"/>
      <c r="Z257" s="443"/>
      <c r="AA257" s="443"/>
      <c r="AB257" s="443"/>
      <c r="AC257" s="443"/>
      <c r="AD257" s="443"/>
      <c r="AE257" s="443"/>
      <c r="AF257" s="444"/>
      <c r="AG257" s="443"/>
      <c r="AH257" s="443"/>
      <c r="AI257" s="443"/>
      <c r="AJ257" s="443"/>
      <c r="AK257" s="443"/>
      <c r="AL257" s="443"/>
      <c r="AM257" s="456"/>
      <c r="AN257" s="456"/>
      <c r="AO257" s="456"/>
      <c r="AP257" s="456"/>
      <c r="AQ257" s="456"/>
      <c r="AR257" s="456"/>
      <c r="AS257" s="456"/>
      <c r="AT257" s="456"/>
      <c r="AU257" s="456"/>
      <c r="AV257" s="456"/>
      <c r="AW257" s="456"/>
      <c r="AX257" s="456"/>
      <c r="AY257" s="456"/>
      <c r="AZ257" s="456"/>
      <c r="BA257" s="456"/>
      <c r="BB257" s="456"/>
      <c r="BC257" s="456"/>
      <c r="BD257" s="456"/>
      <c r="BE257" s="456"/>
      <c r="BF257" s="456"/>
      <c r="BG257" s="456"/>
      <c r="BH257" s="456"/>
      <c r="BI257" s="456"/>
      <c r="BJ257" s="456"/>
      <c r="BK257" s="456"/>
      <c r="BL257" s="456"/>
      <c r="BM257" s="456"/>
      <c r="BN257" s="456"/>
      <c r="BO257" s="456"/>
      <c r="BP257" s="456"/>
      <c r="BQ257" s="456"/>
      <c r="BR257" s="456"/>
      <c r="BS257" s="456"/>
      <c r="BT257" s="456"/>
      <c r="BU257" s="456"/>
      <c r="BV257" s="456"/>
      <c r="BW257" s="456"/>
      <c r="BX257" s="456"/>
      <c r="BY257" s="456"/>
      <c r="BZ257" s="456"/>
      <c r="CA257" s="456"/>
      <c r="CB257" s="456"/>
      <c r="CC257" s="456"/>
      <c r="CD257" s="456"/>
      <c r="CE257" s="456"/>
      <c r="CF257" s="456"/>
      <c r="CG257" s="456"/>
      <c r="CH257" s="456"/>
      <c r="CI257" s="456"/>
      <c r="CJ257" s="456"/>
      <c r="CK257" s="456"/>
      <c r="CL257" s="456"/>
      <c r="CM257" s="456"/>
    </row>
    <row r="258" spans="1:91" ht="14.25" customHeight="1">
      <c r="A258" s="443"/>
      <c r="B258" s="443"/>
      <c r="C258" s="443"/>
      <c r="D258" s="443"/>
      <c r="E258" s="443"/>
      <c r="F258" s="443"/>
      <c r="G258" s="443"/>
      <c r="H258" s="443"/>
      <c r="I258" s="443"/>
      <c r="J258" s="443"/>
      <c r="K258" s="443"/>
      <c r="L258" s="443"/>
      <c r="M258" s="443"/>
      <c r="N258" s="443"/>
      <c r="O258" s="443"/>
      <c r="P258" s="443"/>
      <c r="Q258" s="443"/>
      <c r="R258" s="443"/>
      <c r="S258" s="443"/>
      <c r="T258" s="443"/>
      <c r="U258" s="443"/>
      <c r="V258" s="443"/>
      <c r="W258" s="443"/>
      <c r="X258" s="443"/>
      <c r="Y258" s="443"/>
      <c r="Z258" s="443"/>
      <c r="AA258" s="443"/>
      <c r="AB258" s="443"/>
      <c r="AC258" s="443"/>
      <c r="AD258" s="443"/>
      <c r="AE258" s="443"/>
      <c r="AF258" s="444"/>
      <c r="AG258" s="443"/>
      <c r="AH258" s="443"/>
      <c r="AI258" s="443"/>
      <c r="AJ258" s="443"/>
      <c r="AK258" s="443"/>
      <c r="AL258" s="443"/>
      <c r="AM258" s="456"/>
      <c r="AN258" s="456"/>
      <c r="AO258" s="456"/>
      <c r="AP258" s="456"/>
      <c r="AQ258" s="456"/>
      <c r="AR258" s="456"/>
      <c r="AS258" s="456"/>
      <c r="AT258" s="456"/>
      <c r="AU258" s="456"/>
      <c r="AV258" s="456"/>
      <c r="AW258" s="456"/>
      <c r="AX258" s="456"/>
      <c r="AY258" s="456"/>
      <c r="AZ258" s="456"/>
      <c r="BA258" s="456"/>
      <c r="BB258" s="456"/>
      <c r="BC258" s="456"/>
      <c r="BD258" s="456"/>
      <c r="BE258" s="456"/>
      <c r="BF258" s="456"/>
      <c r="BG258" s="456"/>
      <c r="BH258" s="456"/>
      <c r="BI258" s="456"/>
      <c r="BJ258" s="456"/>
      <c r="BK258" s="456"/>
      <c r="BL258" s="456"/>
      <c r="BM258" s="456"/>
      <c r="BN258" s="456"/>
      <c r="BO258" s="456"/>
      <c r="BP258" s="456"/>
      <c r="BQ258" s="456"/>
      <c r="BR258" s="456"/>
      <c r="BS258" s="456"/>
      <c r="BT258" s="456"/>
      <c r="BU258" s="456"/>
      <c r="BV258" s="456"/>
      <c r="BW258" s="456"/>
      <c r="BX258" s="456"/>
      <c r="BY258" s="456"/>
      <c r="BZ258" s="456"/>
      <c r="CA258" s="456"/>
      <c r="CB258" s="456"/>
      <c r="CC258" s="456"/>
      <c r="CD258" s="456"/>
      <c r="CE258" s="456"/>
      <c r="CF258" s="456"/>
      <c r="CG258" s="456"/>
      <c r="CH258" s="456"/>
      <c r="CI258" s="456"/>
      <c r="CJ258" s="456"/>
      <c r="CK258" s="456"/>
      <c r="CL258" s="456"/>
      <c r="CM258" s="456"/>
    </row>
    <row r="259" spans="1:91" ht="14.25" customHeight="1">
      <c r="A259" s="443"/>
      <c r="B259" s="443"/>
      <c r="C259" s="443"/>
      <c r="D259" s="443"/>
      <c r="E259" s="443"/>
      <c r="F259" s="443"/>
      <c r="G259" s="443"/>
      <c r="H259" s="443"/>
      <c r="I259" s="443"/>
      <c r="J259" s="443"/>
      <c r="K259" s="443"/>
      <c r="L259" s="443"/>
      <c r="M259" s="443"/>
      <c r="N259" s="443"/>
      <c r="O259" s="443"/>
      <c r="P259" s="443"/>
      <c r="Q259" s="443"/>
      <c r="R259" s="443"/>
      <c r="S259" s="443"/>
      <c r="T259" s="443"/>
      <c r="U259" s="443"/>
      <c r="V259" s="443"/>
      <c r="W259" s="443"/>
      <c r="X259" s="443"/>
      <c r="Y259" s="443"/>
      <c r="Z259" s="443"/>
      <c r="AA259" s="443"/>
      <c r="AB259" s="443"/>
      <c r="AC259" s="443"/>
      <c r="AD259" s="443"/>
      <c r="AE259" s="443"/>
      <c r="AF259" s="444"/>
      <c r="AG259" s="443"/>
      <c r="AH259" s="443"/>
      <c r="AI259" s="443"/>
      <c r="AJ259" s="443"/>
      <c r="AK259" s="443"/>
      <c r="AL259" s="443"/>
      <c r="AM259" s="456"/>
      <c r="AN259" s="456"/>
      <c r="AO259" s="456"/>
      <c r="AP259" s="456"/>
      <c r="AQ259" s="456"/>
      <c r="AR259" s="456"/>
      <c r="AS259" s="456"/>
      <c r="AT259" s="456"/>
      <c r="AU259" s="456"/>
      <c r="AV259" s="456"/>
      <c r="AW259" s="456"/>
      <c r="AX259" s="456"/>
      <c r="AY259" s="456"/>
      <c r="AZ259" s="456"/>
      <c r="BA259" s="456"/>
      <c r="BB259" s="456"/>
      <c r="BC259" s="456"/>
      <c r="BD259" s="456"/>
      <c r="BE259" s="456"/>
      <c r="BF259" s="456"/>
      <c r="BG259" s="456"/>
      <c r="BH259" s="456"/>
      <c r="BI259" s="456"/>
      <c r="BJ259" s="456"/>
      <c r="BK259" s="456"/>
      <c r="BL259" s="456"/>
      <c r="BM259" s="456"/>
      <c r="BN259" s="456"/>
      <c r="BO259" s="456"/>
      <c r="BP259" s="456"/>
      <c r="BQ259" s="456"/>
      <c r="BR259" s="456"/>
      <c r="BS259" s="456"/>
      <c r="BT259" s="456"/>
      <c r="BU259" s="456"/>
      <c r="BV259" s="456"/>
      <c r="BW259" s="456"/>
      <c r="BX259" s="456"/>
      <c r="BY259" s="456"/>
      <c r="BZ259" s="456"/>
      <c r="CA259" s="456"/>
      <c r="CB259" s="456"/>
      <c r="CC259" s="456"/>
      <c r="CD259" s="456"/>
      <c r="CE259" s="456"/>
      <c r="CF259" s="456"/>
      <c r="CG259" s="456"/>
      <c r="CH259" s="456"/>
      <c r="CI259" s="456"/>
      <c r="CJ259" s="456"/>
      <c r="CK259" s="456"/>
      <c r="CL259" s="456"/>
      <c r="CM259" s="456"/>
    </row>
    <row r="260" spans="1:91" ht="14.25" customHeight="1">
      <c r="A260" s="443"/>
      <c r="B260" s="443"/>
      <c r="C260" s="443"/>
      <c r="D260" s="443"/>
      <c r="E260" s="443"/>
      <c r="F260" s="443"/>
      <c r="G260" s="443"/>
      <c r="H260" s="443"/>
      <c r="I260" s="443"/>
      <c r="J260" s="443"/>
      <c r="K260" s="443"/>
      <c r="L260" s="443"/>
      <c r="M260" s="443"/>
      <c r="N260" s="443"/>
      <c r="O260" s="443"/>
      <c r="P260" s="443"/>
      <c r="Q260" s="443"/>
      <c r="R260" s="443"/>
      <c r="S260" s="443"/>
      <c r="T260" s="443"/>
      <c r="U260" s="443"/>
      <c r="V260" s="443"/>
      <c r="W260" s="443"/>
      <c r="X260" s="443"/>
      <c r="Y260" s="443"/>
      <c r="Z260" s="443"/>
      <c r="AA260" s="443"/>
      <c r="AB260" s="443"/>
      <c r="AC260" s="443"/>
      <c r="AD260" s="443"/>
      <c r="AE260" s="443"/>
      <c r="AF260" s="444"/>
      <c r="AG260" s="443"/>
      <c r="AH260" s="443"/>
      <c r="AI260" s="443"/>
      <c r="AJ260" s="443"/>
      <c r="AK260" s="443"/>
      <c r="AL260" s="443"/>
      <c r="AM260" s="456"/>
      <c r="AN260" s="456"/>
      <c r="AO260" s="456"/>
      <c r="AP260" s="456"/>
      <c r="AQ260" s="456"/>
      <c r="AR260" s="456"/>
      <c r="AS260" s="456"/>
      <c r="AT260" s="456"/>
      <c r="AU260" s="456"/>
      <c r="AV260" s="456"/>
      <c r="AW260" s="456"/>
      <c r="AX260" s="456"/>
      <c r="AY260" s="456"/>
      <c r="AZ260" s="456"/>
      <c r="BA260" s="456"/>
      <c r="BB260" s="456"/>
      <c r="BC260" s="456"/>
      <c r="BD260" s="456"/>
      <c r="BE260" s="456"/>
      <c r="BF260" s="456"/>
      <c r="BG260" s="456"/>
      <c r="BH260" s="456"/>
      <c r="BI260" s="456"/>
      <c r="BJ260" s="456"/>
      <c r="BK260" s="456"/>
      <c r="BL260" s="456"/>
      <c r="BM260" s="456"/>
      <c r="BN260" s="456"/>
      <c r="BO260" s="456"/>
      <c r="BP260" s="456"/>
      <c r="BQ260" s="456"/>
      <c r="BR260" s="456"/>
      <c r="BS260" s="456"/>
      <c r="BT260" s="456"/>
      <c r="BU260" s="456"/>
      <c r="BV260" s="456"/>
      <c r="BW260" s="456"/>
      <c r="BX260" s="456"/>
      <c r="BY260" s="456"/>
      <c r="BZ260" s="456"/>
      <c r="CA260" s="456"/>
      <c r="CB260" s="456"/>
      <c r="CC260" s="456"/>
      <c r="CD260" s="456"/>
      <c r="CE260" s="456"/>
      <c r="CF260" s="456"/>
      <c r="CG260" s="456"/>
      <c r="CH260" s="456"/>
      <c r="CI260" s="456"/>
      <c r="CJ260" s="456"/>
      <c r="CK260" s="456"/>
      <c r="CL260" s="456"/>
      <c r="CM260" s="456"/>
    </row>
    <row r="261" spans="1:91" ht="14.25" customHeight="1">
      <c r="A261" s="443"/>
      <c r="B261" s="443"/>
      <c r="C261" s="443"/>
      <c r="D261" s="443"/>
      <c r="E261" s="443"/>
      <c r="F261" s="443"/>
      <c r="G261" s="443"/>
      <c r="H261" s="443"/>
      <c r="I261" s="443"/>
      <c r="J261" s="443"/>
      <c r="K261" s="443"/>
      <c r="L261" s="443"/>
      <c r="M261" s="443"/>
      <c r="N261" s="443"/>
      <c r="O261" s="443"/>
      <c r="P261" s="443"/>
      <c r="Q261" s="443"/>
      <c r="R261" s="443"/>
      <c r="S261" s="443"/>
      <c r="T261" s="443"/>
      <c r="U261" s="443"/>
      <c r="V261" s="443"/>
      <c r="W261" s="443"/>
      <c r="X261" s="443"/>
      <c r="Y261" s="443"/>
      <c r="Z261" s="443"/>
      <c r="AA261" s="443"/>
      <c r="AB261" s="443"/>
      <c r="AC261" s="443"/>
      <c r="AD261" s="443"/>
      <c r="AE261" s="443"/>
      <c r="AF261" s="444"/>
      <c r="AG261" s="443"/>
      <c r="AH261" s="443"/>
      <c r="AI261" s="443"/>
      <c r="AJ261" s="443"/>
      <c r="AK261" s="443"/>
      <c r="AL261" s="443"/>
      <c r="AM261" s="456"/>
      <c r="AN261" s="456"/>
      <c r="AO261" s="456"/>
      <c r="AP261" s="456"/>
      <c r="AQ261" s="456"/>
      <c r="AR261" s="456"/>
      <c r="AS261" s="456"/>
      <c r="AT261" s="456"/>
      <c r="AU261" s="456"/>
      <c r="AV261" s="456"/>
      <c r="AW261" s="456"/>
      <c r="AX261" s="456"/>
      <c r="AY261" s="456"/>
      <c r="AZ261" s="456"/>
      <c r="BA261" s="456"/>
      <c r="BB261" s="456"/>
      <c r="BC261" s="456"/>
      <c r="BD261" s="456"/>
      <c r="BE261" s="456"/>
      <c r="BF261" s="456"/>
      <c r="BG261" s="456"/>
      <c r="BH261" s="456"/>
      <c r="BI261" s="456"/>
      <c r="BJ261" s="456"/>
      <c r="BK261" s="456"/>
      <c r="BL261" s="456"/>
      <c r="BM261" s="456"/>
      <c r="BN261" s="456"/>
      <c r="BO261" s="456"/>
      <c r="BP261" s="456"/>
      <c r="BQ261" s="456"/>
      <c r="BR261" s="456"/>
      <c r="BS261" s="456"/>
      <c r="BT261" s="456"/>
      <c r="BU261" s="456"/>
      <c r="BV261" s="456"/>
      <c r="BW261" s="456"/>
      <c r="BX261" s="456"/>
      <c r="BY261" s="456"/>
      <c r="BZ261" s="456"/>
      <c r="CA261" s="456"/>
      <c r="CB261" s="456"/>
      <c r="CC261" s="456"/>
      <c r="CD261" s="456"/>
      <c r="CE261" s="456"/>
      <c r="CF261" s="456"/>
      <c r="CG261" s="456"/>
      <c r="CH261" s="456"/>
      <c r="CI261" s="456"/>
      <c r="CJ261" s="456"/>
      <c r="CK261" s="456"/>
      <c r="CL261" s="456"/>
      <c r="CM261" s="456"/>
    </row>
    <row r="262" spans="1:91" ht="14.25" customHeight="1">
      <c r="A262" s="443"/>
      <c r="B262" s="443"/>
      <c r="C262" s="443"/>
      <c r="D262" s="443"/>
      <c r="E262" s="443"/>
      <c r="F262" s="443"/>
      <c r="G262" s="443"/>
      <c r="H262" s="443"/>
      <c r="I262" s="443"/>
      <c r="J262" s="443"/>
      <c r="K262" s="443"/>
      <c r="L262" s="443"/>
      <c r="M262" s="443"/>
      <c r="N262" s="443"/>
      <c r="O262" s="443"/>
      <c r="P262" s="443"/>
      <c r="Q262" s="443"/>
      <c r="R262" s="443"/>
      <c r="S262" s="443"/>
      <c r="T262" s="443"/>
      <c r="U262" s="443"/>
      <c r="V262" s="443"/>
      <c r="W262" s="443"/>
      <c r="X262" s="443"/>
      <c r="Y262" s="443"/>
      <c r="Z262" s="443"/>
      <c r="AA262" s="443"/>
      <c r="AB262" s="443"/>
      <c r="AC262" s="443"/>
      <c r="AD262" s="443"/>
      <c r="AE262" s="443"/>
      <c r="AF262" s="444"/>
      <c r="AG262" s="443"/>
      <c r="AH262" s="443"/>
      <c r="AI262" s="443"/>
      <c r="AJ262" s="443"/>
      <c r="AK262" s="443"/>
      <c r="AL262" s="443"/>
      <c r="AM262" s="456"/>
      <c r="AN262" s="456"/>
      <c r="AO262" s="456"/>
      <c r="AP262" s="456"/>
      <c r="AQ262" s="456"/>
      <c r="AR262" s="456"/>
      <c r="AS262" s="456"/>
      <c r="AT262" s="456"/>
      <c r="AU262" s="456"/>
      <c r="AV262" s="456"/>
      <c r="AW262" s="456"/>
      <c r="AX262" s="456"/>
      <c r="AY262" s="456"/>
      <c r="AZ262" s="456"/>
      <c r="BA262" s="456"/>
      <c r="BB262" s="456"/>
      <c r="BC262" s="456"/>
      <c r="BD262" s="456"/>
      <c r="BE262" s="456"/>
      <c r="BF262" s="456"/>
      <c r="BG262" s="456"/>
      <c r="BH262" s="456"/>
      <c r="BI262" s="456"/>
      <c r="BJ262" s="456"/>
      <c r="BK262" s="456"/>
      <c r="BL262" s="456"/>
      <c r="BM262" s="456"/>
      <c r="BN262" s="456"/>
      <c r="BO262" s="456"/>
      <c r="BP262" s="456"/>
      <c r="BQ262" s="456"/>
      <c r="BR262" s="456"/>
      <c r="BS262" s="456"/>
      <c r="BT262" s="456"/>
      <c r="BU262" s="456"/>
      <c r="BV262" s="456"/>
      <c r="BW262" s="456"/>
      <c r="BX262" s="456"/>
      <c r="BY262" s="456"/>
      <c r="BZ262" s="456"/>
      <c r="CA262" s="456"/>
      <c r="CB262" s="456"/>
      <c r="CC262" s="456"/>
      <c r="CD262" s="456"/>
      <c r="CE262" s="456"/>
      <c r="CF262" s="456"/>
      <c r="CG262" s="456"/>
      <c r="CH262" s="456"/>
      <c r="CI262" s="456"/>
      <c r="CJ262" s="456"/>
      <c r="CK262" s="456"/>
      <c r="CL262" s="456"/>
      <c r="CM262" s="456"/>
    </row>
    <row r="263" spans="1:91" ht="14.25" customHeight="1">
      <c r="A263" s="443"/>
      <c r="B263" s="443"/>
      <c r="C263" s="443"/>
      <c r="D263" s="443"/>
      <c r="E263" s="443"/>
      <c r="F263" s="443"/>
      <c r="G263" s="443"/>
      <c r="H263" s="443"/>
      <c r="I263" s="443"/>
      <c r="J263" s="443"/>
      <c r="K263" s="443"/>
      <c r="L263" s="443"/>
      <c r="M263" s="443"/>
      <c r="N263" s="443"/>
      <c r="O263" s="443"/>
      <c r="P263" s="443"/>
      <c r="Q263" s="443"/>
      <c r="R263" s="443"/>
      <c r="S263" s="443"/>
      <c r="T263" s="443"/>
      <c r="U263" s="443"/>
      <c r="V263" s="443"/>
      <c r="W263" s="443"/>
      <c r="X263" s="443"/>
      <c r="Y263" s="443"/>
      <c r="Z263" s="443"/>
      <c r="AA263" s="443"/>
      <c r="AB263" s="443"/>
      <c r="AC263" s="443"/>
      <c r="AD263" s="443"/>
      <c r="AE263" s="443"/>
      <c r="AF263" s="444"/>
      <c r="AG263" s="443"/>
      <c r="AH263" s="443"/>
      <c r="AI263" s="443"/>
      <c r="AJ263" s="443"/>
      <c r="AK263" s="443"/>
      <c r="AL263" s="443"/>
      <c r="AM263" s="456"/>
      <c r="AN263" s="456"/>
      <c r="AO263" s="456"/>
      <c r="AP263" s="456"/>
      <c r="AQ263" s="456"/>
      <c r="AR263" s="456"/>
      <c r="AS263" s="456"/>
      <c r="AT263" s="456"/>
      <c r="AU263" s="456"/>
      <c r="AV263" s="456"/>
      <c r="AW263" s="456"/>
      <c r="AX263" s="456"/>
      <c r="AY263" s="456"/>
      <c r="AZ263" s="456"/>
      <c r="BA263" s="456"/>
      <c r="BB263" s="456"/>
      <c r="BC263" s="456"/>
      <c r="BD263" s="456"/>
      <c r="BE263" s="456"/>
      <c r="BF263" s="456"/>
      <c r="BG263" s="456"/>
      <c r="BH263" s="456"/>
      <c r="BI263" s="456"/>
      <c r="BJ263" s="456"/>
      <c r="BK263" s="456"/>
      <c r="BL263" s="456"/>
      <c r="BM263" s="456"/>
      <c r="BN263" s="456"/>
      <c r="BO263" s="456"/>
      <c r="BP263" s="456"/>
      <c r="BQ263" s="456"/>
      <c r="BR263" s="456"/>
      <c r="BS263" s="456"/>
      <c r="BT263" s="456"/>
      <c r="BU263" s="456"/>
      <c r="BV263" s="456"/>
      <c r="BW263" s="456"/>
      <c r="BX263" s="456"/>
      <c r="BY263" s="456"/>
      <c r="BZ263" s="456"/>
      <c r="CA263" s="456"/>
      <c r="CB263" s="456"/>
      <c r="CC263" s="456"/>
      <c r="CD263" s="456"/>
      <c r="CE263" s="456"/>
      <c r="CF263" s="456"/>
      <c r="CG263" s="456"/>
      <c r="CH263" s="456"/>
      <c r="CI263" s="456"/>
      <c r="CJ263" s="456"/>
      <c r="CK263" s="456"/>
      <c r="CL263" s="456"/>
      <c r="CM263" s="456"/>
    </row>
    <row r="264" spans="1:91" ht="14.25" customHeight="1">
      <c r="A264" s="443"/>
      <c r="B264" s="443"/>
      <c r="C264" s="443"/>
      <c r="D264" s="443"/>
      <c r="E264" s="443"/>
      <c r="F264" s="443"/>
      <c r="G264" s="443"/>
      <c r="H264" s="443"/>
      <c r="I264" s="443"/>
      <c r="J264" s="443"/>
      <c r="K264" s="443"/>
      <c r="L264" s="443"/>
      <c r="M264" s="443"/>
      <c r="N264" s="443"/>
      <c r="O264" s="443"/>
      <c r="P264" s="443"/>
      <c r="Q264" s="443"/>
      <c r="R264" s="443"/>
      <c r="S264" s="443"/>
      <c r="T264" s="443"/>
      <c r="U264" s="443"/>
      <c r="V264" s="443"/>
      <c r="W264" s="443"/>
      <c r="X264" s="443"/>
      <c r="Y264" s="443"/>
      <c r="Z264" s="443"/>
      <c r="AA264" s="443"/>
      <c r="AB264" s="443"/>
      <c r="AC264" s="443"/>
      <c r="AD264" s="443"/>
      <c r="AE264" s="443"/>
      <c r="AF264" s="444"/>
      <c r="AG264" s="443"/>
      <c r="AH264" s="443"/>
      <c r="AI264" s="443"/>
      <c r="AJ264" s="443"/>
      <c r="AK264" s="443"/>
      <c r="AL264" s="443"/>
      <c r="AM264" s="456"/>
      <c r="AN264" s="456"/>
      <c r="AO264" s="456"/>
      <c r="AP264" s="456"/>
      <c r="AQ264" s="456"/>
      <c r="AR264" s="456"/>
      <c r="AS264" s="456"/>
      <c r="AT264" s="456"/>
      <c r="AU264" s="456"/>
      <c r="AV264" s="456"/>
      <c r="AW264" s="456"/>
      <c r="AX264" s="456"/>
      <c r="AY264" s="456"/>
      <c r="AZ264" s="456"/>
      <c r="BA264" s="456"/>
      <c r="BB264" s="456"/>
      <c r="BC264" s="456"/>
      <c r="BD264" s="456"/>
      <c r="BE264" s="456"/>
      <c r="BF264" s="456"/>
      <c r="BG264" s="456"/>
      <c r="BH264" s="456"/>
      <c r="BI264" s="456"/>
      <c r="BJ264" s="456"/>
      <c r="BK264" s="456"/>
      <c r="BL264" s="456"/>
      <c r="BM264" s="456"/>
      <c r="BN264" s="456"/>
      <c r="BO264" s="456"/>
      <c r="BP264" s="456"/>
      <c r="BQ264" s="456"/>
      <c r="BR264" s="456"/>
      <c r="BS264" s="456"/>
      <c r="BT264" s="456"/>
      <c r="BU264" s="456"/>
      <c r="BV264" s="456"/>
      <c r="BW264" s="456"/>
      <c r="BX264" s="456"/>
      <c r="BY264" s="456"/>
      <c r="BZ264" s="456"/>
      <c r="CA264" s="456"/>
      <c r="CB264" s="456"/>
      <c r="CC264" s="456"/>
      <c r="CD264" s="456"/>
      <c r="CE264" s="456"/>
      <c r="CF264" s="456"/>
      <c r="CG264" s="456"/>
      <c r="CH264" s="456"/>
      <c r="CI264" s="456"/>
      <c r="CJ264" s="456"/>
      <c r="CK264" s="456"/>
      <c r="CL264" s="456"/>
      <c r="CM264" s="456"/>
    </row>
    <row r="265" spans="1:91" ht="14.25" customHeight="1">
      <c r="A265" s="443"/>
      <c r="B265" s="443"/>
      <c r="C265" s="443"/>
      <c r="D265" s="443"/>
      <c r="E265" s="443"/>
      <c r="F265" s="443"/>
      <c r="G265" s="443"/>
      <c r="H265" s="443"/>
      <c r="I265" s="443"/>
      <c r="J265" s="443"/>
      <c r="K265" s="443"/>
      <c r="L265" s="443"/>
      <c r="M265" s="443"/>
      <c r="N265" s="443"/>
      <c r="O265" s="443"/>
      <c r="P265" s="443"/>
      <c r="Q265" s="443"/>
      <c r="R265" s="443"/>
      <c r="S265" s="443"/>
      <c r="T265" s="443"/>
      <c r="U265" s="443"/>
      <c r="V265" s="443"/>
      <c r="W265" s="443"/>
      <c r="X265" s="443"/>
      <c r="Y265" s="443"/>
      <c r="Z265" s="443"/>
      <c r="AA265" s="443"/>
      <c r="AB265" s="443"/>
      <c r="AC265" s="443"/>
      <c r="AD265" s="443"/>
      <c r="AE265" s="443"/>
      <c r="AF265" s="444"/>
      <c r="AG265" s="443"/>
      <c r="AH265" s="443"/>
      <c r="AI265" s="443"/>
      <c r="AJ265" s="443"/>
      <c r="AK265" s="443"/>
      <c r="AL265" s="443"/>
      <c r="AM265" s="456"/>
      <c r="AN265" s="456"/>
      <c r="AO265" s="456"/>
      <c r="AP265" s="456"/>
      <c r="AQ265" s="456"/>
      <c r="AR265" s="456"/>
      <c r="AS265" s="456"/>
      <c r="AT265" s="456"/>
      <c r="AU265" s="456"/>
      <c r="AV265" s="456"/>
      <c r="AW265" s="456"/>
      <c r="AX265" s="456"/>
      <c r="AY265" s="456"/>
      <c r="AZ265" s="456"/>
      <c r="BA265" s="456"/>
      <c r="BB265" s="456"/>
      <c r="BC265" s="456"/>
      <c r="BD265" s="456"/>
      <c r="BE265" s="456"/>
      <c r="BF265" s="456"/>
      <c r="BG265" s="456"/>
      <c r="BH265" s="456"/>
      <c r="BI265" s="456"/>
      <c r="BJ265" s="456"/>
      <c r="BK265" s="456"/>
      <c r="BL265" s="456"/>
      <c r="BM265" s="456"/>
      <c r="BN265" s="456"/>
      <c r="BO265" s="456"/>
      <c r="BP265" s="456"/>
      <c r="BQ265" s="456"/>
      <c r="BR265" s="456"/>
      <c r="BS265" s="456"/>
      <c r="BT265" s="456"/>
      <c r="BU265" s="456"/>
      <c r="BV265" s="456"/>
      <c r="BW265" s="456"/>
      <c r="BX265" s="456"/>
      <c r="BY265" s="456"/>
      <c r="BZ265" s="456"/>
      <c r="CA265" s="456"/>
      <c r="CB265" s="456"/>
      <c r="CC265" s="456"/>
      <c r="CD265" s="456"/>
      <c r="CE265" s="456"/>
      <c r="CF265" s="456"/>
      <c r="CG265" s="456"/>
      <c r="CH265" s="456"/>
      <c r="CI265" s="456"/>
      <c r="CJ265" s="456"/>
      <c r="CK265" s="456"/>
      <c r="CL265" s="456"/>
      <c r="CM265" s="456"/>
    </row>
    <row r="266" spans="1:91" ht="14.25" customHeight="1">
      <c r="A266" s="443"/>
      <c r="B266" s="443"/>
      <c r="C266" s="443"/>
      <c r="D266" s="443"/>
      <c r="E266" s="443"/>
      <c r="F266" s="443"/>
      <c r="G266" s="443"/>
      <c r="H266" s="443"/>
      <c r="I266" s="443"/>
      <c r="J266" s="443"/>
      <c r="K266" s="443"/>
      <c r="L266" s="443"/>
      <c r="M266" s="443"/>
      <c r="N266" s="443"/>
      <c r="O266" s="443"/>
      <c r="P266" s="443"/>
      <c r="Q266" s="443"/>
      <c r="R266" s="443"/>
      <c r="S266" s="443"/>
      <c r="T266" s="443"/>
      <c r="U266" s="443"/>
      <c r="V266" s="443"/>
      <c r="W266" s="443"/>
      <c r="X266" s="443"/>
      <c r="Y266" s="443"/>
      <c r="Z266" s="443"/>
      <c r="AA266" s="443"/>
      <c r="AB266" s="443"/>
      <c r="AC266" s="443"/>
      <c r="AD266" s="443"/>
      <c r="AE266" s="443"/>
      <c r="AF266" s="444"/>
      <c r="AG266" s="443"/>
      <c r="AH266" s="443"/>
      <c r="AI266" s="443"/>
      <c r="AJ266" s="443"/>
      <c r="AK266" s="443"/>
      <c r="AL266" s="443"/>
      <c r="AM266" s="456"/>
      <c r="AN266" s="456"/>
      <c r="AO266" s="456"/>
      <c r="AP266" s="456"/>
      <c r="AQ266" s="456"/>
      <c r="AR266" s="456"/>
      <c r="AS266" s="456"/>
      <c r="AT266" s="456"/>
      <c r="AU266" s="456"/>
      <c r="AV266" s="456"/>
      <c r="AW266" s="456"/>
      <c r="AX266" s="456"/>
      <c r="AY266" s="456"/>
      <c r="AZ266" s="456"/>
      <c r="BA266" s="456"/>
      <c r="BB266" s="456"/>
      <c r="BC266" s="456"/>
      <c r="BD266" s="456"/>
      <c r="BE266" s="456"/>
      <c r="BF266" s="456"/>
      <c r="BG266" s="456"/>
      <c r="BH266" s="456"/>
      <c r="BI266" s="456"/>
      <c r="BJ266" s="456"/>
      <c r="BK266" s="456"/>
      <c r="BL266" s="456"/>
      <c r="BM266" s="456"/>
      <c r="BN266" s="456"/>
      <c r="BO266" s="456"/>
      <c r="BP266" s="456"/>
      <c r="BQ266" s="456"/>
      <c r="BR266" s="456"/>
      <c r="BS266" s="456"/>
      <c r="BT266" s="456"/>
      <c r="BU266" s="456"/>
      <c r="BV266" s="456"/>
      <c r="BW266" s="456"/>
      <c r="BX266" s="456"/>
      <c r="BY266" s="456"/>
      <c r="BZ266" s="456"/>
      <c r="CA266" s="456"/>
      <c r="CB266" s="456"/>
      <c r="CC266" s="456"/>
      <c r="CD266" s="456"/>
      <c r="CE266" s="456"/>
      <c r="CF266" s="456"/>
      <c r="CG266" s="456"/>
      <c r="CH266" s="456"/>
      <c r="CI266" s="456"/>
      <c r="CJ266" s="456"/>
      <c r="CK266" s="456"/>
      <c r="CL266" s="456"/>
      <c r="CM266" s="456"/>
    </row>
    <row r="267" spans="1:91" ht="14.25" customHeight="1">
      <c r="A267" s="443"/>
      <c r="B267" s="443"/>
      <c r="C267" s="443"/>
      <c r="D267" s="443"/>
      <c r="E267" s="443"/>
      <c r="F267" s="443"/>
      <c r="G267" s="443"/>
      <c r="H267" s="443"/>
      <c r="I267" s="443"/>
      <c r="J267" s="443"/>
      <c r="K267" s="443"/>
      <c r="L267" s="443"/>
      <c r="M267" s="443"/>
      <c r="N267" s="443"/>
      <c r="O267" s="443"/>
      <c r="P267" s="443"/>
      <c r="Q267" s="443"/>
      <c r="R267" s="443"/>
      <c r="S267" s="443"/>
      <c r="T267" s="443"/>
      <c r="U267" s="443"/>
      <c r="V267" s="443"/>
      <c r="W267" s="443"/>
      <c r="X267" s="443"/>
      <c r="Y267" s="443"/>
      <c r="Z267" s="443"/>
      <c r="AA267" s="443"/>
      <c r="AB267" s="443"/>
      <c r="AC267" s="443"/>
      <c r="AD267" s="443"/>
      <c r="AE267" s="443"/>
      <c r="AF267" s="444"/>
      <c r="AG267" s="443"/>
      <c r="AH267" s="443"/>
      <c r="AI267" s="443"/>
      <c r="AJ267" s="443"/>
      <c r="AK267" s="443"/>
      <c r="AL267" s="443"/>
      <c r="AM267" s="456"/>
      <c r="AN267" s="456"/>
      <c r="AO267" s="456"/>
      <c r="AP267" s="456"/>
      <c r="AQ267" s="456"/>
      <c r="AR267" s="456"/>
      <c r="AS267" s="456"/>
      <c r="AT267" s="456"/>
      <c r="AU267" s="456"/>
      <c r="AV267" s="456"/>
      <c r="AW267" s="456"/>
      <c r="AX267" s="456"/>
      <c r="AY267" s="456"/>
      <c r="AZ267" s="456"/>
      <c r="BA267" s="456"/>
      <c r="BB267" s="456"/>
      <c r="BC267" s="456"/>
      <c r="BD267" s="456"/>
      <c r="BE267" s="456"/>
      <c r="BF267" s="456"/>
      <c r="BG267" s="456"/>
      <c r="BH267" s="456"/>
      <c r="BI267" s="456"/>
      <c r="BJ267" s="456"/>
      <c r="BK267" s="456"/>
      <c r="BL267" s="456"/>
      <c r="BM267" s="456"/>
      <c r="BN267" s="456"/>
      <c r="BO267" s="456"/>
      <c r="BP267" s="456"/>
      <c r="BQ267" s="456"/>
      <c r="BR267" s="456"/>
      <c r="BS267" s="456"/>
      <c r="BT267" s="456"/>
      <c r="BU267" s="456"/>
      <c r="BV267" s="456"/>
      <c r="BW267" s="456"/>
      <c r="BX267" s="456"/>
      <c r="BY267" s="456"/>
      <c r="BZ267" s="456"/>
      <c r="CA267" s="456"/>
      <c r="CB267" s="456"/>
      <c r="CC267" s="456"/>
      <c r="CD267" s="456"/>
      <c r="CE267" s="456"/>
      <c r="CF267" s="456"/>
      <c r="CG267" s="456"/>
      <c r="CH267" s="456"/>
      <c r="CI267" s="456"/>
      <c r="CJ267" s="456"/>
      <c r="CK267" s="456"/>
      <c r="CL267" s="456"/>
      <c r="CM267" s="456"/>
    </row>
    <row r="268" spans="1:91" ht="14.25" customHeight="1">
      <c r="A268" s="443"/>
      <c r="B268" s="443"/>
      <c r="C268" s="443"/>
      <c r="D268" s="443"/>
      <c r="E268" s="443"/>
      <c r="F268" s="443"/>
      <c r="G268" s="443"/>
      <c r="H268" s="443"/>
      <c r="I268" s="443"/>
      <c r="J268" s="443"/>
      <c r="K268" s="443"/>
      <c r="L268" s="443"/>
      <c r="M268" s="443"/>
      <c r="N268" s="443"/>
      <c r="O268" s="443"/>
      <c r="P268" s="443"/>
      <c r="Q268" s="443"/>
      <c r="R268" s="443"/>
      <c r="S268" s="443"/>
      <c r="T268" s="443"/>
      <c r="U268" s="443"/>
      <c r="V268" s="443"/>
      <c r="W268" s="443"/>
      <c r="X268" s="443"/>
      <c r="Y268" s="443"/>
      <c r="Z268" s="443"/>
      <c r="AA268" s="443"/>
      <c r="AB268" s="443"/>
      <c r="AC268" s="443"/>
      <c r="AD268" s="443"/>
      <c r="AE268" s="443"/>
      <c r="AF268" s="444"/>
      <c r="AG268" s="443"/>
      <c r="AH268" s="443"/>
      <c r="AI268" s="443"/>
      <c r="AJ268" s="443"/>
      <c r="AK268" s="443"/>
      <c r="AL268" s="443"/>
      <c r="AM268" s="456"/>
      <c r="AN268" s="456"/>
      <c r="AO268" s="456"/>
      <c r="AP268" s="456"/>
      <c r="AQ268" s="456"/>
      <c r="AR268" s="456"/>
      <c r="AS268" s="456"/>
      <c r="AT268" s="456"/>
      <c r="AU268" s="456"/>
      <c r="AV268" s="456"/>
      <c r="AW268" s="456"/>
      <c r="AX268" s="456"/>
      <c r="AY268" s="456"/>
      <c r="AZ268" s="456"/>
      <c r="BA268" s="456"/>
      <c r="BB268" s="456"/>
      <c r="BC268" s="456"/>
      <c r="BD268" s="456"/>
      <c r="BE268" s="456"/>
      <c r="BF268" s="456"/>
      <c r="BG268" s="456"/>
      <c r="BH268" s="456"/>
      <c r="BI268" s="456"/>
      <c r="BJ268" s="456"/>
      <c r="BK268" s="456"/>
      <c r="BL268" s="456"/>
      <c r="BM268" s="456"/>
      <c r="BN268" s="456"/>
      <c r="BO268" s="456"/>
      <c r="BP268" s="456"/>
      <c r="BQ268" s="456"/>
      <c r="BR268" s="456"/>
      <c r="BS268" s="456"/>
      <c r="BT268" s="456"/>
      <c r="BU268" s="456"/>
      <c r="BV268" s="456"/>
      <c r="BW268" s="456"/>
      <c r="BX268" s="456"/>
      <c r="BY268" s="456"/>
      <c r="BZ268" s="456"/>
      <c r="CA268" s="456"/>
      <c r="CB268" s="456"/>
      <c r="CC268" s="456"/>
      <c r="CD268" s="456"/>
      <c r="CE268" s="456"/>
      <c r="CF268" s="456"/>
      <c r="CG268" s="456"/>
      <c r="CH268" s="456"/>
      <c r="CI268" s="456"/>
      <c r="CJ268" s="456"/>
      <c r="CK268" s="456"/>
      <c r="CL268" s="456"/>
      <c r="CM268" s="456"/>
    </row>
    <row r="269" spans="1:91" ht="14.25" customHeight="1">
      <c r="A269" s="443"/>
      <c r="B269" s="443"/>
      <c r="C269" s="443"/>
      <c r="D269" s="443"/>
      <c r="E269" s="443"/>
      <c r="F269" s="443"/>
      <c r="G269" s="443"/>
      <c r="H269" s="443"/>
      <c r="I269" s="443"/>
      <c r="J269" s="443"/>
      <c r="K269" s="443"/>
      <c r="L269" s="443"/>
      <c r="M269" s="443"/>
      <c r="N269" s="443"/>
      <c r="O269" s="443"/>
      <c r="P269" s="443"/>
      <c r="Q269" s="443"/>
      <c r="R269" s="443"/>
      <c r="S269" s="443"/>
      <c r="T269" s="443"/>
      <c r="U269" s="443"/>
      <c r="V269" s="443"/>
      <c r="W269" s="443"/>
      <c r="X269" s="443"/>
      <c r="Y269" s="443"/>
      <c r="Z269" s="443"/>
      <c r="AA269" s="443"/>
      <c r="AB269" s="443"/>
      <c r="AC269" s="443"/>
      <c r="AD269" s="443"/>
      <c r="AE269" s="443"/>
      <c r="AF269" s="444"/>
      <c r="AG269" s="443"/>
      <c r="AH269" s="443"/>
      <c r="AI269" s="443"/>
      <c r="AJ269" s="443"/>
      <c r="AK269" s="443"/>
      <c r="AL269" s="443"/>
      <c r="AM269" s="456"/>
      <c r="AN269" s="456"/>
      <c r="AO269" s="456"/>
      <c r="AP269" s="456"/>
      <c r="AQ269" s="456"/>
      <c r="AR269" s="456"/>
      <c r="AS269" s="456"/>
      <c r="AT269" s="456"/>
      <c r="AU269" s="456"/>
      <c r="AV269" s="456"/>
      <c r="AW269" s="456"/>
      <c r="AX269" s="456"/>
      <c r="AY269" s="456"/>
      <c r="AZ269" s="456"/>
      <c r="BA269" s="456"/>
      <c r="BB269" s="456"/>
      <c r="BC269" s="456"/>
      <c r="BD269" s="456"/>
      <c r="BE269" s="456"/>
      <c r="BF269" s="456"/>
      <c r="BG269" s="456"/>
      <c r="BH269" s="456"/>
      <c r="BI269" s="456"/>
      <c r="BJ269" s="456"/>
      <c r="BK269" s="456"/>
      <c r="BL269" s="456"/>
      <c r="BM269" s="456"/>
      <c r="BN269" s="456"/>
      <c r="BO269" s="456"/>
      <c r="BP269" s="456"/>
      <c r="BQ269" s="456"/>
      <c r="BR269" s="456"/>
      <c r="BS269" s="456"/>
      <c r="BT269" s="456"/>
      <c r="BU269" s="456"/>
      <c r="BV269" s="456"/>
      <c r="BW269" s="456"/>
      <c r="BX269" s="456"/>
      <c r="BY269" s="456"/>
      <c r="BZ269" s="456"/>
      <c r="CA269" s="456"/>
      <c r="CB269" s="456"/>
      <c r="CC269" s="456"/>
      <c r="CD269" s="456"/>
      <c r="CE269" s="456"/>
      <c r="CF269" s="456"/>
      <c r="CG269" s="456"/>
      <c r="CH269" s="456"/>
      <c r="CI269" s="456"/>
      <c r="CJ269" s="456"/>
      <c r="CK269" s="456"/>
      <c r="CL269" s="456"/>
      <c r="CM269" s="456"/>
    </row>
    <row r="270" spans="1:91" ht="14.25" customHeight="1">
      <c r="A270" s="443"/>
      <c r="B270" s="443"/>
      <c r="C270" s="443"/>
      <c r="D270" s="443"/>
      <c r="E270" s="443"/>
      <c r="F270" s="443"/>
      <c r="G270" s="443"/>
      <c r="H270" s="443"/>
      <c r="I270" s="443"/>
      <c r="J270" s="443"/>
      <c r="K270" s="443"/>
      <c r="L270" s="443"/>
      <c r="M270" s="443"/>
      <c r="N270" s="443"/>
      <c r="O270" s="443"/>
      <c r="P270" s="443"/>
      <c r="Q270" s="443"/>
      <c r="R270" s="443"/>
      <c r="S270" s="443"/>
      <c r="T270" s="443"/>
      <c r="U270" s="443"/>
      <c r="V270" s="443"/>
      <c r="W270" s="443"/>
      <c r="X270" s="443"/>
      <c r="Y270" s="443"/>
      <c r="Z270" s="443"/>
      <c r="AA270" s="443"/>
      <c r="AB270" s="443"/>
      <c r="AC270" s="443"/>
      <c r="AD270" s="443"/>
      <c r="AE270" s="443"/>
      <c r="AF270" s="444"/>
      <c r="AG270" s="443"/>
      <c r="AH270" s="443"/>
      <c r="AI270" s="443"/>
      <c r="AJ270" s="443"/>
      <c r="AK270" s="443"/>
      <c r="AL270" s="443"/>
      <c r="AM270" s="456"/>
      <c r="AN270" s="456"/>
      <c r="AO270" s="456"/>
      <c r="AP270" s="456"/>
      <c r="AQ270" s="456"/>
      <c r="AR270" s="456"/>
      <c r="AS270" s="456"/>
      <c r="AT270" s="456"/>
      <c r="AU270" s="456"/>
      <c r="AV270" s="456"/>
      <c r="AW270" s="456"/>
      <c r="AX270" s="456"/>
      <c r="AY270" s="456"/>
      <c r="AZ270" s="456"/>
      <c r="BA270" s="456"/>
      <c r="BB270" s="456"/>
      <c r="BC270" s="456"/>
      <c r="BD270" s="456"/>
      <c r="BE270" s="456"/>
      <c r="BF270" s="456"/>
      <c r="BG270" s="456"/>
      <c r="BH270" s="456"/>
      <c r="BI270" s="456"/>
      <c r="BJ270" s="456"/>
      <c r="BK270" s="456"/>
      <c r="BL270" s="456"/>
      <c r="BM270" s="456"/>
      <c r="BN270" s="456"/>
      <c r="BO270" s="456"/>
      <c r="BP270" s="456"/>
      <c r="BQ270" s="456"/>
      <c r="BR270" s="456"/>
      <c r="BS270" s="456"/>
      <c r="BT270" s="456"/>
      <c r="BU270" s="456"/>
      <c r="BV270" s="456"/>
      <c r="BW270" s="456"/>
      <c r="BX270" s="456"/>
      <c r="BY270" s="456"/>
      <c r="BZ270" s="456"/>
      <c r="CA270" s="456"/>
      <c r="CB270" s="456"/>
      <c r="CC270" s="456"/>
      <c r="CD270" s="456"/>
      <c r="CE270" s="456"/>
      <c r="CF270" s="456"/>
      <c r="CG270" s="456"/>
      <c r="CH270" s="456"/>
      <c r="CI270" s="456"/>
      <c r="CJ270" s="456"/>
      <c r="CK270" s="456"/>
      <c r="CL270" s="456"/>
      <c r="CM270" s="456"/>
    </row>
    <row r="271" spans="1:91" ht="14.25" customHeight="1">
      <c r="A271" s="443"/>
      <c r="B271" s="443"/>
      <c r="C271" s="443"/>
      <c r="D271" s="443"/>
      <c r="E271" s="443"/>
      <c r="F271" s="443"/>
      <c r="G271" s="443"/>
      <c r="H271" s="443"/>
      <c r="I271" s="443"/>
      <c r="J271" s="443"/>
      <c r="K271" s="443"/>
      <c r="L271" s="443"/>
      <c r="M271" s="443"/>
      <c r="N271" s="443"/>
      <c r="O271" s="443"/>
      <c r="P271" s="443"/>
      <c r="Q271" s="443"/>
      <c r="R271" s="443"/>
      <c r="S271" s="443"/>
      <c r="T271" s="443"/>
      <c r="U271" s="443"/>
      <c r="V271" s="443"/>
      <c r="W271" s="443"/>
      <c r="X271" s="443"/>
      <c r="Y271" s="443"/>
      <c r="Z271" s="443"/>
      <c r="AA271" s="443"/>
      <c r="AB271" s="443"/>
      <c r="AC271" s="443"/>
      <c r="AD271" s="443"/>
      <c r="AE271" s="443"/>
      <c r="AF271" s="444"/>
      <c r="AG271" s="443"/>
      <c r="AH271" s="443"/>
      <c r="AI271" s="443"/>
      <c r="AJ271" s="443"/>
      <c r="AK271" s="443"/>
      <c r="AL271" s="443"/>
      <c r="AM271" s="456"/>
      <c r="AN271" s="456"/>
      <c r="AO271" s="456"/>
      <c r="AP271" s="456"/>
      <c r="AQ271" s="456"/>
      <c r="AR271" s="456"/>
      <c r="AS271" s="456"/>
      <c r="AT271" s="456"/>
      <c r="AU271" s="456"/>
      <c r="AV271" s="456"/>
      <c r="AW271" s="456"/>
      <c r="AX271" s="456"/>
      <c r="AY271" s="456"/>
      <c r="AZ271" s="456"/>
      <c r="BA271" s="456"/>
      <c r="BB271" s="456"/>
      <c r="BC271" s="456"/>
      <c r="BD271" s="456"/>
      <c r="BE271" s="456"/>
      <c r="BF271" s="456"/>
      <c r="BG271" s="456"/>
      <c r="BH271" s="456"/>
      <c r="BI271" s="456"/>
      <c r="BJ271" s="456"/>
      <c r="BK271" s="456"/>
      <c r="BL271" s="456"/>
      <c r="BM271" s="456"/>
      <c r="BN271" s="456"/>
      <c r="BO271" s="456"/>
      <c r="BP271" s="456"/>
      <c r="BQ271" s="456"/>
      <c r="BR271" s="456"/>
      <c r="BS271" s="456"/>
      <c r="BT271" s="456"/>
      <c r="BU271" s="456"/>
      <c r="BV271" s="456"/>
      <c r="BW271" s="456"/>
      <c r="BX271" s="456"/>
      <c r="BY271" s="456"/>
      <c r="BZ271" s="456"/>
      <c r="CA271" s="456"/>
      <c r="CB271" s="456"/>
      <c r="CC271" s="456"/>
      <c r="CD271" s="456"/>
      <c r="CE271" s="456"/>
      <c r="CF271" s="456"/>
      <c r="CG271" s="456"/>
      <c r="CH271" s="456"/>
      <c r="CI271" s="456"/>
      <c r="CJ271" s="456"/>
      <c r="CK271" s="456"/>
      <c r="CL271" s="456"/>
      <c r="CM271" s="456"/>
    </row>
    <row r="272" spans="1:91" ht="14.25" customHeight="1">
      <c r="A272" s="443"/>
      <c r="B272" s="443"/>
      <c r="C272" s="443"/>
      <c r="D272" s="443"/>
      <c r="E272" s="443"/>
      <c r="F272" s="443"/>
      <c r="G272" s="443"/>
      <c r="H272" s="443"/>
      <c r="I272" s="443"/>
      <c r="J272" s="443"/>
      <c r="K272" s="443"/>
      <c r="L272" s="443"/>
      <c r="M272" s="443"/>
      <c r="N272" s="443"/>
      <c r="O272" s="443"/>
      <c r="P272" s="443"/>
      <c r="Q272" s="443"/>
      <c r="R272" s="443"/>
      <c r="S272" s="443"/>
      <c r="T272" s="443"/>
      <c r="U272" s="443"/>
      <c r="V272" s="443"/>
      <c r="W272" s="443"/>
      <c r="X272" s="443"/>
      <c r="Y272" s="443"/>
      <c r="Z272" s="443"/>
      <c r="AA272" s="443"/>
      <c r="AB272" s="443"/>
      <c r="AC272" s="443"/>
      <c r="AD272" s="443"/>
      <c r="AE272" s="443"/>
      <c r="AF272" s="444"/>
      <c r="AG272" s="443"/>
      <c r="AH272" s="443"/>
      <c r="AI272" s="443"/>
      <c r="AJ272" s="443"/>
      <c r="AK272" s="443"/>
      <c r="AL272" s="443"/>
      <c r="AM272" s="456"/>
      <c r="AN272" s="456"/>
      <c r="AO272" s="456"/>
      <c r="AP272" s="456"/>
      <c r="AQ272" s="456"/>
      <c r="AR272" s="456"/>
      <c r="AS272" s="456"/>
      <c r="AT272" s="456"/>
      <c r="AU272" s="456"/>
      <c r="AV272" s="456"/>
      <c r="AW272" s="456"/>
      <c r="AX272" s="456"/>
      <c r="AY272" s="456"/>
      <c r="AZ272" s="456"/>
      <c r="BA272" s="456"/>
      <c r="BB272" s="456"/>
      <c r="BC272" s="456"/>
      <c r="BD272" s="456"/>
      <c r="BE272" s="456"/>
      <c r="BF272" s="456"/>
      <c r="BG272" s="456"/>
      <c r="BH272" s="456"/>
      <c r="BI272" s="456"/>
      <c r="BJ272" s="456"/>
      <c r="BK272" s="456"/>
      <c r="BL272" s="456"/>
      <c r="BM272" s="456"/>
      <c r="BN272" s="456"/>
      <c r="BO272" s="456"/>
      <c r="BP272" s="456"/>
      <c r="BQ272" s="456"/>
      <c r="BR272" s="456"/>
      <c r="BS272" s="456"/>
      <c r="BT272" s="456"/>
      <c r="BU272" s="456"/>
      <c r="BV272" s="456"/>
      <c r="BW272" s="456"/>
      <c r="BX272" s="456"/>
      <c r="BY272" s="456"/>
      <c r="BZ272" s="456"/>
      <c r="CA272" s="456"/>
      <c r="CB272" s="456"/>
      <c r="CC272" s="456"/>
      <c r="CD272" s="456"/>
      <c r="CE272" s="456"/>
      <c r="CF272" s="456"/>
      <c r="CG272" s="456"/>
      <c r="CH272" s="456"/>
      <c r="CI272" s="456"/>
      <c r="CJ272" s="456"/>
      <c r="CK272" s="456"/>
      <c r="CL272" s="456"/>
      <c r="CM272" s="456"/>
    </row>
    <row r="273" spans="1:91" ht="14.25" customHeight="1">
      <c r="A273" s="443"/>
      <c r="B273" s="443"/>
      <c r="C273" s="443"/>
      <c r="D273" s="443"/>
      <c r="E273" s="443"/>
      <c r="F273" s="443"/>
      <c r="G273" s="443"/>
      <c r="H273" s="443"/>
      <c r="I273" s="443"/>
      <c r="J273" s="443"/>
      <c r="K273" s="443"/>
      <c r="L273" s="443"/>
      <c r="M273" s="443"/>
      <c r="N273" s="443"/>
      <c r="O273" s="443"/>
      <c r="P273" s="443"/>
      <c r="Q273" s="443"/>
      <c r="R273" s="443"/>
      <c r="S273" s="443"/>
      <c r="T273" s="443"/>
      <c r="U273" s="443"/>
      <c r="V273" s="443"/>
      <c r="W273" s="443"/>
      <c r="X273" s="443"/>
      <c r="Y273" s="443"/>
      <c r="Z273" s="443"/>
      <c r="AA273" s="443"/>
      <c r="AB273" s="443"/>
      <c r="AC273" s="443"/>
      <c r="AD273" s="443"/>
      <c r="AE273" s="443"/>
      <c r="AF273" s="444"/>
      <c r="AG273" s="443"/>
      <c r="AH273" s="443"/>
      <c r="AI273" s="443"/>
      <c r="AJ273" s="443"/>
      <c r="AK273" s="443"/>
      <c r="AL273" s="443"/>
      <c r="AM273" s="456"/>
      <c r="AN273" s="456"/>
      <c r="AO273" s="456"/>
      <c r="AP273" s="456"/>
      <c r="AQ273" s="456"/>
      <c r="AR273" s="456"/>
      <c r="AS273" s="456"/>
      <c r="AT273" s="456"/>
      <c r="AU273" s="456"/>
      <c r="AV273" s="456"/>
      <c r="AW273" s="456"/>
      <c r="AX273" s="456"/>
      <c r="AY273" s="456"/>
      <c r="AZ273" s="456"/>
      <c r="BA273" s="456"/>
      <c r="BB273" s="456"/>
      <c r="BC273" s="456"/>
      <c r="BD273" s="456"/>
      <c r="BE273" s="456"/>
      <c r="BF273" s="456"/>
      <c r="BG273" s="456"/>
      <c r="BH273" s="456"/>
      <c r="BI273" s="456"/>
      <c r="BJ273" s="456"/>
      <c r="BK273" s="456"/>
      <c r="BL273" s="456"/>
      <c r="BM273" s="456"/>
      <c r="BN273" s="456"/>
      <c r="BO273" s="456"/>
      <c r="BP273" s="456"/>
      <c r="BQ273" s="456"/>
      <c r="BR273" s="456"/>
      <c r="BS273" s="456"/>
      <c r="BT273" s="456"/>
      <c r="BU273" s="456"/>
      <c r="BV273" s="456"/>
      <c r="BW273" s="456"/>
      <c r="BX273" s="456"/>
      <c r="BY273" s="456"/>
      <c r="BZ273" s="456"/>
      <c r="CA273" s="456"/>
      <c r="CB273" s="456"/>
      <c r="CC273" s="456"/>
      <c r="CD273" s="456"/>
      <c r="CE273" s="456"/>
      <c r="CF273" s="456"/>
      <c r="CG273" s="456"/>
      <c r="CH273" s="456"/>
      <c r="CI273" s="456"/>
      <c r="CJ273" s="456"/>
      <c r="CK273" s="456"/>
      <c r="CL273" s="456"/>
      <c r="CM273" s="456"/>
    </row>
    <row r="274" spans="1:91" ht="14.25" customHeight="1">
      <c r="A274" s="443"/>
      <c r="B274" s="443"/>
      <c r="C274" s="443"/>
      <c r="D274" s="443"/>
      <c r="E274" s="443"/>
      <c r="F274" s="443"/>
      <c r="G274" s="443"/>
      <c r="H274" s="443"/>
      <c r="I274" s="443"/>
      <c r="J274" s="443"/>
      <c r="K274" s="443"/>
      <c r="L274" s="443"/>
      <c r="M274" s="443"/>
      <c r="N274" s="443"/>
      <c r="O274" s="443"/>
      <c r="P274" s="443"/>
      <c r="Q274" s="443"/>
      <c r="R274" s="443"/>
      <c r="S274" s="443"/>
      <c r="T274" s="443"/>
      <c r="U274" s="443"/>
      <c r="V274" s="443"/>
      <c r="W274" s="443"/>
      <c r="X274" s="443"/>
      <c r="Y274" s="443"/>
      <c r="Z274" s="443"/>
      <c r="AA274" s="443"/>
      <c r="AB274" s="443"/>
      <c r="AC274" s="443"/>
      <c r="AD274" s="443"/>
      <c r="AE274" s="443"/>
      <c r="AF274" s="444"/>
      <c r="AG274" s="443"/>
      <c r="AH274" s="443"/>
      <c r="AI274" s="443"/>
      <c r="AJ274" s="443"/>
      <c r="AK274" s="443"/>
      <c r="AL274" s="443"/>
      <c r="AM274" s="456"/>
      <c r="AN274" s="456"/>
      <c r="AO274" s="456"/>
      <c r="AP274" s="456"/>
      <c r="AQ274" s="456"/>
      <c r="AR274" s="456"/>
      <c r="AS274" s="456"/>
      <c r="AT274" s="456"/>
      <c r="AU274" s="456"/>
      <c r="AV274" s="456"/>
      <c r="AW274" s="456"/>
      <c r="AX274" s="456"/>
      <c r="AY274" s="456"/>
      <c r="AZ274" s="456"/>
      <c r="BA274" s="456"/>
      <c r="BB274" s="456"/>
      <c r="BC274" s="456"/>
      <c r="BD274" s="456"/>
      <c r="BE274" s="456"/>
      <c r="BF274" s="456"/>
      <c r="BG274" s="456"/>
      <c r="BH274" s="456"/>
      <c r="BI274" s="456"/>
      <c r="BJ274" s="456"/>
      <c r="BK274" s="456"/>
      <c r="BL274" s="456"/>
      <c r="BM274" s="456"/>
      <c r="BN274" s="456"/>
      <c r="BO274" s="456"/>
      <c r="BP274" s="456"/>
      <c r="BQ274" s="456"/>
      <c r="BR274" s="456"/>
      <c r="BS274" s="456"/>
      <c r="BT274" s="456"/>
      <c r="BU274" s="456"/>
      <c r="BV274" s="456"/>
      <c r="BW274" s="456"/>
      <c r="BX274" s="456"/>
      <c r="BY274" s="456"/>
      <c r="BZ274" s="456"/>
      <c r="CA274" s="456"/>
      <c r="CB274" s="456"/>
      <c r="CC274" s="456"/>
      <c r="CD274" s="456"/>
      <c r="CE274" s="456"/>
      <c r="CF274" s="456"/>
      <c r="CG274" s="456"/>
      <c r="CH274" s="456"/>
      <c r="CI274" s="456"/>
      <c r="CJ274" s="456"/>
      <c r="CK274" s="456"/>
      <c r="CL274" s="456"/>
      <c r="CM274" s="456"/>
    </row>
    <row r="275" spans="1:91" ht="14.25" customHeight="1">
      <c r="A275" s="443"/>
      <c r="B275" s="443"/>
      <c r="C275" s="443"/>
      <c r="D275" s="443"/>
      <c r="E275" s="443"/>
      <c r="F275" s="443"/>
      <c r="G275" s="443"/>
      <c r="H275" s="443"/>
      <c r="I275" s="443"/>
      <c r="J275" s="443"/>
      <c r="K275" s="443"/>
      <c r="L275" s="443"/>
      <c r="M275" s="443"/>
      <c r="N275" s="443"/>
      <c r="O275" s="443"/>
      <c r="P275" s="443"/>
      <c r="Q275" s="443"/>
      <c r="R275" s="443"/>
      <c r="S275" s="443"/>
      <c r="T275" s="443"/>
      <c r="U275" s="443"/>
      <c r="V275" s="443"/>
      <c r="W275" s="443"/>
      <c r="X275" s="443"/>
      <c r="Y275" s="443"/>
      <c r="Z275" s="443"/>
      <c r="AA275" s="443"/>
      <c r="AB275" s="443"/>
      <c r="AC275" s="443"/>
      <c r="AD275" s="443"/>
      <c r="AE275" s="443"/>
      <c r="AF275" s="444"/>
      <c r="AG275" s="443"/>
      <c r="AH275" s="443"/>
      <c r="AI275" s="443"/>
      <c r="AJ275" s="443"/>
      <c r="AK275" s="443"/>
      <c r="AL275" s="443"/>
      <c r="AM275" s="456"/>
      <c r="AN275" s="456"/>
      <c r="AO275" s="456"/>
      <c r="AP275" s="456"/>
      <c r="AQ275" s="456"/>
      <c r="AR275" s="456"/>
      <c r="AS275" s="456"/>
      <c r="AT275" s="456"/>
      <c r="AU275" s="456"/>
      <c r="AV275" s="456"/>
      <c r="AW275" s="456"/>
      <c r="AX275" s="456"/>
      <c r="AY275" s="456"/>
      <c r="AZ275" s="456"/>
      <c r="BA275" s="456"/>
      <c r="BB275" s="456"/>
      <c r="BC275" s="456"/>
      <c r="BD275" s="456"/>
      <c r="BE275" s="456"/>
      <c r="BF275" s="456"/>
      <c r="BG275" s="456"/>
      <c r="BH275" s="456"/>
      <c r="BI275" s="456"/>
      <c r="BJ275" s="456"/>
      <c r="BK275" s="456"/>
      <c r="BL275" s="456"/>
      <c r="BM275" s="456"/>
      <c r="BN275" s="456"/>
      <c r="BO275" s="456"/>
      <c r="BP275" s="456"/>
      <c r="BQ275" s="456"/>
      <c r="BR275" s="456"/>
      <c r="BS275" s="456"/>
      <c r="BT275" s="456"/>
      <c r="BU275" s="456"/>
      <c r="BV275" s="456"/>
      <c r="BW275" s="456"/>
      <c r="BX275" s="456"/>
      <c r="BY275" s="456"/>
      <c r="BZ275" s="456"/>
      <c r="CA275" s="456"/>
      <c r="CB275" s="456"/>
      <c r="CC275" s="456"/>
      <c r="CD275" s="456"/>
      <c r="CE275" s="456"/>
      <c r="CF275" s="456"/>
      <c r="CG275" s="456"/>
      <c r="CH275" s="456"/>
      <c r="CI275" s="456"/>
      <c r="CJ275" s="456"/>
      <c r="CK275" s="456"/>
      <c r="CL275" s="456"/>
      <c r="CM275" s="456"/>
    </row>
    <row r="276" spans="1:91" ht="14.25" customHeight="1">
      <c r="A276" s="443"/>
      <c r="B276" s="443"/>
      <c r="C276" s="443"/>
      <c r="D276" s="443"/>
      <c r="E276" s="443"/>
      <c r="F276" s="443"/>
      <c r="G276" s="443"/>
      <c r="H276" s="443"/>
      <c r="I276" s="443"/>
      <c r="J276" s="443"/>
      <c r="K276" s="443"/>
      <c r="L276" s="443"/>
      <c r="M276" s="443"/>
      <c r="N276" s="443"/>
      <c r="O276" s="443"/>
      <c r="P276" s="443"/>
      <c r="Q276" s="443"/>
      <c r="R276" s="443"/>
      <c r="S276" s="443"/>
      <c r="T276" s="443"/>
      <c r="U276" s="443"/>
      <c r="V276" s="443"/>
      <c r="W276" s="443"/>
      <c r="X276" s="443"/>
      <c r="Y276" s="443"/>
      <c r="Z276" s="443"/>
      <c r="AA276" s="443"/>
      <c r="AB276" s="443"/>
      <c r="AC276" s="443"/>
      <c r="AD276" s="443"/>
      <c r="AE276" s="443"/>
      <c r="AF276" s="444"/>
      <c r="AG276" s="443"/>
      <c r="AH276" s="443"/>
      <c r="AI276" s="443"/>
      <c r="AJ276" s="443"/>
      <c r="AK276" s="443"/>
      <c r="AL276" s="443"/>
      <c r="AM276" s="456"/>
      <c r="AN276" s="456"/>
      <c r="AO276" s="456"/>
      <c r="AP276" s="456"/>
      <c r="AQ276" s="456"/>
      <c r="AR276" s="456"/>
      <c r="AS276" s="456"/>
      <c r="AT276" s="456"/>
      <c r="AU276" s="456"/>
      <c r="AV276" s="456"/>
      <c r="AW276" s="456"/>
      <c r="AX276" s="456"/>
      <c r="AY276" s="456"/>
      <c r="AZ276" s="456"/>
      <c r="BA276" s="456"/>
      <c r="BB276" s="456"/>
      <c r="BC276" s="456"/>
      <c r="BD276" s="456"/>
      <c r="BE276" s="456"/>
      <c r="BF276" s="456"/>
      <c r="BG276" s="456"/>
      <c r="BH276" s="456"/>
      <c r="BI276" s="456"/>
      <c r="BJ276" s="456"/>
      <c r="BK276" s="456"/>
      <c r="BL276" s="456"/>
      <c r="BM276" s="456"/>
      <c r="BN276" s="456"/>
      <c r="BO276" s="456"/>
      <c r="BP276" s="456"/>
      <c r="BQ276" s="456"/>
      <c r="BR276" s="456"/>
      <c r="BS276" s="456"/>
      <c r="BT276" s="456"/>
      <c r="BU276" s="456"/>
      <c r="BV276" s="456"/>
      <c r="BW276" s="456"/>
      <c r="BX276" s="456"/>
      <c r="BY276" s="456"/>
      <c r="BZ276" s="456"/>
      <c r="CA276" s="456"/>
      <c r="CB276" s="456"/>
      <c r="CC276" s="456"/>
      <c r="CD276" s="456"/>
      <c r="CE276" s="456"/>
      <c r="CF276" s="456"/>
      <c r="CG276" s="456"/>
      <c r="CH276" s="456"/>
      <c r="CI276" s="456"/>
      <c r="CJ276" s="456"/>
      <c r="CK276" s="456"/>
      <c r="CL276" s="456"/>
      <c r="CM276" s="456"/>
    </row>
    <row r="277" spans="1:91" ht="14.25" customHeight="1">
      <c r="A277" s="443"/>
      <c r="B277" s="443"/>
      <c r="C277" s="443"/>
      <c r="D277" s="443"/>
      <c r="E277" s="443"/>
      <c r="F277" s="443"/>
      <c r="G277" s="443"/>
      <c r="H277" s="443"/>
      <c r="I277" s="443"/>
      <c r="J277" s="443"/>
      <c r="K277" s="443"/>
      <c r="L277" s="443"/>
      <c r="M277" s="443"/>
      <c r="N277" s="443"/>
      <c r="O277" s="443"/>
      <c r="P277" s="443"/>
      <c r="Q277" s="443"/>
      <c r="R277" s="443"/>
      <c r="S277" s="443"/>
      <c r="T277" s="443"/>
      <c r="U277" s="443"/>
      <c r="V277" s="443"/>
      <c r="W277" s="443"/>
      <c r="X277" s="443"/>
      <c r="Y277" s="443"/>
      <c r="Z277" s="443"/>
      <c r="AA277" s="443"/>
      <c r="AB277" s="443"/>
      <c r="AC277" s="443"/>
      <c r="AD277" s="443"/>
      <c r="AE277" s="443"/>
      <c r="AF277" s="444"/>
      <c r="AG277" s="443"/>
      <c r="AH277" s="443"/>
      <c r="AI277" s="443"/>
      <c r="AJ277" s="443"/>
      <c r="AK277" s="443"/>
      <c r="AL277" s="443"/>
      <c r="AM277" s="456"/>
      <c r="AN277" s="456"/>
      <c r="AO277" s="456"/>
      <c r="AP277" s="456"/>
      <c r="AQ277" s="456"/>
      <c r="AR277" s="456"/>
      <c r="AS277" s="456"/>
      <c r="AT277" s="456"/>
      <c r="AU277" s="456"/>
      <c r="AV277" s="456"/>
      <c r="AW277" s="456"/>
      <c r="AX277" s="456"/>
      <c r="AY277" s="456"/>
      <c r="AZ277" s="456"/>
      <c r="BA277" s="456"/>
      <c r="BB277" s="456"/>
      <c r="BC277" s="456"/>
      <c r="BD277" s="456"/>
      <c r="BE277" s="456"/>
      <c r="BF277" s="456"/>
      <c r="BG277" s="456"/>
      <c r="BH277" s="456"/>
      <c r="BI277" s="456"/>
      <c r="BJ277" s="456"/>
      <c r="BK277" s="456"/>
      <c r="BL277" s="456"/>
      <c r="BM277" s="456"/>
      <c r="BN277" s="456"/>
      <c r="BO277" s="456"/>
      <c r="BP277" s="456"/>
      <c r="BQ277" s="456"/>
      <c r="BR277" s="456"/>
      <c r="BS277" s="456"/>
      <c r="BT277" s="456"/>
      <c r="BU277" s="456"/>
      <c r="BV277" s="456"/>
      <c r="BW277" s="456"/>
      <c r="BX277" s="456"/>
      <c r="BY277" s="456"/>
      <c r="BZ277" s="456"/>
      <c r="CA277" s="456"/>
      <c r="CB277" s="456"/>
      <c r="CC277" s="456"/>
      <c r="CD277" s="456"/>
      <c r="CE277" s="456"/>
      <c r="CF277" s="456"/>
      <c r="CG277" s="456"/>
      <c r="CH277" s="456"/>
      <c r="CI277" s="456"/>
      <c r="CJ277" s="456"/>
      <c r="CK277" s="456"/>
      <c r="CL277" s="456"/>
      <c r="CM277" s="456"/>
    </row>
    <row r="278" spans="1:91" ht="14.25" customHeight="1">
      <c r="A278" s="443"/>
      <c r="B278" s="443"/>
      <c r="C278" s="443"/>
      <c r="D278" s="443"/>
      <c r="E278" s="443"/>
      <c r="F278" s="443"/>
      <c r="G278" s="443"/>
      <c r="H278" s="443"/>
      <c r="I278" s="443"/>
      <c r="J278" s="443"/>
      <c r="K278" s="443"/>
      <c r="L278" s="443"/>
      <c r="M278" s="443"/>
      <c r="N278" s="443"/>
      <c r="O278" s="443"/>
      <c r="P278" s="443"/>
      <c r="Q278" s="443"/>
      <c r="R278" s="443"/>
      <c r="S278" s="443"/>
      <c r="T278" s="443"/>
      <c r="U278" s="443"/>
      <c r="V278" s="443"/>
      <c r="W278" s="443"/>
      <c r="X278" s="443"/>
      <c r="Y278" s="443"/>
      <c r="Z278" s="443"/>
      <c r="AA278" s="443"/>
      <c r="AB278" s="443"/>
      <c r="AC278" s="443"/>
      <c r="AD278" s="443"/>
      <c r="AE278" s="443"/>
      <c r="AF278" s="444"/>
      <c r="AG278" s="443"/>
      <c r="AH278" s="443"/>
      <c r="AI278" s="443"/>
      <c r="AJ278" s="443"/>
      <c r="AK278" s="443"/>
      <c r="AL278" s="443"/>
      <c r="AM278" s="456"/>
      <c r="AN278" s="456"/>
      <c r="AO278" s="456"/>
      <c r="AP278" s="456"/>
      <c r="AQ278" s="456"/>
      <c r="AR278" s="456"/>
      <c r="AS278" s="456"/>
      <c r="AT278" s="456"/>
      <c r="AU278" s="456"/>
      <c r="AV278" s="456"/>
      <c r="AW278" s="456"/>
      <c r="AX278" s="456"/>
      <c r="AY278" s="456"/>
      <c r="AZ278" s="456"/>
      <c r="BA278" s="456"/>
      <c r="BB278" s="456"/>
      <c r="BC278" s="456"/>
      <c r="BD278" s="456"/>
      <c r="BE278" s="456"/>
      <c r="BF278" s="456"/>
      <c r="BG278" s="456"/>
      <c r="BH278" s="456"/>
      <c r="BI278" s="456"/>
      <c r="BJ278" s="456"/>
      <c r="BK278" s="456"/>
      <c r="BL278" s="456"/>
      <c r="BM278" s="456"/>
      <c r="BN278" s="456"/>
      <c r="BO278" s="456"/>
      <c r="BP278" s="456"/>
      <c r="BQ278" s="456"/>
      <c r="BR278" s="456"/>
      <c r="BS278" s="456"/>
      <c r="BT278" s="456"/>
      <c r="BU278" s="456"/>
      <c r="BV278" s="456"/>
      <c r="BW278" s="456"/>
      <c r="BX278" s="456"/>
      <c r="BY278" s="456"/>
      <c r="BZ278" s="456"/>
      <c r="CA278" s="456"/>
      <c r="CB278" s="456"/>
      <c r="CC278" s="456"/>
      <c r="CD278" s="456"/>
      <c r="CE278" s="456"/>
      <c r="CF278" s="456"/>
      <c r="CG278" s="456"/>
      <c r="CH278" s="456"/>
      <c r="CI278" s="456"/>
      <c r="CJ278" s="456"/>
      <c r="CK278" s="456"/>
      <c r="CL278" s="456"/>
      <c r="CM278" s="456"/>
    </row>
    <row r="279" spans="1:91" ht="14.25" customHeight="1">
      <c r="A279" s="443"/>
      <c r="B279" s="443"/>
      <c r="C279" s="443"/>
      <c r="D279" s="443"/>
      <c r="E279" s="443"/>
      <c r="F279" s="443"/>
      <c r="G279" s="443"/>
      <c r="H279" s="443"/>
      <c r="I279" s="443"/>
      <c r="J279" s="443"/>
      <c r="K279" s="443"/>
      <c r="L279" s="443"/>
      <c r="M279" s="443"/>
      <c r="N279" s="443"/>
      <c r="O279" s="443"/>
      <c r="P279" s="443"/>
      <c r="Q279" s="443"/>
      <c r="R279" s="443"/>
      <c r="S279" s="443"/>
      <c r="T279" s="443"/>
      <c r="U279" s="443"/>
      <c r="V279" s="443"/>
      <c r="W279" s="443"/>
      <c r="X279" s="443"/>
      <c r="Y279" s="443"/>
      <c r="Z279" s="443"/>
      <c r="AA279" s="443"/>
      <c r="AB279" s="443"/>
      <c r="AC279" s="443"/>
      <c r="AD279" s="443"/>
      <c r="AE279" s="443"/>
      <c r="AF279" s="444"/>
      <c r="AG279" s="443"/>
      <c r="AH279" s="443"/>
      <c r="AI279" s="443"/>
      <c r="AJ279" s="443"/>
      <c r="AK279" s="443"/>
      <c r="AL279" s="443"/>
      <c r="AM279" s="456"/>
      <c r="AN279" s="456"/>
      <c r="AO279" s="456"/>
      <c r="AP279" s="456"/>
      <c r="AQ279" s="456"/>
      <c r="AR279" s="456"/>
      <c r="AS279" s="456"/>
      <c r="AT279" s="456"/>
      <c r="AU279" s="456"/>
      <c r="AV279" s="456"/>
      <c r="AW279" s="456"/>
      <c r="AX279" s="456"/>
      <c r="AY279" s="456"/>
      <c r="AZ279" s="456"/>
      <c r="BA279" s="456"/>
      <c r="BB279" s="456"/>
      <c r="BC279" s="456"/>
      <c r="BD279" s="456"/>
      <c r="BE279" s="456"/>
      <c r="BF279" s="456"/>
      <c r="BG279" s="456"/>
      <c r="BH279" s="456"/>
      <c r="BI279" s="456"/>
      <c r="BJ279" s="456"/>
      <c r="BK279" s="456"/>
      <c r="BL279" s="456"/>
      <c r="BM279" s="456"/>
      <c r="BN279" s="456"/>
      <c r="BO279" s="456"/>
      <c r="BP279" s="456"/>
      <c r="BQ279" s="456"/>
      <c r="BR279" s="456"/>
      <c r="BS279" s="456"/>
      <c r="BT279" s="456"/>
      <c r="BU279" s="456"/>
      <c r="BV279" s="456"/>
      <c r="BW279" s="456"/>
      <c r="BX279" s="456"/>
      <c r="BY279" s="456"/>
      <c r="BZ279" s="456"/>
      <c r="CA279" s="456"/>
      <c r="CB279" s="456"/>
      <c r="CC279" s="456"/>
      <c r="CD279" s="456"/>
      <c r="CE279" s="456"/>
      <c r="CF279" s="456"/>
      <c r="CG279" s="456"/>
      <c r="CH279" s="456"/>
      <c r="CI279" s="456"/>
      <c r="CJ279" s="456"/>
      <c r="CK279" s="456"/>
      <c r="CL279" s="456"/>
      <c r="CM279" s="456"/>
    </row>
    <row r="280" spans="1:91" ht="14.25" customHeight="1">
      <c r="A280" s="443"/>
      <c r="B280" s="443"/>
      <c r="C280" s="443"/>
      <c r="D280" s="443"/>
      <c r="E280" s="443"/>
      <c r="F280" s="443"/>
      <c r="G280" s="443"/>
      <c r="H280" s="443"/>
      <c r="I280" s="443"/>
      <c r="J280" s="443"/>
      <c r="K280" s="443"/>
      <c r="L280" s="443"/>
      <c r="M280" s="443"/>
      <c r="N280" s="443"/>
      <c r="O280" s="443"/>
      <c r="P280" s="443"/>
      <c r="Q280" s="443"/>
      <c r="R280" s="443"/>
      <c r="S280" s="443"/>
      <c r="T280" s="443"/>
      <c r="U280" s="443"/>
      <c r="V280" s="443"/>
      <c r="W280" s="443"/>
      <c r="X280" s="443"/>
      <c r="Y280" s="443"/>
      <c r="Z280" s="443"/>
      <c r="AA280" s="443"/>
      <c r="AB280" s="443"/>
      <c r="AC280" s="443"/>
      <c r="AD280" s="443"/>
      <c r="AE280" s="443"/>
      <c r="AF280" s="444"/>
      <c r="AG280" s="443"/>
      <c r="AH280" s="443"/>
      <c r="AI280" s="443"/>
      <c r="AJ280" s="443"/>
      <c r="AK280" s="443"/>
      <c r="AL280" s="443"/>
      <c r="AM280" s="456"/>
      <c r="AN280" s="456"/>
      <c r="AO280" s="456"/>
      <c r="AP280" s="456"/>
      <c r="AQ280" s="456"/>
      <c r="AR280" s="456"/>
      <c r="AS280" s="456"/>
      <c r="AT280" s="456"/>
      <c r="AU280" s="456"/>
      <c r="AV280" s="456"/>
      <c r="AW280" s="456"/>
      <c r="AX280" s="456"/>
      <c r="AY280" s="456"/>
      <c r="AZ280" s="456"/>
      <c r="BA280" s="456"/>
      <c r="BB280" s="456"/>
      <c r="BC280" s="456"/>
      <c r="BD280" s="456"/>
      <c r="BE280" s="456"/>
      <c r="BF280" s="456"/>
      <c r="BG280" s="456"/>
      <c r="BH280" s="456"/>
      <c r="BI280" s="456"/>
      <c r="BJ280" s="456"/>
      <c r="BK280" s="456"/>
      <c r="BL280" s="456"/>
      <c r="BM280" s="456"/>
      <c r="BN280" s="456"/>
      <c r="BO280" s="456"/>
      <c r="BP280" s="456"/>
      <c r="BQ280" s="456"/>
      <c r="BR280" s="456"/>
      <c r="BS280" s="456"/>
      <c r="BT280" s="456"/>
      <c r="BU280" s="456"/>
      <c r="BV280" s="456"/>
      <c r="BW280" s="456"/>
      <c r="BX280" s="456"/>
      <c r="BY280" s="456"/>
      <c r="BZ280" s="456"/>
      <c r="CA280" s="456"/>
      <c r="CB280" s="456"/>
      <c r="CC280" s="456"/>
      <c r="CD280" s="456"/>
      <c r="CE280" s="456"/>
      <c r="CF280" s="456"/>
      <c r="CG280" s="456"/>
      <c r="CH280" s="456"/>
      <c r="CI280" s="456"/>
      <c r="CJ280" s="456"/>
      <c r="CK280" s="456"/>
      <c r="CL280" s="456"/>
      <c r="CM280" s="456"/>
    </row>
    <row r="281" spans="1:91" ht="14.25" customHeight="1">
      <c r="A281" s="443"/>
      <c r="B281" s="443"/>
      <c r="C281" s="443"/>
      <c r="D281" s="443"/>
      <c r="E281" s="443"/>
      <c r="F281" s="443"/>
      <c r="G281" s="443"/>
      <c r="H281" s="443"/>
      <c r="I281" s="443"/>
      <c r="J281" s="443"/>
      <c r="K281" s="443"/>
      <c r="L281" s="443"/>
      <c r="M281" s="443"/>
      <c r="N281" s="443"/>
      <c r="O281" s="443"/>
      <c r="P281" s="443"/>
      <c r="Q281" s="443"/>
      <c r="R281" s="443"/>
      <c r="S281" s="443"/>
      <c r="T281" s="443"/>
      <c r="U281" s="443"/>
      <c r="V281" s="443"/>
      <c r="W281" s="443"/>
      <c r="X281" s="443"/>
      <c r="Y281" s="443"/>
      <c r="Z281" s="443"/>
      <c r="AA281" s="443"/>
      <c r="AB281" s="443"/>
      <c r="AC281" s="443"/>
      <c r="AD281" s="443"/>
      <c r="AE281" s="443"/>
      <c r="AF281" s="444"/>
      <c r="AG281" s="443"/>
      <c r="AH281" s="443"/>
      <c r="AI281" s="443"/>
      <c r="AJ281" s="443"/>
      <c r="AK281" s="443"/>
      <c r="AL281" s="443"/>
      <c r="AM281" s="456"/>
      <c r="AN281" s="456"/>
      <c r="AO281" s="456"/>
      <c r="AP281" s="456"/>
      <c r="AQ281" s="456"/>
      <c r="AR281" s="456"/>
      <c r="AS281" s="456"/>
      <c r="AT281" s="456"/>
      <c r="AU281" s="456"/>
      <c r="AV281" s="456"/>
      <c r="AW281" s="456"/>
      <c r="AX281" s="456"/>
      <c r="AY281" s="456"/>
      <c r="AZ281" s="456"/>
      <c r="BA281" s="456"/>
      <c r="BB281" s="456"/>
      <c r="BC281" s="456"/>
      <c r="BD281" s="456"/>
      <c r="BE281" s="456"/>
      <c r="BF281" s="456"/>
      <c r="BG281" s="456"/>
      <c r="BH281" s="456"/>
      <c r="BI281" s="456"/>
      <c r="BJ281" s="456"/>
      <c r="BK281" s="456"/>
      <c r="BL281" s="456"/>
      <c r="BM281" s="456"/>
      <c r="BN281" s="456"/>
      <c r="BO281" s="456"/>
      <c r="BP281" s="456"/>
      <c r="BQ281" s="456"/>
      <c r="BR281" s="456"/>
      <c r="BS281" s="456"/>
      <c r="BT281" s="456"/>
      <c r="BU281" s="456"/>
      <c r="BV281" s="456"/>
      <c r="BW281" s="456"/>
      <c r="BX281" s="456"/>
      <c r="BY281" s="456"/>
      <c r="BZ281" s="456"/>
      <c r="CA281" s="456"/>
      <c r="CB281" s="456"/>
      <c r="CC281" s="456"/>
      <c r="CD281" s="456"/>
      <c r="CE281" s="456"/>
      <c r="CF281" s="456"/>
      <c r="CG281" s="456"/>
      <c r="CH281" s="456"/>
      <c r="CI281" s="456"/>
      <c r="CJ281" s="456"/>
      <c r="CK281" s="456"/>
      <c r="CL281" s="456"/>
      <c r="CM281" s="456"/>
    </row>
    <row r="282" spans="1:91" ht="14.25" customHeight="1">
      <c r="A282" s="443"/>
      <c r="B282" s="443"/>
      <c r="C282" s="443"/>
      <c r="D282" s="443"/>
      <c r="E282" s="443"/>
      <c r="F282" s="443"/>
      <c r="G282" s="443"/>
      <c r="H282" s="443"/>
      <c r="I282" s="443"/>
      <c r="J282" s="443"/>
      <c r="K282" s="443"/>
      <c r="L282" s="443"/>
      <c r="M282" s="443"/>
      <c r="N282" s="443"/>
      <c r="O282" s="443"/>
      <c r="P282" s="443"/>
      <c r="Q282" s="443"/>
      <c r="R282" s="443"/>
      <c r="S282" s="443"/>
      <c r="T282" s="443"/>
      <c r="U282" s="443"/>
      <c r="V282" s="443"/>
      <c r="W282" s="443"/>
      <c r="X282" s="443"/>
      <c r="Y282" s="443"/>
      <c r="Z282" s="443"/>
      <c r="AA282" s="443"/>
      <c r="AB282" s="443"/>
      <c r="AC282" s="443"/>
      <c r="AD282" s="443"/>
      <c r="AE282" s="443"/>
      <c r="AF282" s="444"/>
      <c r="AG282" s="443"/>
      <c r="AH282" s="443"/>
      <c r="AI282" s="443"/>
      <c r="AJ282" s="443"/>
      <c r="AK282" s="443"/>
      <c r="AL282" s="443"/>
      <c r="AM282" s="456"/>
      <c r="AN282" s="456"/>
      <c r="AO282" s="456"/>
      <c r="AP282" s="456"/>
      <c r="AQ282" s="456"/>
      <c r="AR282" s="456"/>
      <c r="AS282" s="456"/>
      <c r="AT282" s="456"/>
      <c r="AU282" s="456"/>
      <c r="AV282" s="456"/>
      <c r="AW282" s="456"/>
      <c r="AX282" s="456"/>
      <c r="AY282" s="456"/>
      <c r="AZ282" s="456"/>
      <c r="BA282" s="456"/>
      <c r="BB282" s="456"/>
      <c r="BC282" s="456"/>
      <c r="BD282" s="456"/>
      <c r="BE282" s="456"/>
      <c r="BF282" s="456"/>
      <c r="BG282" s="456"/>
      <c r="BH282" s="456"/>
      <c r="BI282" s="456"/>
      <c r="BJ282" s="456"/>
      <c r="BK282" s="456"/>
      <c r="BL282" s="456"/>
      <c r="BM282" s="456"/>
      <c r="BN282" s="456"/>
      <c r="BO282" s="456"/>
      <c r="BP282" s="456"/>
      <c r="BQ282" s="456"/>
      <c r="BR282" s="456"/>
      <c r="BS282" s="456"/>
      <c r="BT282" s="456"/>
      <c r="BU282" s="456"/>
      <c r="BV282" s="456"/>
      <c r="BW282" s="456"/>
      <c r="BX282" s="456"/>
      <c r="BY282" s="456"/>
      <c r="BZ282" s="456"/>
      <c r="CA282" s="456"/>
      <c r="CB282" s="456"/>
      <c r="CC282" s="456"/>
      <c r="CD282" s="456"/>
      <c r="CE282" s="456"/>
      <c r="CF282" s="456"/>
      <c r="CG282" s="456"/>
      <c r="CH282" s="456"/>
      <c r="CI282" s="456"/>
      <c r="CJ282" s="456"/>
      <c r="CK282" s="456"/>
      <c r="CL282" s="456"/>
      <c r="CM282" s="456"/>
    </row>
    <row r="283" spans="1:91" ht="14.25" customHeight="1">
      <c r="A283" s="443"/>
      <c r="B283" s="443"/>
      <c r="C283" s="443"/>
      <c r="D283" s="443"/>
      <c r="E283" s="443"/>
      <c r="F283" s="443"/>
      <c r="G283" s="443"/>
      <c r="H283" s="443"/>
      <c r="I283" s="443"/>
      <c r="J283" s="443"/>
      <c r="K283" s="443"/>
      <c r="L283" s="443"/>
      <c r="M283" s="443"/>
      <c r="N283" s="443"/>
      <c r="O283" s="443"/>
      <c r="P283" s="443"/>
      <c r="Q283" s="443"/>
      <c r="R283" s="443"/>
      <c r="S283" s="443"/>
      <c r="T283" s="443"/>
      <c r="U283" s="443"/>
      <c r="V283" s="443"/>
      <c r="W283" s="443"/>
      <c r="X283" s="443"/>
      <c r="Y283" s="443"/>
      <c r="Z283" s="443"/>
      <c r="AA283" s="443"/>
      <c r="AB283" s="443"/>
      <c r="AC283" s="443"/>
      <c r="AD283" s="443"/>
      <c r="AE283" s="443"/>
      <c r="AF283" s="444"/>
      <c r="AG283" s="443"/>
      <c r="AH283" s="443"/>
      <c r="AI283" s="443"/>
      <c r="AJ283" s="443"/>
      <c r="AK283" s="443"/>
      <c r="AL283" s="443"/>
      <c r="AM283" s="456"/>
      <c r="AN283" s="456"/>
      <c r="AO283" s="456"/>
      <c r="AP283" s="456"/>
      <c r="AQ283" s="456"/>
      <c r="AR283" s="456"/>
      <c r="AS283" s="456"/>
      <c r="AT283" s="456"/>
      <c r="AU283" s="456"/>
      <c r="AV283" s="456"/>
      <c r="AW283" s="456"/>
      <c r="AX283" s="456"/>
      <c r="AY283" s="456"/>
      <c r="AZ283" s="456"/>
      <c r="BA283" s="456"/>
      <c r="BB283" s="456"/>
      <c r="BC283" s="456"/>
      <c r="BD283" s="456"/>
      <c r="BE283" s="456"/>
      <c r="BF283" s="456"/>
      <c r="BG283" s="456"/>
      <c r="BH283" s="456"/>
      <c r="BI283" s="456"/>
      <c r="BJ283" s="456"/>
      <c r="BK283" s="456"/>
      <c r="BL283" s="456"/>
      <c r="BM283" s="456"/>
      <c r="BN283" s="456"/>
      <c r="BO283" s="456"/>
      <c r="BP283" s="456"/>
      <c r="BQ283" s="456"/>
      <c r="BR283" s="456"/>
      <c r="BS283" s="456"/>
      <c r="BT283" s="456"/>
      <c r="BU283" s="456"/>
      <c r="BV283" s="456"/>
      <c r="BW283" s="456"/>
      <c r="BX283" s="456"/>
      <c r="BY283" s="456"/>
      <c r="BZ283" s="456"/>
      <c r="CA283" s="456"/>
      <c r="CB283" s="456"/>
      <c r="CC283" s="456"/>
      <c r="CD283" s="456"/>
      <c r="CE283" s="456"/>
      <c r="CF283" s="456"/>
      <c r="CG283" s="456"/>
      <c r="CH283" s="456"/>
      <c r="CI283" s="456"/>
      <c r="CJ283" s="456"/>
      <c r="CK283" s="456"/>
      <c r="CL283" s="456"/>
      <c r="CM283" s="456"/>
    </row>
    <row r="284" spans="1:91" ht="14.25" customHeight="1">
      <c r="A284" s="443"/>
      <c r="B284" s="443"/>
      <c r="C284" s="443"/>
      <c r="D284" s="443"/>
      <c r="E284" s="443"/>
      <c r="F284" s="443"/>
      <c r="G284" s="443"/>
      <c r="H284" s="443"/>
      <c r="I284" s="443"/>
      <c r="J284" s="443"/>
      <c r="K284" s="443"/>
      <c r="L284" s="443"/>
      <c r="M284" s="443"/>
      <c r="N284" s="443"/>
      <c r="O284" s="443"/>
      <c r="P284" s="443"/>
      <c r="Q284" s="443"/>
      <c r="R284" s="443"/>
      <c r="S284" s="443"/>
      <c r="T284" s="443"/>
      <c r="U284" s="443"/>
      <c r="V284" s="443"/>
      <c r="W284" s="443"/>
      <c r="X284" s="443"/>
      <c r="Y284" s="443"/>
      <c r="Z284" s="443"/>
      <c r="AA284" s="443"/>
      <c r="AB284" s="443"/>
      <c r="AC284" s="443"/>
      <c r="AD284" s="443"/>
      <c r="AE284" s="443"/>
      <c r="AF284" s="444"/>
      <c r="AG284" s="443"/>
      <c r="AH284" s="443"/>
      <c r="AI284" s="443"/>
      <c r="AJ284" s="443"/>
      <c r="AK284" s="443"/>
      <c r="AL284" s="443"/>
      <c r="AM284" s="456"/>
      <c r="AN284" s="456"/>
      <c r="AO284" s="456"/>
      <c r="AP284" s="456"/>
      <c r="AQ284" s="456"/>
      <c r="AR284" s="456"/>
      <c r="AS284" s="456"/>
      <c r="AT284" s="456"/>
      <c r="AU284" s="456"/>
      <c r="AV284" s="456"/>
      <c r="AW284" s="456"/>
      <c r="AX284" s="456"/>
      <c r="AY284" s="456"/>
      <c r="AZ284" s="456"/>
      <c r="BA284" s="456"/>
      <c r="BB284" s="456"/>
      <c r="BC284" s="456"/>
      <c r="BD284" s="456"/>
      <c r="BE284" s="456"/>
      <c r="BF284" s="456"/>
      <c r="BG284" s="456"/>
      <c r="BH284" s="456"/>
      <c r="BI284" s="456"/>
      <c r="BJ284" s="456"/>
      <c r="BK284" s="456"/>
      <c r="BL284" s="456"/>
      <c r="BM284" s="456"/>
      <c r="BN284" s="456"/>
      <c r="BO284" s="456"/>
      <c r="BP284" s="456"/>
      <c r="BQ284" s="456"/>
      <c r="BR284" s="456"/>
      <c r="BS284" s="456"/>
      <c r="BT284" s="456"/>
      <c r="BU284" s="456"/>
      <c r="BV284" s="456"/>
      <c r="BW284" s="456"/>
      <c r="BX284" s="456"/>
      <c r="BY284" s="456"/>
      <c r="BZ284" s="456"/>
      <c r="CA284" s="456"/>
      <c r="CB284" s="456"/>
      <c r="CC284" s="456"/>
      <c r="CD284" s="456"/>
      <c r="CE284" s="456"/>
      <c r="CF284" s="456"/>
      <c r="CG284" s="456"/>
      <c r="CH284" s="456"/>
      <c r="CI284" s="456"/>
      <c r="CJ284" s="456"/>
      <c r="CK284" s="456"/>
      <c r="CL284" s="456"/>
      <c r="CM284" s="456"/>
    </row>
    <row r="285" spans="1:91" ht="14.25" customHeight="1">
      <c r="A285" s="443"/>
      <c r="B285" s="443"/>
      <c r="C285" s="443"/>
      <c r="D285" s="443"/>
      <c r="E285" s="443"/>
      <c r="F285" s="443"/>
      <c r="G285" s="443"/>
      <c r="H285" s="443"/>
      <c r="I285" s="443"/>
      <c r="J285" s="443"/>
      <c r="K285" s="443"/>
      <c r="L285" s="443"/>
      <c r="M285" s="443"/>
      <c r="N285" s="443"/>
      <c r="O285" s="443"/>
      <c r="P285" s="443"/>
      <c r="Q285" s="443"/>
      <c r="R285" s="443"/>
      <c r="S285" s="443"/>
      <c r="T285" s="443"/>
      <c r="U285" s="443"/>
      <c r="V285" s="443"/>
      <c r="W285" s="443"/>
      <c r="X285" s="443"/>
      <c r="Y285" s="443"/>
      <c r="Z285" s="443"/>
      <c r="AA285" s="443"/>
      <c r="AB285" s="443"/>
      <c r="AC285" s="443"/>
      <c r="AD285" s="443"/>
      <c r="AE285" s="443"/>
      <c r="AF285" s="444"/>
      <c r="AG285" s="443"/>
      <c r="AH285" s="443"/>
      <c r="AI285" s="443"/>
      <c r="AJ285" s="443"/>
      <c r="AK285" s="443"/>
      <c r="AL285" s="443"/>
      <c r="AM285" s="456"/>
      <c r="AN285" s="456"/>
      <c r="AO285" s="456"/>
      <c r="AP285" s="456"/>
      <c r="AQ285" s="456"/>
      <c r="AR285" s="456"/>
      <c r="AS285" s="456"/>
      <c r="AT285" s="456"/>
      <c r="AU285" s="456"/>
      <c r="AV285" s="456"/>
      <c r="AW285" s="456"/>
      <c r="AX285" s="456"/>
      <c r="AY285" s="456"/>
      <c r="AZ285" s="456"/>
      <c r="BA285" s="456"/>
      <c r="BB285" s="456"/>
      <c r="BC285" s="456"/>
      <c r="BD285" s="456"/>
      <c r="BE285" s="456"/>
      <c r="BF285" s="456"/>
      <c r="BG285" s="456"/>
      <c r="BH285" s="456"/>
      <c r="BI285" s="456"/>
      <c r="BJ285" s="456"/>
      <c r="BK285" s="456"/>
      <c r="BL285" s="456"/>
      <c r="BM285" s="456"/>
      <c r="BN285" s="456"/>
      <c r="BO285" s="456"/>
      <c r="BP285" s="456"/>
      <c r="BQ285" s="456"/>
      <c r="BR285" s="456"/>
      <c r="BS285" s="456"/>
      <c r="BT285" s="456"/>
      <c r="BU285" s="456"/>
      <c r="BV285" s="456"/>
      <c r="BW285" s="456"/>
      <c r="BX285" s="456"/>
      <c r="BY285" s="456"/>
      <c r="BZ285" s="456"/>
      <c r="CA285" s="456"/>
      <c r="CB285" s="456"/>
      <c r="CC285" s="456"/>
      <c r="CD285" s="456"/>
      <c r="CE285" s="456"/>
      <c r="CF285" s="456"/>
      <c r="CG285" s="456"/>
      <c r="CH285" s="456"/>
      <c r="CI285" s="456"/>
      <c r="CJ285" s="456"/>
      <c r="CK285" s="456"/>
      <c r="CL285" s="456"/>
      <c r="CM285" s="456"/>
    </row>
    <row r="286" spans="1:91" ht="14.25" customHeight="1">
      <c r="A286" s="443"/>
      <c r="B286" s="443"/>
      <c r="C286" s="443"/>
      <c r="D286" s="443"/>
      <c r="E286" s="443"/>
      <c r="F286" s="443"/>
      <c r="G286" s="443"/>
      <c r="H286" s="443"/>
      <c r="I286" s="443"/>
      <c r="J286" s="443"/>
      <c r="K286" s="443"/>
      <c r="L286" s="443"/>
      <c r="M286" s="443"/>
      <c r="N286" s="443"/>
      <c r="O286" s="443"/>
      <c r="P286" s="443"/>
      <c r="Q286" s="443"/>
      <c r="R286" s="443"/>
      <c r="S286" s="443"/>
      <c r="T286" s="443"/>
      <c r="U286" s="443"/>
      <c r="V286" s="443"/>
      <c r="W286" s="443"/>
      <c r="X286" s="443"/>
      <c r="Y286" s="443"/>
      <c r="Z286" s="443"/>
      <c r="AA286" s="443"/>
      <c r="AB286" s="443"/>
      <c r="AC286" s="443"/>
      <c r="AD286" s="443"/>
      <c r="AE286" s="443"/>
      <c r="AF286" s="444"/>
      <c r="AG286" s="443"/>
      <c r="AH286" s="443"/>
      <c r="AI286" s="443"/>
      <c r="AJ286" s="443"/>
      <c r="AK286" s="443"/>
      <c r="AL286" s="443"/>
      <c r="AM286" s="456"/>
      <c r="AN286" s="456"/>
      <c r="AO286" s="456"/>
      <c r="AP286" s="456"/>
      <c r="AQ286" s="456"/>
      <c r="AR286" s="456"/>
      <c r="AS286" s="456"/>
      <c r="AT286" s="456"/>
      <c r="AU286" s="456"/>
      <c r="AV286" s="456"/>
      <c r="AW286" s="456"/>
      <c r="AX286" s="456"/>
      <c r="AY286" s="456"/>
      <c r="AZ286" s="456"/>
      <c r="BA286" s="456"/>
      <c r="BB286" s="456"/>
      <c r="BC286" s="456"/>
      <c r="BD286" s="456"/>
      <c r="BE286" s="456"/>
      <c r="BF286" s="456"/>
      <c r="BG286" s="456"/>
      <c r="BH286" s="456"/>
      <c r="BI286" s="456"/>
      <c r="BJ286" s="456"/>
      <c r="BK286" s="456"/>
      <c r="BL286" s="456"/>
      <c r="BM286" s="456"/>
      <c r="BN286" s="456"/>
      <c r="BO286" s="456"/>
      <c r="BP286" s="456"/>
      <c r="BQ286" s="456"/>
      <c r="BR286" s="456"/>
      <c r="BS286" s="456"/>
      <c r="BT286" s="456"/>
      <c r="BU286" s="456"/>
      <c r="BV286" s="456"/>
      <c r="BW286" s="456"/>
      <c r="BX286" s="456"/>
      <c r="BY286" s="456"/>
      <c r="BZ286" s="456"/>
      <c r="CA286" s="456"/>
      <c r="CB286" s="456"/>
      <c r="CC286" s="456"/>
      <c r="CD286" s="456"/>
      <c r="CE286" s="456"/>
      <c r="CF286" s="456"/>
      <c r="CG286" s="456"/>
      <c r="CH286" s="456"/>
      <c r="CI286" s="456"/>
      <c r="CJ286" s="456"/>
      <c r="CK286" s="456"/>
      <c r="CL286" s="456"/>
      <c r="CM286" s="456"/>
    </row>
    <row r="287" spans="1:91" ht="14.25" customHeight="1">
      <c r="A287" s="443"/>
      <c r="B287" s="443"/>
      <c r="C287" s="443"/>
      <c r="D287" s="443"/>
      <c r="E287" s="443"/>
      <c r="F287" s="443"/>
      <c r="G287" s="443"/>
      <c r="H287" s="443"/>
      <c r="I287" s="443"/>
      <c r="J287" s="443"/>
      <c r="K287" s="443"/>
      <c r="L287" s="443"/>
      <c r="M287" s="443"/>
      <c r="N287" s="443"/>
      <c r="O287" s="443"/>
      <c r="P287" s="443"/>
      <c r="Q287" s="443"/>
      <c r="R287" s="443"/>
      <c r="S287" s="443"/>
      <c r="T287" s="443"/>
      <c r="U287" s="443"/>
      <c r="V287" s="443"/>
      <c r="W287" s="443"/>
      <c r="X287" s="443"/>
      <c r="Y287" s="443"/>
      <c r="Z287" s="443"/>
      <c r="AA287" s="443"/>
      <c r="AB287" s="443"/>
      <c r="AC287" s="443"/>
      <c r="AD287" s="443"/>
      <c r="AE287" s="443"/>
      <c r="AF287" s="444"/>
      <c r="AG287" s="443"/>
      <c r="AH287" s="443"/>
      <c r="AI287" s="443"/>
      <c r="AJ287" s="443"/>
      <c r="AK287" s="443"/>
      <c r="AL287" s="443"/>
      <c r="AM287" s="456"/>
      <c r="AN287" s="456"/>
      <c r="AO287" s="456"/>
      <c r="AP287" s="456"/>
      <c r="AQ287" s="456"/>
      <c r="AR287" s="456"/>
      <c r="AS287" s="456"/>
      <c r="AT287" s="456"/>
      <c r="AU287" s="456"/>
      <c r="AV287" s="456"/>
      <c r="AW287" s="456"/>
      <c r="AX287" s="456"/>
      <c r="AY287" s="456"/>
      <c r="AZ287" s="456"/>
      <c r="BA287" s="456"/>
      <c r="BB287" s="456"/>
      <c r="BC287" s="456"/>
      <c r="BD287" s="456"/>
      <c r="BE287" s="456"/>
      <c r="BF287" s="456"/>
      <c r="BG287" s="456"/>
      <c r="BH287" s="456"/>
      <c r="BI287" s="456"/>
      <c r="BJ287" s="456"/>
      <c r="BK287" s="456"/>
      <c r="BL287" s="456"/>
      <c r="BM287" s="456"/>
      <c r="BN287" s="456"/>
      <c r="BO287" s="456"/>
      <c r="BP287" s="456"/>
      <c r="BQ287" s="456"/>
      <c r="BR287" s="456"/>
      <c r="BS287" s="456"/>
      <c r="BT287" s="456"/>
      <c r="BU287" s="456"/>
      <c r="BV287" s="456"/>
      <c r="BW287" s="456"/>
      <c r="BX287" s="456"/>
      <c r="BY287" s="456"/>
      <c r="BZ287" s="456"/>
      <c r="CA287" s="456"/>
      <c r="CB287" s="456"/>
      <c r="CC287" s="456"/>
      <c r="CD287" s="456"/>
      <c r="CE287" s="456"/>
      <c r="CF287" s="456"/>
      <c r="CG287" s="456"/>
      <c r="CH287" s="456"/>
      <c r="CI287" s="456"/>
      <c r="CJ287" s="456"/>
      <c r="CK287" s="456"/>
      <c r="CL287" s="456"/>
      <c r="CM287" s="456"/>
    </row>
    <row r="288" spans="1:91" ht="14.25" customHeight="1">
      <c r="A288" s="443"/>
      <c r="B288" s="443"/>
      <c r="C288" s="443"/>
      <c r="D288" s="443"/>
      <c r="E288" s="443"/>
      <c r="F288" s="443"/>
      <c r="G288" s="443"/>
      <c r="H288" s="443"/>
      <c r="I288" s="443"/>
      <c r="J288" s="443"/>
      <c r="K288" s="443"/>
      <c r="L288" s="443"/>
      <c r="M288" s="443"/>
      <c r="N288" s="443"/>
      <c r="O288" s="443"/>
      <c r="P288" s="443"/>
      <c r="Q288" s="443"/>
      <c r="R288" s="443"/>
      <c r="S288" s="443"/>
      <c r="T288" s="443"/>
      <c r="U288" s="443"/>
      <c r="V288" s="443"/>
      <c r="W288" s="443"/>
      <c r="X288" s="443"/>
      <c r="Y288" s="443"/>
      <c r="Z288" s="443"/>
      <c r="AA288" s="443"/>
      <c r="AB288" s="443"/>
      <c r="AC288" s="443"/>
      <c r="AD288" s="443"/>
      <c r="AE288" s="443"/>
      <c r="AF288" s="444"/>
      <c r="AG288" s="443"/>
      <c r="AH288" s="443"/>
      <c r="AI288" s="443"/>
      <c r="AJ288" s="443"/>
      <c r="AK288" s="443"/>
      <c r="AL288" s="443"/>
      <c r="AM288" s="456"/>
      <c r="AN288" s="456"/>
      <c r="AO288" s="456"/>
      <c r="AP288" s="456"/>
      <c r="AQ288" s="456"/>
      <c r="AR288" s="456"/>
      <c r="AS288" s="456"/>
      <c r="AT288" s="456"/>
      <c r="AU288" s="456"/>
      <c r="AV288" s="456"/>
      <c r="AW288" s="456"/>
      <c r="AX288" s="456"/>
      <c r="AY288" s="456"/>
      <c r="AZ288" s="456"/>
      <c r="BA288" s="456"/>
      <c r="BB288" s="456"/>
      <c r="BC288" s="456"/>
      <c r="BD288" s="456"/>
      <c r="BE288" s="456"/>
      <c r="BF288" s="456"/>
      <c r="BG288" s="456"/>
      <c r="BH288" s="456"/>
      <c r="BI288" s="456"/>
      <c r="BJ288" s="456"/>
      <c r="BK288" s="456"/>
      <c r="BL288" s="456"/>
      <c r="BM288" s="456"/>
      <c r="BN288" s="456"/>
      <c r="BO288" s="456"/>
      <c r="BP288" s="456"/>
      <c r="BQ288" s="456"/>
      <c r="BR288" s="456"/>
      <c r="BS288" s="456"/>
      <c r="BT288" s="456"/>
      <c r="BU288" s="456"/>
      <c r="BV288" s="456"/>
      <c r="BW288" s="456"/>
      <c r="BX288" s="456"/>
      <c r="BY288" s="456"/>
      <c r="BZ288" s="456"/>
      <c r="CA288" s="456"/>
      <c r="CB288" s="456"/>
      <c r="CC288" s="456"/>
      <c r="CD288" s="456"/>
      <c r="CE288" s="456"/>
      <c r="CF288" s="456"/>
      <c r="CG288" s="456"/>
      <c r="CH288" s="456"/>
      <c r="CI288" s="456"/>
      <c r="CJ288" s="456"/>
      <c r="CK288" s="456"/>
      <c r="CL288" s="456"/>
      <c r="CM288" s="456"/>
    </row>
    <row r="289" spans="1:91" ht="14.25" customHeight="1">
      <c r="A289" s="443"/>
      <c r="B289" s="443"/>
      <c r="C289" s="443"/>
      <c r="D289" s="443"/>
      <c r="E289" s="443"/>
      <c r="F289" s="443"/>
      <c r="G289" s="443"/>
      <c r="H289" s="443"/>
      <c r="I289" s="443"/>
      <c r="J289" s="443"/>
      <c r="K289" s="443"/>
      <c r="L289" s="443"/>
      <c r="M289" s="443"/>
      <c r="N289" s="443"/>
      <c r="O289" s="443"/>
      <c r="P289" s="443"/>
      <c r="Q289" s="443"/>
      <c r="R289" s="443"/>
      <c r="S289" s="443"/>
      <c r="T289" s="443"/>
      <c r="U289" s="443"/>
      <c r="V289" s="443"/>
      <c r="W289" s="443"/>
      <c r="X289" s="443"/>
      <c r="Y289" s="443"/>
      <c r="Z289" s="443"/>
      <c r="AA289" s="443"/>
      <c r="AB289" s="443"/>
      <c r="AC289" s="443"/>
      <c r="AD289" s="443"/>
      <c r="AE289" s="443"/>
      <c r="AF289" s="444"/>
      <c r="AG289" s="443"/>
      <c r="AH289" s="443"/>
      <c r="AI289" s="443"/>
      <c r="AJ289" s="443"/>
      <c r="AK289" s="443"/>
      <c r="AL289" s="443"/>
      <c r="AM289" s="456"/>
      <c r="AN289" s="456"/>
      <c r="AO289" s="456"/>
      <c r="AP289" s="456"/>
      <c r="AQ289" s="456"/>
      <c r="AR289" s="456"/>
      <c r="AS289" s="456"/>
      <c r="AT289" s="456"/>
      <c r="AU289" s="456"/>
      <c r="AV289" s="456"/>
      <c r="AW289" s="456"/>
      <c r="AX289" s="456"/>
      <c r="AY289" s="456"/>
      <c r="AZ289" s="456"/>
      <c r="BA289" s="456"/>
      <c r="BB289" s="456"/>
      <c r="BC289" s="456"/>
      <c r="BD289" s="456"/>
      <c r="BE289" s="456"/>
      <c r="BF289" s="456"/>
      <c r="BG289" s="456"/>
      <c r="BH289" s="456"/>
      <c r="BI289" s="456"/>
      <c r="BJ289" s="456"/>
      <c r="BK289" s="456"/>
      <c r="BL289" s="456"/>
      <c r="BM289" s="456"/>
      <c r="BN289" s="456"/>
      <c r="BO289" s="456"/>
      <c r="BP289" s="456"/>
      <c r="BQ289" s="456"/>
      <c r="BR289" s="456"/>
      <c r="BS289" s="456"/>
      <c r="BT289" s="456"/>
      <c r="BU289" s="456"/>
      <c r="BV289" s="456"/>
      <c r="BW289" s="456"/>
      <c r="BX289" s="456"/>
      <c r="BY289" s="456"/>
      <c r="BZ289" s="456"/>
      <c r="CA289" s="456"/>
      <c r="CB289" s="456"/>
      <c r="CC289" s="456"/>
      <c r="CD289" s="456"/>
      <c r="CE289" s="456"/>
      <c r="CF289" s="456"/>
      <c r="CG289" s="456"/>
      <c r="CH289" s="456"/>
      <c r="CI289" s="456"/>
      <c r="CJ289" s="456"/>
      <c r="CK289" s="456"/>
      <c r="CL289" s="456"/>
      <c r="CM289" s="456"/>
    </row>
    <row r="290" spans="1:91" ht="14.25" customHeight="1">
      <c r="A290" s="443"/>
      <c r="B290" s="443"/>
      <c r="C290" s="443"/>
      <c r="D290" s="443"/>
      <c r="E290" s="443"/>
      <c r="F290" s="443"/>
      <c r="G290" s="443"/>
      <c r="H290" s="443"/>
      <c r="I290" s="443"/>
      <c r="J290" s="443"/>
      <c r="K290" s="443"/>
      <c r="L290" s="443"/>
      <c r="M290" s="443"/>
      <c r="N290" s="443"/>
      <c r="O290" s="443"/>
      <c r="P290" s="443"/>
      <c r="Q290" s="443"/>
      <c r="R290" s="443"/>
      <c r="S290" s="443"/>
      <c r="T290" s="443"/>
      <c r="U290" s="443"/>
      <c r="V290" s="443"/>
      <c r="W290" s="443"/>
      <c r="X290" s="443"/>
      <c r="Y290" s="443"/>
      <c r="Z290" s="443"/>
      <c r="AA290" s="443"/>
      <c r="AB290" s="443"/>
      <c r="AC290" s="443"/>
      <c r="AD290" s="443"/>
      <c r="AE290" s="443"/>
      <c r="AF290" s="444"/>
      <c r="AG290" s="443"/>
      <c r="AH290" s="443"/>
      <c r="AI290" s="443"/>
      <c r="AJ290" s="443"/>
      <c r="AK290" s="443"/>
      <c r="AL290" s="443"/>
      <c r="AM290" s="456"/>
      <c r="AN290" s="456"/>
      <c r="AO290" s="456"/>
      <c r="AP290" s="456"/>
      <c r="AQ290" s="456"/>
      <c r="AR290" s="456"/>
      <c r="AS290" s="456"/>
      <c r="AT290" s="456"/>
      <c r="AU290" s="456"/>
      <c r="AV290" s="456"/>
      <c r="AW290" s="456"/>
      <c r="AX290" s="456"/>
      <c r="AY290" s="456"/>
      <c r="AZ290" s="456"/>
      <c r="BA290" s="456"/>
      <c r="BB290" s="456"/>
      <c r="BC290" s="456"/>
      <c r="BD290" s="456"/>
      <c r="BE290" s="456"/>
      <c r="BF290" s="456"/>
      <c r="BG290" s="456"/>
      <c r="BH290" s="456"/>
      <c r="BI290" s="456"/>
      <c r="BJ290" s="456"/>
      <c r="BK290" s="456"/>
      <c r="BL290" s="456"/>
      <c r="BM290" s="456"/>
      <c r="BN290" s="456"/>
      <c r="BO290" s="456"/>
      <c r="BP290" s="456"/>
      <c r="BQ290" s="456"/>
      <c r="BR290" s="456"/>
      <c r="BS290" s="456"/>
      <c r="BT290" s="456"/>
      <c r="BU290" s="456"/>
      <c r="BV290" s="456"/>
      <c r="BW290" s="456"/>
      <c r="BX290" s="456"/>
      <c r="BY290" s="456"/>
      <c r="BZ290" s="456"/>
      <c r="CA290" s="456"/>
      <c r="CB290" s="456"/>
      <c r="CC290" s="456"/>
      <c r="CD290" s="456"/>
      <c r="CE290" s="456"/>
      <c r="CF290" s="456"/>
      <c r="CG290" s="456"/>
      <c r="CH290" s="456"/>
      <c r="CI290" s="456"/>
      <c r="CJ290" s="456"/>
      <c r="CK290" s="456"/>
      <c r="CL290" s="456"/>
      <c r="CM290" s="456"/>
    </row>
    <row r="291" spans="1:91" ht="14.25" customHeight="1">
      <c r="A291" s="443"/>
      <c r="B291" s="443"/>
      <c r="C291" s="443"/>
      <c r="D291" s="443"/>
      <c r="E291" s="443"/>
      <c r="F291" s="443"/>
      <c r="G291" s="443"/>
      <c r="H291" s="443"/>
      <c r="I291" s="443"/>
      <c r="J291" s="443"/>
      <c r="K291" s="443"/>
      <c r="L291" s="443"/>
      <c r="M291" s="443"/>
      <c r="N291" s="443"/>
      <c r="O291" s="443"/>
      <c r="P291" s="443"/>
      <c r="Q291" s="443"/>
      <c r="R291" s="443"/>
      <c r="S291" s="443"/>
      <c r="T291" s="443"/>
      <c r="U291" s="443"/>
      <c r="V291" s="443"/>
      <c r="W291" s="443"/>
      <c r="X291" s="443"/>
      <c r="Y291" s="443"/>
      <c r="Z291" s="443"/>
      <c r="AA291" s="443"/>
      <c r="AB291" s="443"/>
      <c r="AC291" s="443"/>
      <c r="AD291" s="443"/>
      <c r="AE291" s="443"/>
      <c r="AF291" s="444"/>
      <c r="AG291" s="443"/>
      <c r="AH291" s="443"/>
      <c r="AI291" s="443"/>
      <c r="AJ291" s="443"/>
      <c r="AK291" s="443"/>
      <c r="AL291" s="443"/>
      <c r="AM291" s="456"/>
      <c r="AN291" s="456"/>
      <c r="AO291" s="456"/>
      <c r="AP291" s="456"/>
      <c r="AQ291" s="456"/>
      <c r="AR291" s="456"/>
      <c r="AS291" s="456"/>
      <c r="AT291" s="456"/>
      <c r="AU291" s="456"/>
      <c r="AV291" s="456"/>
      <c r="AW291" s="456"/>
      <c r="AX291" s="456"/>
      <c r="AY291" s="456"/>
      <c r="AZ291" s="456"/>
      <c r="BA291" s="456"/>
      <c r="BB291" s="456"/>
      <c r="BC291" s="456"/>
      <c r="BD291" s="456"/>
      <c r="BE291" s="456"/>
      <c r="BF291" s="456"/>
      <c r="BG291" s="456"/>
      <c r="BH291" s="456"/>
      <c r="BI291" s="456"/>
      <c r="BJ291" s="456"/>
      <c r="BK291" s="456"/>
      <c r="BL291" s="456"/>
      <c r="BM291" s="456"/>
      <c r="BN291" s="456"/>
      <c r="BO291" s="456"/>
      <c r="BP291" s="456"/>
      <c r="BQ291" s="456"/>
      <c r="BR291" s="456"/>
      <c r="BS291" s="456"/>
      <c r="BT291" s="456"/>
      <c r="BU291" s="456"/>
      <c r="BV291" s="456"/>
      <c r="BW291" s="456"/>
      <c r="BX291" s="456"/>
      <c r="BY291" s="456"/>
      <c r="BZ291" s="456"/>
      <c r="CA291" s="456"/>
      <c r="CB291" s="456"/>
      <c r="CC291" s="456"/>
      <c r="CD291" s="456"/>
      <c r="CE291" s="456"/>
      <c r="CF291" s="456"/>
      <c r="CG291" s="456"/>
      <c r="CH291" s="456"/>
      <c r="CI291" s="456"/>
      <c r="CJ291" s="456"/>
      <c r="CK291" s="456"/>
      <c r="CL291" s="456"/>
      <c r="CM291" s="456"/>
    </row>
    <row r="292" spans="1:91" ht="14.25" customHeight="1">
      <c r="A292" s="443"/>
      <c r="B292" s="443"/>
      <c r="C292" s="443"/>
      <c r="D292" s="443"/>
      <c r="E292" s="443"/>
      <c r="F292" s="443"/>
      <c r="G292" s="443"/>
      <c r="H292" s="443"/>
      <c r="I292" s="443"/>
      <c r="J292" s="443"/>
      <c r="K292" s="443"/>
      <c r="L292" s="443"/>
      <c r="M292" s="443"/>
      <c r="N292" s="443"/>
      <c r="O292" s="443"/>
      <c r="P292" s="443"/>
      <c r="Q292" s="443"/>
      <c r="R292" s="443"/>
      <c r="S292" s="443"/>
      <c r="T292" s="443"/>
      <c r="U292" s="443"/>
      <c r="V292" s="443"/>
      <c r="W292" s="443"/>
      <c r="X292" s="443"/>
      <c r="Y292" s="443"/>
      <c r="Z292" s="443"/>
      <c r="AA292" s="443"/>
      <c r="AB292" s="443"/>
      <c r="AC292" s="443"/>
      <c r="AD292" s="443"/>
      <c r="AE292" s="443"/>
      <c r="AF292" s="444"/>
      <c r="AG292" s="443"/>
      <c r="AH292" s="443"/>
      <c r="AI292" s="443"/>
      <c r="AJ292" s="443"/>
      <c r="AK292" s="443"/>
      <c r="AL292" s="443"/>
      <c r="AM292" s="456"/>
      <c r="AN292" s="456"/>
      <c r="AO292" s="456"/>
      <c r="AP292" s="456"/>
      <c r="AQ292" s="456"/>
      <c r="AR292" s="456"/>
      <c r="AS292" s="456"/>
      <c r="AT292" s="456"/>
      <c r="AU292" s="456"/>
      <c r="AV292" s="456"/>
      <c r="AW292" s="456"/>
      <c r="AX292" s="456"/>
      <c r="AY292" s="456"/>
      <c r="AZ292" s="456"/>
      <c r="BA292" s="456"/>
      <c r="BB292" s="456"/>
      <c r="BC292" s="456"/>
      <c r="BD292" s="456"/>
      <c r="BE292" s="456"/>
      <c r="BF292" s="456"/>
      <c r="BG292" s="456"/>
      <c r="BH292" s="456"/>
      <c r="BI292" s="456"/>
      <c r="BJ292" s="456"/>
      <c r="BK292" s="456"/>
      <c r="BL292" s="456"/>
      <c r="BM292" s="456"/>
      <c r="BN292" s="456"/>
      <c r="BO292" s="456"/>
      <c r="BP292" s="456"/>
      <c r="BQ292" s="456"/>
      <c r="BR292" s="456"/>
      <c r="BS292" s="456"/>
      <c r="BT292" s="456"/>
      <c r="BU292" s="456"/>
      <c r="BV292" s="456"/>
      <c r="BW292" s="456"/>
      <c r="BX292" s="456"/>
      <c r="BY292" s="456"/>
      <c r="BZ292" s="456"/>
      <c r="CA292" s="456"/>
      <c r="CB292" s="456"/>
      <c r="CC292" s="456"/>
      <c r="CD292" s="456"/>
      <c r="CE292" s="456"/>
      <c r="CF292" s="456"/>
      <c r="CG292" s="456"/>
      <c r="CH292" s="456"/>
      <c r="CI292" s="456"/>
      <c r="CJ292" s="456"/>
      <c r="CK292" s="456"/>
      <c r="CL292" s="456"/>
      <c r="CM292" s="456"/>
    </row>
    <row r="293" spans="1:91" ht="14.25" customHeight="1">
      <c r="A293" s="443"/>
      <c r="B293" s="443"/>
      <c r="C293" s="443"/>
      <c r="D293" s="443"/>
      <c r="E293" s="443"/>
      <c r="F293" s="443"/>
      <c r="G293" s="443"/>
      <c r="H293" s="443"/>
      <c r="I293" s="443"/>
      <c r="J293" s="443"/>
      <c r="K293" s="443"/>
      <c r="L293" s="443"/>
      <c r="M293" s="443"/>
      <c r="N293" s="443"/>
      <c r="O293" s="443"/>
      <c r="P293" s="443"/>
      <c r="Q293" s="443"/>
      <c r="R293" s="443"/>
      <c r="S293" s="443"/>
      <c r="T293" s="443"/>
      <c r="U293" s="443"/>
      <c r="V293" s="443"/>
      <c r="W293" s="443"/>
      <c r="X293" s="443"/>
      <c r="Y293" s="443"/>
      <c r="Z293" s="443"/>
      <c r="AA293" s="443"/>
      <c r="AB293" s="443"/>
      <c r="AC293" s="443"/>
      <c r="AD293" s="443"/>
      <c r="AE293" s="443"/>
      <c r="AF293" s="444"/>
      <c r="AG293" s="443"/>
      <c r="AH293" s="443"/>
      <c r="AI293" s="443"/>
      <c r="AJ293" s="443"/>
      <c r="AK293" s="443"/>
      <c r="AL293" s="443"/>
      <c r="AM293" s="456"/>
      <c r="AN293" s="456"/>
      <c r="AO293" s="456"/>
      <c r="AP293" s="456"/>
      <c r="AQ293" s="456"/>
      <c r="AR293" s="456"/>
      <c r="AS293" s="456"/>
      <c r="AT293" s="456"/>
      <c r="AU293" s="456"/>
      <c r="AV293" s="456"/>
      <c r="AW293" s="456"/>
      <c r="AX293" s="456"/>
      <c r="AY293" s="456"/>
      <c r="AZ293" s="456"/>
      <c r="BA293" s="456"/>
      <c r="BB293" s="456"/>
      <c r="BC293" s="456"/>
      <c r="BD293" s="456"/>
      <c r="BE293" s="456"/>
      <c r="BF293" s="456"/>
      <c r="BG293" s="456"/>
      <c r="BH293" s="456"/>
      <c r="BI293" s="456"/>
      <c r="BJ293" s="456"/>
      <c r="BK293" s="456"/>
      <c r="BL293" s="456"/>
      <c r="BM293" s="456"/>
      <c r="BN293" s="456"/>
      <c r="BO293" s="456"/>
      <c r="BP293" s="456"/>
      <c r="BQ293" s="456"/>
      <c r="BR293" s="456"/>
      <c r="BS293" s="456"/>
      <c r="BT293" s="456"/>
      <c r="BU293" s="456"/>
      <c r="BV293" s="456"/>
      <c r="BW293" s="456"/>
      <c r="BX293" s="456"/>
      <c r="BY293" s="456"/>
      <c r="BZ293" s="456"/>
      <c r="CA293" s="456"/>
      <c r="CB293" s="456"/>
      <c r="CC293" s="456"/>
      <c r="CD293" s="456"/>
      <c r="CE293" s="456"/>
      <c r="CF293" s="456"/>
      <c r="CG293" s="456"/>
      <c r="CH293" s="456"/>
      <c r="CI293" s="456"/>
      <c r="CJ293" s="456"/>
      <c r="CK293" s="456"/>
      <c r="CL293" s="456"/>
      <c r="CM293" s="456"/>
    </row>
    <row r="294" spans="1:91" ht="14.25" customHeight="1">
      <c r="A294" s="443"/>
      <c r="B294" s="443"/>
      <c r="C294" s="443"/>
      <c r="D294" s="443"/>
      <c r="E294" s="443"/>
      <c r="F294" s="443"/>
      <c r="G294" s="443"/>
      <c r="H294" s="443"/>
      <c r="I294" s="443"/>
      <c r="J294" s="443"/>
      <c r="K294" s="443"/>
      <c r="L294" s="443"/>
      <c r="M294" s="443"/>
      <c r="N294" s="443"/>
      <c r="O294" s="443"/>
      <c r="P294" s="443"/>
      <c r="Q294" s="443"/>
      <c r="R294" s="443"/>
      <c r="S294" s="443"/>
      <c r="T294" s="443"/>
      <c r="U294" s="443"/>
      <c r="V294" s="443"/>
      <c r="W294" s="443"/>
      <c r="X294" s="443"/>
      <c r="Y294" s="443"/>
      <c r="Z294" s="443"/>
      <c r="AA294" s="443"/>
      <c r="AB294" s="443"/>
      <c r="AC294" s="443"/>
      <c r="AD294" s="443"/>
      <c r="AE294" s="443"/>
      <c r="AF294" s="444"/>
      <c r="AG294" s="443"/>
      <c r="AH294" s="443"/>
      <c r="AI294" s="443"/>
      <c r="AJ294" s="443"/>
      <c r="AK294" s="443"/>
      <c r="AL294" s="443"/>
      <c r="AM294" s="456"/>
      <c r="AN294" s="456"/>
      <c r="AO294" s="456"/>
      <c r="AP294" s="456"/>
      <c r="AQ294" s="456"/>
      <c r="AR294" s="456"/>
      <c r="AS294" s="456"/>
      <c r="AT294" s="456"/>
      <c r="AU294" s="456"/>
      <c r="AV294" s="456"/>
      <c r="AW294" s="456"/>
      <c r="AX294" s="456"/>
      <c r="AY294" s="456"/>
      <c r="AZ294" s="456"/>
      <c r="BA294" s="456"/>
      <c r="BB294" s="456"/>
      <c r="BC294" s="456"/>
      <c r="BD294" s="456"/>
      <c r="BE294" s="456"/>
      <c r="BF294" s="456"/>
      <c r="BG294" s="456"/>
      <c r="BH294" s="456"/>
      <c r="BI294" s="456"/>
      <c r="BJ294" s="456"/>
      <c r="BK294" s="456"/>
      <c r="BL294" s="456"/>
      <c r="BM294" s="456"/>
      <c r="BN294" s="456"/>
      <c r="BO294" s="456"/>
      <c r="BP294" s="456"/>
      <c r="BQ294" s="456"/>
      <c r="BR294" s="456"/>
      <c r="BS294" s="456"/>
      <c r="BT294" s="456"/>
      <c r="BU294" s="456"/>
      <c r="BV294" s="456"/>
      <c r="BW294" s="456"/>
      <c r="BX294" s="456"/>
      <c r="BY294" s="456"/>
      <c r="BZ294" s="456"/>
      <c r="CA294" s="456"/>
      <c r="CB294" s="456"/>
      <c r="CC294" s="456"/>
      <c r="CD294" s="456"/>
      <c r="CE294" s="456"/>
      <c r="CF294" s="456"/>
      <c r="CG294" s="456"/>
      <c r="CH294" s="456"/>
      <c r="CI294" s="456"/>
      <c r="CJ294" s="456"/>
      <c r="CK294" s="456"/>
      <c r="CL294" s="456"/>
      <c r="CM294" s="456"/>
    </row>
    <row r="295" spans="1:91" ht="14.25" customHeight="1">
      <c r="A295" s="443"/>
      <c r="B295" s="443"/>
      <c r="C295" s="443"/>
      <c r="D295" s="443"/>
      <c r="E295" s="443"/>
      <c r="F295" s="443"/>
      <c r="G295" s="443"/>
      <c r="H295" s="443"/>
      <c r="I295" s="443"/>
      <c r="J295" s="443"/>
      <c r="K295" s="443"/>
      <c r="L295" s="443"/>
      <c r="M295" s="443"/>
      <c r="N295" s="443"/>
      <c r="O295" s="443"/>
      <c r="P295" s="443"/>
      <c r="Q295" s="443"/>
      <c r="R295" s="443"/>
      <c r="S295" s="443"/>
      <c r="T295" s="443"/>
      <c r="U295" s="443"/>
      <c r="V295" s="443"/>
      <c r="W295" s="443"/>
      <c r="X295" s="443"/>
      <c r="Y295" s="443"/>
      <c r="Z295" s="443"/>
      <c r="AA295" s="443"/>
      <c r="AB295" s="443"/>
      <c r="AC295" s="443"/>
      <c r="AD295" s="443"/>
      <c r="AE295" s="443"/>
      <c r="AF295" s="444"/>
      <c r="AG295" s="443"/>
      <c r="AH295" s="443"/>
      <c r="AI295" s="443"/>
      <c r="AJ295" s="443"/>
      <c r="AK295" s="443"/>
      <c r="AL295" s="443"/>
      <c r="AM295" s="456"/>
      <c r="AN295" s="456"/>
      <c r="AO295" s="456"/>
      <c r="AP295" s="456"/>
      <c r="AQ295" s="456"/>
      <c r="AR295" s="456"/>
      <c r="AS295" s="456"/>
      <c r="AT295" s="456"/>
      <c r="AU295" s="456"/>
      <c r="AV295" s="456"/>
      <c r="AW295" s="456"/>
      <c r="AX295" s="456"/>
      <c r="AY295" s="456"/>
      <c r="AZ295" s="456"/>
      <c r="BA295" s="456"/>
      <c r="BB295" s="456"/>
      <c r="BC295" s="456"/>
      <c r="BD295" s="456"/>
      <c r="BE295" s="456"/>
      <c r="BF295" s="456"/>
      <c r="BG295" s="456"/>
      <c r="BH295" s="456"/>
      <c r="BI295" s="456"/>
      <c r="BJ295" s="456"/>
      <c r="BK295" s="456"/>
      <c r="BL295" s="456"/>
      <c r="BM295" s="456"/>
      <c r="BN295" s="456"/>
      <c r="BO295" s="456"/>
      <c r="BP295" s="456"/>
      <c r="BQ295" s="456"/>
      <c r="BR295" s="456"/>
      <c r="BS295" s="456"/>
      <c r="BT295" s="456"/>
      <c r="BU295" s="456"/>
      <c r="BV295" s="456"/>
      <c r="BW295" s="456"/>
      <c r="BX295" s="456"/>
      <c r="BY295" s="456"/>
      <c r="BZ295" s="456"/>
      <c r="CA295" s="456"/>
      <c r="CB295" s="456"/>
      <c r="CC295" s="456"/>
      <c r="CD295" s="456"/>
      <c r="CE295" s="456"/>
      <c r="CF295" s="456"/>
      <c r="CG295" s="456"/>
      <c r="CH295" s="456"/>
      <c r="CI295" s="456"/>
      <c r="CJ295" s="456"/>
      <c r="CK295" s="456"/>
      <c r="CL295" s="456"/>
      <c r="CM295" s="456"/>
    </row>
    <row r="296" spans="1:91" ht="14.25" customHeight="1">
      <c r="A296" s="443"/>
      <c r="B296" s="443"/>
      <c r="C296" s="443"/>
      <c r="D296" s="443"/>
      <c r="E296" s="443"/>
      <c r="F296" s="443"/>
      <c r="G296" s="443"/>
      <c r="H296" s="443"/>
      <c r="I296" s="443"/>
      <c r="J296" s="443"/>
      <c r="K296" s="443"/>
      <c r="L296" s="443"/>
      <c r="M296" s="443"/>
      <c r="N296" s="443"/>
      <c r="O296" s="443"/>
      <c r="P296" s="443"/>
      <c r="Q296" s="443"/>
      <c r="R296" s="443"/>
      <c r="S296" s="443"/>
      <c r="T296" s="443"/>
      <c r="U296" s="443"/>
      <c r="V296" s="443"/>
      <c r="W296" s="443"/>
      <c r="X296" s="443"/>
      <c r="Y296" s="443"/>
      <c r="Z296" s="443"/>
      <c r="AA296" s="443"/>
      <c r="AB296" s="443"/>
      <c r="AC296" s="443"/>
      <c r="AD296" s="443"/>
      <c r="AE296" s="443"/>
      <c r="AF296" s="444"/>
      <c r="AG296" s="443"/>
      <c r="AH296" s="443"/>
      <c r="AI296" s="443"/>
      <c r="AJ296" s="443"/>
      <c r="AK296" s="443"/>
      <c r="AL296" s="443"/>
      <c r="AM296" s="456"/>
      <c r="AN296" s="456"/>
      <c r="AO296" s="456"/>
      <c r="AP296" s="456"/>
      <c r="AQ296" s="456"/>
      <c r="AR296" s="456"/>
      <c r="AS296" s="456"/>
      <c r="AT296" s="456"/>
      <c r="AU296" s="456"/>
      <c r="AV296" s="456"/>
      <c r="AW296" s="456"/>
      <c r="AX296" s="456"/>
      <c r="AY296" s="456"/>
      <c r="AZ296" s="456"/>
      <c r="BA296" s="456"/>
      <c r="BB296" s="456"/>
      <c r="BC296" s="456"/>
      <c r="BD296" s="456"/>
      <c r="BE296" s="456"/>
      <c r="BF296" s="456"/>
      <c r="BG296" s="456"/>
      <c r="BH296" s="456"/>
      <c r="BI296" s="456"/>
      <c r="BJ296" s="456"/>
      <c r="BK296" s="456"/>
      <c r="BL296" s="456"/>
      <c r="BM296" s="456"/>
      <c r="BN296" s="456"/>
      <c r="BO296" s="456"/>
      <c r="BP296" s="456"/>
      <c r="BQ296" s="456"/>
      <c r="BR296" s="456"/>
      <c r="BS296" s="456"/>
      <c r="BT296" s="456"/>
      <c r="BU296" s="456"/>
      <c r="BV296" s="456"/>
      <c r="BW296" s="456"/>
      <c r="BX296" s="456"/>
      <c r="BY296" s="456"/>
      <c r="BZ296" s="456"/>
      <c r="CA296" s="456"/>
      <c r="CB296" s="456"/>
      <c r="CC296" s="456"/>
      <c r="CD296" s="456"/>
      <c r="CE296" s="456"/>
      <c r="CF296" s="456"/>
      <c r="CG296" s="456"/>
      <c r="CH296" s="456"/>
      <c r="CI296" s="456"/>
      <c r="CJ296" s="456"/>
      <c r="CK296" s="456"/>
      <c r="CL296" s="456"/>
      <c r="CM296" s="456"/>
    </row>
    <row r="297" spans="1:91" ht="14.25" customHeight="1">
      <c r="A297" s="443"/>
      <c r="B297" s="443"/>
      <c r="C297" s="443"/>
      <c r="D297" s="443"/>
      <c r="E297" s="443"/>
      <c r="F297" s="443"/>
      <c r="G297" s="443"/>
      <c r="H297" s="443"/>
      <c r="I297" s="443"/>
      <c r="J297" s="443"/>
      <c r="K297" s="443"/>
      <c r="L297" s="443"/>
      <c r="M297" s="443"/>
      <c r="N297" s="443"/>
      <c r="O297" s="443"/>
      <c r="P297" s="443"/>
      <c r="Q297" s="443"/>
      <c r="R297" s="443"/>
      <c r="S297" s="443"/>
      <c r="T297" s="443"/>
      <c r="U297" s="443"/>
      <c r="V297" s="443"/>
      <c r="W297" s="443"/>
      <c r="X297" s="443"/>
      <c r="Y297" s="443"/>
      <c r="Z297" s="443"/>
      <c r="AA297" s="443"/>
      <c r="AB297" s="443"/>
      <c r="AC297" s="443"/>
      <c r="AD297" s="443"/>
      <c r="AE297" s="443"/>
      <c r="AF297" s="444"/>
      <c r="AG297" s="443"/>
      <c r="AH297" s="443"/>
      <c r="AI297" s="443"/>
      <c r="AJ297" s="443"/>
      <c r="AK297" s="443"/>
      <c r="AL297" s="443"/>
      <c r="AM297" s="456"/>
      <c r="AN297" s="456"/>
      <c r="AO297" s="456"/>
      <c r="AP297" s="456"/>
      <c r="AQ297" s="456"/>
      <c r="AR297" s="456"/>
      <c r="AS297" s="456"/>
      <c r="AT297" s="456"/>
      <c r="AU297" s="456"/>
      <c r="AV297" s="456"/>
      <c r="AW297" s="456"/>
      <c r="AX297" s="456"/>
      <c r="AY297" s="456"/>
      <c r="AZ297" s="456"/>
      <c r="BA297" s="456"/>
      <c r="BB297" s="456"/>
      <c r="BC297" s="456"/>
      <c r="BD297" s="456"/>
      <c r="BE297" s="456"/>
      <c r="BF297" s="456"/>
      <c r="BG297" s="456"/>
      <c r="BH297" s="456"/>
      <c r="BI297" s="456"/>
      <c r="BJ297" s="456"/>
      <c r="BK297" s="456"/>
      <c r="BL297" s="456"/>
      <c r="BM297" s="456"/>
      <c r="BN297" s="456"/>
      <c r="BO297" s="456"/>
      <c r="BP297" s="456"/>
      <c r="BQ297" s="456"/>
      <c r="BR297" s="456"/>
      <c r="BS297" s="456"/>
      <c r="BT297" s="456"/>
      <c r="BU297" s="456"/>
      <c r="BV297" s="456"/>
      <c r="BW297" s="456"/>
      <c r="BX297" s="456"/>
      <c r="BY297" s="456"/>
      <c r="BZ297" s="456"/>
      <c r="CA297" s="456"/>
      <c r="CB297" s="456"/>
      <c r="CC297" s="456"/>
      <c r="CD297" s="456"/>
      <c r="CE297" s="456"/>
      <c r="CF297" s="456"/>
      <c r="CG297" s="456"/>
      <c r="CH297" s="456"/>
      <c r="CI297" s="456"/>
      <c r="CJ297" s="456"/>
      <c r="CK297" s="456"/>
      <c r="CL297" s="456"/>
      <c r="CM297" s="456"/>
    </row>
    <row r="298" spans="1:91" ht="14.25" customHeight="1">
      <c r="A298" s="443"/>
      <c r="B298" s="443"/>
      <c r="C298" s="443"/>
      <c r="D298" s="443"/>
      <c r="E298" s="443"/>
      <c r="F298" s="443"/>
      <c r="G298" s="443"/>
      <c r="H298" s="443"/>
      <c r="I298" s="443"/>
      <c r="J298" s="443"/>
      <c r="K298" s="443"/>
      <c r="L298" s="443"/>
      <c r="M298" s="443"/>
      <c r="N298" s="443"/>
      <c r="O298" s="443"/>
      <c r="P298" s="443"/>
      <c r="Q298" s="443"/>
      <c r="R298" s="443"/>
      <c r="S298" s="443"/>
      <c r="T298" s="443"/>
      <c r="U298" s="443"/>
      <c r="V298" s="443"/>
      <c r="W298" s="443"/>
      <c r="X298" s="443"/>
      <c r="Y298" s="443"/>
      <c r="Z298" s="443"/>
      <c r="AA298" s="443"/>
      <c r="AB298" s="443"/>
      <c r="AC298" s="443"/>
      <c r="AD298" s="443"/>
      <c r="AE298" s="443"/>
      <c r="AF298" s="444"/>
      <c r="AG298" s="443"/>
      <c r="AH298" s="443"/>
      <c r="AI298" s="443"/>
      <c r="AJ298" s="443"/>
      <c r="AK298" s="443"/>
      <c r="AL298" s="443"/>
      <c r="AM298" s="456"/>
      <c r="AN298" s="456"/>
      <c r="AO298" s="456"/>
      <c r="AP298" s="456"/>
      <c r="AQ298" s="456"/>
      <c r="AR298" s="456"/>
      <c r="AS298" s="456"/>
      <c r="AT298" s="456"/>
      <c r="AU298" s="456"/>
      <c r="AV298" s="456"/>
      <c r="AW298" s="456"/>
      <c r="AX298" s="456"/>
      <c r="AY298" s="456"/>
      <c r="AZ298" s="456"/>
      <c r="BA298" s="456"/>
      <c r="BB298" s="456"/>
      <c r="BC298" s="456"/>
      <c r="BD298" s="456"/>
      <c r="BE298" s="456"/>
      <c r="BF298" s="456"/>
      <c r="BG298" s="456"/>
      <c r="BH298" s="456"/>
      <c r="BI298" s="456"/>
      <c r="BJ298" s="456"/>
      <c r="BK298" s="456"/>
      <c r="BL298" s="456"/>
      <c r="BM298" s="456"/>
      <c r="BN298" s="456"/>
      <c r="BO298" s="456"/>
      <c r="BP298" s="456"/>
      <c r="BQ298" s="456"/>
      <c r="BR298" s="456"/>
      <c r="BS298" s="456"/>
      <c r="BT298" s="456"/>
      <c r="BU298" s="456"/>
      <c r="BV298" s="456"/>
      <c r="BW298" s="456"/>
      <c r="BX298" s="456"/>
      <c r="BY298" s="456"/>
      <c r="BZ298" s="456"/>
      <c r="CA298" s="456"/>
      <c r="CB298" s="456"/>
      <c r="CC298" s="456"/>
      <c r="CD298" s="456"/>
      <c r="CE298" s="456"/>
      <c r="CF298" s="456"/>
      <c r="CG298" s="456"/>
      <c r="CH298" s="456"/>
      <c r="CI298" s="456"/>
      <c r="CJ298" s="456"/>
      <c r="CK298" s="456"/>
      <c r="CL298" s="456"/>
      <c r="CM298" s="456"/>
    </row>
    <row r="299" spans="1:91" ht="14.25" customHeight="1">
      <c r="A299" s="443"/>
      <c r="B299" s="443"/>
      <c r="C299" s="443"/>
      <c r="D299" s="443"/>
      <c r="E299" s="443"/>
      <c r="F299" s="443"/>
      <c r="G299" s="443"/>
      <c r="H299" s="443"/>
      <c r="I299" s="443"/>
      <c r="J299" s="443"/>
      <c r="K299" s="443"/>
      <c r="L299" s="443"/>
      <c r="M299" s="443"/>
      <c r="N299" s="443"/>
      <c r="O299" s="443"/>
      <c r="P299" s="443"/>
      <c r="Q299" s="443"/>
      <c r="R299" s="443"/>
      <c r="S299" s="443"/>
      <c r="T299" s="443"/>
      <c r="U299" s="443"/>
      <c r="V299" s="443"/>
      <c r="W299" s="443"/>
      <c r="X299" s="443"/>
      <c r="Y299" s="443"/>
      <c r="Z299" s="443"/>
      <c r="AA299" s="443"/>
      <c r="AB299" s="443"/>
      <c r="AC299" s="443"/>
      <c r="AD299" s="443"/>
      <c r="AE299" s="443"/>
      <c r="AF299" s="444"/>
      <c r="AG299" s="443"/>
      <c r="AH299" s="443"/>
      <c r="AI299" s="443"/>
      <c r="AJ299" s="443"/>
      <c r="AK299" s="443"/>
      <c r="AL299" s="443"/>
      <c r="AM299" s="456"/>
      <c r="AN299" s="456"/>
      <c r="AO299" s="456"/>
      <c r="AP299" s="456"/>
      <c r="AQ299" s="456"/>
      <c r="AR299" s="456"/>
      <c r="AS299" s="456"/>
      <c r="AT299" s="456"/>
      <c r="AU299" s="456"/>
      <c r="AV299" s="456"/>
      <c r="AW299" s="456"/>
      <c r="AX299" s="456"/>
      <c r="AY299" s="456"/>
      <c r="AZ299" s="456"/>
      <c r="BA299" s="456"/>
      <c r="BB299" s="456"/>
      <c r="BC299" s="456"/>
      <c r="BD299" s="456"/>
      <c r="BE299" s="456"/>
      <c r="BF299" s="456"/>
      <c r="BG299" s="456"/>
      <c r="BH299" s="456"/>
      <c r="BI299" s="456"/>
      <c r="BJ299" s="456"/>
      <c r="BK299" s="456"/>
      <c r="BL299" s="456"/>
      <c r="BM299" s="456"/>
      <c r="BN299" s="456"/>
      <c r="BO299" s="456"/>
      <c r="BP299" s="456"/>
      <c r="BQ299" s="456"/>
      <c r="BR299" s="456"/>
      <c r="BS299" s="456"/>
      <c r="BT299" s="456"/>
      <c r="BU299" s="456"/>
      <c r="BV299" s="456"/>
      <c r="BW299" s="456"/>
      <c r="BX299" s="456"/>
      <c r="BY299" s="456"/>
      <c r="BZ299" s="456"/>
      <c r="CA299" s="456"/>
      <c r="CB299" s="456"/>
      <c r="CC299" s="456"/>
      <c r="CD299" s="456"/>
      <c r="CE299" s="456"/>
      <c r="CF299" s="456"/>
      <c r="CG299" s="456"/>
      <c r="CH299" s="456"/>
      <c r="CI299" s="456"/>
      <c r="CJ299" s="456"/>
      <c r="CK299" s="456"/>
      <c r="CL299" s="456"/>
      <c r="CM299" s="456"/>
    </row>
    <row r="300" spans="1:91" ht="14.25" customHeight="1">
      <c r="A300" s="443"/>
      <c r="B300" s="443"/>
      <c r="C300" s="443"/>
      <c r="D300" s="443"/>
      <c r="E300" s="443"/>
      <c r="F300" s="443"/>
      <c r="G300" s="443"/>
      <c r="H300" s="443"/>
      <c r="I300" s="443"/>
      <c r="J300" s="443"/>
      <c r="K300" s="443"/>
      <c r="L300" s="443"/>
      <c r="M300" s="443"/>
      <c r="N300" s="443"/>
      <c r="O300" s="443"/>
      <c r="P300" s="443"/>
      <c r="Q300" s="443"/>
      <c r="R300" s="443"/>
      <c r="S300" s="443"/>
      <c r="T300" s="443"/>
      <c r="U300" s="443"/>
      <c r="V300" s="443"/>
      <c r="W300" s="443"/>
      <c r="X300" s="443"/>
      <c r="Y300" s="443"/>
      <c r="Z300" s="443"/>
      <c r="AA300" s="443"/>
      <c r="AB300" s="443"/>
      <c r="AC300" s="443"/>
      <c r="AD300" s="443"/>
      <c r="AE300" s="443"/>
      <c r="AF300" s="444"/>
      <c r="AG300" s="443"/>
      <c r="AH300" s="443"/>
      <c r="AI300" s="443"/>
      <c r="AJ300" s="443"/>
      <c r="AK300" s="443"/>
      <c r="AL300" s="443"/>
      <c r="AM300" s="456"/>
      <c r="AN300" s="456"/>
      <c r="AO300" s="456"/>
      <c r="AP300" s="456"/>
      <c r="AQ300" s="456"/>
      <c r="AR300" s="456"/>
      <c r="AS300" s="456"/>
      <c r="AT300" s="456"/>
      <c r="AU300" s="456"/>
      <c r="AV300" s="456"/>
      <c r="AW300" s="456"/>
      <c r="AX300" s="456"/>
      <c r="AY300" s="456"/>
      <c r="AZ300" s="456"/>
      <c r="BA300" s="456"/>
      <c r="BB300" s="456"/>
      <c r="BC300" s="456"/>
      <c r="BD300" s="456"/>
      <c r="BE300" s="456"/>
      <c r="BF300" s="456"/>
      <c r="BG300" s="456"/>
      <c r="BH300" s="456"/>
      <c r="BI300" s="456"/>
      <c r="BJ300" s="456"/>
      <c r="BK300" s="456"/>
      <c r="BL300" s="456"/>
      <c r="BM300" s="456"/>
      <c r="BN300" s="456"/>
      <c r="BO300" s="456"/>
      <c r="BP300" s="456"/>
      <c r="BQ300" s="456"/>
      <c r="BR300" s="456"/>
      <c r="BS300" s="456"/>
      <c r="BT300" s="456"/>
      <c r="BU300" s="456"/>
      <c r="BV300" s="456"/>
      <c r="BW300" s="456"/>
      <c r="BX300" s="456"/>
      <c r="BY300" s="456"/>
      <c r="BZ300" s="456"/>
      <c r="CA300" s="456"/>
      <c r="CB300" s="456"/>
      <c r="CC300" s="456"/>
      <c r="CD300" s="456"/>
      <c r="CE300" s="456"/>
      <c r="CF300" s="456"/>
      <c r="CG300" s="456"/>
      <c r="CH300" s="456"/>
      <c r="CI300" s="456"/>
      <c r="CJ300" s="456"/>
      <c r="CK300" s="456"/>
      <c r="CL300" s="456"/>
      <c r="CM300" s="456"/>
    </row>
    <row r="301" spans="1:91" ht="14.25" customHeight="1">
      <c r="A301" s="443"/>
      <c r="B301" s="443"/>
      <c r="C301" s="443"/>
      <c r="D301" s="443"/>
      <c r="E301" s="443"/>
      <c r="F301" s="443"/>
      <c r="G301" s="443"/>
      <c r="H301" s="443"/>
      <c r="I301" s="443"/>
      <c r="J301" s="443"/>
      <c r="K301" s="443"/>
      <c r="L301" s="443"/>
      <c r="M301" s="443"/>
      <c r="N301" s="443"/>
      <c r="O301" s="443"/>
      <c r="P301" s="443"/>
      <c r="Q301" s="443"/>
      <c r="R301" s="443"/>
      <c r="S301" s="443"/>
      <c r="T301" s="443"/>
      <c r="U301" s="443"/>
      <c r="V301" s="443"/>
      <c r="W301" s="443"/>
      <c r="X301" s="443"/>
      <c r="Y301" s="443"/>
      <c r="Z301" s="443"/>
      <c r="AA301" s="443"/>
      <c r="AB301" s="443"/>
      <c r="AC301" s="443"/>
      <c r="AD301" s="443"/>
      <c r="AE301" s="443"/>
      <c r="AF301" s="444"/>
      <c r="AG301" s="443"/>
      <c r="AH301" s="443"/>
      <c r="AI301" s="443"/>
      <c r="AJ301" s="443"/>
      <c r="AK301" s="443"/>
      <c r="AL301" s="443"/>
      <c r="AM301" s="456"/>
      <c r="AN301" s="456"/>
      <c r="AO301" s="456"/>
      <c r="AP301" s="456"/>
      <c r="AQ301" s="456"/>
      <c r="AR301" s="456"/>
      <c r="AS301" s="456"/>
      <c r="AT301" s="456"/>
      <c r="AU301" s="456"/>
      <c r="AV301" s="456"/>
      <c r="AW301" s="456"/>
      <c r="AX301" s="456"/>
      <c r="AY301" s="456"/>
      <c r="AZ301" s="456"/>
      <c r="BA301" s="456"/>
      <c r="BB301" s="456"/>
      <c r="BC301" s="456"/>
      <c r="BD301" s="456"/>
      <c r="BE301" s="456"/>
      <c r="BF301" s="456"/>
      <c r="BG301" s="456"/>
      <c r="BH301" s="456"/>
      <c r="BI301" s="456"/>
      <c r="BJ301" s="456"/>
      <c r="BK301" s="456"/>
      <c r="BL301" s="456"/>
      <c r="BM301" s="456"/>
      <c r="BN301" s="456"/>
      <c r="BO301" s="456"/>
      <c r="BP301" s="456"/>
      <c r="BQ301" s="456"/>
      <c r="BR301" s="456"/>
      <c r="BS301" s="456"/>
      <c r="BT301" s="456"/>
      <c r="BU301" s="456"/>
      <c r="BV301" s="456"/>
      <c r="BW301" s="456"/>
      <c r="BX301" s="456"/>
      <c r="BY301" s="456"/>
      <c r="BZ301" s="456"/>
      <c r="CA301" s="456"/>
      <c r="CB301" s="456"/>
      <c r="CC301" s="456"/>
      <c r="CD301" s="456"/>
      <c r="CE301" s="456"/>
      <c r="CF301" s="456"/>
      <c r="CG301" s="456"/>
      <c r="CH301" s="456"/>
      <c r="CI301" s="456"/>
      <c r="CJ301" s="456"/>
      <c r="CK301" s="456"/>
      <c r="CL301" s="456"/>
      <c r="CM301" s="456"/>
    </row>
    <row r="302" spans="1:91" ht="14.25" customHeight="1">
      <c r="A302" s="443"/>
      <c r="B302" s="443"/>
      <c r="C302" s="443"/>
      <c r="D302" s="443"/>
      <c r="E302" s="443"/>
      <c r="F302" s="443"/>
      <c r="G302" s="443"/>
      <c r="H302" s="443"/>
      <c r="I302" s="443"/>
      <c r="J302" s="443"/>
      <c r="K302" s="443"/>
      <c r="L302" s="443"/>
      <c r="M302" s="443"/>
      <c r="N302" s="443"/>
      <c r="O302" s="443"/>
      <c r="P302" s="443"/>
      <c r="Q302" s="443"/>
      <c r="R302" s="443"/>
      <c r="S302" s="443"/>
      <c r="T302" s="443"/>
      <c r="U302" s="443"/>
      <c r="V302" s="443"/>
      <c r="W302" s="443"/>
      <c r="X302" s="443"/>
      <c r="Y302" s="443"/>
      <c r="Z302" s="443"/>
      <c r="AA302" s="443"/>
      <c r="AB302" s="443"/>
      <c r="AC302" s="443"/>
      <c r="AD302" s="443"/>
      <c r="AE302" s="443"/>
      <c r="AF302" s="444"/>
      <c r="AG302" s="443"/>
      <c r="AH302" s="443"/>
      <c r="AI302" s="443"/>
      <c r="AJ302" s="443"/>
      <c r="AK302" s="443"/>
      <c r="AL302" s="443"/>
      <c r="AM302" s="456"/>
      <c r="AN302" s="456"/>
      <c r="AO302" s="456"/>
      <c r="AP302" s="456"/>
      <c r="AQ302" s="456"/>
      <c r="AR302" s="456"/>
      <c r="AS302" s="456"/>
      <c r="AT302" s="456"/>
      <c r="AU302" s="456"/>
      <c r="AV302" s="456"/>
      <c r="AW302" s="456"/>
      <c r="AX302" s="456"/>
      <c r="AY302" s="456"/>
      <c r="AZ302" s="456"/>
      <c r="BA302" s="456"/>
      <c r="BB302" s="456"/>
      <c r="BC302" s="456"/>
      <c r="BD302" s="456"/>
      <c r="BE302" s="456"/>
      <c r="BF302" s="456"/>
      <c r="BG302" s="456"/>
      <c r="BH302" s="456"/>
      <c r="BI302" s="456"/>
      <c r="BJ302" s="456"/>
      <c r="BK302" s="456"/>
      <c r="BL302" s="456"/>
      <c r="BM302" s="456"/>
      <c r="BN302" s="456"/>
      <c r="BO302" s="456"/>
      <c r="BP302" s="456"/>
      <c r="BQ302" s="456"/>
      <c r="BR302" s="456"/>
      <c r="BS302" s="456"/>
      <c r="BT302" s="456"/>
      <c r="BU302" s="456"/>
      <c r="BV302" s="456"/>
      <c r="BW302" s="456"/>
      <c r="BX302" s="456"/>
      <c r="BY302" s="456"/>
      <c r="BZ302" s="456"/>
      <c r="CA302" s="456"/>
      <c r="CB302" s="456"/>
      <c r="CC302" s="456"/>
      <c r="CD302" s="456"/>
      <c r="CE302" s="456"/>
      <c r="CF302" s="456"/>
      <c r="CG302" s="456"/>
      <c r="CH302" s="456"/>
      <c r="CI302" s="456"/>
      <c r="CJ302" s="456"/>
      <c r="CK302" s="456"/>
      <c r="CL302" s="456"/>
      <c r="CM302" s="456"/>
    </row>
    <row r="303" spans="1:91" ht="14.25" customHeight="1">
      <c r="A303" s="443"/>
      <c r="B303" s="443"/>
      <c r="C303" s="443"/>
      <c r="D303" s="443"/>
      <c r="E303" s="443"/>
      <c r="F303" s="443"/>
      <c r="G303" s="443"/>
      <c r="H303" s="443"/>
      <c r="I303" s="443"/>
      <c r="J303" s="443"/>
      <c r="K303" s="443"/>
      <c r="L303" s="443"/>
      <c r="M303" s="443"/>
      <c r="N303" s="443"/>
      <c r="O303" s="443"/>
      <c r="P303" s="443"/>
      <c r="Q303" s="443"/>
      <c r="R303" s="443"/>
      <c r="S303" s="443"/>
      <c r="T303" s="443"/>
      <c r="U303" s="443"/>
      <c r="V303" s="443"/>
      <c r="W303" s="443"/>
      <c r="X303" s="443"/>
      <c r="Y303" s="443"/>
      <c r="Z303" s="443"/>
      <c r="AA303" s="443"/>
      <c r="AB303" s="443"/>
      <c r="AC303" s="443"/>
      <c r="AD303" s="443"/>
      <c r="AE303" s="443"/>
      <c r="AF303" s="444"/>
      <c r="AG303" s="443"/>
      <c r="AH303" s="443"/>
      <c r="AI303" s="443"/>
      <c r="AJ303" s="443"/>
      <c r="AK303" s="443"/>
      <c r="AL303" s="443"/>
      <c r="AM303" s="456"/>
      <c r="AN303" s="456"/>
      <c r="AO303" s="456"/>
      <c r="AP303" s="456"/>
      <c r="AQ303" s="456"/>
      <c r="AR303" s="456"/>
      <c r="AS303" s="456"/>
      <c r="AT303" s="456"/>
      <c r="AU303" s="456"/>
      <c r="AV303" s="456"/>
      <c r="AW303" s="456"/>
      <c r="AX303" s="456"/>
      <c r="AY303" s="456"/>
      <c r="AZ303" s="456"/>
      <c r="BA303" s="456"/>
      <c r="BB303" s="456"/>
      <c r="BC303" s="456"/>
      <c r="BD303" s="456"/>
      <c r="BE303" s="456"/>
      <c r="BF303" s="456"/>
      <c r="BG303" s="456"/>
      <c r="BH303" s="456"/>
      <c r="BI303" s="456"/>
      <c r="BJ303" s="456"/>
      <c r="BK303" s="456"/>
      <c r="BL303" s="456"/>
      <c r="BM303" s="456"/>
      <c r="BN303" s="456"/>
      <c r="BO303" s="456"/>
      <c r="BP303" s="456"/>
      <c r="BQ303" s="456"/>
      <c r="BR303" s="456"/>
      <c r="BS303" s="456"/>
      <c r="BT303" s="456"/>
      <c r="BU303" s="456"/>
      <c r="BV303" s="456"/>
      <c r="BW303" s="456"/>
      <c r="BX303" s="456"/>
      <c r="BY303" s="456"/>
      <c r="BZ303" s="456"/>
      <c r="CA303" s="456"/>
      <c r="CB303" s="456"/>
      <c r="CC303" s="456"/>
      <c r="CD303" s="456"/>
      <c r="CE303" s="456"/>
      <c r="CF303" s="456"/>
      <c r="CG303" s="456"/>
      <c r="CH303" s="456"/>
      <c r="CI303" s="456"/>
      <c r="CJ303" s="456"/>
      <c r="CK303" s="456"/>
      <c r="CL303" s="456"/>
      <c r="CM303" s="456"/>
    </row>
    <row r="304" spans="1:91" ht="14.25" customHeight="1">
      <c r="A304" s="443"/>
      <c r="B304" s="443"/>
      <c r="C304" s="443"/>
      <c r="D304" s="443"/>
      <c r="E304" s="443"/>
      <c r="F304" s="443"/>
      <c r="G304" s="443"/>
      <c r="H304" s="443"/>
      <c r="I304" s="443"/>
      <c r="J304" s="443"/>
      <c r="K304" s="443"/>
      <c r="L304" s="443"/>
      <c r="M304" s="443"/>
      <c r="N304" s="443"/>
      <c r="O304" s="443"/>
      <c r="P304" s="443"/>
      <c r="Q304" s="443"/>
      <c r="R304" s="443"/>
      <c r="S304" s="443"/>
      <c r="T304" s="443"/>
      <c r="U304" s="443"/>
      <c r="V304" s="443"/>
      <c r="W304" s="443"/>
      <c r="X304" s="443"/>
      <c r="Y304" s="443"/>
      <c r="Z304" s="443"/>
      <c r="AA304" s="443"/>
      <c r="AB304" s="443"/>
      <c r="AC304" s="443"/>
      <c r="AD304" s="443"/>
      <c r="AE304" s="443"/>
      <c r="AF304" s="444"/>
      <c r="AG304" s="443"/>
      <c r="AH304" s="443"/>
      <c r="AI304" s="443"/>
      <c r="AJ304" s="443"/>
      <c r="AK304" s="443"/>
      <c r="AL304" s="443"/>
      <c r="AM304" s="456"/>
      <c r="AN304" s="456"/>
      <c r="AO304" s="456"/>
      <c r="AP304" s="456"/>
      <c r="AQ304" s="456"/>
      <c r="AR304" s="456"/>
      <c r="AS304" s="456"/>
      <c r="AT304" s="456"/>
      <c r="AU304" s="456"/>
      <c r="AV304" s="456"/>
      <c r="AW304" s="456"/>
      <c r="AX304" s="456"/>
      <c r="AY304" s="456"/>
      <c r="AZ304" s="456"/>
      <c r="BA304" s="456"/>
      <c r="BB304" s="456"/>
      <c r="BC304" s="456"/>
      <c r="BD304" s="456"/>
      <c r="BE304" s="456"/>
      <c r="BF304" s="456"/>
      <c r="BG304" s="456"/>
      <c r="BH304" s="456"/>
      <c r="BI304" s="456"/>
      <c r="BJ304" s="456"/>
      <c r="BK304" s="456"/>
      <c r="BL304" s="456"/>
      <c r="BM304" s="456"/>
      <c r="BN304" s="456"/>
      <c r="BO304" s="456"/>
      <c r="BP304" s="456"/>
      <c r="BQ304" s="456"/>
      <c r="BR304" s="456"/>
      <c r="BS304" s="456"/>
      <c r="BT304" s="456"/>
      <c r="BU304" s="456"/>
      <c r="BV304" s="456"/>
      <c r="BW304" s="456"/>
      <c r="BX304" s="456"/>
      <c r="BY304" s="456"/>
      <c r="BZ304" s="456"/>
      <c r="CA304" s="456"/>
      <c r="CB304" s="456"/>
      <c r="CC304" s="456"/>
      <c r="CD304" s="456"/>
      <c r="CE304" s="456"/>
      <c r="CF304" s="456"/>
      <c r="CG304" s="456"/>
      <c r="CH304" s="456"/>
      <c r="CI304" s="456"/>
      <c r="CJ304" s="456"/>
      <c r="CK304" s="456"/>
      <c r="CL304" s="456"/>
      <c r="CM304" s="456"/>
    </row>
    <row r="305" spans="1:91" ht="14.25" customHeight="1">
      <c r="A305" s="443"/>
      <c r="B305" s="443"/>
      <c r="C305" s="443"/>
      <c r="D305" s="443"/>
      <c r="E305" s="443"/>
      <c r="F305" s="443"/>
      <c r="G305" s="443"/>
      <c r="H305" s="443"/>
      <c r="I305" s="443"/>
      <c r="J305" s="443"/>
      <c r="K305" s="443"/>
      <c r="L305" s="443"/>
      <c r="M305" s="443"/>
      <c r="N305" s="443"/>
      <c r="O305" s="443"/>
      <c r="P305" s="443"/>
      <c r="Q305" s="443"/>
      <c r="R305" s="443"/>
      <c r="S305" s="443"/>
      <c r="T305" s="443"/>
      <c r="U305" s="443"/>
      <c r="V305" s="443"/>
      <c r="W305" s="443"/>
      <c r="X305" s="443"/>
      <c r="Y305" s="443"/>
      <c r="Z305" s="443"/>
      <c r="AA305" s="443"/>
      <c r="AB305" s="443"/>
      <c r="AC305" s="443"/>
      <c r="AD305" s="443"/>
      <c r="AE305" s="443"/>
      <c r="AF305" s="444"/>
      <c r="AG305" s="443"/>
      <c r="AH305" s="443"/>
      <c r="AI305" s="443"/>
      <c r="AJ305" s="443"/>
      <c r="AK305" s="443"/>
      <c r="AL305" s="443"/>
      <c r="AM305" s="456"/>
      <c r="AN305" s="456"/>
      <c r="AO305" s="456"/>
      <c r="AP305" s="456"/>
      <c r="AQ305" s="456"/>
      <c r="AR305" s="456"/>
      <c r="AS305" s="456"/>
      <c r="AT305" s="456"/>
      <c r="AU305" s="456"/>
      <c r="AV305" s="456"/>
      <c r="AW305" s="456"/>
      <c r="AX305" s="456"/>
      <c r="AY305" s="456"/>
      <c r="AZ305" s="456"/>
      <c r="BA305" s="456"/>
      <c r="BB305" s="456"/>
      <c r="BC305" s="456"/>
      <c r="BD305" s="456"/>
      <c r="BE305" s="456"/>
      <c r="BF305" s="456"/>
      <c r="BG305" s="456"/>
      <c r="BH305" s="456"/>
      <c r="BI305" s="456"/>
      <c r="BJ305" s="456"/>
      <c r="BK305" s="456"/>
      <c r="BL305" s="456"/>
      <c r="BM305" s="456"/>
      <c r="BN305" s="456"/>
      <c r="BO305" s="456"/>
      <c r="BP305" s="456"/>
      <c r="BQ305" s="456"/>
      <c r="BR305" s="456"/>
      <c r="BS305" s="456"/>
      <c r="BT305" s="456"/>
      <c r="BU305" s="456"/>
      <c r="BV305" s="456"/>
      <c r="BW305" s="456"/>
      <c r="BX305" s="456"/>
      <c r="BY305" s="456"/>
      <c r="BZ305" s="456"/>
      <c r="CA305" s="456"/>
      <c r="CB305" s="456"/>
      <c r="CC305" s="456"/>
      <c r="CD305" s="456"/>
      <c r="CE305" s="456"/>
      <c r="CF305" s="456"/>
      <c r="CG305" s="456"/>
      <c r="CH305" s="456"/>
      <c r="CI305" s="456"/>
      <c r="CJ305" s="456"/>
      <c r="CK305" s="456"/>
      <c r="CL305" s="456"/>
      <c r="CM305" s="456"/>
    </row>
    <row r="306" spans="1:91" ht="14.25" customHeight="1">
      <c r="A306" s="443"/>
      <c r="B306" s="443"/>
      <c r="C306" s="443"/>
      <c r="D306" s="443"/>
      <c r="E306" s="443"/>
      <c r="F306" s="443"/>
      <c r="G306" s="443"/>
      <c r="H306" s="443"/>
      <c r="I306" s="443"/>
      <c r="J306" s="443"/>
      <c r="K306" s="443"/>
      <c r="L306" s="443"/>
      <c r="M306" s="443"/>
      <c r="N306" s="443"/>
      <c r="O306" s="443"/>
      <c r="P306" s="443"/>
      <c r="Q306" s="443"/>
      <c r="R306" s="443"/>
      <c r="S306" s="443"/>
      <c r="T306" s="443"/>
      <c r="U306" s="443"/>
      <c r="V306" s="443"/>
      <c r="W306" s="443"/>
      <c r="X306" s="443"/>
      <c r="Y306" s="443"/>
      <c r="Z306" s="443"/>
      <c r="AA306" s="443"/>
      <c r="AB306" s="443"/>
      <c r="AC306" s="443"/>
      <c r="AD306" s="443"/>
      <c r="AE306" s="443"/>
      <c r="AF306" s="444"/>
      <c r="AG306" s="443"/>
      <c r="AH306" s="443"/>
      <c r="AI306" s="443"/>
      <c r="AJ306" s="443"/>
      <c r="AK306" s="443"/>
      <c r="AL306" s="443"/>
      <c r="AM306" s="456"/>
      <c r="AN306" s="456"/>
      <c r="AO306" s="456"/>
      <c r="AP306" s="456"/>
      <c r="AQ306" s="456"/>
      <c r="AR306" s="456"/>
      <c r="AS306" s="456"/>
      <c r="AT306" s="456"/>
      <c r="AU306" s="456"/>
      <c r="AV306" s="456"/>
      <c r="AW306" s="456"/>
      <c r="AX306" s="456"/>
      <c r="AY306" s="456"/>
      <c r="AZ306" s="456"/>
      <c r="BA306" s="456"/>
      <c r="BB306" s="456"/>
      <c r="BC306" s="456"/>
      <c r="BD306" s="456"/>
      <c r="BE306" s="456"/>
      <c r="BF306" s="456"/>
      <c r="BG306" s="456"/>
      <c r="BH306" s="456"/>
      <c r="BI306" s="456"/>
      <c r="BJ306" s="456"/>
      <c r="BK306" s="456"/>
      <c r="BL306" s="456"/>
      <c r="BM306" s="456"/>
      <c r="BN306" s="456"/>
      <c r="BO306" s="456"/>
      <c r="BP306" s="456"/>
      <c r="BQ306" s="456"/>
      <c r="BR306" s="456"/>
      <c r="BS306" s="456"/>
      <c r="BT306" s="456"/>
      <c r="BU306" s="456"/>
      <c r="BV306" s="456"/>
      <c r="BW306" s="456"/>
      <c r="BX306" s="456"/>
      <c r="BY306" s="456"/>
      <c r="BZ306" s="456"/>
      <c r="CA306" s="456"/>
      <c r="CB306" s="456"/>
      <c r="CC306" s="456"/>
      <c r="CD306" s="456"/>
      <c r="CE306" s="456"/>
      <c r="CF306" s="456"/>
      <c r="CG306" s="456"/>
      <c r="CH306" s="456"/>
      <c r="CI306" s="456"/>
      <c r="CJ306" s="456"/>
      <c r="CK306" s="456"/>
      <c r="CL306" s="456"/>
      <c r="CM306" s="456"/>
    </row>
    <row r="307" spans="1:91" ht="14.25" customHeight="1">
      <c r="A307" s="443"/>
      <c r="B307" s="443"/>
      <c r="C307" s="443"/>
      <c r="D307" s="443"/>
      <c r="E307" s="443"/>
      <c r="F307" s="443"/>
      <c r="G307" s="443"/>
      <c r="H307" s="443"/>
      <c r="I307" s="443"/>
      <c r="J307" s="443"/>
      <c r="K307" s="443"/>
      <c r="L307" s="443"/>
      <c r="M307" s="443"/>
      <c r="N307" s="443"/>
      <c r="O307" s="443"/>
      <c r="P307" s="443"/>
      <c r="Q307" s="443"/>
      <c r="R307" s="443"/>
      <c r="S307" s="443"/>
      <c r="T307" s="443"/>
      <c r="U307" s="443"/>
      <c r="V307" s="443"/>
      <c r="W307" s="443"/>
      <c r="X307" s="443"/>
      <c r="Y307" s="443"/>
      <c r="Z307" s="443"/>
      <c r="AA307" s="443"/>
      <c r="AB307" s="443"/>
      <c r="AC307" s="443"/>
      <c r="AD307" s="443"/>
      <c r="AE307" s="443"/>
      <c r="AF307" s="444"/>
      <c r="AG307" s="443"/>
      <c r="AH307" s="443"/>
      <c r="AI307" s="443"/>
      <c r="AJ307" s="443"/>
      <c r="AK307" s="443"/>
      <c r="AL307" s="443"/>
      <c r="AM307" s="456"/>
      <c r="AN307" s="456"/>
      <c r="AO307" s="456"/>
      <c r="AP307" s="456"/>
      <c r="AQ307" s="456"/>
      <c r="AR307" s="456"/>
      <c r="AS307" s="456"/>
      <c r="AT307" s="456"/>
      <c r="AU307" s="456"/>
      <c r="AV307" s="456"/>
      <c r="AW307" s="456"/>
      <c r="AX307" s="456"/>
      <c r="AY307" s="456"/>
      <c r="AZ307" s="456"/>
      <c r="BA307" s="456"/>
      <c r="BB307" s="456"/>
      <c r="BC307" s="456"/>
      <c r="BD307" s="456"/>
      <c r="BE307" s="456"/>
      <c r="BF307" s="456"/>
      <c r="BG307" s="456"/>
      <c r="BH307" s="456"/>
      <c r="BI307" s="456"/>
      <c r="BJ307" s="456"/>
      <c r="BK307" s="456"/>
      <c r="BL307" s="456"/>
      <c r="BM307" s="456"/>
      <c r="BN307" s="456"/>
      <c r="BO307" s="456"/>
      <c r="BP307" s="456"/>
      <c r="BQ307" s="456"/>
      <c r="BR307" s="456"/>
      <c r="BS307" s="456"/>
      <c r="BT307" s="456"/>
      <c r="BU307" s="456"/>
      <c r="BV307" s="456"/>
      <c r="BW307" s="456"/>
      <c r="BX307" s="456"/>
      <c r="BY307" s="456"/>
      <c r="BZ307" s="456"/>
      <c r="CA307" s="456"/>
      <c r="CB307" s="456"/>
      <c r="CC307" s="456"/>
      <c r="CD307" s="456"/>
      <c r="CE307" s="456"/>
      <c r="CF307" s="456"/>
      <c r="CG307" s="456"/>
      <c r="CH307" s="456"/>
      <c r="CI307" s="456"/>
      <c r="CJ307" s="456"/>
      <c r="CK307" s="456"/>
      <c r="CL307" s="456"/>
      <c r="CM307" s="456"/>
    </row>
    <row r="308" spans="1:91" ht="14.25" customHeight="1">
      <c r="A308" s="443"/>
      <c r="B308" s="443"/>
      <c r="C308" s="443"/>
      <c r="D308" s="443"/>
      <c r="E308" s="443"/>
      <c r="F308" s="443"/>
      <c r="G308" s="443"/>
      <c r="H308" s="443"/>
      <c r="I308" s="443"/>
      <c r="J308" s="443"/>
      <c r="K308" s="443"/>
      <c r="L308" s="443"/>
      <c r="M308" s="443"/>
      <c r="N308" s="443"/>
      <c r="O308" s="443"/>
      <c r="P308" s="443"/>
      <c r="Q308" s="443"/>
      <c r="R308" s="443"/>
      <c r="S308" s="443"/>
      <c r="T308" s="443"/>
      <c r="U308" s="443"/>
      <c r="V308" s="443"/>
      <c r="W308" s="443"/>
      <c r="X308" s="443"/>
      <c r="Y308" s="443"/>
      <c r="Z308" s="443"/>
      <c r="AA308" s="443"/>
      <c r="AB308" s="443"/>
      <c r="AC308" s="443"/>
      <c r="AD308" s="443"/>
      <c r="AE308" s="443"/>
      <c r="AF308" s="444"/>
      <c r="AG308" s="443"/>
      <c r="AH308" s="443"/>
      <c r="AI308" s="443"/>
      <c r="AJ308" s="443"/>
      <c r="AK308" s="443"/>
      <c r="AL308" s="443"/>
      <c r="AM308" s="456"/>
      <c r="AN308" s="456"/>
      <c r="AO308" s="456"/>
      <c r="AP308" s="456"/>
      <c r="AQ308" s="456"/>
      <c r="AR308" s="456"/>
      <c r="AS308" s="456"/>
      <c r="AT308" s="456"/>
      <c r="AU308" s="456"/>
      <c r="AV308" s="456"/>
      <c r="AW308" s="456"/>
      <c r="AX308" s="456"/>
      <c r="AY308" s="456"/>
      <c r="AZ308" s="456"/>
      <c r="BA308" s="456"/>
      <c r="BB308" s="456"/>
      <c r="BC308" s="456"/>
      <c r="BD308" s="456"/>
      <c r="BE308" s="456"/>
      <c r="BF308" s="456"/>
      <c r="BG308" s="456"/>
      <c r="BH308" s="456"/>
      <c r="BI308" s="456"/>
      <c r="BJ308" s="456"/>
      <c r="BK308" s="456"/>
      <c r="BL308" s="456"/>
      <c r="BM308" s="456"/>
      <c r="BN308" s="456"/>
      <c r="BO308" s="456"/>
      <c r="BP308" s="456"/>
      <c r="BQ308" s="456"/>
      <c r="BR308" s="456"/>
      <c r="BS308" s="456"/>
      <c r="BT308" s="456"/>
      <c r="BU308" s="456"/>
      <c r="BV308" s="456"/>
      <c r="BW308" s="456"/>
      <c r="BX308" s="456"/>
      <c r="BY308" s="456"/>
      <c r="BZ308" s="456"/>
      <c r="CA308" s="456"/>
      <c r="CB308" s="456"/>
      <c r="CC308" s="456"/>
      <c r="CD308" s="456"/>
      <c r="CE308" s="456"/>
      <c r="CF308" s="456"/>
      <c r="CG308" s="456"/>
      <c r="CH308" s="456"/>
      <c r="CI308" s="456"/>
      <c r="CJ308" s="456"/>
      <c r="CK308" s="456"/>
      <c r="CL308" s="456"/>
      <c r="CM308" s="456"/>
    </row>
    <row r="309" spans="1:91" ht="14.25" customHeight="1">
      <c r="A309" s="443"/>
      <c r="B309" s="443"/>
      <c r="C309" s="443"/>
      <c r="D309" s="443"/>
      <c r="E309" s="443"/>
      <c r="F309" s="443"/>
      <c r="G309" s="443"/>
      <c r="H309" s="443"/>
      <c r="I309" s="443"/>
      <c r="J309" s="443"/>
      <c r="K309" s="443"/>
      <c r="L309" s="443"/>
      <c r="M309" s="443"/>
      <c r="N309" s="443"/>
      <c r="O309" s="443"/>
      <c r="P309" s="443"/>
      <c r="Q309" s="443"/>
      <c r="R309" s="443"/>
      <c r="S309" s="443"/>
      <c r="T309" s="443"/>
      <c r="U309" s="443"/>
      <c r="V309" s="443"/>
      <c r="W309" s="443"/>
      <c r="X309" s="443"/>
      <c r="Y309" s="443"/>
      <c r="Z309" s="443"/>
      <c r="AA309" s="443"/>
      <c r="AB309" s="443"/>
      <c r="AC309" s="443"/>
      <c r="AD309" s="443"/>
      <c r="AE309" s="443"/>
      <c r="AF309" s="444"/>
      <c r="AG309" s="443"/>
      <c r="AH309" s="443"/>
      <c r="AI309" s="443"/>
      <c r="AJ309" s="443"/>
      <c r="AK309" s="443"/>
      <c r="AL309" s="443"/>
      <c r="AM309" s="456"/>
      <c r="AN309" s="456"/>
      <c r="AO309" s="456"/>
      <c r="AP309" s="456"/>
      <c r="AQ309" s="456"/>
      <c r="AR309" s="456"/>
      <c r="AS309" s="456"/>
      <c r="AT309" s="456"/>
      <c r="AU309" s="456"/>
      <c r="AV309" s="456"/>
      <c r="AW309" s="456"/>
      <c r="AX309" s="456"/>
      <c r="AY309" s="456"/>
      <c r="AZ309" s="456"/>
      <c r="BA309" s="456"/>
      <c r="BB309" s="456"/>
      <c r="BC309" s="456"/>
      <c r="BD309" s="456"/>
      <c r="BE309" s="456"/>
      <c r="BF309" s="456"/>
      <c r="BG309" s="456"/>
      <c r="BH309" s="456"/>
      <c r="BI309" s="456"/>
      <c r="BJ309" s="456"/>
      <c r="BK309" s="456"/>
      <c r="BL309" s="456"/>
      <c r="BM309" s="456"/>
      <c r="BN309" s="456"/>
      <c r="BO309" s="456"/>
      <c r="BP309" s="456"/>
      <c r="BQ309" s="456"/>
      <c r="BR309" s="456"/>
      <c r="BS309" s="456"/>
      <c r="BT309" s="456"/>
      <c r="BU309" s="456"/>
      <c r="BV309" s="456"/>
      <c r="BW309" s="456"/>
      <c r="BX309" s="456"/>
      <c r="BY309" s="456"/>
      <c r="BZ309" s="456"/>
      <c r="CA309" s="456"/>
      <c r="CB309" s="456"/>
      <c r="CC309" s="456"/>
      <c r="CD309" s="456"/>
      <c r="CE309" s="456"/>
      <c r="CF309" s="456"/>
      <c r="CG309" s="456"/>
      <c r="CH309" s="456"/>
      <c r="CI309" s="456"/>
      <c r="CJ309" s="456"/>
      <c r="CK309" s="456"/>
      <c r="CL309" s="456"/>
      <c r="CM309" s="456"/>
    </row>
    <row r="310" spans="1:91" ht="14.25" customHeight="1">
      <c r="A310" s="443"/>
      <c r="B310" s="443"/>
      <c r="C310" s="443"/>
      <c r="D310" s="443"/>
      <c r="E310" s="443"/>
      <c r="F310" s="443"/>
      <c r="G310" s="443"/>
      <c r="H310" s="443"/>
      <c r="I310" s="443"/>
      <c r="J310" s="443"/>
      <c r="K310" s="443"/>
      <c r="L310" s="443"/>
      <c r="M310" s="443"/>
      <c r="N310" s="443"/>
      <c r="O310" s="443"/>
      <c r="P310" s="443"/>
      <c r="Q310" s="443"/>
      <c r="R310" s="443"/>
      <c r="S310" s="443"/>
      <c r="T310" s="443"/>
      <c r="U310" s="443"/>
      <c r="V310" s="443"/>
      <c r="W310" s="443"/>
      <c r="X310" s="443"/>
      <c r="Y310" s="443"/>
      <c r="Z310" s="443"/>
      <c r="AA310" s="443"/>
      <c r="AB310" s="443"/>
      <c r="AC310" s="443"/>
      <c r="AD310" s="443"/>
      <c r="AE310" s="443"/>
      <c r="AF310" s="444"/>
      <c r="AG310" s="443"/>
      <c r="AH310" s="443"/>
      <c r="AI310" s="443"/>
      <c r="AJ310" s="443"/>
      <c r="AK310" s="443"/>
      <c r="AL310" s="443"/>
      <c r="AM310" s="456"/>
      <c r="AN310" s="456"/>
      <c r="AO310" s="456"/>
      <c r="AP310" s="456"/>
      <c r="AQ310" s="456"/>
      <c r="AR310" s="456"/>
      <c r="AS310" s="456"/>
      <c r="AT310" s="456"/>
      <c r="AU310" s="456"/>
      <c r="AV310" s="456"/>
      <c r="AW310" s="456"/>
      <c r="AX310" s="456"/>
      <c r="AY310" s="456"/>
      <c r="AZ310" s="456"/>
      <c r="BA310" s="456"/>
      <c r="BB310" s="456"/>
      <c r="BC310" s="456"/>
      <c r="BD310" s="456"/>
      <c r="BE310" s="456"/>
      <c r="BF310" s="456"/>
      <c r="BG310" s="456"/>
      <c r="BH310" s="456"/>
      <c r="BI310" s="456"/>
      <c r="BJ310" s="456"/>
      <c r="BK310" s="456"/>
      <c r="BL310" s="456"/>
      <c r="BM310" s="456"/>
      <c r="BN310" s="456"/>
      <c r="BO310" s="456"/>
      <c r="BP310" s="456"/>
      <c r="BQ310" s="456"/>
      <c r="BR310" s="456"/>
      <c r="BS310" s="456"/>
      <c r="BT310" s="456"/>
      <c r="BU310" s="456"/>
      <c r="BV310" s="456"/>
      <c r="BW310" s="456"/>
      <c r="BX310" s="456"/>
      <c r="BY310" s="456"/>
      <c r="BZ310" s="456"/>
      <c r="CA310" s="456"/>
      <c r="CB310" s="456"/>
      <c r="CC310" s="456"/>
      <c r="CD310" s="456"/>
      <c r="CE310" s="456"/>
      <c r="CF310" s="456"/>
      <c r="CG310" s="456"/>
      <c r="CH310" s="456"/>
      <c r="CI310" s="456"/>
      <c r="CJ310" s="456"/>
      <c r="CK310" s="456"/>
      <c r="CL310" s="456"/>
      <c r="CM310" s="456"/>
    </row>
    <row r="311" spans="1:91" ht="14.25" customHeight="1">
      <c r="A311" s="443"/>
      <c r="B311" s="443"/>
      <c r="C311" s="443"/>
      <c r="D311" s="443"/>
      <c r="E311" s="443"/>
      <c r="F311" s="443"/>
      <c r="G311" s="443"/>
      <c r="H311" s="443"/>
      <c r="I311" s="443"/>
      <c r="J311" s="443"/>
      <c r="K311" s="443"/>
      <c r="L311" s="443"/>
      <c r="M311" s="443"/>
      <c r="N311" s="443"/>
      <c r="O311" s="443"/>
      <c r="P311" s="443"/>
      <c r="Q311" s="443"/>
      <c r="R311" s="443"/>
      <c r="S311" s="443"/>
      <c r="T311" s="443"/>
      <c r="U311" s="443"/>
      <c r="V311" s="443"/>
      <c r="W311" s="443"/>
      <c r="X311" s="443"/>
      <c r="Y311" s="443"/>
      <c r="Z311" s="443"/>
      <c r="AA311" s="443"/>
      <c r="AB311" s="443"/>
      <c r="AC311" s="443"/>
      <c r="AD311" s="443"/>
      <c r="AE311" s="443"/>
      <c r="AF311" s="444"/>
      <c r="AG311" s="443"/>
      <c r="AH311" s="443"/>
      <c r="AI311" s="443"/>
      <c r="AJ311" s="443"/>
      <c r="AK311" s="443"/>
      <c r="AL311" s="443"/>
      <c r="AM311" s="456"/>
      <c r="AN311" s="456"/>
      <c r="AO311" s="456"/>
      <c r="AP311" s="456"/>
      <c r="AQ311" s="456"/>
      <c r="AR311" s="456"/>
      <c r="AS311" s="456"/>
      <c r="AT311" s="456"/>
      <c r="AU311" s="456"/>
      <c r="AV311" s="456"/>
      <c r="AW311" s="456"/>
      <c r="AX311" s="456"/>
      <c r="AY311" s="456"/>
      <c r="AZ311" s="456"/>
      <c r="BA311" s="456"/>
      <c r="BB311" s="456"/>
      <c r="BC311" s="456"/>
      <c r="BD311" s="456"/>
      <c r="BE311" s="456"/>
      <c r="BF311" s="456"/>
      <c r="BG311" s="456"/>
      <c r="BH311" s="456"/>
      <c r="BI311" s="456"/>
      <c r="BJ311" s="456"/>
      <c r="BK311" s="456"/>
      <c r="BL311" s="456"/>
      <c r="BM311" s="456"/>
      <c r="BN311" s="456"/>
      <c r="BO311" s="456"/>
      <c r="BP311" s="456"/>
      <c r="BQ311" s="456"/>
      <c r="BR311" s="456"/>
      <c r="BS311" s="456"/>
      <c r="BT311" s="456"/>
      <c r="BU311" s="456"/>
      <c r="BV311" s="456"/>
      <c r="BW311" s="456"/>
      <c r="BX311" s="456"/>
      <c r="BY311" s="456"/>
      <c r="BZ311" s="456"/>
      <c r="CA311" s="456"/>
      <c r="CB311" s="456"/>
      <c r="CC311" s="456"/>
      <c r="CD311" s="456"/>
      <c r="CE311" s="456"/>
      <c r="CF311" s="456"/>
      <c r="CG311" s="456"/>
      <c r="CH311" s="456"/>
      <c r="CI311" s="456"/>
      <c r="CJ311" s="456"/>
      <c r="CK311" s="456"/>
      <c r="CL311" s="456"/>
      <c r="CM311" s="456"/>
    </row>
    <row r="312" spans="1:91" ht="14.25" customHeight="1">
      <c r="A312" s="443"/>
      <c r="B312" s="443"/>
      <c r="C312" s="443"/>
      <c r="D312" s="443"/>
      <c r="E312" s="443"/>
      <c r="F312" s="443"/>
      <c r="G312" s="443"/>
      <c r="H312" s="443"/>
      <c r="I312" s="443"/>
      <c r="J312" s="443"/>
      <c r="K312" s="443"/>
      <c r="L312" s="443"/>
      <c r="M312" s="443"/>
      <c r="N312" s="443"/>
      <c r="O312" s="443"/>
      <c r="P312" s="443"/>
      <c r="Q312" s="443"/>
      <c r="R312" s="443"/>
      <c r="S312" s="443"/>
      <c r="T312" s="443"/>
      <c r="U312" s="443"/>
      <c r="V312" s="443"/>
      <c r="W312" s="443"/>
      <c r="X312" s="443"/>
      <c r="Y312" s="443"/>
      <c r="Z312" s="443"/>
      <c r="AA312" s="443"/>
      <c r="AB312" s="443"/>
      <c r="AC312" s="443"/>
      <c r="AD312" s="443"/>
      <c r="AE312" s="443"/>
      <c r="AF312" s="444"/>
      <c r="AG312" s="443"/>
      <c r="AH312" s="443"/>
      <c r="AI312" s="443"/>
      <c r="AJ312" s="443"/>
      <c r="AK312" s="443"/>
      <c r="AL312" s="443"/>
      <c r="AM312" s="456"/>
      <c r="AN312" s="456"/>
      <c r="AO312" s="456"/>
      <c r="AP312" s="456"/>
      <c r="AQ312" s="456"/>
      <c r="AR312" s="456"/>
      <c r="AS312" s="456"/>
      <c r="AT312" s="456"/>
      <c r="AU312" s="456"/>
      <c r="AV312" s="456"/>
      <c r="AW312" s="456"/>
      <c r="AX312" s="456"/>
      <c r="AY312" s="456"/>
      <c r="AZ312" s="456"/>
      <c r="BA312" s="456"/>
      <c r="BB312" s="456"/>
      <c r="BC312" s="456"/>
      <c r="BD312" s="456"/>
      <c r="BE312" s="456"/>
      <c r="BF312" s="456"/>
      <c r="BG312" s="456"/>
      <c r="BH312" s="456"/>
      <c r="BI312" s="456"/>
      <c r="BJ312" s="456"/>
      <c r="BK312" s="456"/>
      <c r="BL312" s="456"/>
      <c r="BM312" s="456"/>
      <c r="BN312" s="456"/>
      <c r="BO312" s="456"/>
      <c r="BP312" s="456"/>
      <c r="BQ312" s="456"/>
      <c r="BR312" s="456"/>
      <c r="BS312" s="456"/>
      <c r="BT312" s="456"/>
      <c r="BU312" s="456"/>
      <c r="BV312" s="456"/>
      <c r="BW312" s="456"/>
      <c r="BX312" s="456"/>
      <c r="BY312" s="456"/>
      <c r="BZ312" s="456"/>
      <c r="CA312" s="456"/>
      <c r="CB312" s="456"/>
      <c r="CC312" s="456"/>
      <c r="CD312" s="456"/>
      <c r="CE312" s="456"/>
      <c r="CF312" s="456"/>
      <c r="CG312" s="456"/>
      <c r="CH312" s="456"/>
      <c r="CI312" s="456"/>
      <c r="CJ312" s="456"/>
      <c r="CK312" s="456"/>
      <c r="CL312" s="456"/>
      <c r="CM312" s="456"/>
    </row>
    <row r="313" spans="1:91" ht="14.25" customHeight="1">
      <c r="A313" s="443"/>
      <c r="B313" s="443"/>
      <c r="C313" s="443"/>
      <c r="D313" s="443"/>
      <c r="E313" s="443"/>
      <c r="F313" s="443"/>
      <c r="G313" s="443"/>
      <c r="H313" s="443"/>
      <c r="I313" s="443"/>
      <c r="J313" s="443"/>
      <c r="K313" s="443"/>
      <c r="L313" s="443"/>
      <c r="M313" s="443"/>
      <c r="N313" s="443"/>
      <c r="O313" s="443"/>
      <c r="P313" s="443"/>
      <c r="Q313" s="443"/>
      <c r="R313" s="443"/>
      <c r="S313" s="443"/>
      <c r="T313" s="443"/>
      <c r="U313" s="443"/>
      <c r="V313" s="443"/>
      <c r="W313" s="443"/>
      <c r="X313" s="443"/>
      <c r="Y313" s="443"/>
      <c r="Z313" s="443"/>
      <c r="AA313" s="443"/>
      <c r="AB313" s="443"/>
      <c r="AC313" s="443"/>
      <c r="AD313" s="443"/>
      <c r="AE313" s="443"/>
      <c r="AF313" s="444"/>
      <c r="AG313" s="443"/>
      <c r="AH313" s="443"/>
      <c r="AI313" s="443"/>
      <c r="AJ313" s="443"/>
      <c r="AK313" s="443"/>
      <c r="AL313" s="443"/>
      <c r="AM313" s="456"/>
      <c r="AN313" s="456"/>
      <c r="AO313" s="456"/>
      <c r="AP313" s="456"/>
      <c r="AQ313" s="456"/>
      <c r="AR313" s="456"/>
      <c r="AS313" s="456"/>
      <c r="AT313" s="456"/>
      <c r="AU313" s="456"/>
      <c r="AV313" s="456"/>
      <c r="AW313" s="456"/>
      <c r="AX313" s="456"/>
      <c r="AY313" s="456"/>
      <c r="AZ313" s="456"/>
      <c r="BA313" s="456"/>
      <c r="BB313" s="456"/>
      <c r="BC313" s="456"/>
      <c r="BD313" s="456"/>
      <c r="BE313" s="456"/>
      <c r="BF313" s="456"/>
      <c r="BG313" s="456"/>
      <c r="BH313" s="456"/>
      <c r="BI313" s="456"/>
      <c r="BJ313" s="456"/>
      <c r="BK313" s="456"/>
      <c r="BL313" s="456"/>
      <c r="BM313" s="456"/>
      <c r="BN313" s="456"/>
      <c r="BO313" s="456"/>
      <c r="BP313" s="456"/>
      <c r="BQ313" s="456"/>
      <c r="BR313" s="456"/>
      <c r="BS313" s="456"/>
      <c r="BT313" s="456"/>
      <c r="BU313" s="456"/>
      <c r="BV313" s="456"/>
      <c r="BW313" s="456"/>
      <c r="BX313" s="456"/>
      <c r="BY313" s="456"/>
      <c r="BZ313" s="456"/>
      <c r="CA313" s="456"/>
      <c r="CB313" s="456"/>
      <c r="CC313" s="456"/>
      <c r="CD313" s="456"/>
      <c r="CE313" s="456"/>
      <c r="CF313" s="456"/>
      <c r="CG313" s="456"/>
      <c r="CH313" s="456"/>
      <c r="CI313" s="456"/>
      <c r="CJ313" s="456"/>
      <c r="CK313" s="456"/>
      <c r="CL313" s="456"/>
      <c r="CM313" s="456"/>
    </row>
    <row r="314" spans="1:91" ht="14.25" customHeight="1">
      <c r="A314" s="443"/>
      <c r="B314" s="443"/>
      <c r="C314" s="443"/>
      <c r="D314" s="443"/>
      <c r="E314" s="443"/>
      <c r="F314" s="443"/>
      <c r="G314" s="443"/>
      <c r="H314" s="443"/>
      <c r="I314" s="443"/>
      <c r="J314" s="443"/>
      <c r="K314" s="443"/>
      <c r="L314" s="443"/>
      <c r="M314" s="443"/>
      <c r="N314" s="443"/>
      <c r="O314" s="443"/>
      <c r="P314" s="443"/>
      <c r="Q314" s="443"/>
      <c r="R314" s="443"/>
      <c r="S314" s="443"/>
      <c r="T314" s="443"/>
      <c r="U314" s="443"/>
      <c r="V314" s="443"/>
      <c r="W314" s="443"/>
      <c r="X314" s="443"/>
      <c r="Y314" s="443"/>
      <c r="Z314" s="443"/>
      <c r="AA314" s="443"/>
      <c r="AB314" s="443"/>
      <c r="AC314" s="443"/>
      <c r="AD314" s="443"/>
      <c r="AE314" s="443"/>
      <c r="AF314" s="444"/>
      <c r="AG314" s="443"/>
      <c r="AH314" s="443"/>
      <c r="AI314" s="443"/>
      <c r="AJ314" s="443"/>
      <c r="AK314" s="443"/>
      <c r="AL314" s="443"/>
      <c r="AM314" s="456"/>
      <c r="AN314" s="456"/>
      <c r="AO314" s="456"/>
      <c r="AP314" s="456"/>
      <c r="AQ314" s="456"/>
      <c r="AR314" s="456"/>
      <c r="AS314" s="456"/>
      <c r="AT314" s="456"/>
      <c r="AU314" s="456"/>
      <c r="AV314" s="456"/>
      <c r="AW314" s="456"/>
      <c r="AX314" s="456"/>
      <c r="AY314" s="456"/>
      <c r="AZ314" s="456"/>
      <c r="BA314" s="456"/>
      <c r="BB314" s="456"/>
      <c r="BC314" s="456"/>
      <c r="BD314" s="456"/>
      <c r="BE314" s="456"/>
      <c r="BF314" s="456"/>
      <c r="BG314" s="456"/>
      <c r="BH314" s="456"/>
      <c r="BI314" s="456"/>
      <c r="BJ314" s="456"/>
      <c r="BK314" s="456"/>
      <c r="BL314" s="456"/>
      <c r="BM314" s="456"/>
      <c r="BN314" s="456"/>
      <c r="BO314" s="456"/>
      <c r="BP314" s="456"/>
      <c r="BQ314" s="456"/>
      <c r="BR314" s="456"/>
      <c r="BS314" s="456"/>
      <c r="BT314" s="456"/>
      <c r="BU314" s="456"/>
      <c r="BV314" s="456"/>
      <c r="BW314" s="456"/>
      <c r="BX314" s="456"/>
      <c r="BY314" s="456"/>
      <c r="BZ314" s="456"/>
      <c r="CA314" s="456"/>
      <c r="CB314" s="456"/>
      <c r="CC314" s="456"/>
      <c r="CD314" s="456"/>
      <c r="CE314" s="456"/>
      <c r="CF314" s="456"/>
      <c r="CG314" s="456"/>
      <c r="CH314" s="456"/>
      <c r="CI314" s="456"/>
      <c r="CJ314" s="456"/>
      <c r="CK314" s="456"/>
      <c r="CL314" s="456"/>
      <c r="CM314" s="456"/>
    </row>
    <row r="315" spans="1:91" ht="14.25" customHeight="1">
      <c r="A315" s="443"/>
      <c r="B315" s="443"/>
      <c r="C315" s="443"/>
      <c r="D315" s="443"/>
      <c r="E315" s="443"/>
      <c r="F315" s="443"/>
      <c r="G315" s="443"/>
      <c r="H315" s="443"/>
      <c r="I315" s="443"/>
      <c r="J315" s="443"/>
      <c r="K315" s="443"/>
      <c r="L315" s="443"/>
      <c r="M315" s="443"/>
      <c r="N315" s="443"/>
      <c r="O315" s="443"/>
      <c r="P315" s="443"/>
      <c r="Q315" s="443"/>
      <c r="R315" s="443"/>
      <c r="S315" s="443"/>
      <c r="T315" s="443"/>
      <c r="U315" s="443"/>
      <c r="V315" s="443"/>
      <c r="W315" s="443"/>
      <c r="X315" s="443"/>
      <c r="Y315" s="443"/>
      <c r="Z315" s="443"/>
      <c r="AA315" s="443"/>
      <c r="AB315" s="443"/>
      <c r="AC315" s="443"/>
      <c r="AD315" s="443"/>
      <c r="AE315" s="443"/>
      <c r="AF315" s="444"/>
      <c r="AG315" s="443"/>
      <c r="AH315" s="443"/>
      <c r="AI315" s="443"/>
      <c r="AJ315" s="443"/>
      <c r="AK315" s="443"/>
      <c r="AL315" s="443"/>
      <c r="AM315" s="456"/>
      <c r="AN315" s="456"/>
      <c r="AO315" s="456"/>
      <c r="AP315" s="456"/>
      <c r="AQ315" s="456"/>
      <c r="AR315" s="456"/>
      <c r="AS315" s="456"/>
      <c r="AT315" s="456"/>
      <c r="AU315" s="456"/>
      <c r="AV315" s="456"/>
      <c r="AW315" s="456"/>
      <c r="AX315" s="456"/>
      <c r="AY315" s="456"/>
      <c r="AZ315" s="456"/>
      <c r="BA315" s="456"/>
      <c r="BB315" s="456"/>
      <c r="BC315" s="456"/>
      <c r="BD315" s="456"/>
      <c r="BE315" s="456"/>
      <c r="BF315" s="456"/>
      <c r="BG315" s="456"/>
      <c r="BH315" s="456"/>
      <c r="BI315" s="456"/>
      <c r="BJ315" s="456"/>
      <c r="BK315" s="456"/>
      <c r="BL315" s="456"/>
      <c r="BM315" s="456"/>
      <c r="BN315" s="456"/>
      <c r="BO315" s="456"/>
      <c r="BP315" s="456"/>
      <c r="BQ315" s="456"/>
      <c r="BR315" s="456"/>
      <c r="BS315" s="456"/>
      <c r="BT315" s="456"/>
      <c r="BU315" s="456"/>
      <c r="BV315" s="456"/>
      <c r="BW315" s="456"/>
      <c r="BX315" s="456"/>
      <c r="BY315" s="456"/>
      <c r="BZ315" s="456"/>
      <c r="CA315" s="456"/>
      <c r="CB315" s="456"/>
      <c r="CC315" s="456"/>
      <c r="CD315" s="456"/>
      <c r="CE315" s="456"/>
      <c r="CF315" s="456"/>
      <c r="CG315" s="456"/>
      <c r="CH315" s="456"/>
      <c r="CI315" s="456"/>
      <c r="CJ315" s="456"/>
      <c r="CK315" s="456"/>
      <c r="CL315" s="456"/>
      <c r="CM315" s="456"/>
    </row>
    <row r="316" spans="1:91" ht="14.25" customHeight="1">
      <c r="A316" s="443"/>
      <c r="B316" s="443"/>
      <c r="C316" s="443"/>
      <c r="D316" s="443"/>
      <c r="E316" s="443"/>
      <c r="F316" s="443"/>
      <c r="G316" s="443"/>
      <c r="H316" s="443"/>
      <c r="I316" s="443"/>
      <c r="J316" s="443"/>
      <c r="K316" s="443"/>
      <c r="L316" s="443"/>
      <c r="M316" s="443"/>
      <c r="N316" s="443"/>
      <c r="O316" s="443"/>
      <c r="P316" s="443"/>
      <c r="Q316" s="443"/>
      <c r="R316" s="443"/>
      <c r="S316" s="443"/>
      <c r="T316" s="443"/>
      <c r="U316" s="443"/>
      <c r="V316" s="443"/>
      <c r="W316" s="443"/>
      <c r="X316" s="443"/>
      <c r="Y316" s="443"/>
      <c r="Z316" s="443"/>
      <c r="AA316" s="443"/>
      <c r="AB316" s="443"/>
      <c r="AC316" s="443"/>
      <c r="AD316" s="443"/>
      <c r="AE316" s="443"/>
      <c r="AF316" s="444"/>
      <c r="AG316" s="443"/>
      <c r="AH316" s="443"/>
      <c r="AI316" s="443"/>
      <c r="AJ316" s="443"/>
      <c r="AK316" s="443"/>
      <c r="AL316" s="443"/>
      <c r="AM316" s="456"/>
      <c r="AN316" s="456"/>
      <c r="AO316" s="456"/>
      <c r="AP316" s="456"/>
      <c r="AQ316" s="456"/>
      <c r="AR316" s="456"/>
      <c r="AS316" s="456"/>
      <c r="AT316" s="456"/>
      <c r="AU316" s="456"/>
      <c r="AV316" s="456"/>
      <c r="AW316" s="456"/>
      <c r="AX316" s="456"/>
      <c r="AY316" s="456"/>
      <c r="AZ316" s="456"/>
      <c r="BA316" s="456"/>
      <c r="BB316" s="456"/>
      <c r="BC316" s="456"/>
      <c r="BD316" s="456"/>
      <c r="BE316" s="456"/>
      <c r="BF316" s="456"/>
      <c r="BG316" s="456"/>
      <c r="BH316" s="456"/>
      <c r="BI316" s="456"/>
      <c r="BJ316" s="456"/>
      <c r="BK316" s="456"/>
      <c r="BL316" s="456"/>
      <c r="BM316" s="456"/>
      <c r="BN316" s="456"/>
      <c r="BO316" s="456"/>
      <c r="BP316" s="456"/>
      <c r="BQ316" s="456"/>
      <c r="BR316" s="456"/>
      <c r="BS316" s="456"/>
      <c r="BT316" s="456"/>
      <c r="BU316" s="456"/>
      <c r="BV316" s="456"/>
      <c r="BW316" s="456"/>
      <c r="BX316" s="456"/>
      <c r="BY316" s="456"/>
      <c r="BZ316" s="456"/>
      <c r="CA316" s="456"/>
      <c r="CB316" s="456"/>
      <c r="CC316" s="456"/>
      <c r="CD316" s="456"/>
      <c r="CE316" s="456"/>
      <c r="CF316" s="456"/>
      <c r="CG316" s="456"/>
      <c r="CH316" s="456"/>
      <c r="CI316" s="456"/>
      <c r="CJ316" s="456"/>
      <c r="CK316" s="456"/>
      <c r="CL316" s="456"/>
      <c r="CM316" s="456"/>
    </row>
    <row r="317" spans="1:91" ht="14.25" customHeight="1">
      <c r="A317" s="443"/>
      <c r="B317" s="443"/>
      <c r="C317" s="443"/>
      <c r="D317" s="443"/>
      <c r="E317" s="443"/>
      <c r="F317" s="443"/>
      <c r="G317" s="443"/>
      <c r="H317" s="443"/>
      <c r="I317" s="443"/>
      <c r="J317" s="443"/>
      <c r="K317" s="443"/>
      <c r="L317" s="443"/>
      <c r="M317" s="443"/>
      <c r="N317" s="443"/>
      <c r="O317" s="443"/>
      <c r="P317" s="443"/>
      <c r="Q317" s="443"/>
      <c r="R317" s="443"/>
      <c r="S317" s="443"/>
      <c r="T317" s="443"/>
      <c r="U317" s="443"/>
      <c r="V317" s="443"/>
      <c r="W317" s="443"/>
      <c r="X317" s="443"/>
      <c r="Y317" s="443"/>
      <c r="Z317" s="443"/>
      <c r="AA317" s="443"/>
      <c r="AB317" s="443"/>
      <c r="AC317" s="443"/>
      <c r="AD317" s="443"/>
      <c r="AE317" s="443"/>
      <c r="AF317" s="444"/>
      <c r="AG317" s="443"/>
      <c r="AH317" s="443"/>
      <c r="AI317" s="443"/>
      <c r="AJ317" s="443"/>
      <c r="AK317" s="443"/>
      <c r="AL317" s="443"/>
      <c r="AM317" s="456"/>
      <c r="AN317" s="456"/>
      <c r="AO317" s="456"/>
      <c r="AP317" s="456"/>
      <c r="AQ317" s="456"/>
      <c r="AR317" s="456"/>
      <c r="AS317" s="456"/>
      <c r="AT317" s="456"/>
      <c r="AU317" s="456"/>
      <c r="AV317" s="456"/>
      <c r="AW317" s="456"/>
      <c r="AX317" s="456"/>
      <c r="AY317" s="456"/>
      <c r="AZ317" s="456"/>
      <c r="BA317" s="456"/>
      <c r="BB317" s="456"/>
      <c r="BC317" s="456"/>
      <c r="BD317" s="456"/>
      <c r="BE317" s="456"/>
      <c r="BF317" s="456"/>
      <c r="BG317" s="456"/>
      <c r="BH317" s="456"/>
      <c r="BI317" s="456"/>
      <c r="BJ317" s="456"/>
      <c r="BK317" s="456"/>
      <c r="BL317" s="456"/>
      <c r="BM317" s="456"/>
      <c r="BN317" s="456"/>
      <c r="BO317" s="456"/>
      <c r="BP317" s="456"/>
      <c r="BQ317" s="456"/>
      <c r="BR317" s="456"/>
      <c r="BS317" s="456"/>
      <c r="BT317" s="456"/>
      <c r="BU317" s="456"/>
      <c r="BV317" s="456"/>
      <c r="BW317" s="456"/>
      <c r="BX317" s="456"/>
      <c r="BY317" s="456"/>
      <c r="BZ317" s="456"/>
      <c r="CA317" s="456"/>
      <c r="CB317" s="456"/>
      <c r="CC317" s="456"/>
      <c r="CD317" s="456"/>
      <c r="CE317" s="456"/>
      <c r="CF317" s="456"/>
      <c r="CG317" s="456"/>
      <c r="CH317" s="456"/>
      <c r="CI317" s="456"/>
      <c r="CJ317" s="456"/>
      <c r="CK317" s="456"/>
      <c r="CL317" s="456"/>
      <c r="CM317" s="456"/>
    </row>
    <row r="318" spans="1:91" ht="14.25" customHeight="1">
      <c r="A318" s="443"/>
      <c r="B318" s="443"/>
      <c r="C318" s="443"/>
      <c r="D318" s="443"/>
      <c r="E318" s="443"/>
      <c r="F318" s="443"/>
      <c r="G318" s="443"/>
      <c r="H318" s="443"/>
      <c r="I318" s="443"/>
      <c r="J318" s="443"/>
      <c r="K318" s="443"/>
      <c r="L318" s="443"/>
      <c r="M318" s="443"/>
      <c r="N318" s="443"/>
      <c r="O318" s="443"/>
      <c r="P318" s="443"/>
      <c r="Q318" s="443"/>
      <c r="R318" s="443"/>
      <c r="S318" s="443"/>
      <c r="T318" s="443"/>
      <c r="U318" s="443"/>
      <c r="V318" s="443"/>
      <c r="W318" s="443"/>
      <c r="X318" s="443"/>
      <c r="Y318" s="443"/>
      <c r="Z318" s="443"/>
      <c r="AA318" s="443"/>
      <c r="AB318" s="443"/>
      <c r="AC318" s="443"/>
      <c r="AD318" s="443"/>
      <c r="AE318" s="443"/>
      <c r="AF318" s="444"/>
      <c r="AG318" s="443"/>
      <c r="AH318" s="443"/>
      <c r="AI318" s="443"/>
      <c r="AJ318" s="443"/>
      <c r="AK318" s="443"/>
      <c r="AL318" s="443"/>
      <c r="AM318" s="456"/>
      <c r="AN318" s="456"/>
      <c r="AO318" s="456"/>
      <c r="AP318" s="456"/>
      <c r="AQ318" s="456"/>
      <c r="AR318" s="456"/>
      <c r="AS318" s="456"/>
      <c r="AT318" s="456"/>
      <c r="AU318" s="456"/>
      <c r="AV318" s="456"/>
      <c r="AW318" s="456"/>
      <c r="AX318" s="456"/>
      <c r="AY318" s="456"/>
      <c r="AZ318" s="456"/>
      <c r="BA318" s="456"/>
      <c r="BB318" s="456"/>
      <c r="BC318" s="456"/>
      <c r="BD318" s="456"/>
      <c r="BE318" s="456"/>
      <c r="BF318" s="456"/>
      <c r="BG318" s="456"/>
      <c r="BH318" s="456"/>
      <c r="BI318" s="456"/>
      <c r="BJ318" s="456"/>
      <c r="BK318" s="456"/>
      <c r="BL318" s="456"/>
      <c r="BM318" s="456"/>
      <c r="BN318" s="456"/>
      <c r="BO318" s="456"/>
      <c r="BP318" s="456"/>
      <c r="BQ318" s="456"/>
      <c r="BR318" s="456"/>
      <c r="BS318" s="456"/>
      <c r="BT318" s="456"/>
      <c r="BU318" s="456"/>
      <c r="BV318" s="456"/>
      <c r="BW318" s="456"/>
      <c r="BX318" s="456"/>
      <c r="BY318" s="456"/>
      <c r="BZ318" s="456"/>
      <c r="CA318" s="456"/>
      <c r="CB318" s="456"/>
      <c r="CC318" s="456"/>
      <c r="CD318" s="456"/>
      <c r="CE318" s="456"/>
      <c r="CF318" s="456"/>
      <c r="CG318" s="456"/>
      <c r="CH318" s="456"/>
      <c r="CI318" s="456"/>
      <c r="CJ318" s="456"/>
      <c r="CK318" s="456"/>
      <c r="CL318" s="456"/>
      <c r="CM318" s="456"/>
    </row>
    <row r="319" spans="1:91" ht="14.25" customHeight="1">
      <c r="A319" s="443"/>
      <c r="B319" s="443"/>
      <c r="C319" s="443"/>
      <c r="D319" s="443"/>
      <c r="E319" s="443"/>
      <c r="F319" s="443"/>
      <c r="G319" s="443"/>
      <c r="H319" s="443"/>
      <c r="I319" s="443"/>
      <c r="J319" s="443"/>
      <c r="K319" s="443"/>
      <c r="L319" s="443"/>
      <c r="M319" s="443"/>
      <c r="N319" s="443"/>
      <c r="O319" s="443"/>
      <c r="P319" s="443"/>
      <c r="Q319" s="443"/>
      <c r="R319" s="443"/>
      <c r="S319" s="443"/>
      <c r="T319" s="443"/>
      <c r="U319" s="443"/>
      <c r="V319" s="443"/>
      <c r="W319" s="443"/>
      <c r="X319" s="443"/>
      <c r="Y319" s="443"/>
      <c r="Z319" s="443"/>
      <c r="AA319" s="443"/>
      <c r="AB319" s="443"/>
      <c r="AC319" s="443"/>
      <c r="AD319" s="443"/>
      <c r="AE319" s="443"/>
      <c r="AF319" s="444"/>
      <c r="AG319" s="443"/>
      <c r="AH319" s="443"/>
      <c r="AI319" s="443"/>
      <c r="AJ319" s="443"/>
      <c r="AK319" s="443"/>
      <c r="AL319" s="443"/>
      <c r="AM319" s="456"/>
      <c r="AN319" s="456"/>
      <c r="AO319" s="456"/>
      <c r="AP319" s="456"/>
      <c r="AQ319" s="456"/>
      <c r="AR319" s="456"/>
      <c r="AS319" s="456"/>
      <c r="AT319" s="456"/>
      <c r="AU319" s="456"/>
      <c r="AV319" s="456"/>
      <c r="AW319" s="456"/>
      <c r="AX319" s="456"/>
      <c r="AY319" s="456"/>
      <c r="AZ319" s="456"/>
      <c r="BA319" s="456"/>
      <c r="BB319" s="456"/>
      <c r="BC319" s="456"/>
      <c r="BD319" s="456"/>
      <c r="BE319" s="456"/>
      <c r="BF319" s="456"/>
      <c r="BG319" s="456"/>
      <c r="BH319" s="456"/>
      <c r="BI319" s="456"/>
      <c r="BJ319" s="456"/>
      <c r="BK319" s="456"/>
      <c r="BL319" s="456"/>
      <c r="BM319" s="456"/>
      <c r="BN319" s="456"/>
      <c r="BO319" s="456"/>
      <c r="BP319" s="456"/>
      <c r="BQ319" s="456"/>
      <c r="BR319" s="456"/>
      <c r="BS319" s="456"/>
      <c r="BT319" s="456"/>
      <c r="BU319" s="456"/>
      <c r="BV319" s="456"/>
      <c r="BW319" s="456"/>
      <c r="BX319" s="456"/>
      <c r="BY319" s="456"/>
      <c r="BZ319" s="456"/>
      <c r="CA319" s="456"/>
      <c r="CB319" s="456"/>
      <c r="CC319" s="456"/>
      <c r="CD319" s="456"/>
      <c r="CE319" s="456"/>
      <c r="CF319" s="456"/>
      <c r="CG319" s="456"/>
      <c r="CH319" s="456"/>
      <c r="CI319" s="456"/>
      <c r="CJ319" s="456"/>
      <c r="CK319" s="456"/>
      <c r="CL319" s="456"/>
      <c r="CM319" s="456"/>
    </row>
  </sheetData>
  <sheetProtection sheet="1" objects="1" scenarios="1"/>
  <mergeCells count="16">
    <mergeCell ref="BG12:BK12"/>
    <mergeCell ref="BM12:BP12"/>
    <mergeCell ref="AN14:AN88"/>
    <mergeCell ref="A11:BC11"/>
    <mergeCell ref="A12:S12"/>
    <mergeCell ref="T12:AB12"/>
    <mergeCell ref="AC12:AH12"/>
    <mergeCell ref="AI12:AM12"/>
    <mergeCell ref="AN12:AN13"/>
    <mergeCell ref="AZ12:BE12"/>
    <mergeCell ref="A8:A10"/>
    <mergeCell ref="B8:AK10"/>
    <mergeCell ref="AL8:AM8"/>
    <mergeCell ref="AN8:AN10"/>
    <mergeCell ref="AL9:AM9"/>
    <mergeCell ref="AL10:AM10"/>
  </mergeCells>
  <conditionalFormatting sqref="Z14:Z88">
    <cfRule type="cellIs" dxfId="186" priority="15" operator="equal">
      <formula>"ALTA"</formula>
    </cfRule>
    <cfRule type="cellIs" dxfId="185" priority="16" operator="equal">
      <formula>"MEDIA"</formula>
    </cfRule>
    <cfRule type="cellIs" dxfId="184" priority="17" operator="equal">
      <formula>"BAJA"</formula>
    </cfRule>
  </conditionalFormatting>
  <conditionalFormatting sqref="AO14:AO88">
    <cfRule type="containsText" dxfId="183" priority="1" operator="containsText" text="Leve">
      <formula>NOT(ISERROR(SEARCH(("Leve"),(AO14))))</formula>
    </cfRule>
    <cfRule type="containsText" dxfId="182" priority="2" operator="containsText" text="Menor">
      <formula>NOT(ISERROR(SEARCH(("Menor"),(AO14))))</formula>
    </cfRule>
    <cfRule type="containsText" dxfId="181" priority="3" operator="containsText" text="Moderado">
      <formula>NOT(ISERROR(SEARCH(("Moderado"),(AO14))))</formula>
    </cfRule>
    <cfRule type="containsText" dxfId="180" priority="4" operator="containsText" text="Mayor">
      <formula>NOT(ISERROR(SEARCH(("Mayor"),(AO14))))</formula>
    </cfRule>
    <cfRule type="containsText" dxfId="179" priority="5" operator="containsText" text="Catastrófico">
      <formula>NOT(ISERROR(SEARCH(("Catastrófico"),(AO14))))</formula>
    </cfRule>
  </conditionalFormatting>
  <conditionalFormatting sqref="AP14:AP88">
    <cfRule type="containsText" dxfId="178" priority="6" operator="containsText" text="Baja">
      <formula>NOT(ISERROR(SEARCH(("Baja"),(AP14))))</formula>
    </cfRule>
    <cfRule type="containsText" dxfId="177" priority="7" operator="containsText" text="Moderada">
      <formula>NOT(ISERROR(SEARCH(("Moderada"),(AP14))))</formula>
    </cfRule>
    <cfRule type="containsText" dxfId="176" priority="8" operator="containsText" text="Alta">
      <formula>NOT(ISERROR(SEARCH(("Alta"),(AP14))))</formula>
    </cfRule>
    <cfRule type="containsText" dxfId="175" priority="9" operator="containsText" text="Extrema">
      <formula>NOT(ISERROR(SEARCH(("Extrema"),(AP14))))</formula>
    </cfRule>
  </conditionalFormatting>
  <conditionalFormatting sqref="AQ14:AQ88">
    <cfRule type="containsText" dxfId="174" priority="10" operator="containsText" text="Leve">
      <formula>NOT(ISERROR(SEARCH(("Leve"),(AQ14))))</formula>
    </cfRule>
    <cfRule type="containsText" dxfId="173" priority="11" operator="containsText" text="Menor">
      <formula>NOT(ISERROR(SEARCH(("Menor"),(AQ14))))</formula>
    </cfRule>
    <cfRule type="containsText" dxfId="172" priority="12" operator="containsText" text="Moderado">
      <formula>NOT(ISERROR(SEARCH(("Moderado"),(AQ14))))</formula>
    </cfRule>
    <cfRule type="containsText" dxfId="171" priority="13" operator="containsText" text="Mayor">
      <formula>NOT(ISERROR(SEARCH(("Mayor"),(AQ14))))</formula>
    </cfRule>
    <cfRule type="containsText" dxfId="170" priority="14" operator="containsText" text="Catastrófico">
      <formula>NOT(ISERROR(SEARCH(("Catastrófico"),(AQ14))))</formula>
    </cfRule>
  </conditionalFormatting>
  <dataValidations count="15">
    <dataValidation type="list" allowBlank="1" showErrorMessage="1" sqref="R14:R88">
      <formula1>$BE$14:$BE$26</formula1>
    </dataValidation>
    <dataValidation type="list" allowBlank="1" showErrorMessage="1" sqref="F14:F88">
      <formula1>$BC$14:$BC$45</formula1>
    </dataValidation>
    <dataValidation type="list" allowBlank="1" showErrorMessage="1" sqref="B14:B88">
      <formula1>$CM$14:$CM$68</formula1>
    </dataValidation>
    <dataValidation type="list" allowBlank="1" showErrorMessage="1" sqref="AB14:AB88">
      <formula1>$BK$14:$BK$21</formula1>
    </dataValidation>
    <dataValidation type="list" allowBlank="1" showErrorMessage="1" sqref="A14:A88">
      <formula1>$CL$14:$CL$26</formula1>
    </dataValidation>
    <dataValidation type="list" allowBlank="1" showErrorMessage="1" sqref="AA14:AA88">
      <formula1>$BJ$14:$BJ$17</formula1>
    </dataValidation>
    <dataValidation type="list" allowBlank="1" showErrorMessage="1" sqref="AI14:AJ88">
      <formula1>$BR$14:$BS$15</formula1>
    </dataValidation>
    <dataValidation type="list" allowBlank="1" showErrorMessage="1" sqref="V14:X88">
      <formula1>$BH$14:$BH$17</formula1>
    </dataValidation>
    <dataValidation type="list" allowBlank="1" showErrorMessage="1" sqref="T14:T88">
      <formula1>$BG$14:$BG$18</formula1>
    </dataValidation>
    <dataValidation type="list" allowBlank="1" showErrorMessage="1" sqref="AK14:AK88">
      <formula1>$BT$14:$BT$20</formula1>
    </dataValidation>
    <dataValidation type="list" allowBlank="1" showErrorMessage="1" sqref="AC14:AC88">
      <formula1>$BM$14:$BM$17</formula1>
    </dataValidation>
    <dataValidation type="list" allowBlank="1" showErrorMessage="1" sqref="Q14:Q88">
      <formula1>$BD$14:$BD$16</formula1>
    </dataValidation>
    <dataValidation type="list" allowBlank="1" showErrorMessage="1" sqref="E14:E88">
      <formula1>$AZ$14:$AZ$26</formula1>
    </dataValidation>
    <dataValidation type="list" allowBlank="1" showErrorMessage="1" sqref="AF14:AF88">
      <formula1>$BN$14:$BN$17</formula1>
    </dataValidation>
    <dataValidation type="list" allowBlank="1" showErrorMessage="1" sqref="AM14:AM88">
      <formula1>$BV$14:$BV$15</formula1>
    </dataValidation>
  </dataValidations>
  <pageMargins left="0.7" right="0.7" top="0.75" bottom="0.75" header="0.3" footer="0.3"/>
  <drawing r:id="rId1"/>
  <legacyDrawing r:id="rId2"/>
  <tableParts count="17">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L236"/>
  <sheetViews>
    <sheetView topLeftCell="A2" zoomScale="137" zoomScaleNormal="85" workbookViewId="0">
      <selection activeCell="K1" sqref="K1:K1048576"/>
    </sheetView>
  </sheetViews>
  <sheetFormatPr baseColWidth="10" defaultColWidth="11.44140625" defaultRowHeight="14.4"/>
  <cols>
    <col min="1" max="1" width="2.77734375" style="245" customWidth="1"/>
    <col min="2" max="3" width="24.44140625" style="245" customWidth="1"/>
    <col min="4" max="4" width="16" style="245" customWidth="1"/>
    <col min="5" max="5" width="24.44140625" style="245" customWidth="1"/>
    <col min="6" max="6" width="27.44140625" style="245" customWidth="1"/>
    <col min="7" max="8" width="24.44140625" style="245" customWidth="1"/>
    <col min="9" max="9" width="4.33203125" style="245" customWidth="1"/>
    <col min="10" max="10" width="17.109375" style="245" customWidth="1"/>
    <col min="11" max="12" width="11.44140625" style="245" customWidth="1"/>
    <col min="13" max="16384" width="11.44140625" style="245"/>
  </cols>
  <sheetData>
    <row r="1" spans="2:12" ht="15" thickBot="1"/>
    <row r="2" spans="2:12" ht="19.8">
      <c r="B2" s="566" t="s">
        <v>0</v>
      </c>
      <c r="C2" s="567"/>
      <c r="D2" s="567"/>
      <c r="E2" s="567"/>
      <c r="F2" s="567"/>
      <c r="G2" s="567"/>
      <c r="H2" s="568"/>
      <c r="J2" s="497" t="s">
        <v>650</v>
      </c>
      <c r="K2" s="495"/>
      <c r="L2" s="495"/>
    </row>
    <row r="3" spans="2:12">
      <c r="B3" s="246"/>
      <c r="C3" s="247"/>
      <c r="D3" s="247"/>
      <c r="E3" s="247"/>
      <c r="F3" s="247"/>
      <c r="G3" s="247"/>
      <c r="H3" s="248"/>
      <c r="J3" s="498" t="s">
        <v>651</v>
      </c>
      <c r="K3" s="495"/>
      <c r="L3" s="495"/>
    </row>
    <row r="4" spans="2:12" ht="63" customHeight="1">
      <c r="B4" s="569" t="s">
        <v>1</v>
      </c>
      <c r="C4" s="570"/>
      <c r="D4" s="570"/>
      <c r="E4" s="570"/>
      <c r="F4" s="570"/>
      <c r="G4" s="570"/>
      <c r="H4" s="571"/>
      <c r="J4" s="471" t="s">
        <v>652</v>
      </c>
      <c r="K4" s="472" t="s">
        <v>10</v>
      </c>
      <c r="L4" s="472" t="s">
        <v>11</v>
      </c>
    </row>
    <row r="5" spans="2:12" ht="63" customHeight="1">
      <c r="B5" s="572"/>
      <c r="C5" s="573"/>
      <c r="D5" s="573"/>
      <c r="E5" s="573"/>
      <c r="F5" s="573"/>
      <c r="G5" s="573"/>
      <c r="H5" s="574"/>
      <c r="J5" s="499" t="s">
        <v>653</v>
      </c>
      <c r="K5" s="473" t="s">
        <v>654</v>
      </c>
      <c r="L5" s="473" t="s">
        <v>655</v>
      </c>
    </row>
    <row r="6" spans="2:12" ht="15.6">
      <c r="B6" s="550" t="s">
        <v>2</v>
      </c>
      <c r="C6" s="575"/>
      <c r="D6" s="575"/>
      <c r="E6" s="575"/>
      <c r="F6" s="575"/>
      <c r="G6" s="575"/>
      <c r="H6" s="576"/>
      <c r="J6" s="500"/>
      <c r="K6" s="474" t="s">
        <v>656</v>
      </c>
      <c r="L6" s="473" t="s">
        <v>657</v>
      </c>
    </row>
    <row r="7" spans="2:12" ht="95.25" customHeight="1">
      <c r="B7" s="577" t="s">
        <v>3</v>
      </c>
      <c r="C7" s="578"/>
      <c r="D7" s="578"/>
      <c r="E7" s="578"/>
      <c r="F7" s="578"/>
      <c r="G7" s="578"/>
      <c r="H7" s="579"/>
      <c r="J7" s="500"/>
      <c r="K7" s="474" t="s">
        <v>658</v>
      </c>
      <c r="L7" s="473" t="s">
        <v>659</v>
      </c>
    </row>
    <row r="8" spans="2:12" ht="15.6">
      <c r="B8" s="225"/>
      <c r="C8" s="226"/>
      <c r="D8" s="226"/>
      <c r="E8" s="226"/>
      <c r="F8" s="226"/>
      <c r="G8" s="226"/>
      <c r="H8" s="227"/>
      <c r="J8" s="500"/>
      <c r="K8" s="474" t="s">
        <v>660</v>
      </c>
      <c r="L8" s="473" t="s">
        <v>661</v>
      </c>
    </row>
    <row r="9" spans="2:12" ht="20.55" customHeight="1">
      <c r="B9" s="583" t="s">
        <v>4</v>
      </c>
      <c r="C9" s="584"/>
      <c r="D9" s="584"/>
      <c r="E9" s="584"/>
      <c r="F9" s="584"/>
      <c r="G9" s="584"/>
      <c r="H9" s="585"/>
      <c r="J9" s="500"/>
      <c r="K9" s="474" t="s">
        <v>138</v>
      </c>
      <c r="L9" s="473" t="s">
        <v>662</v>
      </c>
    </row>
    <row r="10" spans="2:12" ht="15.6">
      <c r="B10" s="231"/>
      <c r="C10" s="232"/>
      <c r="D10" s="232"/>
      <c r="E10" s="232"/>
      <c r="F10" s="232"/>
      <c r="G10" s="232"/>
      <c r="H10" s="233"/>
      <c r="J10" s="500"/>
      <c r="K10" s="474" t="s">
        <v>663</v>
      </c>
      <c r="L10" s="473" t="s">
        <v>664</v>
      </c>
    </row>
    <row r="11" spans="2:12" ht="20.55" customHeight="1">
      <c r="B11" s="586" t="s">
        <v>5</v>
      </c>
      <c r="C11" s="587"/>
      <c r="D11" s="587"/>
      <c r="E11" s="587"/>
      <c r="F11" s="587"/>
      <c r="G11" s="587"/>
      <c r="H11" s="588"/>
      <c r="J11" s="500"/>
      <c r="K11" s="474" t="s">
        <v>665</v>
      </c>
      <c r="L11" s="473" t="s">
        <v>666</v>
      </c>
    </row>
    <row r="12" spans="2:12" s="267" customFormat="1" ht="20.55" customHeight="1">
      <c r="B12" s="580"/>
      <c r="C12" s="581"/>
      <c r="D12" s="581"/>
      <c r="E12" s="581"/>
      <c r="F12" s="581"/>
      <c r="G12" s="581"/>
      <c r="H12" s="582"/>
      <c r="J12" s="500"/>
      <c r="K12" s="474" t="s">
        <v>667</v>
      </c>
      <c r="L12" s="473" t="s">
        <v>668</v>
      </c>
    </row>
    <row r="13" spans="2:12" ht="20.55" customHeight="1">
      <c r="B13" s="550" t="s">
        <v>6</v>
      </c>
      <c r="C13" s="551"/>
      <c r="D13" s="551"/>
      <c r="E13" s="551"/>
      <c r="F13" s="551"/>
      <c r="G13" s="551"/>
      <c r="H13" s="552"/>
      <c r="J13" s="500"/>
      <c r="K13" s="474" t="s">
        <v>669</v>
      </c>
      <c r="L13" s="473" t="s">
        <v>670</v>
      </c>
    </row>
    <row r="14" spans="2:12" ht="9" customHeight="1">
      <c r="B14" s="550"/>
      <c r="C14" s="551"/>
      <c r="D14" s="551"/>
      <c r="E14" s="551"/>
      <c r="F14" s="551"/>
      <c r="G14" s="551"/>
      <c r="H14" s="552"/>
      <c r="J14" s="500"/>
      <c r="K14" s="474" t="s">
        <v>671</v>
      </c>
      <c r="L14" s="473" t="s">
        <v>672</v>
      </c>
    </row>
    <row r="15" spans="2:12" ht="15.6">
      <c r="B15" s="550" t="s">
        <v>7</v>
      </c>
      <c r="C15" s="551"/>
      <c r="D15" s="551"/>
      <c r="E15" s="551"/>
      <c r="F15" s="551"/>
      <c r="G15" s="551"/>
      <c r="H15" s="552"/>
      <c r="J15" s="500"/>
      <c r="K15" s="474" t="s">
        <v>673</v>
      </c>
      <c r="L15" s="473" t="s">
        <v>674</v>
      </c>
    </row>
    <row r="16" spans="2:12" ht="15.6">
      <c r="B16" s="228"/>
      <c r="C16" s="229"/>
      <c r="D16" s="229"/>
      <c r="E16" s="229"/>
      <c r="F16" s="229"/>
      <c r="G16" s="229"/>
      <c r="H16" s="230"/>
      <c r="J16" s="500"/>
      <c r="K16" s="474" t="s">
        <v>675</v>
      </c>
      <c r="L16" s="473" t="s">
        <v>676</v>
      </c>
    </row>
    <row r="17" spans="2:12" ht="18.75" customHeight="1">
      <c r="B17" s="550" t="s">
        <v>8</v>
      </c>
      <c r="C17" s="551"/>
      <c r="D17" s="551"/>
      <c r="E17" s="551"/>
      <c r="F17" s="551"/>
      <c r="G17" s="551"/>
      <c r="H17" s="552"/>
      <c r="J17" s="500"/>
      <c r="K17" s="474" t="s">
        <v>677</v>
      </c>
      <c r="L17" s="473" t="s">
        <v>678</v>
      </c>
    </row>
    <row r="18" spans="2:12" ht="18.75" customHeight="1">
      <c r="B18" s="228"/>
      <c r="C18" s="229"/>
      <c r="D18" s="229"/>
      <c r="E18" s="229"/>
      <c r="F18" s="229"/>
      <c r="G18" s="229"/>
      <c r="H18" s="230"/>
      <c r="J18" s="500"/>
      <c r="K18" s="474" t="s">
        <v>679</v>
      </c>
      <c r="L18" s="473" t="s">
        <v>680</v>
      </c>
    </row>
    <row r="19" spans="2:12" ht="18.75" customHeight="1">
      <c r="B19" s="550" t="s">
        <v>9</v>
      </c>
      <c r="C19" s="551"/>
      <c r="D19" s="551"/>
      <c r="E19" s="551"/>
      <c r="F19" s="551"/>
      <c r="G19" s="551"/>
      <c r="H19" s="552"/>
      <c r="J19" s="500"/>
      <c r="K19" s="474" t="s">
        <v>681</v>
      </c>
      <c r="L19" s="473" t="s">
        <v>682</v>
      </c>
    </row>
    <row r="20" spans="2:12" ht="18.75" customHeight="1" thickBot="1">
      <c r="B20" s="181"/>
      <c r="C20" s="234"/>
      <c r="D20" s="234"/>
      <c r="E20" s="234"/>
      <c r="F20" s="234"/>
      <c r="G20" s="234"/>
      <c r="H20" s="235"/>
      <c r="J20" s="500"/>
      <c r="K20" s="474" t="s">
        <v>683</v>
      </c>
      <c r="L20" s="473" t="s">
        <v>684</v>
      </c>
    </row>
    <row r="21" spans="2:12" ht="16.2" thickTop="1">
      <c r="B21" s="249"/>
      <c r="C21" s="589" t="s">
        <v>10</v>
      </c>
      <c r="D21" s="590"/>
      <c r="E21" s="591" t="s">
        <v>11</v>
      </c>
      <c r="F21" s="592"/>
      <c r="G21" s="254"/>
      <c r="H21" s="250"/>
      <c r="J21" s="500"/>
      <c r="K21" s="474" t="s">
        <v>685</v>
      </c>
      <c r="L21" s="473" t="s">
        <v>686</v>
      </c>
    </row>
    <row r="22" spans="2:12" ht="35.25" customHeight="1">
      <c r="B22" s="249"/>
      <c r="C22" s="561" t="s">
        <v>12</v>
      </c>
      <c r="D22" s="540"/>
      <c r="E22" s="541" t="s">
        <v>13</v>
      </c>
      <c r="F22" s="542"/>
      <c r="G22" s="254"/>
      <c r="H22" s="250"/>
      <c r="J22" s="475"/>
      <c r="K22" s="476"/>
      <c r="L22" s="477"/>
    </row>
    <row r="23" spans="2:12" ht="17.25" customHeight="1">
      <c r="B23" s="249"/>
      <c r="C23" s="561" t="s">
        <v>14</v>
      </c>
      <c r="D23" s="540"/>
      <c r="E23" s="541" t="s">
        <v>15</v>
      </c>
      <c r="F23" s="542"/>
      <c r="G23" s="254"/>
      <c r="H23" s="250"/>
      <c r="J23" s="501" t="s">
        <v>687</v>
      </c>
      <c r="K23" s="474" t="s">
        <v>688</v>
      </c>
      <c r="L23" s="478" t="s">
        <v>689</v>
      </c>
    </row>
    <row r="24" spans="2:12" ht="69.75" customHeight="1">
      <c r="B24" s="249"/>
      <c r="C24" s="561" t="s">
        <v>16</v>
      </c>
      <c r="D24" s="540"/>
      <c r="E24" s="541" t="s">
        <v>17</v>
      </c>
      <c r="F24" s="542"/>
      <c r="G24" s="254"/>
      <c r="H24" s="250"/>
      <c r="J24" s="500"/>
      <c r="K24" s="474" t="s">
        <v>690</v>
      </c>
      <c r="L24" s="473" t="s">
        <v>691</v>
      </c>
    </row>
    <row r="25" spans="2:12" ht="69.75" customHeight="1">
      <c r="B25" s="249"/>
      <c r="C25" s="561" t="s">
        <v>18</v>
      </c>
      <c r="D25" s="540"/>
      <c r="E25" s="541" t="s">
        <v>19</v>
      </c>
      <c r="F25" s="542"/>
      <c r="G25" s="254"/>
      <c r="H25" s="250"/>
      <c r="J25" s="500"/>
      <c r="K25" s="474" t="s">
        <v>692</v>
      </c>
      <c r="L25" s="473" t="s">
        <v>693</v>
      </c>
    </row>
    <row r="26" spans="2:12" ht="69.75" customHeight="1">
      <c r="B26" s="249"/>
      <c r="C26" s="561" t="s">
        <v>20</v>
      </c>
      <c r="D26" s="540"/>
      <c r="E26" s="541" t="s">
        <v>21</v>
      </c>
      <c r="F26" s="542"/>
      <c r="G26" s="254"/>
      <c r="H26" s="250"/>
      <c r="J26" s="500"/>
      <c r="K26" s="474" t="s">
        <v>694</v>
      </c>
      <c r="L26" s="473" t="s">
        <v>695</v>
      </c>
    </row>
    <row r="27" spans="2:12" ht="69.75" customHeight="1">
      <c r="B27" s="249"/>
      <c r="C27" s="546" t="s">
        <v>22</v>
      </c>
      <c r="D27" s="538"/>
      <c r="E27" s="531" t="s">
        <v>23</v>
      </c>
      <c r="F27" s="532"/>
      <c r="G27" s="254"/>
      <c r="H27" s="250"/>
      <c r="J27" s="500"/>
      <c r="K27" s="474" t="s">
        <v>696</v>
      </c>
      <c r="L27" s="473" t="s">
        <v>697</v>
      </c>
    </row>
    <row r="28" spans="2:12" ht="69.75" customHeight="1">
      <c r="B28" s="249"/>
      <c r="C28" s="546" t="s">
        <v>24</v>
      </c>
      <c r="D28" s="538"/>
      <c r="E28" s="531" t="s">
        <v>25</v>
      </c>
      <c r="F28" s="532"/>
      <c r="G28" s="254"/>
      <c r="H28" s="250"/>
      <c r="J28" s="475"/>
      <c r="K28" s="476"/>
      <c r="L28" s="477"/>
    </row>
    <row r="29" spans="2:12" ht="69.75" customHeight="1">
      <c r="B29" s="249"/>
      <c r="C29" s="546" t="s">
        <v>26</v>
      </c>
      <c r="D29" s="538"/>
      <c r="E29" s="531" t="s">
        <v>27</v>
      </c>
      <c r="F29" s="532"/>
      <c r="G29" s="254"/>
      <c r="H29" s="250"/>
      <c r="J29" s="501" t="s">
        <v>698</v>
      </c>
      <c r="K29" s="474" t="s">
        <v>699</v>
      </c>
      <c r="L29" s="478" t="s">
        <v>700</v>
      </c>
    </row>
    <row r="30" spans="2:12" ht="111.75" customHeight="1">
      <c r="B30" s="249"/>
      <c r="C30" s="546" t="s">
        <v>28</v>
      </c>
      <c r="D30" s="538"/>
      <c r="E30" s="531" t="s">
        <v>29</v>
      </c>
      <c r="F30" s="532"/>
      <c r="G30" s="254"/>
      <c r="H30" s="250"/>
      <c r="J30" s="500"/>
      <c r="K30" s="474" t="s">
        <v>701</v>
      </c>
      <c r="L30" s="473" t="s">
        <v>702</v>
      </c>
    </row>
    <row r="31" spans="2:12" ht="94.5" customHeight="1">
      <c r="B31" s="249"/>
      <c r="C31" s="595" t="s">
        <v>30</v>
      </c>
      <c r="D31" s="596"/>
      <c r="E31" s="593" t="s">
        <v>373</v>
      </c>
      <c r="F31" s="594"/>
      <c r="G31" s="254"/>
      <c r="H31" s="250"/>
      <c r="J31" s="500"/>
      <c r="K31" s="474" t="s">
        <v>703</v>
      </c>
      <c r="L31" s="473" t="s">
        <v>704</v>
      </c>
    </row>
    <row r="32" spans="2:12" ht="171.75" customHeight="1">
      <c r="B32" s="249"/>
      <c r="C32" s="562" t="s">
        <v>372</v>
      </c>
      <c r="D32" s="563"/>
      <c r="E32" s="531" t="s">
        <v>378</v>
      </c>
      <c r="F32" s="532"/>
      <c r="G32" s="254"/>
      <c r="H32" s="250"/>
      <c r="J32" s="500"/>
      <c r="K32" s="474" t="s">
        <v>705</v>
      </c>
      <c r="L32" s="473" t="s">
        <v>706</v>
      </c>
    </row>
    <row r="33" spans="2:12" ht="74.25" customHeight="1">
      <c r="B33" s="249"/>
      <c r="C33" s="564"/>
      <c r="D33" s="565"/>
      <c r="E33" s="593" t="s">
        <v>377</v>
      </c>
      <c r="F33" s="594"/>
      <c r="G33" s="254"/>
      <c r="H33" s="250"/>
      <c r="J33" s="500"/>
      <c r="K33" s="474" t="s">
        <v>707</v>
      </c>
      <c r="L33" s="473" t="s">
        <v>708</v>
      </c>
    </row>
    <row r="34" spans="2:12" ht="72.75" customHeight="1">
      <c r="B34" s="249"/>
      <c r="C34" s="564"/>
      <c r="D34" s="565"/>
      <c r="E34" s="531" t="s">
        <v>376</v>
      </c>
      <c r="F34" s="532"/>
      <c r="G34" s="254"/>
      <c r="H34" s="250"/>
      <c r="J34" s="475"/>
      <c r="K34" s="476"/>
      <c r="L34" s="477"/>
    </row>
    <row r="35" spans="2:12" ht="80.25" customHeight="1">
      <c r="B35" s="249"/>
      <c r="C35" s="564"/>
      <c r="D35" s="565"/>
      <c r="E35" s="531" t="s">
        <v>379</v>
      </c>
      <c r="F35" s="532"/>
      <c r="G35" s="254"/>
      <c r="H35" s="250"/>
      <c r="J35" s="501" t="s">
        <v>709</v>
      </c>
      <c r="K35" s="474" t="s">
        <v>710</v>
      </c>
      <c r="L35" s="478" t="s">
        <v>711</v>
      </c>
    </row>
    <row r="36" spans="2:12" ht="72.75" customHeight="1">
      <c r="B36" s="249"/>
      <c r="C36" s="564"/>
      <c r="D36" s="565"/>
      <c r="E36" s="531" t="s">
        <v>374</v>
      </c>
      <c r="F36" s="532"/>
      <c r="G36" s="254"/>
      <c r="H36" s="250"/>
      <c r="J36" s="500"/>
      <c r="K36" s="474" t="s">
        <v>712</v>
      </c>
      <c r="L36" s="473" t="s">
        <v>713</v>
      </c>
    </row>
    <row r="37" spans="2:12" ht="81" customHeight="1">
      <c r="B37" s="249"/>
      <c r="C37" s="564"/>
      <c r="D37" s="565"/>
      <c r="E37" s="531" t="s">
        <v>375</v>
      </c>
      <c r="F37" s="532"/>
      <c r="G37" s="254"/>
      <c r="H37" s="250"/>
      <c r="J37" s="500"/>
      <c r="K37" s="474" t="s">
        <v>714</v>
      </c>
      <c r="L37" s="473" t="s">
        <v>715</v>
      </c>
    </row>
    <row r="38" spans="2:12" ht="69.75" customHeight="1">
      <c r="B38" s="249"/>
      <c r="C38" s="597" t="s">
        <v>34</v>
      </c>
      <c r="D38" s="598"/>
      <c r="E38" s="599" t="s">
        <v>35</v>
      </c>
      <c r="F38" s="600"/>
      <c r="G38" s="254"/>
      <c r="H38" s="250"/>
      <c r="J38" s="500"/>
      <c r="K38" s="474" t="s">
        <v>716</v>
      </c>
      <c r="L38" s="473" t="s">
        <v>717</v>
      </c>
    </row>
    <row r="39" spans="2:12" ht="15.6">
      <c r="B39" s="249"/>
      <c r="C39" s="239"/>
      <c r="D39" s="239"/>
      <c r="E39" s="240"/>
      <c r="F39" s="240"/>
      <c r="G39" s="254"/>
      <c r="H39" s="250"/>
      <c r="J39" s="500"/>
      <c r="K39" s="473" t="s">
        <v>718</v>
      </c>
      <c r="L39" s="473" t="s">
        <v>719</v>
      </c>
    </row>
    <row r="40" spans="2:12" ht="15.6">
      <c r="B40" s="550" t="s">
        <v>36</v>
      </c>
      <c r="C40" s="551"/>
      <c r="D40" s="551"/>
      <c r="E40" s="551"/>
      <c r="F40" s="551"/>
      <c r="G40" s="551"/>
      <c r="H40" s="552"/>
      <c r="J40" s="476"/>
      <c r="K40" s="476"/>
      <c r="L40" s="476"/>
    </row>
    <row r="41" spans="2:12" ht="14.55" customHeight="1" thickBot="1">
      <c r="B41" s="255"/>
      <c r="C41" s="244"/>
      <c r="D41" s="244"/>
      <c r="E41" s="244"/>
      <c r="F41" s="244"/>
      <c r="G41" s="244"/>
      <c r="H41" s="256"/>
      <c r="J41" s="494" t="s">
        <v>720</v>
      </c>
      <c r="K41" s="495"/>
      <c r="L41" s="495"/>
    </row>
    <row r="42" spans="2:12" ht="14.55" customHeight="1" thickTop="1">
      <c r="B42" s="255"/>
      <c r="C42" s="533" t="s">
        <v>10</v>
      </c>
      <c r="D42" s="534"/>
      <c r="E42" s="535" t="s">
        <v>11</v>
      </c>
      <c r="F42" s="536"/>
      <c r="G42" s="244"/>
      <c r="H42" s="256"/>
      <c r="J42" s="476"/>
      <c r="K42" s="476"/>
      <c r="L42" s="476"/>
    </row>
    <row r="43" spans="2:12" ht="90" customHeight="1">
      <c r="B43" s="255"/>
      <c r="C43" s="546" t="s">
        <v>37</v>
      </c>
      <c r="D43" s="538"/>
      <c r="E43" s="531" t="s">
        <v>38</v>
      </c>
      <c r="F43" s="532"/>
      <c r="G43" s="244"/>
      <c r="H43" s="256"/>
      <c r="J43" s="496"/>
      <c r="K43" s="495"/>
      <c r="L43" s="495"/>
    </row>
    <row r="44" spans="2:12" ht="53.55" customHeight="1">
      <c r="B44" s="255"/>
      <c r="C44" s="546" t="s">
        <v>39</v>
      </c>
      <c r="D44" s="538"/>
      <c r="E44" s="531" t="s">
        <v>40</v>
      </c>
      <c r="F44" s="532"/>
      <c r="G44" s="244"/>
      <c r="H44" s="256"/>
      <c r="J44" s="479"/>
      <c r="K44" s="480"/>
      <c r="L44" s="455"/>
    </row>
    <row r="45" spans="2:12" ht="54" customHeight="1">
      <c r="B45" s="255"/>
      <c r="C45" s="546" t="s">
        <v>41</v>
      </c>
      <c r="D45" s="538"/>
      <c r="E45" s="531" t="s">
        <v>42</v>
      </c>
      <c r="F45" s="532"/>
      <c r="G45" s="244"/>
      <c r="H45" s="256"/>
      <c r="J45" s="479"/>
      <c r="K45" s="480"/>
      <c r="L45" s="455"/>
    </row>
    <row r="46" spans="2:12" ht="32.549999999999997" customHeight="1">
      <c r="B46" s="255"/>
      <c r="C46" s="546" t="s">
        <v>43</v>
      </c>
      <c r="D46" s="538"/>
      <c r="E46" s="531" t="s">
        <v>44</v>
      </c>
      <c r="F46" s="532"/>
      <c r="G46" s="244"/>
      <c r="H46" s="256"/>
      <c r="J46" s="479"/>
      <c r="K46" s="480"/>
      <c r="L46" s="455"/>
    </row>
    <row r="47" spans="2:12">
      <c r="B47" s="255"/>
      <c r="C47" s="244"/>
      <c r="D47" s="244"/>
      <c r="E47" s="244"/>
      <c r="F47" s="244"/>
      <c r="G47" s="244"/>
      <c r="H47" s="256"/>
      <c r="J47" s="479"/>
      <c r="K47" s="480"/>
      <c r="L47" s="455"/>
    </row>
    <row r="48" spans="2:12" ht="18.75" customHeight="1">
      <c r="B48" s="547" t="s">
        <v>45</v>
      </c>
      <c r="C48" s="548"/>
      <c r="D48" s="548"/>
      <c r="E48" s="548"/>
      <c r="F48" s="548"/>
      <c r="G48" s="548"/>
      <c r="H48" s="549"/>
      <c r="J48" s="479"/>
      <c r="K48" s="480"/>
      <c r="L48" s="455"/>
    </row>
    <row r="49" spans="2:12" ht="18.75" customHeight="1">
      <c r="B49" s="241"/>
      <c r="C49" s="242"/>
      <c r="D49" s="242"/>
      <c r="E49" s="242"/>
      <c r="F49" s="242"/>
      <c r="G49" s="242"/>
      <c r="H49" s="243"/>
      <c r="J49" s="479"/>
      <c r="K49" s="480"/>
      <c r="L49" s="455"/>
    </row>
    <row r="50" spans="2:12" ht="18.75" customHeight="1">
      <c r="B50" s="550" t="s">
        <v>46</v>
      </c>
      <c r="C50" s="551"/>
      <c r="D50" s="551"/>
      <c r="E50" s="551"/>
      <c r="F50" s="551"/>
      <c r="G50" s="551"/>
      <c r="H50" s="552"/>
      <c r="J50" s="479"/>
      <c r="K50" s="480"/>
      <c r="L50" s="455"/>
    </row>
    <row r="51" spans="2:12" ht="18.75" customHeight="1" thickBot="1">
      <c r="B51" s="181"/>
      <c r="C51" s="234"/>
      <c r="D51" s="234"/>
      <c r="E51" s="234"/>
      <c r="F51" s="234"/>
      <c r="G51" s="234"/>
      <c r="H51" s="235"/>
      <c r="J51" s="479"/>
      <c r="K51" s="480"/>
      <c r="L51" s="455"/>
    </row>
    <row r="52" spans="2:12" ht="18.75" customHeight="1" thickTop="1">
      <c r="B52" s="181"/>
      <c r="C52" s="533" t="s">
        <v>10</v>
      </c>
      <c r="D52" s="534"/>
      <c r="E52" s="535" t="s">
        <v>11</v>
      </c>
      <c r="F52" s="536"/>
      <c r="G52" s="234"/>
      <c r="H52" s="235"/>
      <c r="J52" s="479"/>
      <c r="K52" s="480"/>
      <c r="L52" s="455"/>
    </row>
    <row r="53" spans="2:12" ht="53.25" customHeight="1">
      <c r="B53" s="181"/>
      <c r="C53" s="537" t="s">
        <v>47</v>
      </c>
      <c r="D53" s="530"/>
      <c r="E53" s="531" t="s">
        <v>48</v>
      </c>
      <c r="F53" s="532"/>
      <c r="G53" s="234"/>
      <c r="H53" s="235"/>
      <c r="J53" s="479"/>
      <c r="K53" s="480"/>
      <c r="L53" s="455"/>
    </row>
    <row r="54" spans="2:12" ht="54" customHeight="1">
      <c r="B54" s="181"/>
      <c r="C54" s="537" t="s">
        <v>49</v>
      </c>
      <c r="D54" s="530"/>
      <c r="E54" s="531" t="s">
        <v>50</v>
      </c>
      <c r="F54" s="532"/>
      <c r="G54" s="234"/>
      <c r="H54" s="235"/>
      <c r="J54" s="479"/>
      <c r="K54" s="480"/>
      <c r="L54" s="455"/>
    </row>
    <row r="55" spans="2:12" ht="52.05" customHeight="1">
      <c r="B55" s="181"/>
      <c r="C55" s="537" t="s">
        <v>51</v>
      </c>
      <c r="D55" s="530"/>
      <c r="E55" s="531" t="s">
        <v>52</v>
      </c>
      <c r="F55" s="532"/>
      <c r="G55" s="234"/>
      <c r="H55" s="235"/>
      <c r="J55" s="479"/>
      <c r="K55" s="480"/>
      <c r="L55" s="455"/>
    </row>
    <row r="56" spans="2:12" ht="53.55" customHeight="1">
      <c r="B56" s="181"/>
      <c r="C56" s="537" t="s">
        <v>53</v>
      </c>
      <c r="D56" s="530"/>
      <c r="E56" s="531" t="s">
        <v>52</v>
      </c>
      <c r="F56" s="532"/>
      <c r="G56" s="234"/>
      <c r="H56" s="235"/>
      <c r="J56" s="479"/>
      <c r="K56" s="480"/>
      <c r="L56" s="455"/>
    </row>
    <row r="57" spans="2:12" ht="48.75" customHeight="1">
      <c r="B57" s="181"/>
      <c r="C57" s="537" t="s">
        <v>54</v>
      </c>
      <c r="D57" s="530"/>
      <c r="E57" s="531" t="s">
        <v>55</v>
      </c>
      <c r="F57" s="532"/>
      <c r="G57" s="234"/>
      <c r="H57" s="235"/>
      <c r="J57" s="479"/>
      <c r="K57" s="480"/>
      <c r="L57" s="455"/>
    </row>
    <row r="58" spans="2:12" ht="49.5" customHeight="1">
      <c r="B58" s="181"/>
      <c r="C58" s="537" t="s">
        <v>56</v>
      </c>
      <c r="D58" s="530"/>
      <c r="E58" s="531" t="s">
        <v>57</v>
      </c>
      <c r="F58" s="532"/>
      <c r="G58" s="234"/>
      <c r="H58" s="235"/>
      <c r="J58" s="479"/>
      <c r="K58" s="480"/>
      <c r="L58" s="455"/>
    </row>
    <row r="59" spans="2:12" ht="50.25" customHeight="1">
      <c r="B59" s="181"/>
      <c r="C59" s="537" t="s">
        <v>58</v>
      </c>
      <c r="D59" s="530"/>
      <c r="E59" s="531" t="s">
        <v>59</v>
      </c>
      <c r="F59" s="532"/>
      <c r="G59" s="234"/>
      <c r="H59" s="235"/>
      <c r="J59" s="479"/>
      <c r="K59" s="480"/>
      <c r="L59" s="455"/>
    </row>
    <row r="60" spans="2:12" ht="29.55" customHeight="1">
      <c r="B60" s="181"/>
      <c r="C60" s="537" t="s">
        <v>60</v>
      </c>
      <c r="D60" s="530"/>
      <c r="E60" s="531" t="s">
        <v>61</v>
      </c>
      <c r="F60" s="532"/>
      <c r="G60" s="234"/>
      <c r="H60" s="235"/>
      <c r="J60" s="479"/>
      <c r="K60" s="480"/>
      <c r="L60" s="455"/>
    </row>
    <row r="61" spans="2:12" ht="40.049999999999997" customHeight="1">
      <c r="B61" s="181"/>
      <c r="C61" s="537" t="s">
        <v>62</v>
      </c>
      <c r="D61" s="530"/>
      <c r="E61" s="531" t="s">
        <v>63</v>
      </c>
      <c r="F61" s="532"/>
      <c r="G61" s="234"/>
      <c r="H61" s="235"/>
      <c r="J61" s="479"/>
      <c r="K61" s="480"/>
      <c r="L61" s="455"/>
    </row>
    <row r="62" spans="2:12" ht="29.55" customHeight="1">
      <c r="B62" s="181"/>
      <c r="C62" s="537" t="s">
        <v>64</v>
      </c>
      <c r="D62" s="530"/>
      <c r="E62" s="531" t="s">
        <v>65</v>
      </c>
      <c r="F62" s="532"/>
      <c r="G62" s="234"/>
      <c r="H62" s="235"/>
      <c r="J62" s="479"/>
      <c r="K62" s="480"/>
      <c r="L62" s="455"/>
    </row>
    <row r="63" spans="2:12" ht="18.75" customHeight="1">
      <c r="B63" s="181"/>
      <c r="C63" s="234"/>
      <c r="D63" s="234"/>
      <c r="E63" s="234"/>
      <c r="F63" s="234"/>
      <c r="G63" s="234"/>
      <c r="H63" s="235"/>
      <c r="J63" s="479"/>
      <c r="K63" s="480"/>
      <c r="L63" s="455"/>
    </row>
    <row r="64" spans="2:12" ht="18.75" customHeight="1">
      <c r="B64" s="553" t="s">
        <v>66</v>
      </c>
      <c r="C64" s="554"/>
      <c r="D64" s="554"/>
      <c r="E64" s="554"/>
      <c r="F64" s="554"/>
      <c r="G64" s="554"/>
      <c r="H64" s="555"/>
      <c r="J64" s="479"/>
      <c r="K64" s="480"/>
      <c r="L64" s="455"/>
    </row>
    <row r="65" spans="2:12" ht="18.75" customHeight="1">
      <c r="B65" s="181"/>
      <c r="C65" s="234"/>
      <c r="D65" s="234"/>
      <c r="E65" s="234"/>
      <c r="F65" s="234"/>
      <c r="G65" s="234"/>
      <c r="H65" s="235"/>
      <c r="J65" s="479"/>
      <c r="K65" s="480"/>
      <c r="L65" s="455"/>
    </row>
    <row r="66" spans="2:12" ht="18.75" customHeight="1">
      <c r="B66" s="543" t="s">
        <v>67</v>
      </c>
      <c r="C66" s="544"/>
      <c r="D66" s="544"/>
      <c r="E66" s="544"/>
      <c r="F66" s="544"/>
      <c r="G66" s="544"/>
      <c r="H66" s="545"/>
      <c r="J66" s="479"/>
      <c r="K66" s="480"/>
      <c r="L66" s="455"/>
    </row>
    <row r="67" spans="2:12" ht="18.75" customHeight="1">
      <c r="B67" s="228"/>
      <c r="C67" s="229"/>
      <c r="D67" s="229"/>
      <c r="E67" s="229"/>
      <c r="F67" s="229"/>
      <c r="G67" s="229"/>
      <c r="H67" s="230"/>
      <c r="J67" s="479"/>
      <c r="K67" s="480"/>
      <c r="L67" s="455"/>
    </row>
    <row r="68" spans="2:12" ht="30" customHeight="1">
      <c r="B68" s="550" t="s">
        <v>68</v>
      </c>
      <c r="C68" s="551"/>
      <c r="D68" s="551"/>
      <c r="E68" s="551"/>
      <c r="F68" s="551"/>
      <c r="G68" s="551"/>
      <c r="H68" s="552"/>
      <c r="J68" s="479"/>
      <c r="K68" s="480"/>
      <c r="L68" s="455"/>
    </row>
    <row r="69" spans="2:12" ht="15" thickBot="1">
      <c r="B69" s="181"/>
      <c r="C69" s="234"/>
      <c r="D69" s="234"/>
      <c r="E69" s="234"/>
      <c r="F69" s="234"/>
      <c r="G69" s="234"/>
      <c r="H69" s="235"/>
      <c r="J69" s="479"/>
      <c r="K69" s="480"/>
      <c r="L69" s="455"/>
    </row>
    <row r="70" spans="2:12" ht="30" customHeight="1" thickTop="1">
      <c r="B70" s="181"/>
      <c r="C70" s="533" t="s">
        <v>10</v>
      </c>
      <c r="D70" s="534"/>
      <c r="E70" s="535" t="s">
        <v>11</v>
      </c>
      <c r="F70" s="536"/>
      <c r="G70" s="234"/>
      <c r="H70" s="235"/>
      <c r="J70" s="479"/>
      <c r="K70" s="480"/>
      <c r="L70" s="455"/>
    </row>
    <row r="71" spans="2:12" ht="30" customHeight="1">
      <c r="B71" s="181"/>
      <c r="C71" s="537" t="s">
        <v>69</v>
      </c>
      <c r="D71" s="530"/>
      <c r="E71" s="531" t="s">
        <v>70</v>
      </c>
      <c r="F71" s="532"/>
      <c r="G71" s="234"/>
      <c r="H71" s="235"/>
      <c r="J71" s="479"/>
      <c r="K71" s="480"/>
      <c r="L71" s="455"/>
    </row>
    <row r="72" spans="2:12" ht="44.55" customHeight="1">
      <c r="B72" s="181"/>
      <c r="C72" s="537" t="s">
        <v>71</v>
      </c>
      <c r="D72" s="530"/>
      <c r="E72" s="531" t="s">
        <v>72</v>
      </c>
      <c r="F72" s="532"/>
      <c r="G72" s="234"/>
      <c r="H72" s="235"/>
      <c r="J72" s="479"/>
      <c r="K72" s="480"/>
      <c r="L72" s="455"/>
    </row>
    <row r="73" spans="2:12" ht="51" customHeight="1">
      <c r="B73" s="181"/>
      <c r="C73" s="537" t="s">
        <v>73</v>
      </c>
      <c r="D73" s="530"/>
      <c r="E73" s="531" t="s">
        <v>74</v>
      </c>
      <c r="F73" s="532"/>
      <c r="G73" s="234"/>
      <c r="H73" s="235"/>
      <c r="J73" s="479"/>
      <c r="K73" s="480"/>
      <c r="L73" s="455"/>
    </row>
    <row r="74" spans="2:12" ht="76.5" customHeight="1">
      <c r="B74" s="181"/>
      <c r="C74" s="537" t="s">
        <v>75</v>
      </c>
      <c r="D74" s="530"/>
      <c r="E74" s="531" t="s">
        <v>76</v>
      </c>
      <c r="F74" s="532"/>
      <c r="G74" s="234"/>
      <c r="H74" s="235"/>
      <c r="J74" s="479"/>
      <c r="K74" s="480"/>
      <c r="L74" s="455"/>
    </row>
    <row r="75" spans="2:12" ht="30" customHeight="1">
      <c r="B75" s="181"/>
      <c r="C75" s="537" t="s">
        <v>77</v>
      </c>
      <c r="D75" s="530"/>
      <c r="E75" s="531" t="s">
        <v>78</v>
      </c>
      <c r="F75" s="532"/>
      <c r="G75" s="234"/>
      <c r="H75" s="235"/>
      <c r="J75" s="479"/>
      <c r="K75" s="480"/>
      <c r="L75" s="455"/>
    </row>
    <row r="76" spans="2:12" ht="30" customHeight="1">
      <c r="B76" s="181"/>
      <c r="C76" s="537" t="s">
        <v>79</v>
      </c>
      <c r="D76" s="530"/>
      <c r="E76" s="531" t="s">
        <v>80</v>
      </c>
      <c r="F76" s="532"/>
      <c r="G76" s="234"/>
      <c r="H76" s="235"/>
      <c r="J76" s="479"/>
      <c r="K76" s="480"/>
      <c r="L76" s="455"/>
    </row>
    <row r="77" spans="2:12" ht="30" customHeight="1">
      <c r="B77" s="181"/>
      <c r="C77" s="537" t="s">
        <v>81</v>
      </c>
      <c r="D77" s="530"/>
      <c r="E77" s="531" t="s">
        <v>82</v>
      </c>
      <c r="F77" s="532"/>
      <c r="G77" s="234"/>
      <c r="H77" s="235"/>
      <c r="J77" s="479"/>
      <c r="K77" s="480"/>
      <c r="L77" s="455"/>
    </row>
    <row r="78" spans="2:12" ht="53.55" customHeight="1">
      <c r="B78" s="181"/>
      <c r="C78" s="537" t="s">
        <v>83</v>
      </c>
      <c r="D78" s="530"/>
      <c r="E78" s="531" t="s">
        <v>84</v>
      </c>
      <c r="F78" s="532"/>
      <c r="G78" s="234"/>
      <c r="H78" s="235"/>
      <c r="J78" s="479"/>
      <c r="K78" s="480"/>
      <c r="L78" s="455"/>
    </row>
    <row r="79" spans="2:12" ht="30" customHeight="1">
      <c r="B79" s="181"/>
      <c r="C79" s="234"/>
      <c r="D79" s="234"/>
      <c r="E79" s="234"/>
      <c r="F79" s="234"/>
      <c r="G79" s="234"/>
      <c r="H79" s="235"/>
      <c r="J79" s="479"/>
      <c r="K79" s="480"/>
      <c r="L79" s="455"/>
    </row>
    <row r="80" spans="2:12" ht="18.75" customHeight="1">
      <c r="B80" s="543" t="s">
        <v>85</v>
      </c>
      <c r="C80" s="544"/>
      <c r="D80" s="544"/>
      <c r="E80" s="544"/>
      <c r="F80" s="544"/>
      <c r="G80" s="544"/>
      <c r="H80" s="545"/>
      <c r="J80" s="479"/>
      <c r="K80" s="480"/>
      <c r="L80" s="455"/>
    </row>
    <row r="81" spans="2:12" ht="18.75" customHeight="1">
      <c r="B81" s="236"/>
      <c r="C81" s="237"/>
      <c r="D81" s="237"/>
      <c r="E81" s="237"/>
      <c r="F81" s="237"/>
      <c r="G81" s="237"/>
      <c r="H81" s="238"/>
      <c r="J81" s="479"/>
      <c r="K81" s="480"/>
      <c r="L81" s="455"/>
    </row>
    <row r="82" spans="2:12" ht="18.75" customHeight="1">
      <c r="B82" s="543" t="s">
        <v>86</v>
      </c>
      <c r="C82" s="544"/>
      <c r="D82" s="544"/>
      <c r="E82" s="544"/>
      <c r="F82" s="544"/>
      <c r="G82" s="544"/>
      <c r="H82" s="545"/>
      <c r="J82" s="479"/>
      <c r="K82" s="480"/>
      <c r="L82" s="455"/>
    </row>
    <row r="83" spans="2:12" ht="18.75" customHeight="1">
      <c r="B83" s="236"/>
      <c r="C83" s="237"/>
      <c r="D83" s="237"/>
      <c r="E83" s="237"/>
      <c r="F83" s="237"/>
      <c r="G83" s="237"/>
      <c r="H83" s="238"/>
      <c r="J83" s="479"/>
      <c r="K83" s="480"/>
      <c r="L83" s="455"/>
    </row>
    <row r="84" spans="2:12" ht="18.75" customHeight="1">
      <c r="B84" s="543" t="s">
        <v>87</v>
      </c>
      <c r="C84" s="544"/>
      <c r="D84" s="544"/>
      <c r="E84" s="544"/>
      <c r="F84" s="544"/>
      <c r="G84" s="544"/>
      <c r="H84" s="545"/>
      <c r="J84" s="479"/>
      <c r="K84" s="480"/>
      <c r="L84" s="455"/>
    </row>
    <row r="85" spans="2:12">
      <c r="B85" s="181"/>
      <c r="C85" s="257"/>
      <c r="D85" s="257"/>
      <c r="E85" s="257"/>
      <c r="F85" s="257"/>
      <c r="G85" s="257"/>
      <c r="H85" s="182"/>
      <c r="J85" s="479"/>
      <c r="K85" s="480"/>
      <c r="L85" s="455"/>
    </row>
    <row r="86" spans="2:12">
      <c r="B86" s="181"/>
      <c r="C86" s="257"/>
      <c r="D86" s="257"/>
      <c r="E86" s="257"/>
      <c r="F86" s="257"/>
      <c r="G86" s="257"/>
      <c r="H86" s="182"/>
      <c r="J86" s="479"/>
      <c r="K86" s="480"/>
      <c r="L86" s="455"/>
    </row>
    <row r="87" spans="2:12">
      <c r="B87" s="181" t="s">
        <v>88</v>
      </c>
      <c r="C87" s="257"/>
      <c r="D87" s="257"/>
      <c r="E87" s="257"/>
      <c r="F87" s="257"/>
      <c r="G87" s="257"/>
      <c r="H87" s="182"/>
      <c r="J87" s="479"/>
      <c r="K87" s="480"/>
      <c r="L87" s="455"/>
    </row>
    <row r="88" spans="2:12">
      <c r="B88" s="181"/>
      <c r="C88" s="257"/>
      <c r="D88" s="257"/>
      <c r="E88" s="257"/>
      <c r="F88" s="257"/>
      <c r="G88" s="257"/>
      <c r="H88" s="182"/>
      <c r="J88" s="479"/>
      <c r="K88" s="480"/>
      <c r="L88" s="455"/>
    </row>
    <row r="89" spans="2:12" ht="15" thickBot="1">
      <c r="B89" s="249"/>
      <c r="C89" s="254"/>
      <c r="D89" s="258"/>
      <c r="E89" s="259"/>
      <c r="F89" s="259"/>
      <c r="G89" s="260"/>
      <c r="H89" s="250"/>
      <c r="J89" s="479"/>
      <c r="K89" s="480"/>
      <c r="L89" s="455"/>
    </row>
    <row r="90" spans="2:12" ht="15" thickTop="1">
      <c r="B90" s="261" t="s">
        <v>89</v>
      </c>
      <c r="C90" s="556" t="s">
        <v>10</v>
      </c>
      <c r="D90" s="534"/>
      <c r="E90" s="535" t="s">
        <v>11</v>
      </c>
      <c r="F90" s="536"/>
      <c r="G90" s="254"/>
      <c r="H90" s="250"/>
      <c r="J90" s="479"/>
      <c r="K90" s="480"/>
      <c r="L90" s="455"/>
    </row>
    <row r="91" spans="2:12" s="180" customFormat="1" ht="44.25" customHeight="1">
      <c r="B91" s="265">
        <v>2</v>
      </c>
      <c r="C91" s="539" t="s">
        <v>12</v>
      </c>
      <c r="D91" s="540"/>
      <c r="E91" s="541" t="s">
        <v>13</v>
      </c>
      <c r="F91" s="542"/>
      <c r="G91" s="262"/>
      <c r="H91" s="183"/>
      <c r="J91" s="479"/>
      <c r="K91" s="480"/>
      <c r="L91" s="455"/>
    </row>
    <row r="92" spans="2:12" s="180" customFormat="1" ht="17.25" customHeight="1">
      <c r="B92" s="265">
        <v>2</v>
      </c>
      <c r="C92" s="539" t="s">
        <v>14</v>
      </c>
      <c r="D92" s="540"/>
      <c r="E92" s="541" t="s">
        <v>15</v>
      </c>
      <c r="F92" s="542"/>
      <c r="G92" s="262"/>
      <c r="H92" s="183"/>
      <c r="J92" s="479"/>
      <c r="K92" s="480"/>
      <c r="L92" s="455"/>
    </row>
    <row r="93" spans="2:12" s="180" customFormat="1" ht="25.5" customHeight="1">
      <c r="B93" s="265">
        <v>2</v>
      </c>
      <c r="C93" s="539" t="s">
        <v>16</v>
      </c>
      <c r="D93" s="540"/>
      <c r="E93" s="541" t="s">
        <v>17</v>
      </c>
      <c r="F93" s="542"/>
      <c r="G93" s="262"/>
      <c r="H93" s="183"/>
      <c r="J93" s="479"/>
      <c r="K93" s="480"/>
      <c r="L93" s="455"/>
    </row>
    <row r="94" spans="2:12" s="180" customFormat="1" ht="25.5" customHeight="1">
      <c r="B94" s="265">
        <v>2</v>
      </c>
      <c r="C94" s="539" t="s">
        <v>18</v>
      </c>
      <c r="D94" s="540"/>
      <c r="E94" s="541" t="s">
        <v>19</v>
      </c>
      <c r="F94" s="542"/>
      <c r="G94" s="262"/>
      <c r="H94" s="183"/>
      <c r="J94" s="479"/>
      <c r="K94" s="480"/>
      <c r="L94" s="455"/>
    </row>
    <row r="95" spans="2:12" s="180" customFormat="1" ht="67.05" customHeight="1">
      <c r="B95" s="265">
        <v>2</v>
      </c>
      <c r="C95" s="539" t="s">
        <v>20</v>
      </c>
      <c r="D95" s="540"/>
      <c r="E95" s="541" t="s">
        <v>21</v>
      </c>
      <c r="F95" s="542"/>
      <c r="G95" s="262"/>
      <c r="H95" s="183"/>
      <c r="J95" s="479"/>
      <c r="K95" s="480"/>
      <c r="L95" s="455"/>
    </row>
    <row r="96" spans="2:12" s="180" customFormat="1" ht="67.5" customHeight="1">
      <c r="B96" s="265">
        <v>2</v>
      </c>
      <c r="C96" s="530" t="s">
        <v>22</v>
      </c>
      <c r="D96" s="538"/>
      <c r="E96" s="531" t="s">
        <v>23</v>
      </c>
      <c r="F96" s="532"/>
      <c r="G96" s="262"/>
      <c r="H96" s="183"/>
      <c r="J96" s="479"/>
      <c r="K96" s="480"/>
      <c r="L96" s="455"/>
    </row>
    <row r="97" spans="2:12" s="180" customFormat="1" ht="43.5" customHeight="1">
      <c r="B97" s="265">
        <v>2</v>
      </c>
      <c r="C97" s="530" t="s">
        <v>24</v>
      </c>
      <c r="D97" s="538"/>
      <c r="E97" s="531" t="s">
        <v>25</v>
      </c>
      <c r="F97" s="532"/>
      <c r="G97" s="262"/>
      <c r="H97" s="183"/>
      <c r="J97" s="479"/>
      <c r="K97" s="480"/>
      <c r="L97" s="455"/>
    </row>
    <row r="98" spans="2:12" s="180" customFormat="1" ht="35.25" customHeight="1">
      <c r="B98" s="265">
        <v>2</v>
      </c>
      <c r="C98" s="530" t="s">
        <v>26</v>
      </c>
      <c r="D98" s="538"/>
      <c r="E98" s="531" t="s">
        <v>27</v>
      </c>
      <c r="F98" s="532"/>
      <c r="G98" s="262"/>
      <c r="H98" s="183"/>
      <c r="J98" s="479"/>
      <c r="K98" s="480"/>
      <c r="L98" s="455"/>
    </row>
    <row r="99" spans="2:12" s="180" customFormat="1" ht="72.75" customHeight="1">
      <c r="B99" s="265">
        <v>2</v>
      </c>
      <c r="C99" s="530" t="s">
        <v>28</v>
      </c>
      <c r="D99" s="538"/>
      <c r="E99" s="531" t="s">
        <v>90</v>
      </c>
      <c r="F99" s="532"/>
      <c r="G99" s="262"/>
      <c r="H99" s="183"/>
      <c r="J99" s="479"/>
      <c r="K99" s="480"/>
      <c r="L99" s="455"/>
    </row>
    <row r="100" spans="2:12" s="180" customFormat="1" ht="94.05" customHeight="1">
      <c r="B100" s="265">
        <v>2</v>
      </c>
      <c r="C100" s="530" t="s">
        <v>30</v>
      </c>
      <c r="D100" s="538"/>
      <c r="E100" s="531" t="s">
        <v>31</v>
      </c>
      <c r="F100" s="532"/>
      <c r="G100" s="262"/>
      <c r="H100" s="183"/>
      <c r="J100" s="479"/>
      <c r="K100" s="480"/>
      <c r="L100" s="455"/>
    </row>
    <row r="101" spans="2:12" s="180" customFormat="1" ht="94.05" customHeight="1">
      <c r="B101" s="265">
        <v>2</v>
      </c>
      <c r="C101" s="530" t="s">
        <v>32</v>
      </c>
      <c r="D101" s="538"/>
      <c r="E101" s="531" t="s">
        <v>33</v>
      </c>
      <c r="F101" s="532"/>
      <c r="G101" s="262"/>
      <c r="H101" s="183"/>
      <c r="J101" s="479"/>
      <c r="K101" s="480"/>
      <c r="L101" s="455"/>
    </row>
    <row r="102" spans="2:12" s="180" customFormat="1" ht="41.25" customHeight="1">
      <c r="B102" s="265">
        <v>2</v>
      </c>
      <c r="C102" s="530" t="s">
        <v>34</v>
      </c>
      <c r="D102" s="538"/>
      <c r="E102" s="531" t="s">
        <v>35</v>
      </c>
      <c r="F102" s="532"/>
      <c r="G102" s="262"/>
      <c r="H102" s="183"/>
      <c r="J102" s="479"/>
      <c r="K102" s="480"/>
      <c r="L102" s="455"/>
    </row>
    <row r="103" spans="2:12" s="180" customFormat="1" ht="66.75" customHeight="1">
      <c r="B103" s="265">
        <v>3</v>
      </c>
      <c r="C103" s="530" t="s">
        <v>37</v>
      </c>
      <c r="D103" s="538"/>
      <c r="E103" s="531" t="s">
        <v>38</v>
      </c>
      <c r="F103" s="532"/>
      <c r="G103" s="262"/>
      <c r="H103" s="183"/>
      <c r="J103" s="479"/>
      <c r="K103" s="480"/>
      <c r="L103" s="455"/>
    </row>
    <row r="104" spans="2:12" s="180" customFormat="1" ht="66.75" customHeight="1">
      <c r="B104" s="265">
        <v>3</v>
      </c>
      <c r="C104" s="530" t="s">
        <v>39</v>
      </c>
      <c r="D104" s="538"/>
      <c r="E104" s="531" t="s">
        <v>40</v>
      </c>
      <c r="F104" s="532"/>
      <c r="G104" s="262"/>
      <c r="H104" s="183"/>
      <c r="J104" s="479"/>
      <c r="K104" s="480"/>
      <c r="L104" s="455"/>
    </row>
    <row r="105" spans="2:12" s="180" customFormat="1" ht="62.55" customHeight="1">
      <c r="B105" s="265">
        <v>3</v>
      </c>
      <c r="C105" s="530" t="s">
        <v>41</v>
      </c>
      <c r="D105" s="538"/>
      <c r="E105" s="531" t="s">
        <v>42</v>
      </c>
      <c r="F105" s="532"/>
      <c r="G105" s="262"/>
      <c r="H105" s="183"/>
      <c r="J105" s="479"/>
      <c r="K105" s="480"/>
      <c r="L105" s="455"/>
    </row>
    <row r="106" spans="2:12" s="180" customFormat="1" ht="38.549999999999997" customHeight="1">
      <c r="B106" s="265">
        <v>3</v>
      </c>
      <c r="C106" s="530" t="s">
        <v>43</v>
      </c>
      <c r="D106" s="538"/>
      <c r="E106" s="531" t="s">
        <v>44</v>
      </c>
      <c r="F106" s="532"/>
      <c r="G106" s="262"/>
      <c r="H106" s="183"/>
      <c r="J106" s="479"/>
      <c r="K106" s="480"/>
      <c r="L106" s="455"/>
    </row>
    <row r="107" spans="2:12" ht="73.5" customHeight="1">
      <c r="B107" s="266">
        <v>5</v>
      </c>
      <c r="C107" s="529" t="s">
        <v>47</v>
      </c>
      <c r="D107" s="530"/>
      <c r="E107" s="531" t="s">
        <v>91</v>
      </c>
      <c r="F107" s="532"/>
      <c r="G107" s="254"/>
      <c r="H107" s="250"/>
      <c r="J107" s="479"/>
      <c r="K107" s="480"/>
      <c r="L107" s="455"/>
    </row>
    <row r="108" spans="2:12" ht="59.25" customHeight="1">
      <c r="B108" s="266">
        <v>5</v>
      </c>
      <c r="C108" s="529" t="s">
        <v>49</v>
      </c>
      <c r="D108" s="530"/>
      <c r="E108" s="531" t="s">
        <v>50</v>
      </c>
      <c r="F108" s="532"/>
      <c r="G108" s="254"/>
      <c r="H108" s="250"/>
      <c r="J108" s="479"/>
      <c r="K108" s="480"/>
      <c r="L108" s="455"/>
    </row>
    <row r="109" spans="2:12" ht="59.25" customHeight="1">
      <c r="B109" s="266">
        <v>5</v>
      </c>
      <c r="C109" s="529" t="s">
        <v>51</v>
      </c>
      <c r="D109" s="530"/>
      <c r="E109" s="531" t="s">
        <v>52</v>
      </c>
      <c r="F109" s="532"/>
      <c r="G109" s="254"/>
      <c r="H109" s="250"/>
      <c r="J109" s="479"/>
      <c r="K109" s="480"/>
      <c r="L109" s="455"/>
    </row>
    <row r="110" spans="2:12" ht="59.25" customHeight="1">
      <c r="B110" s="266">
        <v>5</v>
      </c>
      <c r="C110" s="529" t="s">
        <v>53</v>
      </c>
      <c r="D110" s="530"/>
      <c r="E110" s="531" t="s">
        <v>52</v>
      </c>
      <c r="F110" s="532"/>
      <c r="G110" s="254"/>
      <c r="H110" s="250"/>
      <c r="J110" s="479"/>
      <c r="K110" s="480"/>
      <c r="L110" s="455"/>
    </row>
    <row r="111" spans="2:12" ht="47.55" customHeight="1">
      <c r="B111" s="266">
        <v>5</v>
      </c>
      <c r="C111" s="529" t="s">
        <v>54</v>
      </c>
      <c r="D111" s="530"/>
      <c r="E111" s="531" t="s">
        <v>55</v>
      </c>
      <c r="F111" s="532"/>
      <c r="G111" s="254"/>
      <c r="H111" s="250"/>
      <c r="J111" s="479"/>
      <c r="K111" s="480"/>
      <c r="L111" s="455"/>
    </row>
    <row r="112" spans="2:12" ht="59.25" customHeight="1">
      <c r="B112" s="266">
        <v>5</v>
      </c>
      <c r="C112" s="529" t="s">
        <v>56</v>
      </c>
      <c r="D112" s="530"/>
      <c r="E112" s="531" t="s">
        <v>57</v>
      </c>
      <c r="F112" s="532"/>
      <c r="G112" s="254"/>
      <c r="H112" s="250"/>
      <c r="J112" s="479"/>
      <c r="K112" s="480"/>
      <c r="L112" s="455"/>
    </row>
    <row r="113" spans="2:12" ht="63" customHeight="1">
      <c r="B113" s="266">
        <v>5</v>
      </c>
      <c r="C113" s="529" t="s">
        <v>58</v>
      </c>
      <c r="D113" s="530"/>
      <c r="E113" s="531" t="s">
        <v>59</v>
      </c>
      <c r="F113" s="532"/>
      <c r="G113" s="254"/>
      <c r="H113" s="250"/>
      <c r="J113" s="479"/>
      <c r="K113" s="480"/>
      <c r="L113" s="455"/>
    </row>
    <row r="114" spans="2:12" ht="33.75" customHeight="1">
      <c r="B114" s="266">
        <v>5</v>
      </c>
      <c r="C114" s="529" t="s">
        <v>60</v>
      </c>
      <c r="D114" s="530"/>
      <c r="E114" s="531" t="s">
        <v>61</v>
      </c>
      <c r="F114" s="532"/>
      <c r="G114" s="254"/>
      <c r="H114" s="250"/>
      <c r="J114" s="479"/>
      <c r="K114" s="480"/>
      <c r="L114" s="455"/>
    </row>
    <row r="115" spans="2:12" ht="45.75" customHeight="1">
      <c r="B115" s="266">
        <v>5</v>
      </c>
      <c r="C115" s="529" t="s">
        <v>62</v>
      </c>
      <c r="D115" s="530"/>
      <c r="E115" s="531" t="s">
        <v>63</v>
      </c>
      <c r="F115" s="532"/>
      <c r="G115" s="254"/>
      <c r="H115" s="250"/>
      <c r="J115" s="479"/>
      <c r="K115" s="480"/>
      <c r="L115" s="455"/>
    </row>
    <row r="116" spans="2:12" ht="34.5" customHeight="1">
      <c r="B116" s="266">
        <v>5</v>
      </c>
      <c r="C116" s="529" t="s">
        <v>64</v>
      </c>
      <c r="D116" s="530"/>
      <c r="E116" s="531" t="s">
        <v>65</v>
      </c>
      <c r="F116" s="532"/>
      <c r="G116" s="254"/>
      <c r="H116" s="250"/>
      <c r="J116" s="479"/>
      <c r="K116" s="480"/>
      <c r="L116" s="455"/>
    </row>
    <row r="117" spans="2:12" ht="25.05" customHeight="1">
      <c r="B117" s="266">
        <v>8</v>
      </c>
      <c r="C117" s="529" t="s">
        <v>69</v>
      </c>
      <c r="D117" s="530"/>
      <c r="E117" s="531" t="s">
        <v>70</v>
      </c>
      <c r="F117" s="532"/>
      <c r="G117" s="254"/>
      <c r="H117" s="250"/>
      <c r="J117" s="479"/>
      <c r="K117" s="480"/>
      <c r="L117" s="455"/>
    </row>
    <row r="118" spans="2:12" ht="46.5" customHeight="1">
      <c r="B118" s="266">
        <v>8</v>
      </c>
      <c r="C118" s="529" t="s">
        <v>71</v>
      </c>
      <c r="D118" s="530"/>
      <c r="E118" s="531" t="s">
        <v>72</v>
      </c>
      <c r="F118" s="532"/>
      <c r="G118" s="254"/>
      <c r="H118" s="250"/>
      <c r="J118" s="479"/>
      <c r="K118" s="480"/>
      <c r="L118" s="455"/>
    </row>
    <row r="119" spans="2:12" ht="46.5" customHeight="1">
      <c r="B119" s="266">
        <v>8</v>
      </c>
      <c r="C119" s="529" t="s">
        <v>73</v>
      </c>
      <c r="D119" s="530"/>
      <c r="E119" s="531" t="s">
        <v>74</v>
      </c>
      <c r="F119" s="532"/>
      <c r="G119" s="254"/>
      <c r="H119" s="250"/>
      <c r="J119" s="479"/>
      <c r="K119" s="480"/>
      <c r="L119" s="455"/>
    </row>
    <row r="120" spans="2:12" s="180" customFormat="1" ht="82.5" customHeight="1">
      <c r="B120" s="265">
        <v>8</v>
      </c>
      <c r="C120" s="529" t="s">
        <v>75</v>
      </c>
      <c r="D120" s="530"/>
      <c r="E120" s="531" t="s">
        <v>76</v>
      </c>
      <c r="F120" s="532"/>
      <c r="G120" s="262"/>
      <c r="H120" s="183"/>
      <c r="J120" s="479"/>
      <c r="K120" s="480"/>
      <c r="L120" s="455"/>
    </row>
    <row r="121" spans="2:12" s="180" customFormat="1" ht="34.049999999999997" customHeight="1">
      <c r="B121" s="265">
        <v>8</v>
      </c>
      <c r="C121" s="529" t="s">
        <v>77</v>
      </c>
      <c r="D121" s="530"/>
      <c r="E121" s="531" t="s">
        <v>78</v>
      </c>
      <c r="F121" s="532"/>
      <c r="G121" s="262"/>
      <c r="H121" s="183"/>
      <c r="J121" s="479"/>
      <c r="K121" s="480"/>
      <c r="L121" s="455"/>
    </row>
    <row r="122" spans="2:12" s="180" customFormat="1" ht="34.049999999999997" customHeight="1">
      <c r="B122" s="265">
        <v>8</v>
      </c>
      <c r="C122" s="529" t="s">
        <v>79</v>
      </c>
      <c r="D122" s="530"/>
      <c r="E122" s="531" t="s">
        <v>80</v>
      </c>
      <c r="F122" s="532"/>
      <c r="G122" s="262"/>
      <c r="H122" s="183"/>
      <c r="J122" s="479"/>
      <c r="K122" s="480"/>
      <c r="L122" s="455"/>
    </row>
    <row r="123" spans="2:12" s="180" customFormat="1" ht="34.049999999999997" customHeight="1">
      <c r="B123" s="265">
        <v>8</v>
      </c>
      <c r="C123" s="529" t="s">
        <v>81</v>
      </c>
      <c r="D123" s="530"/>
      <c r="E123" s="531" t="s">
        <v>82</v>
      </c>
      <c r="F123" s="532"/>
      <c r="G123" s="262"/>
      <c r="H123" s="183"/>
      <c r="J123" s="479"/>
      <c r="K123" s="480"/>
      <c r="L123" s="455"/>
    </row>
    <row r="124" spans="2:12" s="180" customFormat="1" ht="46.5" customHeight="1">
      <c r="B124" s="265">
        <v>8</v>
      </c>
      <c r="C124" s="529" t="s">
        <v>83</v>
      </c>
      <c r="D124" s="530"/>
      <c r="E124" s="531" t="s">
        <v>84</v>
      </c>
      <c r="F124" s="532"/>
      <c r="G124" s="262"/>
      <c r="H124" s="183"/>
      <c r="J124" s="479"/>
      <c r="K124" s="480"/>
      <c r="L124" s="455"/>
    </row>
    <row r="125" spans="2:12" ht="6.75" customHeight="1" thickBot="1">
      <c r="B125" s="249"/>
      <c r="C125" s="557"/>
      <c r="D125" s="558"/>
      <c r="E125" s="559"/>
      <c r="F125" s="560"/>
      <c r="G125" s="254"/>
      <c r="H125" s="250"/>
      <c r="J125" s="479"/>
      <c r="K125" s="480"/>
      <c r="L125" s="455"/>
    </row>
    <row r="126" spans="2:12" ht="15" thickTop="1">
      <c r="B126" s="249"/>
      <c r="C126" s="263"/>
      <c r="D126" s="263"/>
      <c r="E126" s="264"/>
      <c r="F126" s="264"/>
      <c r="G126" s="254"/>
      <c r="H126" s="250"/>
      <c r="J126" s="479"/>
      <c r="K126" s="480"/>
      <c r="L126" s="455"/>
    </row>
    <row r="127" spans="2:12" ht="15" thickBot="1">
      <c r="B127" s="251"/>
      <c r="C127" s="252"/>
      <c r="D127" s="252"/>
      <c r="E127" s="252"/>
      <c r="F127" s="252"/>
      <c r="G127" s="252"/>
      <c r="H127" s="253"/>
      <c r="J127" s="479"/>
      <c r="K127" s="480"/>
      <c r="L127" s="455"/>
    </row>
    <row r="128" spans="2:12">
      <c r="J128" s="479"/>
      <c r="K128" s="480"/>
      <c r="L128" s="455"/>
    </row>
    <row r="129" spans="2:12">
      <c r="J129" s="479"/>
      <c r="K129" s="480"/>
      <c r="L129" s="455"/>
    </row>
    <row r="130" spans="2:12">
      <c r="J130" s="479"/>
      <c r="K130" s="480"/>
      <c r="L130" s="455"/>
    </row>
    <row r="131" spans="2:12">
      <c r="B131" s="281" t="s">
        <v>92</v>
      </c>
      <c r="J131" s="479"/>
      <c r="K131" s="480"/>
      <c r="L131" s="455"/>
    </row>
    <row r="132" spans="2:12" ht="48" customHeight="1">
      <c r="B132" s="525"/>
      <c r="C132" s="526"/>
      <c r="J132" s="479"/>
      <c r="K132" s="480"/>
      <c r="L132" s="455"/>
    </row>
    <row r="133" spans="2:12" hidden="1">
      <c r="B133" s="527"/>
      <c r="C133" s="528"/>
      <c r="J133" s="479"/>
      <c r="K133" s="480"/>
      <c r="L133" s="455"/>
    </row>
    <row r="134" spans="2:12">
      <c r="J134" s="479"/>
      <c r="K134" s="480"/>
      <c r="L134" s="455"/>
    </row>
    <row r="135" spans="2:12">
      <c r="J135" s="479"/>
      <c r="K135" s="480"/>
      <c r="L135" s="455"/>
    </row>
    <row r="136" spans="2:12">
      <c r="J136" s="479"/>
      <c r="K136" s="480"/>
      <c r="L136" s="455"/>
    </row>
    <row r="137" spans="2:12">
      <c r="J137" s="479"/>
      <c r="K137" s="480"/>
      <c r="L137" s="455"/>
    </row>
    <row r="138" spans="2:12">
      <c r="J138" s="479"/>
      <c r="K138" s="480"/>
      <c r="L138" s="455"/>
    </row>
    <row r="139" spans="2:12">
      <c r="J139" s="479"/>
      <c r="K139" s="480"/>
      <c r="L139" s="455"/>
    </row>
    <row r="140" spans="2:12">
      <c r="J140" s="479"/>
      <c r="K140" s="480"/>
      <c r="L140" s="455"/>
    </row>
    <row r="141" spans="2:12">
      <c r="J141" s="479"/>
      <c r="K141" s="480"/>
      <c r="L141" s="455"/>
    </row>
    <row r="142" spans="2:12">
      <c r="J142" s="479"/>
      <c r="K142" s="480"/>
      <c r="L142" s="455"/>
    </row>
    <row r="143" spans="2:12">
      <c r="J143" s="479"/>
      <c r="K143" s="480"/>
      <c r="L143" s="455"/>
    </row>
    <row r="144" spans="2:12">
      <c r="J144" s="479"/>
      <c r="K144" s="480"/>
      <c r="L144" s="455"/>
    </row>
    <row r="145" spans="10:12">
      <c r="J145" s="479"/>
      <c r="K145" s="480"/>
      <c r="L145" s="455"/>
    </row>
    <row r="146" spans="10:12">
      <c r="J146" s="479"/>
      <c r="K146" s="480"/>
      <c r="L146" s="455"/>
    </row>
    <row r="147" spans="10:12">
      <c r="J147" s="479"/>
      <c r="K147" s="480"/>
      <c r="L147" s="455"/>
    </row>
    <row r="148" spans="10:12">
      <c r="J148" s="479"/>
      <c r="K148" s="480"/>
      <c r="L148" s="455"/>
    </row>
    <row r="149" spans="10:12">
      <c r="J149" s="455"/>
      <c r="K149" s="455"/>
      <c r="L149" s="455"/>
    </row>
    <row r="150" spans="10:12">
      <c r="J150" s="455"/>
      <c r="K150" s="455"/>
      <c r="L150" s="455"/>
    </row>
    <row r="151" spans="10:12">
      <c r="J151" s="455"/>
      <c r="K151" s="455"/>
      <c r="L151" s="455"/>
    </row>
    <row r="152" spans="10:12">
      <c r="J152" s="455"/>
      <c r="K152" s="455"/>
      <c r="L152" s="455"/>
    </row>
    <row r="153" spans="10:12">
      <c r="J153" s="455"/>
      <c r="K153" s="455"/>
      <c r="L153" s="455"/>
    </row>
    <row r="154" spans="10:12">
      <c r="J154" s="455"/>
      <c r="K154" s="455"/>
      <c r="L154" s="455"/>
    </row>
    <row r="155" spans="10:12">
      <c r="J155" s="455"/>
      <c r="K155" s="455"/>
      <c r="L155" s="455"/>
    </row>
    <row r="156" spans="10:12">
      <c r="J156" s="455"/>
      <c r="K156" s="455"/>
      <c r="L156" s="455"/>
    </row>
    <row r="157" spans="10:12">
      <c r="J157" s="455"/>
      <c r="K157" s="455"/>
      <c r="L157" s="455"/>
    </row>
    <row r="158" spans="10:12">
      <c r="J158" s="455"/>
      <c r="K158" s="455"/>
      <c r="L158" s="455"/>
    </row>
    <row r="159" spans="10:12">
      <c r="J159" s="455"/>
      <c r="K159" s="455"/>
      <c r="L159" s="455"/>
    </row>
    <row r="160" spans="10:12">
      <c r="J160" s="455"/>
      <c r="K160" s="455"/>
      <c r="L160" s="455"/>
    </row>
    <row r="161" spans="10:12">
      <c r="J161" s="455"/>
      <c r="K161" s="455"/>
      <c r="L161" s="455"/>
    </row>
    <row r="162" spans="10:12">
      <c r="J162" s="455"/>
      <c r="K162" s="455"/>
      <c r="L162" s="455"/>
    </row>
    <row r="163" spans="10:12">
      <c r="J163" s="455"/>
      <c r="K163" s="455"/>
      <c r="L163" s="455"/>
    </row>
    <row r="164" spans="10:12">
      <c r="J164" s="455"/>
      <c r="K164" s="455"/>
      <c r="L164" s="455"/>
    </row>
    <row r="165" spans="10:12">
      <c r="J165" s="455"/>
      <c r="K165" s="455"/>
      <c r="L165" s="455"/>
    </row>
    <row r="166" spans="10:12">
      <c r="J166" s="455"/>
      <c r="K166" s="455"/>
      <c r="L166" s="455"/>
    </row>
    <row r="167" spans="10:12">
      <c r="J167" s="455"/>
      <c r="K167" s="455"/>
      <c r="L167" s="455"/>
    </row>
    <row r="168" spans="10:12">
      <c r="J168" s="455"/>
      <c r="K168" s="455"/>
      <c r="L168" s="455"/>
    </row>
    <row r="169" spans="10:12">
      <c r="J169" s="455"/>
      <c r="K169" s="455"/>
      <c r="L169" s="455"/>
    </row>
    <row r="170" spans="10:12">
      <c r="J170" s="455"/>
      <c r="K170" s="455"/>
      <c r="L170" s="455"/>
    </row>
    <row r="171" spans="10:12">
      <c r="J171" s="455"/>
      <c r="K171" s="455"/>
      <c r="L171" s="455"/>
    </row>
    <row r="172" spans="10:12">
      <c r="J172" s="455"/>
      <c r="K172" s="455"/>
      <c r="L172" s="455"/>
    </row>
    <row r="173" spans="10:12">
      <c r="J173" s="455"/>
      <c r="K173" s="455"/>
      <c r="L173" s="455"/>
    </row>
    <row r="174" spans="10:12">
      <c r="J174" s="455"/>
      <c r="K174" s="455"/>
      <c r="L174" s="455"/>
    </row>
    <row r="175" spans="10:12">
      <c r="J175" s="455"/>
      <c r="K175" s="455"/>
      <c r="L175" s="455"/>
    </row>
    <row r="176" spans="10:12">
      <c r="J176" s="455"/>
      <c r="K176" s="455"/>
      <c r="L176" s="455"/>
    </row>
    <row r="177" spans="10:12">
      <c r="J177" s="455"/>
      <c r="K177" s="455"/>
      <c r="L177" s="455"/>
    </row>
    <row r="178" spans="10:12">
      <c r="J178" s="455"/>
      <c r="K178" s="455"/>
      <c r="L178" s="455"/>
    </row>
    <row r="179" spans="10:12">
      <c r="J179" s="455"/>
      <c r="K179" s="455"/>
      <c r="L179" s="455"/>
    </row>
    <row r="180" spans="10:12">
      <c r="J180" s="455"/>
      <c r="K180" s="455"/>
      <c r="L180" s="455"/>
    </row>
    <row r="181" spans="10:12">
      <c r="J181" s="455"/>
      <c r="K181" s="455"/>
      <c r="L181" s="455"/>
    </row>
    <row r="182" spans="10:12">
      <c r="J182" s="455"/>
      <c r="K182" s="455"/>
      <c r="L182" s="455"/>
    </row>
    <row r="183" spans="10:12">
      <c r="J183" s="455"/>
      <c r="K183" s="455"/>
      <c r="L183" s="455"/>
    </row>
    <row r="184" spans="10:12">
      <c r="J184" s="455"/>
      <c r="K184" s="455"/>
      <c r="L184" s="455"/>
    </row>
    <row r="185" spans="10:12">
      <c r="J185" s="455"/>
      <c r="K185" s="455"/>
      <c r="L185" s="455"/>
    </row>
    <row r="186" spans="10:12">
      <c r="J186" s="455"/>
      <c r="K186" s="455"/>
      <c r="L186" s="455"/>
    </row>
    <row r="187" spans="10:12">
      <c r="J187" s="455"/>
      <c r="K187" s="455"/>
      <c r="L187" s="455"/>
    </row>
    <row r="188" spans="10:12">
      <c r="J188" s="455"/>
      <c r="K188" s="455"/>
      <c r="L188" s="455"/>
    </row>
    <row r="189" spans="10:12">
      <c r="J189" s="455"/>
      <c r="K189" s="455"/>
      <c r="L189" s="455"/>
    </row>
    <row r="190" spans="10:12">
      <c r="J190" s="455"/>
      <c r="K190" s="455"/>
      <c r="L190" s="455"/>
    </row>
    <row r="191" spans="10:12">
      <c r="J191" s="455"/>
      <c r="K191" s="455"/>
      <c r="L191" s="455"/>
    </row>
    <row r="192" spans="10:12">
      <c r="J192" s="455"/>
      <c r="K192" s="455"/>
      <c r="L192" s="455"/>
    </row>
    <row r="193" spans="10:12">
      <c r="J193" s="455"/>
      <c r="K193" s="455"/>
      <c r="L193" s="455"/>
    </row>
    <row r="194" spans="10:12">
      <c r="J194" s="455"/>
      <c r="K194" s="455"/>
      <c r="L194" s="455"/>
    </row>
    <row r="195" spans="10:12">
      <c r="J195" s="455"/>
      <c r="K195" s="455"/>
      <c r="L195" s="455"/>
    </row>
    <row r="196" spans="10:12">
      <c r="J196" s="455"/>
      <c r="K196" s="455"/>
      <c r="L196" s="455"/>
    </row>
    <row r="197" spans="10:12">
      <c r="J197" s="455"/>
      <c r="K197" s="455"/>
      <c r="L197" s="455"/>
    </row>
    <row r="198" spans="10:12">
      <c r="J198" s="455"/>
      <c r="K198" s="455"/>
      <c r="L198" s="455"/>
    </row>
    <row r="199" spans="10:12">
      <c r="J199" s="455"/>
      <c r="K199" s="455"/>
      <c r="L199" s="455"/>
    </row>
    <row r="200" spans="10:12">
      <c r="J200" s="455"/>
      <c r="K200" s="455"/>
      <c r="L200" s="455"/>
    </row>
    <row r="201" spans="10:12">
      <c r="J201" s="455"/>
      <c r="K201" s="455"/>
      <c r="L201" s="455"/>
    </row>
    <row r="202" spans="10:12">
      <c r="J202" s="455"/>
      <c r="K202" s="455"/>
      <c r="L202" s="455"/>
    </row>
    <row r="203" spans="10:12">
      <c r="J203" s="455"/>
      <c r="K203" s="455"/>
      <c r="L203" s="455"/>
    </row>
    <row r="204" spans="10:12">
      <c r="J204" s="455"/>
      <c r="K204" s="455"/>
      <c r="L204" s="455"/>
    </row>
    <row r="205" spans="10:12">
      <c r="J205" s="455"/>
      <c r="K205" s="455"/>
      <c r="L205" s="455"/>
    </row>
    <row r="206" spans="10:12">
      <c r="J206" s="455"/>
      <c r="K206" s="455"/>
      <c r="L206" s="455"/>
    </row>
    <row r="207" spans="10:12">
      <c r="J207" s="455"/>
      <c r="K207" s="455"/>
      <c r="L207" s="455"/>
    </row>
    <row r="208" spans="10:12">
      <c r="J208" s="455"/>
      <c r="K208" s="455"/>
      <c r="L208" s="455"/>
    </row>
    <row r="209" spans="10:12">
      <c r="J209" s="455"/>
      <c r="K209" s="455"/>
      <c r="L209" s="455"/>
    </row>
    <row r="210" spans="10:12">
      <c r="J210" s="455"/>
      <c r="K210" s="455"/>
      <c r="L210" s="455"/>
    </row>
    <row r="211" spans="10:12">
      <c r="J211" s="455"/>
      <c r="K211" s="455"/>
      <c r="L211" s="455"/>
    </row>
    <row r="212" spans="10:12">
      <c r="J212" s="455"/>
      <c r="K212" s="455"/>
      <c r="L212" s="455"/>
    </row>
    <row r="213" spans="10:12">
      <c r="J213" s="455"/>
      <c r="K213" s="455"/>
      <c r="L213" s="455"/>
    </row>
    <row r="214" spans="10:12">
      <c r="J214" s="455"/>
      <c r="K214" s="455"/>
      <c r="L214" s="455"/>
    </row>
    <row r="215" spans="10:12">
      <c r="J215" s="455"/>
      <c r="K215" s="455"/>
      <c r="L215" s="455"/>
    </row>
    <row r="216" spans="10:12">
      <c r="J216" s="455"/>
      <c r="K216" s="455"/>
      <c r="L216" s="455"/>
    </row>
    <row r="217" spans="10:12">
      <c r="J217" s="455"/>
      <c r="K217" s="455"/>
      <c r="L217" s="455"/>
    </row>
    <row r="218" spans="10:12">
      <c r="J218" s="455"/>
      <c r="K218" s="455"/>
      <c r="L218" s="455"/>
    </row>
    <row r="219" spans="10:12">
      <c r="J219" s="455"/>
      <c r="K219" s="455"/>
      <c r="L219" s="455"/>
    </row>
    <row r="220" spans="10:12">
      <c r="J220" s="455"/>
      <c r="K220" s="455"/>
      <c r="L220" s="455"/>
    </row>
    <row r="221" spans="10:12">
      <c r="J221" s="455"/>
      <c r="K221" s="455"/>
      <c r="L221" s="455"/>
    </row>
    <row r="222" spans="10:12">
      <c r="J222" s="455"/>
      <c r="K222" s="455"/>
      <c r="L222" s="455"/>
    </row>
    <row r="223" spans="10:12">
      <c r="J223" s="455"/>
      <c r="K223" s="455"/>
      <c r="L223" s="455"/>
    </row>
    <row r="224" spans="10:12">
      <c r="J224" s="455"/>
      <c r="K224" s="455"/>
      <c r="L224" s="455"/>
    </row>
    <row r="225" spans="10:12">
      <c r="J225" s="455"/>
      <c r="K225" s="455"/>
      <c r="L225" s="455"/>
    </row>
    <row r="226" spans="10:12">
      <c r="J226" s="455"/>
      <c r="K226" s="455"/>
      <c r="L226" s="455"/>
    </row>
    <row r="227" spans="10:12">
      <c r="J227" s="455"/>
      <c r="K227" s="455"/>
      <c r="L227" s="455"/>
    </row>
    <row r="228" spans="10:12">
      <c r="J228" s="455"/>
      <c r="K228" s="455"/>
      <c r="L228" s="455"/>
    </row>
    <row r="229" spans="10:12">
      <c r="J229" s="455"/>
      <c r="K229" s="455"/>
      <c r="L229" s="455"/>
    </row>
    <row r="230" spans="10:12">
      <c r="J230" s="481"/>
      <c r="K230" s="481"/>
      <c r="L230" s="481"/>
    </row>
    <row r="231" spans="10:12">
      <c r="J231" s="481"/>
      <c r="K231" s="481"/>
      <c r="L231" s="481"/>
    </row>
    <row r="232" spans="10:12">
      <c r="J232" s="481"/>
      <c r="K232" s="481"/>
      <c r="L232" s="481"/>
    </row>
    <row r="233" spans="10:12">
      <c r="J233" s="481"/>
      <c r="K233" s="481"/>
      <c r="L233" s="481"/>
    </row>
    <row r="234" spans="10:12">
      <c r="J234" s="481"/>
      <c r="K234" s="481"/>
      <c r="L234" s="481"/>
    </row>
    <row r="235" spans="10:12">
      <c r="J235" s="481"/>
      <c r="K235" s="481"/>
      <c r="L235" s="481"/>
    </row>
    <row r="236" spans="10:12">
      <c r="J236" s="481"/>
      <c r="K236" s="481"/>
      <c r="L236" s="481"/>
    </row>
  </sheetData>
  <autoFilter ref="B90:H124">
    <filterColumn colId="1" showButton="0"/>
    <filterColumn colId="3" showButton="0"/>
  </autoFilter>
  <mergeCells count="184">
    <mergeCell ref="J29:J33"/>
    <mergeCell ref="J35:J39"/>
    <mergeCell ref="J41:L41"/>
    <mergeCell ref="J43:L43"/>
    <mergeCell ref="C42:D42"/>
    <mergeCell ref="E42:F42"/>
    <mergeCell ref="E33:F33"/>
    <mergeCell ref="E34:F34"/>
    <mergeCell ref="E35:F35"/>
    <mergeCell ref="E36:F36"/>
    <mergeCell ref="B40:H40"/>
    <mergeCell ref="C43:D43"/>
    <mergeCell ref="E43:F43"/>
    <mergeCell ref="C31:D31"/>
    <mergeCell ref="E31:F31"/>
    <mergeCell ref="E32:F32"/>
    <mergeCell ref="C38:D38"/>
    <mergeCell ref="E38:F38"/>
    <mergeCell ref="C30:D30"/>
    <mergeCell ref="B15:H15"/>
    <mergeCell ref="B17:H17"/>
    <mergeCell ref="J2:L2"/>
    <mergeCell ref="J3:L3"/>
    <mergeCell ref="J5:J21"/>
    <mergeCell ref="J23:J27"/>
    <mergeCell ref="B2:H2"/>
    <mergeCell ref="B4:H5"/>
    <mergeCell ref="B6:H6"/>
    <mergeCell ref="B7:H7"/>
    <mergeCell ref="E23:F23"/>
    <mergeCell ref="B12:H12"/>
    <mergeCell ref="B9:H9"/>
    <mergeCell ref="B11:H11"/>
    <mergeCell ref="C24:D24"/>
    <mergeCell ref="E24:F24"/>
    <mergeCell ref="B13:H13"/>
    <mergeCell ref="B19:H19"/>
    <mergeCell ref="B14:H14"/>
    <mergeCell ref="C25:D25"/>
    <mergeCell ref="E25:F25"/>
    <mergeCell ref="C21:D21"/>
    <mergeCell ref="E21:F21"/>
    <mergeCell ref="C22:D22"/>
    <mergeCell ref="E22:F22"/>
    <mergeCell ref="C23:D23"/>
    <mergeCell ref="E37:F37"/>
    <mergeCell ref="C32:D37"/>
    <mergeCell ref="E26:F26"/>
    <mergeCell ref="E30:F30"/>
    <mergeCell ref="C29:D29"/>
    <mergeCell ref="E29:F29"/>
    <mergeCell ref="C28:D28"/>
    <mergeCell ref="E28:F28"/>
    <mergeCell ref="C27:D27"/>
    <mergeCell ref="E27:F27"/>
    <mergeCell ref="C26:D26"/>
    <mergeCell ref="C124:D124"/>
    <mergeCell ref="E124:F124"/>
    <mergeCell ref="C125:D125"/>
    <mergeCell ref="E125:F125"/>
    <mergeCell ref="C123:D123"/>
    <mergeCell ref="E123:F123"/>
    <mergeCell ref="C122:D122"/>
    <mergeCell ref="E122:F122"/>
    <mergeCell ref="C120:D120"/>
    <mergeCell ref="E120:F120"/>
    <mergeCell ref="C121:D121"/>
    <mergeCell ref="E121:F121"/>
    <mergeCell ref="C119:D119"/>
    <mergeCell ref="E119:F119"/>
    <mergeCell ref="C107:D107"/>
    <mergeCell ref="E107:F107"/>
    <mergeCell ref="C109:D109"/>
    <mergeCell ref="E109:F109"/>
    <mergeCell ref="C110:D110"/>
    <mergeCell ref="E110:F110"/>
    <mergeCell ref="C100:D100"/>
    <mergeCell ref="E100:F100"/>
    <mergeCell ref="C102:D102"/>
    <mergeCell ref="E102:F102"/>
    <mergeCell ref="C101:D101"/>
    <mergeCell ref="C106:D106"/>
    <mergeCell ref="E106:F106"/>
    <mergeCell ref="C105:D105"/>
    <mergeCell ref="E105:F105"/>
    <mergeCell ref="C104:D104"/>
    <mergeCell ref="E104:F104"/>
    <mergeCell ref="C103:D103"/>
    <mergeCell ref="E103:F103"/>
    <mergeCell ref="E101:F101"/>
    <mergeCell ref="E59:F59"/>
    <mergeCell ref="C54:D54"/>
    <mergeCell ref="E54:F54"/>
    <mergeCell ref="C60:D60"/>
    <mergeCell ref="E60:F60"/>
    <mergeCell ref="B64:H64"/>
    <mergeCell ref="B66:H66"/>
    <mergeCell ref="B68:H68"/>
    <mergeCell ref="C91:D91"/>
    <mergeCell ref="E74:F74"/>
    <mergeCell ref="B84:H84"/>
    <mergeCell ref="C61:D61"/>
    <mergeCell ref="E61:F61"/>
    <mergeCell ref="C62:D62"/>
    <mergeCell ref="E62:F62"/>
    <mergeCell ref="C58:D58"/>
    <mergeCell ref="E58:F58"/>
    <mergeCell ref="C59:D59"/>
    <mergeCell ref="C75:D75"/>
    <mergeCell ref="E75:F75"/>
    <mergeCell ref="C90:D90"/>
    <mergeCell ref="E90:F90"/>
    <mergeCell ref="E96:F96"/>
    <mergeCell ref="C97:D97"/>
    <mergeCell ref="C44:D44"/>
    <mergeCell ref="E44:F44"/>
    <mergeCell ref="B48:H48"/>
    <mergeCell ref="C55:D55"/>
    <mergeCell ref="E55:F55"/>
    <mergeCell ref="C56:D56"/>
    <mergeCell ref="E56:F56"/>
    <mergeCell ref="C57:D57"/>
    <mergeCell ref="E57:F57"/>
    <mergeCell ref="C45:D45"/>
    <mergeCell ref="E45:F45"/>
    <mergeCell ref="C46:D46"/>
    <mergeCell ref="E46:F46"/>
    <mergeCell ref="C52:D52"/>
    <mergeCell ref="E52:F52"/>
    <mergeCell ref="C53:D53"/>
    <mergeCell ref="E53:F53"/>
    <mergeCell ref="B50:H50"/>
    <mergeCell ref="E94:F94"/>
    <mergeCell ref="E91:F91"/>
    <mergeCell ref="C92:D92"/>
    <mergeCell ref="E92:F92"/>
    <mergeCell ref="C94:D94"/>
    <mergeCell ref="E97:F97"/>
    <mergeCell ref="C93:D93"/>
    <mergeCell ref="E93:F93"/>
    <mergeCell ref="B80:H80"/>
    <mergeCell ref="B82:H82"/>
    <mergeCell ref="C115:D115"/>
    <mergeCell ref="E115:F115"/>
    <mergeCell ref="C111:D111"/>
    <mergeCell ref="E111:F111"/>
    <mergeCell ref="C112:D112"/>
    <mergeCell ref="E112:F112"/>
    <mergeCell ref="C113:D113"/>
    <mergeCell ref="E113:F113"/>
    <mergeCell ref="C108:D108"/>
    <mergeCell ref="E108:F108"/>
    <mergeCell ref="C114:D114"/>
    <mergeCell ref="E114:F114"/>
    <mergeCell ref="E98:F98"/>
    <mergeCell ref="C99:D99"/>
    <mergeCell ref="E99:F99"/>
    <mergeCell ref="C95:D95"/>
    <mergeCell ref="E95:F95"/>
    <mergeCell ref="C96:D96"/>
    <mergeCell ref="B132:C132"/>
    <mergeCell ref="B133:C133"/>
    <mergeCell ref="C116:D116"/>
    <mergeCell ref="E116:F116"/>
    <mergeCell ref="C70:D70"/>
    <mergeCell ref="E70:F70"/>
    <mergeCell ref="C71:D71"/>
    <mergeCell ref="E71:F71"/>
    <mergeCell ref="C72:D72"/>
    <mergeCell ref="E72:F72"/>
    <mergeCell ref="C118:D118"/>
    <mergeCell ref="E118:F118"/>
    <mergeCell ref="C117:D117"/>
    <mergeCell ref="E117:F117"/>
    <mergeCell ref="C76:D76"/>
    <mergeCell ref="E76:F76"/>
    <mergeCell ref="C77:D77"/>
    <mergeCell ref="E77:F77"/>
    <mergeCell ref="C78:D78"/>
    <mergeCell ref="E78:F78"/>
    <mergeCell ref="C73:D73"/>
    <mergeCell ref="E73:F73"/>
    <mergeCell ref="C74:D74"/>
    <mergeCell ref="C98:D98"/>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ES52"/>
  <sheetViews>
    <sheetView showGridLines="0" topLeftCell="A8" zoomScale="59" zoomScaleNormal="59" workbookViewId="0">
      <selection activeCell="K9" sqref="K9:K13"/>
    </sheetView>
  </sheetViews>
  <sheetFormatPr baseColWidth="10" defaultColWidth="0" defaultRowHeight="13.8"/>
  <cols>
    <col min="1" max="1" width="27.109375" style="3" customWidth="1"/>
    <col min="2" max="2" width="24.44140625" style="36" hidden="1" customWidth="1"/>
    <col min="3" max="3" width="28.77734375" style="36" hidden="1" customWidth="1"/>
    <col min="4" max="4" width="21.33203125" style="3" hidden="1" customWidth="1"/>
    <col min="5" max="5" width="60.6640625" style="328" hidden="1" customWidth="1"/>
    <col min="6" max="6" width="24.109375" style="3" customWidth="1"/>
    <col min="7" max="7" width="33.77734375" style="3" customWidth="1"/>
    <col min="8" max="8" width="34" style="36" customWidth="1"/>
    <col min="9" max="9" width="30.109375" style="36" customWidth="1"/>
    <col min="10" max="10" width="28.44140625" style="36" customWidth="1"/>
    <col min="11" max="11" width="43" style="328" customWidth="1"/>
    <col min="12" max="12" width="20.33203125" style="3" customWidth="1"/>
    <col min="13" max="13" width="11.44140625" style="3" customWidth="1"/>
    <col min="14" max="25" width="11.44140625" style="3" hidden="1"/>
    <col min="26" max="26" width="8.109375" style="3" hidden="1"/>
    <col min="27" max="31" width="32.44140625" style="3" hidden="1"/>
    <col min="32" max="16373" width="11.44140625" style="3" hidden="1"/>
    <col min="16374" max="16384" width="25.44140625" style="3" hidden="1"/>
  </cols>
  <sheetData>
    <row r="1" spans="1:12" s="2" customFormat="1" ht="37.049999999999997" customHeight="1">
      <c r="A1" s="605" t="s">
        <v>93</v>
      </c>
      <c r="B1" s="605"/>
      <c r="C1" s="605"/>
      <c r="D1" s="605"/>
      <c r="E1" s="605"/>
      <c r="F1" s="605"/>
      <c r="G1" s="605"/>
      <c r="H1" s="605"/>
      <c r="I1" s="605"/>
      <c r="J1" s="605"/>
      <c r="K1" s="605"/>
      <c r="L1" s="605"/>
    </row>
    <row r="2" spans="1:12" s="2" customFormat="1" ht="37.5" customHeight="1">
      <c r="A2" s="315" t="s">
        <v>94</v>
      </c>
      <c r="B2" s="355">
        <v>1</v>
      </c>
      <c r="C2" s="601"/>
      <c r="D2" s="602"/>
      <c r="E2" s="602"/>
      <c r="F2" s="602"/>
      <c r="G2" s="602"/>
      <c r="H2" s="602"/>
      <c r="I2" s="602"/>
      <c r="J2" s="602"/>
      <c r="K2" s="602"/>
      <c r="L2" s="603"/>
    </row>
    <row r="3" spans="1:12" s="2" customFormat="1" ht="4.05" customHeight="1">
      <c r="A3" s="606"/>
      <c r="B3" s="607"/>
      <c r="C3" s="607"/>
      <c r="D3" s="607"/>
      <c r="E3" s="607"/>
      <c r="F3" s="607"/>
      <c r="G3" s="607"/>
      <c r="H3" s="607"/>
      <c r="I3" s="607"/>
      <c r="J3" s="607"/>
      <c r="K3" s="607"/>
      <c r="L3" s="608"/>
    </row>
    <row r="4" spans="1:12" ht="27" customHeight="1">
      <c r="A4" s="10" t="s">
        <v>95</v>
      </c>
      <c r="B4" s="617"/>
      <c r="C4" s="618"/>
      <c r="D4" s="350"/>
      <c r="E4" s="351" t="s">
        <v>371</v>
      </c>
      <c r="F4" s="612"/>
      <c r="G4" s="613"/>
      <c r="H4" s="613"/>
      <c r="I4" s="614"/>
      <c r="J4" s="352" t="s">
        <v>16</v>
      </c>
      <c r="K4" s="615">
        <v>45991</v>
      </c>
      <c r="L4" s="616"/>
    </row>
    <row r="5" spans="1:12">
      <c r="A5" s="290" t="s">
        <v>727</v>
      </c>
      <c r="B5" s="609"/>
      <c r="C5" s="610"/>
      <c r="D5" s="611"/>
      <c r="E5" s="353" t="s">
        <v>97</v>
      </c>
      <c r="F5" s="354"/>
      <c r="G5" s="354" t="s">
        <v>98</v>
      </c>
      <c r="H5" s="615">
        <v>46023</v>
      </c>
      <c r="I5" s="616"/>
      <c r="J5" s="317" t="s">
        <v>99</v>
      </c>
      <c r="K5" s="615">
        <v>46387</v>
      </c>
      <c r="L5" s="616"/>
    </row>
    <row r="6" spans="1:12">
      <c r="F6" s="211"/>
      <c r="G6" s="211"/>
      <c r="H6" s="331"/>
      <c r="I6" s="331"/>
      <c r="J6" s="332"/>
      <c r="K6" s="333"/>
    </row>
    <row r="7" spans="1:12" ht="21" customHeight="1">
      <c r="A7" s="604" t="s">
        <v>100</v>
      </c>
      <c r="B7" s="604" t="s">
        <v>101</v>
      </c>
      <c r="C7" s="604"/>
      <c r="D7" s="604"/>
      <c r="E7" s="604"/>
    </row>
    <row r="8" spans="1:12" ht="65.25" customHeight="1">
      <c r="A8" s="604"/>
      <c r="B8" s="137" t="s">
        <v>102</v>
      </c>
      <c r="C8" s="137" t="s">
        <v>103</v>
      </c>
      <c r="D8" s="137" t="s">
        <v>104</v>
      </c>
      <c r="E8" s="137" t="s">
        <v>105</v>
      </c>
      <c r="F8" s="309" t="s">
        <v>106</v>
      </c>
      <c r="G8" s="309" t="s">
        <v>462</v>
      </c>
      <c r="H8" s="316" t="s">
        <v>22</v>
      </c>
      <c r="I8" s="316" t="s">
        <v>107</v>
      </c>
      <c r="J8" s="316" t="s">
        <v>108</v>
      </c>
      <c r="K8" s="316" t="s">
        <v>28</v>
      </c>
      <c r="L8" s="309" t="s">
        <v>109</v>
      </c>
    </row>
    <row r="9" spans="1:12" s="4" customFormat="1" ht="116.25" customHeight="1">
      <c r="A9" s="1" t="s">
        <v>110</v>
      </c>
      <c r="B9" s="1" t="s">
        <v>191</v>
      </c>
      <c r="C9" s="1" t="s">
        <v>207</v>
      </c>
      <c r="D9" s="155" t="str">
        <f>+IF(B9='11 FORMULAS'!$B$4,'11 FORMULAS'!$C$4,IF(B9='11 FORMULAS'!$B$6,'11 FORMULAS'!$C$6,IF(B9='11 FORMULAS'!$B$8,'11 FORMULAS'!$C$8,IF(B9='11 FORMULAS'!$B$10,'11 FORMULAS'!$C$10,""))))</f>
        <v/>
      </c>
      <c r="E9" s="291" t="str">
        <f>+IFERROR(VLOOKUP(B9,Tabla3[],2,0),"")</f>
        <v>Eventos relacionados con transacciones y Operaciones realizadas por un cliente o usuario, que accede o entrega un bien o servicio a la entidad, a través de los canales dispuestos y en una jurisdicción específica.</v>
      </c>
      <c r="F9" s="1" t="s">
        <v>189</v>
      </c>
      <c r="G9" s="1" t="s">
        <v>738</v>
      </c>
      <c r="H9" s="1" t="s">
        <v>726</v>
      </c>
      <c r="I9" s="310" t="s">
        <v>753</v>
      </c>
      <c r="J9" s="310" t="s">
        <v>754</v>
      </c>
      <c r="K9" s="334" t="str">
        <f>(CONCATENATE(Tabla1[[#This Row],[¿QUÉ? 
IMPACTO]]," ",Tabla1[[#This Row],[¿CÓMO?
CAUSA INMEDIATA 
(Iniciar con la palabra 
por)]]," "," ",Tabla1[[#This Row],[¿PORQUÉ?
CAUSA RAÍZ
(Iniciar con 
debido a/a causa de)]]))</f>
        <v>Posibilidad de perdida de Disponibilidad, confidencialidad e integridad de la información por fallas en el sistema  debido a deficiencias en la infraestructura tecnológica, ausencia o insuficiencia de mantenimiento preventivo y correctivo</v>
      </c>
      <c r="L9" s="312"/>
    </row>
    <row r="10" spans="1:12" s="4" customFormat="1" ht="120" customHeight="1">
      <c r="A10" s="1" t="s">
        <v>114</v>
      </c>
      <c r="B10" s="1"/>
      <c r="C10" s="1"/>
      <c r="D10" s="155" t="str">
        <f>+IF(B10='11 FORMULAS'!$B$4,'11 FORMULAS'!$C$4,IF(B10='11 FORMULAS'!$B$6,'11 FORMULAS'!$C$6,IF(B10='11 FORMULAS'!$B$8,'11 FORMULAS'!$C$8,IF(B10='11 FORMULAS'!$B$10,'11 FORMULAS'!$C$10,""))))</f>
        <v/>
      </c>
      <c r="E10" s="291" t="str">
        <f>+IFERROR(VLOOKUP(B10,Tabla3[],2,0),"")</f>
        <v/>
      </c>
      <c r="F10" s="1" t="s">
        <v>189</v>
      </c>
      <c r="G10" s="1" t="s">
        <v>519</v>
      </c>
      <c r="H10" s="1" t="s">
        <v>726</v>
      </c>
      <c r="I10" s="310" t="s">
        <v>759</v>
      </c>
      <c r="J10" s="310" t="s">
        <v>757</v>
      </c>
      <c r="K10" s="334" t="str">
        <f>(CONCATENATE(Tabla1[[#This Row],[¿QUÉ? 
IMPACTO]]," ",Tabla1[[#This Row],[¿CÓMO?
CAUSA INMEDIATA 
(Iniciar con la palabra 
por)]]," "," ",Tabla1[[#This Row],[¿PORQUÉ?
CAUSA RAÍZ
(Iniciar con 
debido a/a causa de)]]))</f>
        <v>Posibilidad de perdida de Disponibilidad, confidencialidad e integridad de la información por accesos no autorizados, hackeos o fallas en el servicio  debido a controles de seguridad y autenticación de usuarios, falta de actualización o  monitoreo de la plataforma</v>
      </c>
      <c r="L10" s="312"/>
    </row>
    <row r="11" spans="1:12" ht="140.25" customHeight="1">
      <c r="A11" s="1" t="s">
        <v>115</v>
      </c>
      <c r="B11" s="1"/>
      <c r="C11" s="1"/>
      <c r="D11" s="155" t="str">
        <f>+IF(B11='11 FORMULAS'!$B$4,'11 FORMULAS'!$C$4,IF(B11='11 FORMULAS'!$B$6,'11 FORMULAS'!$C$6,IF(B11='11 FORMULAS'!$B$8,'11 FORMULAS'!$C$8,IF(B11='11 FORMULAS'!$B$10,'11 FORMULAS'!$C$10,""))))</f>
        <v/>
      </c>
      <c r="E11" s="291" t="str">
        <f>+IFERROR(VLOOKUP(B11,Tabla3[],2,0),"")</f>
        <v/>
      </c>
      <c r="F11" s="1" t="s">
        <v>189</v>
      </c>
      <c r="G11" s="1" t="s">
        <v>742</v>
      </c>
      <c r="H11" s="1" t="s">
        <v>726</v>
      </c>
      <c r="I11" s="310" t="s">
        <v>755</v>
      </c>
      <c r="J11" s="310" t="s">
        <v>758</v>
      </c>
      <c r="K11" s="334" t="str">
        <f>(CONCATENATE(Tabla1[[#This Row],[¿QUÉ? 
IMPACTO]]," ",Tabla1[[#This Row],[¿CÓMO?
CAUSA INMEDIATA 
(Iniciar con la palabra 
por)]]," "," ",Tabla1[[#This Row],[¿PORQUÉ?
CAUSA RAÍZ
(Iniciar con 
debido a/a causa de)]]))</f>
        <v>Posibilidad de perdida de Disponibilidad, confidencialidad e integridad de la información por eliminación accidental de archivos,  fallas en el sistema o accesos no autorizados     a causa de deficiencias en copias de seguridad, controles de accesos o ausencia de politicas de preservación digital</v>
      </c>
      <c r="L11" s="313"/>
    </row>
    <row r="12" spans="1:12" ht="129.75" customHeight="1">
      <c r="A12" s="1" t="s">
        <v>116</v>
      </c>
      <c r="B12" s="1"/>
      <c r="C12" s="1"/>
      <c r="D12" s="155" t="str">
        <f>+IF(B12='11 FORMULAS'!$B$4,'11 FORMULAS'!$C$4,IF(B12='11 FORMULAS'!$B$6,'11 FORMULAS'!$C$6,IF(B12='11 FORMULAS'!$B$8,'11 FORMULAS'!$C$8,IF(B12='11 FORMULAS'!$B$10,'11 FORMULAS'!$C$10,""))))</f>
        <v/>
      </c>
      <c r="E12" s="291" t="str">
        <f>+IFERROR(VLOOKUP(B12,Tabla3[],2,0),"")</f>
        <v/>
      </c>
      <c r="F12" s="1" t="s">
        <v>189</v>
      </c>
      <c r="G12" s="1" t="s">
        <v>745</v>
      </c>
      <c r="H12" s="1" t="s">
        <v>726</v>
      </c>
      <c r="I12" s="310" t="s">
        <v>756</v>
      </c>
      <c r="J12" s="310" t="s">
        <v>760</v>
      </c>
      <c r="K12" s="334" t="str">
        <f>(CONCATENATE(Tabla1[[#This Row],[¿QUÉ? 
IMPACTO]]," ",Tabla1[[#This Row],[¿CÓMO?
CAUSA INMEDIATA 
(Iniciar con la palabra 
por)]]," "," ",Tabla1[[#This Row],[¿PORQUÉ?
CAUSA RAÍZ
(Iniciar con 
debido a/a causa de)]]))</f>
        <v>Posibilidad de perdida de Disponibilidad, confidencialidad e integridad de la información por fallas tecnológicas y manipulación indebida de la información o interrupciones del servicio  debido a falta de actualización tecnólogica, vulnerabilidades en la administración de la plataforma o controles de seguridad avanzados</v>
      </c>
      <c r="L12" s="313"/>
    </row>
    <row r="13" spans="1:12" ht="93" customHeight="1">
      <c r="A13" s="1" t="s">
        <v>117</v>
      </c>
      <c r="B13" s="1"/>
      <c r="C13" s="1"/>
      <c r="D13" s="155" t="str">
        <f>+IF(B13='11 FORMULAS'!$B$4,'11 FORMULAS'!$C$4,IF(B13='11 FORMULAS'!$B$6,'11 FORMULAS'!$C$6,IF(B13='11 FORMULAS'!$B$8,'11 FORMULAS'!$C$8,IF(B13='11 FORMULAS'!$B$10,'11 FORMULAS'!$C$10,""))))</f>
        <v/>
      </c>
      <c r="E13" s="291" t="str">
        <f>+IFERROR(VLOOKUP(B13,Tabla3[],2,0),"")</f>
        <v/>
      </c>
      <c r="F13" s="1" t="s">
        <v>189</v>
      </c>
      <c r="G13" s="1" t="s">
        <v>749</v>
      </c>
      <c r="H13" s="1" t="s">
        <v>724</v>
      </c>
      <c r="I13" s="310" t="s">
        <v>761</v>
      </c>
      <c r="J13" s="310" t="s">
        <v>762</v>
      </c>
      <c r="K13" s="334" t="str">
        <f>(CONCATENATE(Tabla1[[#This Row],[¿QUÉ? 
IMPACTO]]," ",Tabla1[[#This Row],[¿CÓMO?
CAUSA INMEDIATA 
(Iniciar con la palabra 
por)]]," "," ",Tabla1[[#This Row],[¿PORQUÉ?
CAUSA RAÍZ
(Iniciar con 
debido a/a causa de)]]))</f>
        <v>Posibilidad de perdida de disponibilidad e integridad de la información por ataques cibernéticos, modificaciones no autorizadas o fallas del servidor   debido a ausencia de monitoreo permanente y mantenimiento de la plataforma o deficiencias en la implementación de controles de seguridad</v>
      </c>
      <c r="L13" s="313"/>
    </row>
    <row r="14" spans="1:12" ht="144" customHeight="1">
      <c r="A14" s="1" t="s">
        <v>118</v>
      </c>
      <c r="B14" s="1"/>
      <c r="C14" s="1"/>
      <c r="D14" s="155" t="str">
        <f>+IF(B14='11 FORMULAS'!$B$4,'11 FORMULAS'!$C$4,IF(B14='11 FORMULAS'!$B$6,'11 FORMULAS'!$C$6,IF(B14='11 FORMULAS'!$B$8,'11 FORMULAS'!$C$8,IF(B14='11 FORMULAS'!$B$10,'11 FORMULAS'!$C$10,""))))</f>
        <v/>
      </c>
      <c r="E14" s="291" t="str">
        <f>+IFERROR(VLOOKUP(B14,Tabla3[],2,0),"")</f>
        <v/>
      </c>
      <c r="F14" s="1"/>
      <c r="G14" s="1"/>
      <c r="H14" s="1"/>
      <c r="I14" s="310"/>
      <c r="J14" s="310"/>
      <c r="K14" s="334" t="str">
        <f>(CONCATENATE(Tabla1[[#This Row],[¿QUÉ? 
IMPACTO]]," ",Tabla1[[#This Row],[¿CÓMO?
CAUSA INMEDIATA 
(Iniciar con la palabra 
por)]]," "," ",Tabla1[[#This Row],[¿PORQUÉ?
CAUSA RAÍZ
(Iniciar con 
debido a/a causa de)]]))</f>
        <v xml:space="preserve">   </v>
      </c>
      <c r="L14" s="313"/>
    </row>
    <row r="15" spans="1:12" ht="126.75" customHeight="1">
      <c r="A15" s="1" t="s">
        <v>119</v>
      </c>
      <c r="B15" s="1"/>
      <c r="C15" s="1"/>
      <c r="D15" s="155" t="str">
        <f>+IF(B15='11 FORMULAS'!$B$4,'11 FORMULAS'!$C$4,IF(B15='11 FORMULAS'!$B$6,'11 FORMULAS'!$C$6,IF(B15='11 FORMULAS'!$B$8,'11 FORMULAS'!$C$8,IF(B15='11 FORMULAS'!$B$10,'11 FORMULAS'!$C$10,""))))</f>
        <v/>
      </c>
      <c r="E15" s="291" t="str">
        <f>+IFERROR(VLOOKUP(B15,Tabla3[],2,0),"")</f>
        <v/>
      </c>
      <c r="F15" s="1"/>
      <c r="G15" s="1"/>
      <c r="H15" s="1"/>
      <c r="I15" s="310"/>
      <c r="J15" s="310"/>
      <c r="K15" s="334" t="str">
        <f>(CONCATENATE(Tabla1[[#This Row],[¿QUÉ? 
IMPACTO]]," ",Tabla1[[#This Row],[¿CÓMO?
CAUSA INMEDIATA 
(Iniciar con la palabra 
por)]]," "," ",Tabla1[[#This Row],[¿PORQUÉ?
CAUSA RAÍZ
(Iniciar con 
debido a/a causa de)]]))</f>
        <v xml:space="preserve">   </v>
      </c>
      <c r="L15" s="313"/>
    </row>
    <row r="16" spans="1:12" ht="111" customHeight="1">
      <c r="A16" s="1" t="s">
        <v>120</v>
      </c>
      <c r="B16" s="1"/>
      <c r="C16" s="1"/>
      <c r="D16" s="155" t="str">
        <f>+IF(B16='11 FORMULAS'!$B$4,'11 FORMULAS'!$C$4,IF(B16='11 FORMULAS'!$B$6,'11 FORMULAS'!$C$6,IF(B16='11 FORMULAS'!$B$8,'11 FORMULAS'!$C$8,IF(B16='11 FORMULAS'!$B$10,'11 FORMULAS'!$C$10,""))))</f>
        <v/>
      </c>
      <c r="E16" s="291" t="str">
        <f>+IFERROR(VLOOKUP(B16,Tabla3[],2,0),"")</f>
        <v/>
      </c>
      <c r="F16" s="1"/>
      <c r="G16" s="1"/>
      <c r="H16" s="1"/>
      <c r="I16" s="310"/>
      <c r="J16" s="310"/>
      <c r="K16" s="334" t="str">
        <f>(CONCATENATE(Tabla1[[#This Row],[¿QUÉ? 
IMPACTO]]," ",Tabla1[[#This Row],[¿CÓMO?
CAUSA INMEDIATA 
(Iniciar con la palabra 
por)]]," "," ",Tabla1[[#This Row],[¿PORQUÉ?
CAUSA RAÍZ
(Iniciar con 
debido a/a causa de)]]))</f>
        <v xml:space="preserve">   </v>
      </c>
      <c r="L16" s="313"/>
    </row>
    <row r="17" spans="1:12" s="5" customFormat="1" ht="93" customHeight="1">
      <c r="A17" s="1" t="s">
        <v>121</v>
      </c>
      <c r="B17" s="1"/>
      <c r="C17" s="1"/>
      <c r="D17" s="155" t="str">
        <f>+IF(B17='11 FORMULAS'!$B$4,'11 FORMULAS'!$C$4,IF(B17='11 FORMULAS'!$B$6,'11 FORMULAS'!$C$6,IF(B17='11 FORMULAS'!$B$8,'11 FORMULAS'!$C$8,IF(B17='11 FORMULAS'!$B$10,'11 FORMULAS'!$C$10,""))))</f>
        <v/>
      </c>
      <c r="E17" s="291" t="str">
        <f>+IFERROR(VLOOKUP(B17,Tabla3[],2,0),"")</f>
        <v/>
      </c>
      <c r="F17" s="1"/>
      <c r="G17" s="1"/>
      <c r="H17" s="1"/>
      <c r="I17" s="310"/>
      <c r="J17" s="310"/>
      <c r="K17" s="334" t="str">
        <f>(CONCATENATE(Tabla1[[#This Row],[¿QUÉ? 
IMPACTO]]," ",Tabla1[[#This Row],[¿CÓMO?
CAUSA INMEDIATA 
(Iniciar con la palabra 
por)]]," "," ",Tabla1[[#This Row],[¿PORQUÉ?
CAUSA RAÍZ
(Iniciar con 
debido a/a causa de)]]))</f>
        <v xml:space="preserve">   </v>
      </c>
      <c r="L17" s="314"/>
    </row>
    <row r="18" spans="1:12" s="5" customFormat="1" ht="93" customHeight="1">
      <c r="A18" s="1" t="s">
        <v>122</v>
      </c>
      <c r="B18" s="1"/>
      <c r="C18" s="1"/>
      <c r="D18" s="155" t="str">
        <f>+IF(B18='11 FORMULAS'!$B$4,'11 FORMULAS'!$C$4,IF(B18='11 FORMULAS'!$B$6,'11 FORMULAS'!$C$6,IF(B18='11 FORMULAS'!$B$8,'11 FORMULAS'!$C$8,IF(B18='11 FORMULAS'!$B$10,'11 FORMULAS'!$C$10,""))))</f>
        <v/>
      </c>
      <c r="E18" s="291" t="str">
        <f>+IFERROR(VLOOKUP(B18,Tabla3[],2,0),"")</f>
        <v/>
      </c>
      <c r="F18" s="1"/>
      <c r="G18" s="1"/>
      <c r="H18" s="1"/>
      <c r="I18" s="310"/>
      <c r="J18" s="310"/>
      <c r="K18" s="334" t="str">
        <f>(CONCATENATE(Tabla1[[#This Row],[¿QUÉ? 
IMPACTO]]," ",Tabla1[[#This Row],[¿CÓMO?
CAUSA INMEDIATA 
(Iniciar con la palabra 
por)]]," "," ",Tabla1[[#This Row],[¿PORQUÉ?
CAUSA RAÍZ
(Iniciar con 
debido a/a causa de)]]))</f>
        <v xml:space="preserve">   </v>
      </c>
      <c r="L18" s="314"/>
    </row>
    <row r="19" spans="1:12" s="5" customFormat="1" ht="93" customHeight="1">
      <c r="A19" s="1" t="s">
        <v>123</v>
      </c>
      <c r="B19" s="1"/>
      <c r="C19" s="1"/>
      <c r="D19" s="155" t="str">
        <f>+IF(B19='11 FORMULAS'!$B$4,'11 FORMULAS'!$C$4,IF(B19='11 FORMULAS'!$B$6,'11 FORMULAS'!$C$6,IF(B19='11 FORMULAS'!$B$8,'11 FORMULAS'!$C$8,IF(B19='11 FORMULAS'!$B$10,'11 FORMULAS'!$C$10,""))))</f>
        <v/>
      </c>
      <c r="E19" s="291" t="str">
        <f>+IFERROR(VLOOKUP(B19,Tabla3[],2,0),"")</f>
        <v/>
      </c>
      <c r="F19" s="1"/>
      <c r="G19" s="1"/>
      <c r="H19" s="1"/>
      <c r="I19" s="310"/>
      <c r="J19" s="310"/>
      <c r="K19" s="334" t="str">
        <f>(CONCATENATE(Tabla1[[#This Row],[¿QUÉ? 
IMPACTO]]," ",Tabla1[[#This Row],[¿CÓMO?
CAUSA INMEDIATA 
(Iniciar con la palabra 
por)]]," "," ",Tabla1[[#This Row],[¿PORQUÉ?
CAUSA RAÍZ
(Iniciar con 
debido a/a causa de)]]))</f>
        <v xml:space="preserve">   </v>
      </c>
      <c r="L19" s="314"/>
    </row>
    <row r="20" spans="1:12" s="5" customFormat="1" ht="93" customHeight="1">
      <c r="A20" s="1" t="s">
        <v>124</v>
      </c>
      <c r="B20" s="1"/>
      <c r="C20" s="1"/>
      <c r="D20" s="155" t="str">
        <f>+IF(B20='11 FORMULAS'!$B$4,'11 FORMULAS'!$C$4,IF(B20='11 FORMULAS'!$B$6,'11 FORMULAS'!$C$6,IF(B20='11 FORMULAS'!$B$8,'11 FORMULAS'!$C$8,IF(B20='11 FORMULAS'!$B$10,'11 FORMULAS'!$C$10,""))))</f>
        <v/>
      </c>
      <c r="E20" s="291" t="str">
        <f>+IFERROR(VLOOKUP(B20,Tabla3[],2,0),"")</f>
        <v/>
      </c>
      <c r="F20" s="1"/>
      <c r="G20" s="1"/>
      <c r="H20" s="1"/>
      <c r="I20" s="310"/>
      <c r="J20" s="310"/>
      <c r="K20" s="334" t="str">
        <f>(CONCATENATE(Tabla1[[#This Row],[¿QUÉ? 
IMPACTO]]," ",Tabla1[[#This Row],[¿CÓMO?
CAUSA INMEDIATA 
(Iniciar con la palabra 
por)]]," "," ",Tabla1[[#This Row],[¿PORQUÉ?
CAUSA RAÍZ
(Iniciar con 
debido a/a causa de)]]))</f>
        <v xml:space="preserve">   </v>
      </c>
      <c r="L20" s="314"/>
    </row>
    <row r="21" spans="1:12" s="5" customFormat="1" ht="93" customHeight="1">
      <c r="A21" s="1" t="s">
        <v>125</v>
      </c>
      <c r="B21" s="1"/>
      <c r="C21" s="1"/>
      <c r="D21" s="155" t="str">
        <f>+IF(B21='11 FORMULAS'!$B$4,'11 FORMULAS'!$C$4,IF(B21='11 FORMULAS'!$B$6,'11 FORMULAS'!$C$6,IF(B21='11 FORMULAS'!$B$8,'11 FORMULAS'!$C$8,IF(B21='11 FORMULAS'!$B$10,'11 FORMULAS'!$C$10,""))))</f>
        <v/>
      </c>
      <c r="E21" s="291" t="str">
        <f>+IFERROR(VLOOKUP(B21,Tabla3[],2,0),"")</f>
        <v/>
      </c>
      <c r="F21" s="1"/>
      <c r="G21" s="1"/>
      <c r="H21" s="1"/>
      <c r="I21" s="310"/>
      <c r="J21" s="310"/>
      <c r="K21" s="334" t="str">
        <f>(CONCATENATE(Tabla1[[#This Row],[¿QUÉ? 
IMPACTO]]," ",Tabla1[[#This Row],[¿CÓMO?
CAUSA INMEDIATA 
(Iniciar con la palabra 
por)]]," "," ",Tabla1[[#This Row],[¿PORQUÉ?
CAUSA RAÍZ
(Iniciar con 
debido a/a causa de)]]))</f>
        <v xml:space="preserve">   </v>
      </c>
      <c r="L21" s="314"/>
    </row>
    <row r="22" spans="1:12" s="5" customFormat="1" ht="93" customHeight="1">
      <c r="A22" s="1" t="s">
        <v>126</v>
      </c>
      <c r="B22" s="1"/>
      <c r="C22" s="1"/>
      <c r="D22" s="155" t="str">
        <f>+IF(B22='11 FORMULAS'!$B$4,'11 FORMULAS'!$C$4,IF(B22='11 FORMULAS'!$B$6,'11 FORMULAS'!$C$6,IF(B22='11 FORMULAS'!$B$8,'11 FORMULAS'!$C$8,IF(B22='11 FORMULAS'!$B$10,'11 FORMULAS'!$C$10,""))))</f>
        <v/>
      </c>
      <c r="E22" s="291" t="str">
        <f>+IFERROR(VLOOKUP(B22,Tabla3[],2,0),"")</f>
        <v/>
      </c>
      <c r="F22" s="1"/>
      <c r="G22" s="1"/>
      <c r="H22" s="1"/>
      <c r="I22" s="310"/>
      <c r="J22" s="310"/>
      <c r="K22" s="334" t="str">
        <f>(CONCATENATE(Tabla1[[#This Row],[¿QUÉ? 
IMPACTO]]," ",Tabla1[[#This Row],[¿CÓMO?
CAUSA INMEDIATA 
(Iniciar con la palabra 
por)]]," "," ",Tabla1[[#This Row],[¿PORQUÉ?
CAUSA RAÍZ
(Iniciar con 
debido a/a causa de)]]))</f>
        <v xml:space="preserve">   </v>
      </c>
      <c r="L22" s="314"/>
    </row>
    <row r="23" spans="1:12" s="5" customFormat="1" ht="93" customHeight="1">
      <c r="A23" s="1" t="s">
        <v>127</v>
      </c>
      <c r="B23" s="1"/>
      <c r="C23" s="1"/>
      <c r="D23" s="155" t="str">
        <f>+IF(B23='11 FORMULAS'!$B$4,'11 FORMULAS'!$C$4,IF(B23='11 FORMULAS'!$B$6,'11 FORMULAS'!$C$6,IF(B23='11 FORMULAS'!$B$8,'11 FORMULAS'!$C$8,IF(B23='11 FORMULAS'!$B$10,'11 FORMULAS'!$C$10,""))))</f>
        <v/>
      </c>
      <c r="E23" s="291" t="str">
        <f>+IFERROR(VLOOKUP(B23,Tabla3[],2,0),"")</f>
        <v/>
      </c>
      <c r="F23" s="1"/>
      <c r="G23" s="1"/>
      <c r="H23" s="1"/>
      <c r="I23" s="310"/>
      <c r="J23" s="310"/>
      <c r="K23" s="334" t="str">
        <f>(CONCATENATE(Tabla1[[#This Row],[¿QUÉ? 
IMPACTO]]," ",Tabla1[[#This Row],[¿CÓMO?
CAUSA INMEDIATA 
(Iniciar con la palabra 
por)]]," "," ",Tabla1[[#This Row],[¿PORQUÉ?
CAUSA RAÍZ
(Iniciar con 
debido a/a causa de)]]))</f>
        <v xml:space="preserve">   </v>
      </c>
      <c r="L23" s="314"/>
    </row>
    <row r="24" spans="1:12" s="5" customFormat="1" ht="93" customHeight="1">
      <c r="A24" s="1" t="s">
        <v>128</v>
      </c>
      <c r="B24" s="1"/>
      <c r="C24" s="1"/>
      <c r="D24" s="155" t="str">
        <f>+IF(B24='11 FORMULAS'!$B$4,'11 FORMULAS'!$C$4,IF(B24='11 FORMULAS'!$B$6,'11 FORMULAS'!$C$6,IF(B24='11 FORMULAS'!$B$8,'11 FORMULAS'!$C$8,IF(B24='11 FORMULAS'!$B$10,'11 FORMULAS'!$C$10,""))))</f>
        <v/>
      </c>
      <c r="E24" s="291" t="str">
        <f>+IFERROR(VLOOKUP(B24,Tabla3[],2,0),"")</f>
        <v/>
      </c>
      <c r="F24" s="1"/>
      <c r="G24" s="1"/>
      <c r="H24" s="1"/>
      <c r="I24" s="310"/>
      <c r="J24" s="310"/>
      <c r="K24" s="334" t="str">
        <f>(CONCATENATE(Tabla1[[#This Row],[¿QUÉ? 
IMPACTO]]," ",Tabla1[[#This Row],[¿CÓMO?
CAUSA INMEDIATA 
(Iniciar con la palabra 
por)]]," "," ",Tabla1[[#This Row],[¿PORQUÉ?
CAUSA RAÍZ
(Iniciar con 
debido a/a causa de)]]))</f>
        <v xml:space="preserve">   </v>
      </c>
      <c r="L24" s="314"/>
    </row>
    <row r="25" spans="1:12" s="5" customFormat="1" ht="93" customHeight="1">
      <c r="A25" s="1" t="s">
        <v>129</v>
      </c>
      <c r="B25" s="1"/>
      <c r="C25" s="1"/>
      <c r="D25" s="155" t="str">
        <f>+IF(B25='11 FORMULAS'!$B$4,'11 FORMULAS'!$C$4,IF(B25='11 FORMULAS'!$B$6,'11 FORMULAS'!$C$6,IF(B25='11 FORMULAS'!$B$8,'11 FORMULAS'!$C$8,IF(B25='11 FORMULAS'!$B$10,'11 FORMULAS'!$C$10,""))))</f>
        <v/>
      </c>
      <c r="E25" s="291" t="str">
        <f>+IFERROR(VLOOKUP(B25,Tabla3[],2,0),"")</f>
        <v/>
      </c>
      <c r="F25" s="1"/>
      <c r="G25" s="1"/>
      <c r="H25" s="1"/>
      <c r="I25" s="310"/>
      <c r="J25" s="310"/>
      <c r="K25" s="334" t="str">
        <f>(CONCATENATE(Tabla1[[#This Row],[¿QUÉ? 
IMPACTO]]," ",Tabla1[[#This Row],[¿CÓMO?
CAUSA INMEDIATA 
(Iniciar con la palabra 
por)]]," "," ",Tabla1[[#This Row],[¿PORQUÉ?
CAUSA RAÍZ
(Iniciar con 
debido a/a causa de)]]))</f>
        <v xml:space="preserve">   </v>
      </c>
      <c r="L25" s="314"/>
    </row>
    <row r="26" spans="1:12" s="5" customFormat="1" ht="93" customHeight="1">
      <c r="A26" s="1" t="s">
        <v>130</v>
      </c>
      <c r="B26" s="1"/>
      <c r="C26" s="1"/>
      <c r="D26" s="155" t="str">
        <f>+IF(B26='11 FORMULAS'!$B$4,'11 FORMULAS'!$C$4,IF(B26='11 FORMULAS'!$B$6,'11 FORMULAS'!$C$6,IF(B26='11 FORMULAS'!$B$8,'11 FORMULAS'!$C$8,IF(B26='11 FORMULAS'!$B$10,'11 FORMULAS'!$C$10,""))))</f>
        <v/>
      </c>
      <c r="E26" s="291" t="str">
        <f>+IFERROR(VLOOKUP(B26,Tabla3[],2,0),"")</f>
        <v/>
      </c>
      <c r="F26" s="1"/>
      <c r="G26" s="1"/>
      <c r="H26" s="1"/>
      <c r="I26" s="310"/>
      <c r="J26" s="310"/>
      <c r="K26" s="334" t="str">
        <f>(CONCATENATE(Tabla1[[#This Row],[¿QUÉ? 
IMPACTO]]," ",Tabla1[[#This Row],[¿CÓMO?
CAUSA INMEDIATA 
(Iniciar con la palabra 
por)]]," "," ",Tabla1[[#This Row],[¿PORQUÉ?
CAUSA RAÍZ
(Iniciar con 
debido a/a causa de)]]))</f>
        <v xml:space="preserve">   </v>
      </c>
      <c r="L26" s="314"/>
    </row>
    <row r="27" spans="1:12" s="5" customFormat="1" ht="93" customHeight="1">
      <c r="A27" s="1" t="s">
        <v>131</v>
      </c>
      <c r="B27" s="1"/>
      <c r="C27" s="1"/>
      <c r="D27" s="155" t="str">
        <f>+IF(B27='11 FORMULAS'!$B$4,'11 FORMULAS'!$C$4,IF(B27='11 FORMULAS'!$B$6,'11 FORMULAS'!$C$6,IF(B27='11 FORMULAS'!$B$8,'11 FORMULAS'!$C$8,IF(B27='11 FORMULAS'!$B$10,'11 FORMULAS'!$C$10,""))))</f>
        <v/>
      </c>
      <c r="E27" s="291" t="str">
        <f>+IFERROR(VLOOKUP(B27,Tabla3[],2,0),"")</f>
        <v/>
      </c>
      <c r="F27" s="1"/>
      <c r="G27" s="1"/>
      <c r="H27" s="1"/>
      <c r="I27" s="310"/>
      <c r="J27" s="310"/>
      <c r="K27" s="334" t="str">
        <f>(CONCATENATE(Tabla1[[#This Row],[¿QUÉ? 
IMPACTO]]," ",Tabla1[[#This Row],[¿CÓMO?
CAUSA INMEDIATA 
(Iniciar con la palabra 
por)]]," "," ",Tabla1[[#This Row],[¿PORQUÉ?
CAUSA RAÍZ
(Iniciar con 
debido a/a causa de)]]))</f>
        <v xml:space="preserve">   </v>
      </c>
      <c r="L27" s="314"/>
    </row>
    <row r="28" spans="1:12" s="5" customFormat="1" ht="93" customHeight="1">
      <c r="A28" s="1" t="s">
        <v>132</v>
      </c>
      <c r="B28" s="1"/>
      <c r="C28" s="1"/>
      <c r="D28" s="155" t="str">
        <f>+IF(B28='11 FORMULAS'!$B$4,'11 FORMULAS'!$C$4,IF(B28='11 FORMULAS'!$B$6,'11 FORMULAS'!$C$6,IF(B28='11 FORMULAS'!$B$8,'11 FORMULAS'!$C$8,IF(B28='11 FORMULAS'!$B$10,'11 FORMULAS'!$C$10,""))))</f>
        <v/>
      </c>
      <c r="E28" s="291" t="str">
        <f>+IFERROR(VLOOKUP(B28,Tabla3[],2,0),"")</f>
        <v/>
      </c>
      <c r="F28" s="1"/>
      <c r="G28" s="1"/>
      <c r="H28" s="1"/>
      <c r="I28" s="310"/>
      <c r="J28" s="310"/>
      <c r="K28" s="334" t="str">
        <f>(CONCATENATE(Tabla1[[#This Row],[¿QUÉ? 
IMPACTO]]," ",Tabla1[[#This Row],[¿CÓMO?
CAUSA INMEDIATA 
(Iniciar con la palabra 
por)]]," "," ",Tabla1[[#This Row],[¿PORQUÉ?
CAUSA RAÍZ
(Iniciar con 
debido a/a causa de)]]))</f>
        <v xml:space="preserve">   </v>
      </c>
      <c r="L28" s="314"/>
    </row>
    <row r="29" spans="1:12" s="5" customFormat="1" ht="17.399999999999999">
      <c r="B29" s="327"/>
      <c r="C29" s="327"/>
      <c r="E29" s="329"/>
      <c r="F29" s="6"/>
      <c r="G29" s="6"/>
      <c r="H29" s="6"/>
      <c r="I29" s="6"/>
      <c r="J29" s="6"/>
      <c r="K29" s="335"/>
    </row>
    <row r="30" spans="1:12">
      <c r="F30" s="2"/>
      <c r="G30" s="2"/>
      <c r="H30" s="162"/>
      <c r="I30" s="162"/>
      <c r="J30" s="162"/>
    </row>
    <row r="31" spans="1:12">
      <c r="F31" s="2"/>
      <c r="G31" s="2"/>
      <c r="H31" s="162"/>
      <c r="I31" s="162"/>
      <c r="J31" s="162"/>
    </row>
    <row r="32" spans="1:12">
      <c r="F32" s="7"/>
      <c r="G32" s="7"/>
      <c r="H32" s="330"/>
      <c r="I32" s="330"/>
      <c r="J32" s="330"/>
    </row>
    <row r="33" spans="6:27">
      <c r="F33" s="2"/>
      <c r="G33" s="2"/>
      <c r="H33" s="162"/>
      <c r="I33" s="162"/>
      <c r="J33" s="162"/>
    </row>
    <row r="34" spans="6:27">
      <c r="F34" s="2"/>
      <c r="G34" s="2"/>
      <c r="H34" s="162"/>
      <c r="I34" s="162"/>
      <c r="J34" s="162"/>
    </row>
    <row r="35" spans="6:27">
      <c r="F35" s="2"/>
      <c r="G35" s="2"/>
      <c r="H35" s="162"/>
      <c r="I35" s="162"/>
      <c r="J35" s="162"/>
    </row>
    <row r="39" spans="6:27" ht="14.25" customHeight="1"/>
    <row r="43" spans="6:27" ht="14.25" customHeight="1">
      <c r="Y43" s="8"/>
    </row>
    <row r="44" spans="6:27">
      <c r="AA44" s="8"/>
    </row>
    <row r="45" spans="6:27">
      <c r="AA45" s="8"/>
    </row>
    <row r="46" spans="6:27">
      <c r="AA46" s="8"/>
    </row>
    <row r="47" spans="6:27">
      <c r="AA47" s="8"/>
    </row>
    <row r="48" spans="6:27">
      <c r="AA48" s="8"/>
    </row>
    <row r="49" spans="27:27">
      <c r="AA49" s="8"/>
    </row>
    <row r="50" spans="27:27">
      <c r="AA50" s="8"/>
    </row>
    <row r="51" spans="27:27" ht="14.25" customHeight="1">
      <c r="AA51" s="8"/>
    </row>
    <row r="52" spans="27:27">
      <c r="AA52" s="8"/>
    </row>
  </sheetData>
  <sheetProtection sheet="1" objects="1" scenarios="1"/>
  <mergeCells count="11">
    <mergeCell ref="C2:L2"/>
    <mergeCell ref="B7:E7"/>
    <mergeCell ref="A7:A8"/>
    <mergeCell ref="A1:L1"/>
    <mergeCell ref="A3:L3"/>
    <mergeCell ref="B5:D5"/>
    <mergeCell ref="F4:I4"/>
    <mergeCell ref="H5:I5"/>
    <mergeCell ref="K5:L5"/>
    <mergeCell ref="B4:C4"/>
    <mergeCell ref="K4:L4"/>
  </mergeCells>
  <phoneticPr fontId="16" type="noConversion"/>
  <conditionalFormatting sqref="G9:G28">
    <cfRule type="expression" dxfId="169" priority="1">
      <formula>$F9&lt;&gt;"Seguridad_información"</formula>
    </cfRule>
  </conditionalFormatting>
  <dataValidations count="1">
    <dataValidation type="list" allowBlank="1" showInputMessage="1" showErrorMessage="1" sqref="C9:C28">
      <formula1>INDIRECT(B9)</formula1>
    </dataValidation>
  </dataValidations>
  <printOptions horizontalCentered="1"/>
  <pageMargins left="0.31496062992125984" right="0.27559055118110237" top="0.23622047244094491" bottom="0.15748031496062992" header="0" footer="0"/>
  <pageSetup paperSize="5" scale="65" orientation="landscape" r:id="rId1"/>
  <headerFooter alignWithMargins="0"/>
  <tableParts count="1">
    <tablePart r:id="rId2"/>
  </tableParts>
  <extLst>
    <ext xmlns:x14="http://schemas.microsoft.com/office/spreadsheetml/2009/9/main" uri="{CCE6A557-97BC-4b89-ADB6-D9C93CAAB3DF}">
      <x14:dataValidations xmlns:xm="http://schemas.microsoft.com/office/excel/2006/main" count="4">
        <x14:dataValidation type="list" allowBlank="1" showInputMessage="1" showErrorMessage="1">
          <x14:formula1>
            <xm:f>'11 FORMULAS'!$A$31:$E$31</xm:f>
          </x14:formula1>
          <xm:sqref>F9:F28</xm:sqref>
        </x14:dataValidation>
        <x14:dataValidation type="list" allowBlank="1" showInputMessage="1" showErrorMessage="1">
          <x14:formula1>
            <xm:f>'11 FORMULAS'!$A$44:$F$44</xm:f>
          </x14:formula1>
          <xm:sqref>B9:B28</xm:sqref>
        </x14:dataValidation>
        <x14:dataValidation type="list" allowBlank="1" showInputMessage="1" showErrorMessage="1">
          <x14:formula1>
            <xm:f>'ACTIVOS DE INFORMACIÓN'!$I$14:$I$88</xm:f>
          </x14:formula1>
          <xm:sqref>G9:G28</xm:sqref>
        </x14:dataValidation>
        <x14:dataValidation type="list" allowBlank="1" showInputMessage="1" showErrorMessage="1">
          <x14:formula1>
            <xm:f>IF('H1'!$M2=0,INDIRECT($F9),INDIRECT(VLOOKUP('H1'!$T2,'H1'!$F$1:$G$193,2,0)))</xm:f>
          </x14:formula1>
          <xm:sqref>H9:H28</xm:sqref>
        </x14:dataValidation>
      </x14:dataValidation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V193"/>
  <sheetViews>
    <sheetView zoomScale="95" zoomScaleNormal="95" workbookViewId="0">
      <selection activeCell="D4" sqref="D4"/>
    </sheetView>
  </sheetViews>
  <sheetFormatPr baseColWidth="10" defaultRowHeight="14.4"/>
  <cols>
    <col min="1" max="1" width="28" customWidth="1"/>
    <col min="2" max="2" width="20.44140625" customWidth="1"/>
    <col min="3" max="3" width="28.44140625" customWidth="1"/>
    <col min="4" max="4" width="35.6640625" customWidth="1"/>
    <col min="5" max="6" width="32.77734375" style="397" customWidth="1"/>
    <col min="7" max="7" width="22.109375" style="397" customWidth="1"/>
    <col min="8" max="8" width="22.33203125" customWidth="1"/>
    <col min="9" max="9" width="26" customWidth="1"/>
    <col min="10" max="10" width="20.109375" customWidth="1"/>
    <col min="11" max="11" width="5.109375" customWidth="1"/>
    <col min="12" max="12" width="9" style="180" customWidth="1"/>
    <col min="13" max="13" width="16.77734375" customWidth="1"/>
    <col min="14" max="14" width="15.33203125" customWidth="1"/>
    <col min="15" max="15" width="19.33203125" customWidth="1"/>
    <col min="16" max="16" width="19.33203125" hidden="1" customWidth="1"/>
    <col min="17" max="17" width="26" customWidth="1"/>
    <col min="18" max="18" width="24.77734375" customWidth="1"/>
    <col min="19" max="19" width="39.33203125" customWidth="1"/>
    <col min="20" max="20" width="25.33203125" customWidth="1"/>
  </cols>
  <sheetData>
    <row r="1" spans="1:22" ht="33" customHeight="1">
      <c r="A1" s="384" t="s">
        <v>408</v>
      </c>
      <c r="B1" s="408" t="s">
        <v>409</v>
      </c>
      <c r="C1" s="384" t="s">
        <v>106</v>
      </c>
      <c r="D1" s="388" t="s">
        <v>410</v>
      </c>
      <c r="E1" s="428" t="s">
        <v>428</v>
      </c>
      <c r="F1" s="428" t="s">
        <v>429</v>
      </c>
      <c r="G1" s="428" t="s">
        <v>420</v>
      </c>
      <c r="H1" s="384" t="s">
        <v>393</v>
      </c>
      <c r="I1" s="384" t="s">
        <v>392</v>
      </c>
      <c r="J1" s="384" t="s">
        <v>406</v>
      </c>
      <c r="L1" s="430"/>
      <c r="O1" s="415" t="s">
        <v>102</v>
      </c>
      <c r="P1" s="392" t="s">
        <v>103</v>
      </c>
      <c r="Q1" s="392" t="s">
        <v>414</v>
      </c>
      <c r="R1" s="392" t="s">
        <v>415</v>
      </c>
      <c r="S1" s="392" t="s">
        <v>434</v>
      </c>
      <c r="T1" s="409" t="s">
        <v>427</v>
      </c>
    </row>
    <row r="2" spans="1:22" ht="39" customHeight="1">
      <c r="A2" s="393" t="s">
        <v>405</v>
      </c>
      <c r="B2" s="394" t="s">
        <v>208</v>
      </c>
      <c r="C2" s="395" t="s">
        <v>190</v>
      </c>
      <c r="D2" s="385" t="s">
        <v>459</v>
      </c>
      <c r="E2" s="398" t="str">
        <f>CONCATENATE(A2,C2,D2)</f>
        <v>Talento_humanoIntegridad_Pública_CorrupciónPosibilidad de pérdida económica</v>
      </c>
      <c r="F2" s="398" t="str">
        <f>CONCATENATE(A2,C2)</f>
        <v>Talento_humanoIntegridad_Pública_Corrupción</v>
      </c>
      <c r="G2" s="398" t="s">
        <v>421</v>
      </c>
      <c r="H2" s="396" t="s">
        <v>279</v>
      </c>
      <c r="I2" s="396" t="s">
        <v>392</v>
      </c>
      <c r="J2" s="418" t="s">
        <v>435</v>
      </c>
      <c r="L2" s="431" t="s">
        <v>439</v>
      </c>
      <c r="M2" s="435">
        <f>IFERROR(VLOOKUP($T2,$F$2:$F$193,1,0),0)</f>
        <v>0</v>
      </c>
      <c r="N2" s="436">
        <f>IFERROR(VLOOKUP($S2,$E$2:$E$193,1,0),0)</f>
        <v>0</v>
      </c>
      <c r="O2" s="433" t="str">
        <f>'2 CONTEXTO E IDENTIFICACIÓN'!B9</f>
        <v>Integridad_Pública_LA_FT_FP</v>
      </c>
      <c r="P2" s="434" t="str">
        <f>'2 CONTEXTO E IDENTIFICACIÓN'!C9</f>
        <v>Contrapartes de la entidad (naturales o jurídicas)</v>
      </c>
      <c r="Q2" s="434" t="str">
        <f>'2 CONTEXTO E IDENTIFICACIÓN'!F9</f>
        <v>Seguridad_Información</v>
      </c>
      <c r="R2" s="434" t="str">
        <f>'2 CONTEXTO E IDENTIFICACIÓN'!H9</f>
        <v>Posibilidad de perdida de Disponibilidad, confidencialidad e integridad de la información</v>
      </c>
      <c r="S2" s="434" t="str">
        <f>CONCATENATE(O2,Q2,R2)</f>
        <v>Integridad_Pública_LA_FT_FPSeguridad_InformaciónPosibilidad de perdida de Disponibilidad, confidencialidad e integridad de la información</v>
      </c>
      <c r="T2" s="437" t="str">
        <f>CONCATENATE(O2,Q2)</f>
        <v>Integridad_Pública_LA_FT_FPSeguridad_Información</v>
      </c>
      <c r="U2" s="416" t="s">
        <v>305</v>
      </c>
      <c r="V2" s="419" t="s">
        <v>198</v>
      </c>
    </row>
    <row r="3" spans="1:22" ht="52.8">
      <c r="A3" s="393" t="s">
        <v>405</v>
      </c>
      <c r="B3" s="394" t="s">
        <v>208</v>
      </c>
      <c r="C3" s="395" t="s">
        <v>190</v>
      </c>
      <c r="D3" s="386" t="s">
        <v>460</v>
      </c>
      <c r="E3" s="399" t="str">
        <f t="shared" ref="E3:E66" si="0">CONCATENATE(A3,C3,D3)</f>
        <v>Talento_humanoIntegridad_Pública_CorrupciónPosibilidad de pérdida reputacional</v>
      </c>
      <c r="F3" s="399" t="str">
        <f t="shared" ref="F3:F66" si="1">CONCATENATE(A3,C3)</f>
        <v>Talento_humanoIntegridad_Pública_Corrupción</v>
      </c>
      <c r="G3" s="399" t="s">
        <v>421</v>
      </c>
      <c r="H3" s="396" t="s">
        <v>417</v>
      </c>
      <c r="I3" s="396" t="s">
        <v>392</v>
      </c>
      <c r="J3" s="418" t="s">
        <v>407</v>
      </c>
      <c r="L3" s="431" t="s">
        <v>440</v>
      </c>
      <c r="M3" s="435">
        <f>IFERROR(VLOOKUP($T3,$F$2:$F$193,1,0),0)</f>
        <v>0</v>
      </c>
      <c r="N3" s="436">
        <f t="shared" ref="N3:N21" si="2">IFERROR(VLOOKUP($S3,$E$2:$E$193,1,0),0)</f>
        <v>0</v>
      </c>
      <c r="O3" s="433">
        <f>'2 CONTEXTO E IDENTIFICACIÓN'!B10</f>
        <v>0</v>
      </c>
      <c r="P3" s="434">
        <f>'2 CONTEXTO E IDENTIFICACIÓN'!C10</f>
        <v>0</v>
      </c>
      <c r="Q3" s="434" t="str">
        <f>'2 CONTEXTO E IDENTIFICACIÓN'!F10</f>
        <v>Seguridad_Información</v>
      </c>
      <c r="R3" s="434" t="str">
        <f>'2 CONTEXTO E IDENTIFICACIÓN'!H10</f>
        <v>Posibilidad de perdida de Disponibilidad, confidencialidad e integridad de la información</v>
      </c>
      <c r="S3" s="434" t="str">
        <f t="shared" ref="S3:S8" si="3">CONCATENATE(O3,Q3,R3)</f>
        <v>0Seguridad_InformaciónPosibilidad de perdida de Disponibilidad, confidencialidad e integridad de la información</v>
      </c>
      <c r="T3" s="437" t="str">
        <f t="shared" ref="T3:T8" si="4">CONCATENATE(O3,Q3)</f>
        <v>0Seguridad_Información</v>
      </c>
    </row>
    <row r="4" spans="1:22" ht="52.8">
      <c r="A4" s="393" t="s">
        <v>405</v>
      </c>
      <c r="B4" s="394" t="s">
        <v>208</v>
      </c>
      <c r="C4" s="395" t="s">
        <v>190</v>
      </c>
      <c r="D4" s="387" t="s">
        <v>461</v>
      </c>
      <c r="E4" s="400" t="str">
        <f t="shared" si="0"/>
        <v>Talento_humanoIntegridad_Pública_CorrupciónPosibilidad de pérdida económica y reputacional</v>
      </c>
      <c r="F4" s="400" t="str">
        <f t="shared" si="1"/>
        <v>Talento_humanoIntegridad_Pública_Corrupción</v>
      </c>
      <c r="G4" s="400" t="s">
        <v>421</v>
      </c>
      <c r="H4" s="396" t="s">
        <v>279</v>
      </c>
      <c r="I4" s="396" t="s">
        <v>392</v>
      </c>
      <c r="J4" s="418" t="s">
        <v>435</v>
      </c>
      <c r="L4" s="431" t="s">
        <v>441</v>
      </c>
      <c r="M4" s="435">
        <f t="shared" ref="M4:M21" si="5">IFERROR(VLOOKUP($T4,$F$2:$F$193,1,0),0)</f>
        <v>0</v>
      </c>
      <c r="N4" s="436">
        <f t="shared" si="2"/>
        <v>0</v>
      </c>
      <c r="O4" s="433">
        <f>'2 CONTEXTO E IDENTIFICACIÓN'!B11</f>
        <v>0</v>
      </c>
      <c r="P4" s="434">
        <f>'2 CONTEXTO E IDENTIFICACIÓN'!C11</f>
        <v>0</v>
      </c>
      <c r="Q4" s="434" t="str">
        <f>'2 CONTEXTO E IDENTIFICACIÓN'!F11</f>
        <v>Seguridad_Información</v>
      </c>
      <c r="R4" s="434" t="str">
        <f>'2 CONTEXTO E IDENTIFICACIÓN'!H11</f>
        <v>Posibilidad de perdida de Disponibilidad, confidencialidad e integridad de la información</v>
      </c>
      <c r="S4" s="434" t="str">
        <f t="shared" si="3"/>
        <v>0Seguridad_InformaciónPosibilidad de perdida de Disponibilidad, confidencialidad e integridad de la información</v>
      </c>
      <c r="T4" s="437" t="str">
        <f>CONCATENATE(O4,Q4)</f>
        <v>0Seguridad_Información</v>
      </c>
    </row>
    <row r="5" spans="1:22" ht="52.8">
      <c r="A5" s="401" t="s">
        <v>405</v>
      </c>
      <c r="B5" s="402" t="s">
        <v>403</v>
      </c>
      <c r="C5" s="403" t="s">
        <v>190</v>
      </c>
      <c r="D5" s="385" t="s">
        <v>380</v>
      </c>
      <c r="E5" s="398" t="str">
        <f t="shared" si="0"/>
        <v>Talento_humanoIntegridad_Pública_CorrupciónAfectación económica por Soborno Entrante</v>
      </c>
      <c r="F5" s="398" t="str">
        <f t="shared" si="1"/>
        <v>Talento_humanoIntegridad_Pública_Corrupción</v>
      </c>
      <c r="G5" s="398" t="s">
        <v>422</v>
      </c>
      <c r="H5" s="404" t="s">
        <v>279</v>
      </c>
      <c r="I5" s="404" t="s">
        <v>392</v>
      </c>
      <c r="J5" s="418" t="s">
        <v>435</v>
      </c>
      <c r="L5" s="431" t="s">
        <v>442</v>
      </c>
      <c r="M5" s="435">
        <f>IFERROR(VLOOKUP($T5,$F$2:$F$193,1,0),0)</f>
        <v>0</v>
      </c>
      <c r="N5" s="436">
        <f t="shared" si="2"/>
        <v>0</v>
      </c>
      <c r="O5" s="433">
        <f>'2 CONTEXTO E IDENTIFICACIÓN'!B12</f>
        <v>0</v>
      </c>
      <c r="P5" s="434">
        <f>'2 CONTEXTO E IDENTIFICACIÓN'!C12</f>
        <v>0</v>
      </c>
      <c r="Q5" s="434" t="str">
        <f>'2 CONTEXTO E IDENTIFICACIÓN'!F12</f>
        <v>Seguridad_Información</v>
      </c>
      <c r="R5" s="434" t="str">
        <f>'2 CONTEXTO E IDENTIFICACIÓN'!H12</f>
        <v>Posibilidad de perdida de Disponibilidad, confidencialidad e integridad de la información</v>
      </c>
      <c r="S5" s="434" t="str">
        <f t="shared" si="3"/>
        <v>0Seguridad_InformaciónPosibilidad de perdida de Disponibilidad, confidencialidad e integridad de la información</v>
      </c>
      <c r="T5" s="437" t="str">
        <f t="shared" si="4"/>
        <v>0Seguridad_Información</v>
      </c>
    </row>
    <row r="6" spans="1:22" ht="39.6">
      <c r="A6" s="401" t="s">
        <v>405</v>
      </c>
      <c r="B6" s="402" t="s">
        <v>403</v>
      </c>
      <c r="C6" s="403" t="s">
        <v>190</v>
      </c>
      <c r="D6" s="386" t="s">
        <v>383</v>
      </c>
      <c r="E6" s="399" t="str">
        <f t="shared" si="0"/>
        <v>Talento_humanoIntegridad_Pública_CorrupciónAfectación reputacional por Soborno Entrante</v>
      </c>
      <c r="F6" s="399" t="str">
        <f t="shared" si="1"/>
        <v>Talento_humanoIntegridad_Pública_Corrupción</v>
      </c>
      <c r="G6" s="399" t="s">
        <v>422</v>
      </c>
      <c r="H6" s="404" t="s">
        <v>417</v>
      </c>
      <c r="I6" s="404" t="s">
        <v>392</v>
      </c>
      <c r="J6" s="418" t="s">
        <v>407</v>
      </c>
      <c r="L6" s="431" t="s">
        <v>443</v>
      </c>
      <c r="M6" s="435">
        <f t="shared" si="5"/>
        <v>0</v>
      </c>
      <c r="N6" s="436">
        <f t="shared" si="2"/>
        <v>0</v>
      </c>
      <c r="O6" s="433">
        <f>'2 CONTEXTO E IDENTIFICACIÓN'!B13</f>
        <v>0</v>
      </c>
      <c r="P6" s="434">
        <f>'2 CONTEXTO E IDENTIFICACIÓN'!C13</f>
        <v>0</v>
      </c>
      <c r="Q6" s="434" t="str">
        <f>'2 CONTEXTO E IDENTIFICACIÓN'!F13</f>
        <v>Seguridad_Información</v>
      </c>
      <c r="R6" s="434" t="str">
        <f>'2 CONTEXTO E IDENTIFICACIÓN'!H13</f>
        <v>Posibilidad de perdida de disponibilidad e integridad de la información</v>
      </c>
      <c r="S6" s="434" t="str">
        <f t="shared" si="3"/>
        <v>0Seguridad_InformaciónPosibilidad de perdida de disponibilidad e integridad de la información</v>
      </c>
      <c r="T6" s="437" t="str">
        <f t="shared" si="4"/>
        <v>0Seguridad_Información</v>
      </c>
    </row>
    <row r="7" spans="1:22" ht="30.6">
      <c r="A7" s="401" t="s">
        <v>405</v>
      </c>
      <c r="B7" s="402" t="s">
        <v>403</v>
      </c>
      <c r="C7" s="403" t="s">
        <v>190</v>
      </c>
      <c r="D7" s="387" t="s">
        <v>388</v>
      </c>
      <c r="E7" s="400" t="str">
        <f t="shared" si="0"/>
        <v>Talento_humanoIntegridad_Pública_CorrupciónAfectación económica y reputacional por Soborno Entrante</v>
      </c>
      <c r="F7" s="400" t="str">
        <f t="shared" si="1"/>
        <v>Talento_humanoIntegridad_Pública_Corrupción</v>
      </c>
      <c r="G7" s="400" t="s">
        <v>422</v>
      </c>
      <c r="H7" s="404" t="s">
        <v>279</v>
      </c>
      <c r="I7" s="404" t="s">
        <v>392</v>
      </c>
      <c r="J7" s="418" t="s">
        <v>435</v>
      </c>
      <c r="L7" s="431" t="s">
        <v>444</v>
      </c>
      <c r="M7" s="435">
        <f t="shared" si="5"/>
        <v>0</v>
      </c>
      <c r="N7" s="436">
        <f t="shared" si="2"/>
        <v>0</v>
      </c>
      <c r="O7" s="433">
        <f>'2 CONTEXTO E IDENTIFICACIÓN'!B14</f>
        <v>0</v>
      </c>
      <c r="P7" s="434">
        <f>'2 CONTEXTO E IDENTIFICACIÓN'!C14</f>
        <v>0</v>
      </c>
      <c r="Q7" s="434">
        <f>'2 CONTEXTO E IDENTIFICACIÓN'!F14</f>
        <v>0</v>
      </c>
      <c r="R7" s="434">
        <f>'2 CONTEXTO E IDENTIFICACIÓN'!H14</f>
        <v>0</v>
      </c>
      <c r="S7" s="434" t="str">
        <f t="shared" si="3"/>
        <v>000</v>
      </c>
      <c r="T7" s="437" t="str">
        <f t="shared" si="4"/>
        <v>00</v>
      </c>
    </row>
    <row r="8" spans="1:22" ht="28.8">
      <c r="A8" s="393" t="s">
        <v>405</v>
      </c>
      <c r="B8" s="394" t="s">
        <v>404</v>
      </c>
      <c r="C8" s="395" t="s">
        <v>190</v>
      </c>
      <c r="D8" s="385" t="s">
        <v>381</v>
      </c>
      <c r="E8" s="398" t="str">
        <f t="shared" si="0"/>
        <v>Talento_humanoIntegridad_Pública_CorrupciónAfectación económica por Soborno Saliente</v>
      </c>
      <c r="F8" s="398" t="str">
        <f t="shared" si="1"/>
        <v>Talento_humanoIntegridad_Pública_Corrupción</v>
      </c>
      <c r="G8" s="398" t="s">
        <v>423</v>
      </c>
      <c r="H8" s="396" t="s">
        <v>279</v>
      </c>
      <c r="I8" s="396" t="s">
        <v>392</v>
      </c>
      <c r="J8" s="418" t="s">
        <v>435</v>
      </c>
      <c r="L8" s="431" t="s">
        <v>445</v>
      </c>
      <c r="M8" s="435">
        <f t="shared" si="5"/>
        <v>0</v>
      </c>
      <c r="N8" s="436">
        <f t="shared" si="2"/>
        <v>0</v>
      </c>
      <c r="O8" s="433">
        <f>'2 CONTEXTO E IDENTIFICACIÓN'!B15</f>
        <v>0</v>
      </c>
      <c r="P8" s="434">
        <f>'2 CONTEXTO E IDENTIFICACIÓN'!C15</f>
        <v>0</v>
      </c>
      <c r="Q8" s="434">
        <f>'2 CONTEXTO E IDENTIFICACIÓN'!F15</f>
        <v>0</v>
      </c>
      <c r="R8" s="434">
        <f>'2 CONTEXTO E IDENTIFICACIÓN'!H15</f>
        <v>0</v>
      </c>
      <c r="S8" s="434" t="str">
        <f t="shared" si="3"/>
        <v>000</v>
      </c>
      <c r="T8" s="437" t="str">
        <f t="shared" si="4"/>
        <v>00</v>
      </c>
    </row>
    <row r="9" spans="1:22" ht="48.75" customHeight="1">
      <c r="A9" s="393" t="s">
        <v>405</v>
      </c>
      <c r="B9" s="394" t="s">
        <v>404</v>
      </c>
      <c r="C9" s="395" t="s">
        <v>190</v>
      </c>
      <c r="D9" s="386" t="s">
        <v>384</v>
      </c>
      <c r="E9" s="399" t="str">
        <f t="shared" si="0"/>
        <v>Talento_humanoIntegridad_Pública_CorrupciónAfectación reputacional por Soborno Saliente</v>
      </c>
      <c r="F9" s="399" t="str">
        <f t="shared" si="1"/>
        <v>Talento_humanoIntegridad_Pública_Corrupción</v>
      </c>
      <c r="G9" s="399" t="s">
        <v>423</v>
      </c>
      <c r="H9" s="396" t="s">
        <v>417</v>
      </c>
      <c r="I9" s="396" t="s">
        <v>392</v>
      </c>
      <c r="J9" s="418" t="s">
        <v>407</v>
      </c>
      <c r="L9" s="431" t="s">
        <v>446</v>
      </c>
      <c r="M9" s="435">
        <f t="shared" si="5"/>
        <v>0</v>
      </c>
      <c r="N9" s="436">
        <f t="shared" si="2"/>
        <v>0</v>
      </c>
      <c r="O9" s="433">
        <f>'2 CONTEXTO E IDENTIFICACIÓN'!B16</f>
        <v>0</v>
      </c>
      <c r="P9" s="434">
        <f>'2 CONTEXTO E IDENTIFICACIÓN'!C16</f>
        <v>0</v>
      </c>
      <c r="Q9" s="434">
        <f>'2 CONTEXTO E IDENTIFICACIÓN'!F16</f>
        <v>0</v>
      </c>
      <c r="R9" s="434">
        <f>'2 CONTEXTO E IDENTIFICACIÓN'!H16</f>
        <v>0</v>
      </c>
      <c r="S9" s="434" t="str">
        <f>CONCATENATE(O9,Q9,R9)</f>
        <v>000</v>
      </c>
      <c r="T9" s="437" t="str">
        <f>CONCATENATE(O9,Q9)</f>
        <v>00</v>
      </c>
    </row>
    <row r="10" spans="1:22" ht="30.6">
      <c r="A10" s="393" t="s">
        <v>405</v>
      </c>
      <c r="B10" s="394" t="s">
        <v>404</v>
      </c>
      <c r="C10" s="395" t="s">
        <v>190</v>
      </c>
      <c r="D10" s="387" t="s">
        <v>389</v>
      </c>
      <c r="E10" s="400" t="str">
        <f t="shared" si="0"/>
        <v>Talento_humanoIntegridad_Pública_CorrupciónAfectación económica y reputacional por Soborno Saliente</v>
      </c>
      <c r="F10" s="400" t="str">
        <f t="shared" si="1"/>
        <v>Talento_humanoIntegridad_Pública_Corrupción</v>
      </c>
      <c r="G10" s="400" t="s">
        <v>423</v>
      </c>
      <c r="H10" s="396" t="s">
        <v>279</v>
      </c>
      <c r="I10" s="396" t="s">
        <v>392</v>
      </c>
      <c r="J10" s="418" t="s">
        <v>435</v>
      </c>
      <c r="L10" s="431" t="s">
        <v>447</v>
      </c>
      <c r="M10" s="435">
        <f t="shared" si="5"/>
        <v>0</v>
      </c>
      <c r="N10" s="436">
        <f t="shared" si="2"/>
        <v>0</v>
      </c>
      <c r="O10" s="433">
        <f>'2 CONTEXTO E IDENTIFICACIÓN'!B17</f>
        <v>0</v>
      </c>
      <c r="P10" s="434">
        <f>'2 CONTEXTO E IDENTIFICACIÓN'!C17</f>
        <v>0</v>
      </c>
      <c r="Q10" s="434">
        <f>'2 CONTEXTO E IDENTIFICACIÓN'!F17</f>
        <v>0</v>
      </c>
      <c r="R10" s="434">
        <f>'2 CONTEXTO E IDENTIFICACIÓN'!H17</f>
        <v>0</v>
      </c>
      <c r="S10" s="434" t="str">
        <f t="shared" ref="S10:S11" si="6">CONCATENATE(O10,Q10,R10)</f>
        <v>000</v>
      </c>
      <c r="T10" s="437" t="str">
        <f t="shared" ref="T10:T11" si="7">CONCATENATE(O10,Q10)</f>
        <v>00</v>
      </c>
    </row>
    <row r="11" spans="1:22" ht="28.8">
      <c r="A11" s="402" t="s">
        <v>405</v>
      </c>
      <c r="B11" s="402" t="s">
        <v>220</v>
      </c>
      <c r="C11" s="403" t="s">
        <v>190</v>
      </c>
      <c r="D11" s="385" t="s">
        <v>382</v>
      </c>
      <c r="E11" s="398" t="str">
        <f t="shared" si="0"/>
        <v>Talento_humanoIntegridad_Pública_CorrupciónAfectación económica por Conflicto de interés</v>
      </c>
      <c r="F11" s="398" t="str">
        <f t="shared" si="1"/>
        <v>Talento_humanoIntegridad_Pública_Corrupción</v>
      </c>
      <c r="G11" s="398" t="s">
        <v>424</v>
      </c>
      <c r="H11" s="404" t="s">
        <v>279</v>
      </c>
      <c r="I11" s="404" t="s">
        <v>392</v>
      </c>
      <c r="J11" s="418" t="s">
        <v>435</v>
      </c>
      <c r="L11" s="431" t="s">
        <v>448</v>
      </c>
      <c r="M11" s="435">
        <f t="shared" si="5"/>
        <v>0</v>
      </c>
      <c r="N11" s="436">
        <f t="shared" si="2"/>
        <v>0</v>
      </c>
      <c r="O11" s="433">
        <f>'2 CONTEXTO E IDENTIFICACIÓN'!B18</f>
        <v>0</v>
      </c>
      <c r="P11" s="434">
        <f>'2 CONTEXTO E IDENTIFICACIÓN'!C18</f>
        <v>0</v>
      </c>
      <c r="Q11" s="434">
        <f>'2 CONTEXTO E IDENTIFICACIÓN'!F18</f>
        <v>0</v>
      </c>
      <c r="R11" s="434">
        <f>'2 CONTEXTO E IDENTIFICACIÓN'!H18</f>
        <v>0</v>
      </c>
      <c r="S11" s="434" t="str">
        <f t="shared" si="6"/>
        <v>000</v>
      </c>
      <c r="T11" s="437" t="str">
        <f t="shared" si="7"/>
        <v>00</v>
      </c>
    </row>
    <row r="12" spans="1:22" ht="28.8">
      <c r="A12" s="402" t="s">
        <v>405</v>
      </c>
      <c r="B12" s="402" t="s">
        <v>220</v>
      </c>
      <c r="C12" s="403" t="s">
        <v>190</v>
      </c>
      <c r="D12" s="386" t="s">
        <v>385</v>
      </c>
      <c r="E12" s="399" t="str">
        <f t="shared" si="0"/>
        <v>Talento_humanoIntegridad_Pública_CorrupciónAfectación reputacional por Conflicto de interés</v>
      </c>
      <c r="F12" s="399" t="str">
        <f t="shared" si="1"/>
        <v>Talento_humanoIntegridad_Pública_Corrupción</v>
      </c>
      <c r="G12" s="399" t="s">
        <v>424</v>
      </c>
      <c r="H12" s="404" t="s">
        <v>417</v>
      </c>
      <c r="I12" s="404" t="s">
        <v>392</v>
      </c>
      <c r="J12" s="418" t="s">
        <v>407</v>
      </c>
      <c r="L12" s="431" t="s">
        <v>449</v>
      </c>
      <c r="M12" s="435">
        <f t="shared" si="5"/>
        <v>0</v>
      </c>
      <c r="N12" s="436">
        <f t="shared" si="2"/>
        <v>0</v>
      </c>
      <c r="O12" s="433">
        <f>'2 CONTEXTO E IDENTIFICACIÓN'!B19</f>
        <v>0</v>
      </c>
      <c r="P12" s="434">
        <f>'2 CONTEXTO E IDENTIFICACIÓN'!C19</f>
        <v>0</v>
      </c>
      <c r="Q12" s="434">
        <f>'2 CONTEXTO E IDENTIFICACIÓN'!F19</f>
        <v>0</v>
      </c>
      <c r="R12" s="434">
        <f>'2 CONTEXTO E IDENTIFICACIÓN'!H19</f>
        <v>0</v>
      </c>
      <c r="S12" s="434" t="str">
        <f>CONCATENATE(O12,Q12,R12)</f>
        <v>000</v>
      </c>
      <c r="T12" s="437" t="str">
        <f>CONCATENATE(O12,Q12)</f>
        <v>00</v>
      </c>
    </row>
    <row r="13" spans="1:22" ht="30.6">
      <c r="A13" s="402" t="s">
        <v>405</v>
      </c>
      <c r="B13" s="402" t="s">
        <v>220</v>
      </c>
      <c r="C13" s="403" t="s">
        <v>190</v>
      </c>
      <c r="D13" s="387" t="s">
        <v>390</v>
      </c>
      <c r="E13" s="400" t="str">
        <f t="shared" si="0"/>
        <v>Talento_humanoIntegridad_Pública_CorrupciónAfectación económica y reputacional por Conflicto de interés</v>
      </c>
      <c r="F13" s="400" t="str">
        <f t="shared" si="1"/>
        <v>Talento_humanoIntegridad_Pública_Corrupción</v>
      </c>
      <c r="G13" s="400" t="s">
        <v>424</v>
      </c>
      <c r="H13" s="404" t="s">
        <v>279</v>
      </c>
      <c r="I13" s="404" t="s">
        <v>392</v>
      </c>
      <c r="J13" s="418" t="s">
        <v>435</v>
      </c>
      <c r="L13" s="431" t="s">
        <v>450</v>
      </c>
      <c r="M13" s="435">
        <f t="shared" si="5"/>
        <v>0</v>
      </c>
      <c r="N13" s="436">
        <f t="shared" si="2"/>
        <v>0</v>
      </c>
      <c r="O13" s="433">
        <f>'2 CONTEXTO E IDENTIFICACIÓN'!B20</f>
        <v>0</v>
      </c>
      <c r="P13" s="434">
        <f>'2 CONTEXTO E IDENTIFICACIÓN'!C20</f>
        <v>0</v>
      </c>
      <c r="Q13" s="434">
        <f>'2 CONTEXTO E IDENTIFICACIÓN'!F20</f>
        <v>0</v>
      </c>
      <c r="R13" s="434">
        <f>'2 CONTEXTO E IDENTIFICACIÓN'!H20</f>
        <v>0</v>
      </c>
      <c r="S13" s="434" t="str">
        <f t="shared" ref="S13:S16" si="8">CONCATENATE(O13,Q13,R13)</f>
        <v>000</v>
      </c>
      <c r="T13" s="437" t="str">
        <f t="shared" ref="T13:T16" si="9">CONCATENATE(O13,Q13)</f>
        <v>00</v>
      </c>
    </row>
    <row r="14" spans="1:22" ht="28.8">
      <c r="A14" s="393" t="s">
        <v>405</v>
      </c>
      <c r="B14" s="394" t="s">
        <v>227</v>
      </c>
      <c r="C14" s="395" t="s">
        <v>190</v>
      </c>
      <c r="D14" s="385" t="s">
        <v>387</v>
      </c>
      <c r="E14" s="398" t="str">
        <f t="shared" si="0"/>
        <v xml:space="preserve">Talento_humanoIntegridad_Pública_CorrupciónAfectación económica por Corrupción </v>
      </c>
      <c r="F14" s="398" t="str">
        <f t="shared" si="1"/>
        <v>Talento_humanoIntegridad_Pública_Corrupción</v>
      </c>
      <c r="G14" s="398" t="s">
        <v>425</v>
      </c>
      <c r="H14" s="396" t="s">
        <v>279</v>
      </c>
      <c r="I14" s="396" t="s">
        <v>392</v>
      </c>
      <c r="J14" s="418" t="s">
        <v>435</v>
      </c>
      <c r="L14" s="431" t="s">
        <v>451</v>
      </c>
      <c r="M14" s="435">
        <f t="shared" si="5"/>
        <v>0</v>
      </c>
      <c r="N14" s="436">
        <f t="shared" si="2"/>
        <v>0</v>
      </c>
      <c r="O14" s="433">
        <f>'2 CONTEXTO E IDENTIFICACIÓN'!B21</f>
        <v>0</v>
      </c>
      <c r="P14" s="434">
        <f>'2 CONTEXTO E IDENTIFICACIÓN'!C21</f>
        <v>0</v>
      </c>
      <c r="Q14" s="434">
        <f>'2 CONTEXTO E IDENTIFICACIÓN'!F21</f>
        <v>0</v>
      </c>
      <c r="R14" s="434">
        <f>'2 CONTEXTO E IDENTIFICACIÓN'!H21</f>
        <v>0</v>
      </c>
      <c r="S14" s="434" t="str">
        <f t="shared" si="8"/>
        <v>000</v>
      </c>
      <c r="T14" s="437" t="str">
        <f t="shared" si="9"/>
        <v>00</v>
      </c>
    </row>
    <row r="15" spans="1:22" ht="37.5" customHeight="1">
      <c r="A15" s="393" t="s">
        <v>405</v>
      </c>
      <c r="B15" s="394" t="s">
        <v>227</v>
      </c>
      <c r="C15" s="395" t="s">
        <v>190</v>
      </c>
      <c r="D15" s="386" t="s">
        <v>386</v>
      </c>
      <c r="E15" s="399" t="str">
        <f t="shared" si="0"/>
        <v>Talento_humanoIntegridad_Pública_CorrupciónAfectación reputacional por Corrupción</v>
      </c>
      <c r="F15" s="399" t="str">
        <f t="shared" si="1"/>
        <v>Talento_humanoIntegridad_Pública_Corrupción</v>
      </c>
      <c r="G15" s="399" t="s">
        <v>425</v>
      </c>
      <c r="H15" s="396" t="s">
        <v>417</v>
      </c>
      <c r="I15" s="396" t="s">
        <v>392</v>
      </c>
      <c r="J15" s="418" t="s">
        <v>407</v>
      </c>
      <c r="L15" s="431" t="s">
        <v>452</v>
      </c>
      <c r="M15" s="435">
        <f t="shared" si="5"/>
        <v>0</v>
      </c>
      <c r="N15" s="436">
        <f t="shared" si="2"/>
        <v>0</v>
      </c>
      <c r="O15" s="433">
        <f>'2 CONTEXTO E IDENTIFICACIÓN'!B22</f>
        <v>0</v>
      </c>
      <c r="P15" s="434">
        <f>'2 CONTEXTO E IDENTIFICACIÓN'!C22</f>
        <v>0</v>
      </c>
      <c r="Q15" s="434">
        <f>'2 CONTEXTO E IDENTIFICACIÓN'!F22</f>
        <v>0</v>
      </c>
      <c r="R15" s="434">
        <f>'2 CONTEXTO E IDENTIFICACIÓN'!H22</f>
        <v>0</v>
      </c>
      <c r="S15" s="434" t="str">
        <f t="shared" si="8"/>
        <v>000</v>
      </c>
      <c r="T15" s="437" t="str">
        <f t="shared" si="9"/>
        <v>00</v>
      </c>
    </row>
    <row r="16" spans="1:22" ht="28.8">
      <c r="A16" s="393" t="s">
        <v>405</v>
      </c>
      <c r="B16" s="394" t="s">
        <v>227</v>
      </c>
      <c r="C16" s="395" t="s">
        <v>190</v>
      </c>
      <c r="D16" s="387" t="s">
        <v>391</v>
      </c>
      <c r="E16" s="400" t="str">
        <f t="shared" si="0"/>
        <v xml:space="preserve">Talento_humanoIntegridad_Pública_CorrupciónAfectación económica y reputacional por Corrupción </v>
      </c>
      <c r="F16" s="400" t="str">
        <f t="shared" si="1"/>
        <v>Talento_humanoIntegridad_Pública_Corrupción</v>
      </c>
      <c r="G16" s="400" t="s">
        <v>425</v>
      </c>
      <c r="H16" s="396" t="s">
        <v>279</v>
      </c>
      <c r="I16" s="396" t="s">
        <v>392</v>
      </c>
      <c r="J16" s="418" t="s">
        <v>435</v>
      </c>
      <c r="L16" s="431" t="s">
        <v>453</v>
      </c>
      <c r="M16" s="435">
        <f t="shared" si="5"/>
        <v>0</v>
      </c>
      <c r="N16" s="436">
        <f t="shared" si="2"/>
        <v>0</v>
      </c>
      <c r="O16" s="433">
        <f>'2 CONTEXTO E IDENTIFICACIÓN'!B23</f>
        <v>0</v>
      </c>
      <c r="P16" s="434">
        <f>'2 CONTEXTO E IDENTIFICACIÓN'!C23</f>
        <v>0</v>
      </c>
      <c r="Q16" s="434">
        <f>'2 CONTEXTO E IDENTIFICACIÓN'!F23</f>
        <v>0</v>
      </c>
      <c r="R16" s="434">
        <f>'2 CONTEXTO E IDENTIFICACIÓN'!H23</f>
        <v>0</v>
      </c>
      <c r="S16" s="434" t="str">
        <f t="shared" si="8"/>
        <v>000</v>
      </c>
      <c r="T16" s="437" t="str">
        <f t="shared" si="9"/>
        <v>00</v>
      </c>
    </row>
    <row r="17" spans="1:20" ht="28.8">
      <c r="A17" s="402" t="s">
        <v>405</v>
      </c>
      <c r="B17" s="402" t="s">
        <v>398</v>
      </c>
      <c r="C17" s="403" t="s">
        <v>190</v>
      </c>
      <c r="D17" s="385" t="s">
        <v>402</v>
      </c>
      <c r="E17" s="398" t="str">
        <f t="shared" si="0"/>
        <v xml:space="preserve">Talento_humanoIntegridad_Pública_CorrupciónAfectación económica por Hurto de activos  </v>
      </c>
      <c r="F17" s="398" t="str">
        <f t="shared" si="1"/>
        <v>Talento_humanoIntegridad_Pública_Corrupción</v>
      </c>
      <c r="G17" s="398" t="s">
        <v>426</v>
      </c>
      <c r="H17" s="404" t="s">
        <v>279</v>
      </c>
      <c r="I17" s="404" t="s">
        <v>392</v>
      </c>
      <c r="J17" s="418" t="s">
        <v>435</v>
      </c>
      <c r="L17" s="431" t="s">
        <v>454</v>
      </c>
      <c r="M17" s="435">
        <f t="shared" si="5"/>
        <v>0</v>
      </c>
      <c r="N17" s="436">
        <f t="shared" si="2"/>
        <v>0</v>
      </c>
      <c r="O17" s="433">
        <f>'2 CONTEXTO E IDENTIFICACIÓN'!B24</f>
        <v>0</v>
      </c>
      <c r="P17" s="434">
        <f>'2 CONTEXTO E IDENTIFICACIÓN'!C24</f>
        <v>0</v>
      </c>
      <c r="Q17" s="434">
        <f>'2 CONTEXTO E IDENTIFICACIÓN'!F24</f>
        <v>0</v>
      </c>
      <c r="R17" s="434">
        <f>'2 CONTEXTO E IDENTIFICACIÓN'!H24</f>
        <v>0</v>
      </c>
      <c r="S17" s="434" t="str">
        <f>CONCATENATE(O17,Q17,R17)</f>
        <v>000</v>
      </c>
      <c r="T17" s="437" t="str">
        <f>CONCATENATE(O17,Q17)</f>
        <v>00</v>
      </c>
    </row>
    <row r="18" spans="1:20" ht="39.75" customHeight="1">
      <c r="A18" s="402" t="s">
        <v>405</v>
      </c>
      <c r="B18" s="402" t="s">
        <v>398</v>
      </c>
      <c r="C18" s="403" t="s">
        <v>190</v>
      </c>
      <c r="D18" s="386" t="s">
        <v>401</v>
      </c>
      <c r="E18" s="399" t="str">
        <f t="shared" si="0"/>
        <v xml:space="preserve">Talento_humanoIntegridad_Pública_CorrupciónAfectación reputacional por Hurto de activos </v>
      </c>
      <c r="F18" s="399" t="str">
        <f t="shared" si="1"/>
        <v>Talento_humanoIntegridad_Pública_Corrupción</v>
      </c>
      <c r="G18" s="399" t="s">
        <v>426</v>
      </c>
      <c r="H18" s="404" t="s">
        <v>417</v>
      </c>
      <c r="I18" s="404" t="s">
        <v>392</v>
      </c>
      <c r="J18" s="418" t="s">
        <v>407</v>
      </c>
      <c r="L18" s="431" t="s">
        <v>455</v>
      </c>
      <c r="M18" s="435">
        <f t="shared" si="5"/>
        <v>0</v>
      </c>
      <c r="N18" s="436">
        <f t="shared" si="2"/>
        <v>0</v>
      </c>
      <c r="O18" s="433">
        <f>'2 CONTEXTO E IDENTIFICACIÓN'!B25</f>
        <v>0</v>
      </c>
      <c r="P18" s="434">
        <f>'2 CONTEXTO E IDENTIFICACIÓN'!C25</f>
        <v>0</v>
      </c>
      <c r="Q18" s="434">
        <f>'2 CONTEXTO E IDENTIFICACIÓN'!F25</f>
        <v>0</v>
      </c>
      <c r="R18" s="434">
        <f>'2 CONTEXTO E IDENTIFICACIÓN'!H25</f>
        <v>0</v>
      </c>
      <c r="S18" s="434" t="str">
        <f t="shared" ref="S18:S20" si="10">CONCATENATE(O18,Q18,R18)</f>
        <v>000</v>
      </c>
      <c r="T18" s="437" t="str">
        <f t="shared" ref="T18:T20" si="11">CONCATENATE(O18,Q18)</f>
        <v>00</v>
      </c>
    </row>
    <row r="19" spans="1:20" ht="30.6">
      <c r="A19" s="402" t="s">
        <v>405</v>
      </c>
      <c r="B19" s="402" t="s">
        <v>398</v>
      </c>
      <c r="C19" s="403" t="s">
        <v>190</v>
      </c>
      <c r="D19" s="387" t="s">
        <v>400</v>
      </c>
      <c r="E19" s="400" t="str">
        <f t="shared" si="0"/>
        <v xml:space="preserve">Talento_humanoIntegridad_Pública_CorrupciónAfectación económica y reputacional por Hurto de activos </v>
      </c>
      <c r="F19" s="400" t="str">
        <f t="shared" si="1"/>
        <v>Talento_humanoIntegridad_Pública_Corrupción</v>
      </c>
      <c r="G19" s="400" t="s">
        <v>426</v>
      </c>
      <c r="H19" s="404" t="s">
        <v>279</v>
      </c>
      <c r="I19" s="404" t="s">
        <v>392</v>
      </c>
      <c r="J19" s="418" t="s">
        <v>435</v>
      </c>
      <c r="L19" s="431" t="s">
        <v>456</v>
      </c>
      <c r="M19" s="435">
        <f t="shared" si="5"/>
        <v>0</v>
      </c>
      <c r="N19" s="436">
        <f t="shared" si="2"/>
        <v>0</v>
      </c>
      <c r="O19" s="433">
        <f>'2 CONTEXTO E IDENTIFICACIÓN'!B26</f>
        <v>0</v>
      </c>
      <c r="P19" s="434">
        <f>'2 CONTEXTO E IDENTIFICACIÓN'!C26</f>
        <v>0</v>
      </c>
      <c r="Q19" s="434">
        <f>'2 CONTEXTO E IDENTIFICACIÓN'!F26</f>
        <v>0</v>
      </c>
      <c r="R19" s="434">
        <f>'2 CONTEXTO E IDENTIFICACIÓN'!H26</f>
        <v>0</v>
      </c>
      <c r="S19" s="434" t="str">
        <f t="shared" si="10"/>
        <v>000</v>
      </c>
      <c r="T19" s="437" t="str">
        <f t="shared" si="11"/>
        <v>00</v>
      </c>
    </row>
    <row r="20" spans="1:20" ht="28.5" customHeight="1">
      <c r="A20" s="410" t="s">
        <v>191</v>
      </c>
      <c r="B20" s="411" t="s">
        <v>207</v>
      </c>
      <c r="C20" s="411" t="s">
        <v>191</v>
      </c>
      <c r="D20" s="385" t="s">
        <v>395</v>
      </c>
      <c r="E20" s="398" t="str">
        <f t="shared" si="0"/>
        <v>Integridad_Pública_LA_FT_FPIntegridad_Pública_LA_FT_FPAfectación económica</v>
      </c>
      <c r="F20" s="398" t="str">
        <f t="shared" si="1"/>
        <v>Integridad_Pública_LA_FT_FPIntegridad_Pública_LA_FT_FP</v>
      </c>
      <c r="G20" s="398" t="s">
        <v>430</v>
      </c>
      <c r="H20" s="396" t="s">
        <v>279</v>
      </c>
      <c r="I20" s="396" t="s">
        <v>392</v>
      </c>
      <c r="J20" s="418" t="s">
        <v>435</v>
      </c>
      <c r="L20" s="431" t="s">
        <v>457</v>
      </c>
      <c r="M20" s="435">
        <f t="shared" si="5"/>
        <v>0</v>
      </c>
      <c r="N20" s="436">
        <f t="shared" si="2"/>
        <v>0</v>
      </c>
      <c r="O20" s="433">
        <f>'2 CONTEXTO E IDENTIFICACIÓN'!B27</f>
        <v>0</v>
      </c>
      <c r="P20" s="434">
        <f>'2 CONTEXTO E IDENTIFICACIÓN'!C27</f>
        <v>0</v>
      </c>
      <c r="Q20" s="434">
        <f>'2 CONTEXTO E IDENTIFICACIÓN'!F27</f>
        <v>0</v>
      </c>
      <c r="R20" s="434">
        <f>'2 CONTEXTO E IDENTIFICACIÓN'!H27</f>
        <v>0</v>
      </c>
      <c r="S20" s="434" t="str">
        <f t="shared" si="10"/>
        <v>000</v>
      </c>
      <c r="T20" s="437" t="str">
        <f t="shared" si="11"/>
        <v>00</v>
      </c>
    </row>
    <row r="21" spans="1:20" ht="28.5" customHeight="1">
      <c r="A21" s="410" t="s">
        <v>191</v>
      </c>
      <c r="B21" s="411" t="s">
        <v>207</v>
      </c>
      <c r="C21" s="411" t="s">
        <v>191</v>
      </c>
      <c r="D21" s="385" t="s">
        <v>394</v>
      </c>
      <c r="E21" s="398" t="str">
        <f t="shared" si="0"/>
        <v>Integridad_Pública_LA_FT_FPIntegridad_Pública_LA_FT_FPAfectación económica por consecuencias legales</v>
      </c>
      <c r="F21" s="398" t="str">
        <f t="shared" si="1"/>
        <v>Integridad_Pública_LA_FT_FPIntegridad_Pública_LA_FT_FP</v>
      </c>
      <c r="G21" s="398" t="s">
        <v>430</v>
      </c>
      <c r="H21" s="396" t="s">
        <v>279</v>
      </c>
      <c r="I21" s="396" t="s">
        <v>392</v>
      </c>
      <c r="J21" s="418" t="s">
        <v>435</v>
      </c>
      <c r="L21" s="431" t="s">
        <v>458</v>
      </c>
      <c r="M21" s="435">
        <f t="shared" si="5"/>
        <v>0</v>
      </c>
      <c r="N21" s="436">
        <f t="shared" si="2"/>
        <v>0</v>
      </c>
      <c r="O21" s="433">
        <f>'2 CONTEXTO E IDENTIFICACIÓN'!B28</f>
        <v>0</v>
      </c>
      <c r="P21" s="434">
        <f>'2 CONTEXTO E IDENTIFICACIÓN'!C28</f>
        <v>0</v>
      </c>
      <c r="Q21" s="434">
        <f>'2 CONTEXTO E IDENTIFICACIÓN'!F28</f>
        <v>0</v>
      </c>
      <c r="R21" s="434">
        <f>'2 CONTEXTO E IDENTIFICACIÓN'!H28</f>
        <v>0</v>
      </c>
      <c r="S21" s="434" t="str">
        <f>CONCATENATE(O21,Q21,R21)</f>
        <v>000</v>
      </c>
      <c r="T21" s="437" t="str">
        <f>CONCATENATE(O21,Q21)</f>
        <v>00</v>
      </c>
    </row>
    <row r="22" spans="1:20" ht="28.5" customHeight="1">
      <c r="A22" s="410" t="s">
        <v>191</v>
      </c>
      <c r="B22" s="411" t="s">
        <v>207</v>
      </c>
      <c r="C22" s="411" t="s">
        <v>191</v>
      </c>
      <c r="D22" s="385" t="s">
        <v>397</v>
      </c>
      <c r="E22" s="398" t="str">
        <f t="shared" si="0"/>
        <v>Integridad_Pública_LA_FT_FPIntegridad_Pública_LA_FT_FPAfectación económica operativa o de contagio</v>
      </c>
      <c r="F22" s="398" t="str">
        <f t="shared" si="1"/>
        <v>Integridad_Pública_LA_FT_FPIntegridad_Pública_LA_FT_FP</v>
      </c>
      <c r="G22" s="398" t="s">
        <v>430</v>
      </c>
      <c r="H22" s="396" t="s">
        <v>279</v>
      </c>
      <c r="I22" s="396" t="s">
        <v>392</v>
      </c>
      <c r="J22" s="418" t="s">
        <v>435</v>
      </c>
      <c r="L22"/>
    </row>
    <row r="23" spans="1:20" ht="28.5" customHeight="1">
      <c r="A23" s="410" t="s">
        <v>191</v>
      </c>
      <c r="B23" s="411" t="s">
        <v>207</v>
      </c>
      <c r="C23" s="411" t="s">
        <v>191</v>
      </c>
      <c r="D23" s="387" t="s">
        <v>396</v>
      </c>
      <c r="E23" s="400" t="str">
        <f t="shared" si="0"/>
        <v>Integridad_Pública_LA_FT_FPIntegridad_Pública_LA_FT_FPAfectación reputacional</v>
      </c>
      <c r="F23" s="400" t="str">
        <f t="shared" si="1"/>
        <v>Integridad_Pública_LA_FT_FPIntegridad_Pública_LA_FT_FP</v>
      </c>
      <c r="G23" s="400" t="s">
        <v>430</v>
      </c>
      <c r="H23" s="396" t="s">
        <v>417</v>
      </c>
      <c r="I23" s="396" t="s">
        <v>392</v>
      </c>
      <c r="J23" s="418" t="s">
        <v>407</v>
      </c>
      <c r="L23"/>
      <c r="O23" t="e">
        <f>VLOOKUP('H1'!$T4,'H1'!$F$1:$G$193,2,0)</f>
        <v>#N/A</v>
      </c>
    </row>
    <row r="24" spans="1:20" ht="28.5" customHeight="1">
      <c r="A24" s="410" t="s">
        <v>191</v>
      </c>
      <c r="B24" s="411" t="s">
        <v>207</v>
      </c>
      <c r="C24" s="411" t="s">
        <v>191</v>
      </c>
      <c r="D24" s="387" t="s">
        <v>391</v>
      </c>
      <c r="E24" s="400" t="str">
        <f t="shared" si="0"/>
        <v xml:space="preserve">Integridad_Pública_LA_FT_FPIntegridad_Pública_LA_FT_FPAfectación económica y reputacional por Corrupción </v>
      </c>
      <c r="F24" s="400" t="str">
        <f t="shared" si="1"/>
        <v>Integridad_Pública_LA_FT_FPIntegridad_Pública_LA_FT_FP</v>
      </c>
      <c r="G24" s="400" t="s">
        <v>430</v>
      </c>
      <c r="H24" s="396" t="s">
        <v>279</v>
      </c>
      <c r="I24" s="396" t="s">
        <v>392</v>
      </c>
      <c r="J24" s="418" t="s">
        <v>435</v>
      </c>
      <c r="L24" s="432"/>
    </row>
    <row r="25" spans="1:20" ht="30" customHeight="1">
      <c r="A25" s="410" t="s">
        <v>191</v>
      </c>
      <c r="B25" s="412" t="s">
        <v>416</v>
      </c>
      <c r="C25" s="412" t="s">
        <v>191</v>
      </c>
      <c r="D25" s="385" t="s">
        <v>395</v>
      </c>
      <c r="E25" s="398" t="str">
        <f t="shared" si="0"/>
        <v>Integridad_Pública_LA_FT_FPIntegridad_Pública_LA_FT_FPAfectación económica</v>
      </c>
      <c r="F25" s="398" t="str">
        <f t="shared" si="1"/>
        <v>Integridad_Pública_LA_FT_FPIntegridad_Pública_LA_FT_FP</v>
      </c>
      <c r="G25" s="398" t="s">
        <v>431</v>
      </c>
      <c r="H25" s="396" t="s">
        <v>279</v>
      </c>
      <c r="I25" s="396" t="s">
        <v>392</v>
      </c>
      <c r="J25" s="418" t="s">
        <v>435</v>
      </c>
      <c r="L25" s="432"/>
    </row>
    <row r="26" spans="1:20" ht="43.2">
      <c r="A26" s="410" t="s">
        <v>191</v>
      </c>
      <c r="B26" s="412" t="s">
        <v>416</v>
      </c>
      <c r="C26" s="412" t="s">
        <v>191</v>
      </c>
      <c r="D26" s="385" t="s">
        <v>394</v>
      </c>
      <c r="E26" s="398" t="str">
        <f t="shared" si="0"/>
        <v>Integridad_Pública_LA_FT_FPIntegridad_Pública_LA_FT_FPAfectación económica por consecuencias legales</v>
      </c>
      <c r="F26" s="398" t="str">
        <f t="shared" si="1"/>
        <v>Integridad_Pública_LA_FT_FPIntegridad_Pública_LA_FT_FP</v>
      </c>
      <c r="G26" s="398" t="s">
        <v>431</v>
      </c>
      <c r="H26" s="396" t="s">
        <v>279</v>
      </c>
      <c r="I26" s="396" t="s">
        <v>392</v>
      </c>
      <c r="J26" s="418" t="s">
        <v>435</v>
      </c>
      <c r="L26" s="432"/>
    </row>
    <row r="27" spans="1:20" ht="43.2">
      <c r="A27" s="410" t="s">
        <v>191</v>
      </c>
      <c r="B27" s="412" t="s">
        <v>416</v>
      </c>
      <c r="C27" s="412" t="s">
        <v>191</v>
      </c>
      <c r="D27" s="385" t="s">
        <v>397</v>
      </c>
      <c r="E27" s="398" t="str">
        <f t="shared" si="0"/>
        <v>Integridad_Pública_LA_FT_FPIntegridad_Pública_LA_FT_FPAfectación económica operativa o de contagio</v>
      </c>
      <c r="F27" s="398" t="str">
        <f t="shared" si="1"/>
        <v>Integridad_Pública_LA_FT_FPIntegridad_Pública_LA_FT_FP</v>
      </c>
      <c r="G27" s="398" t="s">
        <v>431</v>
      </c>
      <c r="H27" s="396" t="s">
        <v>279</v>
      </c>
      <c r="I27" s="396" t="s">
        <v>392</v>
      </c>
      <c r="J27" s="418" t="s">
        <v>435</v>
      </c>
      <c r="L27" s="432"/>
    </row>
    <row r="28" spans="1:20" ht="43.2">
      <c r="A28" s="410" t="s">
        <v>191</v>
      </c>
      <c r="B28" s="412" t="s">
        <v>416</v>
      </c>
      <c r="C28" s="412" t="s">
        <v>191</v>
      </c>
      <c r="D28" s="387" t="s">
        <v>396</v>
      </c>
      <c r="E28" s="400" t="str">
        <f t="shared" si="0"/>
        <v>Integridad_Pública_LA_FT_FPIntegridad_Pública_LA_FT_FPAfectación reputacional</v>
      </c>
      <c r="F28" s="400" t="str">
        <f t="shared" si="1"/>
        <v>Integridad_Pública_LA_FT_FPIntegridad_Pública_LA_FT_FP</v>
      </c>
      <c r="G28" s="400" t="s">
        <v>431</v>
      </c>
      <c r="H28" s="396" t="s">
        <v>417</v>
      </c>
      <c r="I28" s="396" t="s">
        <v>392</v>
      </c>
      <c r="J28" s="418" t="s">
        <v>407</v>
      </c>
      <c r="L28" s="432"/>
      <c r="R28" t="s">
        <v>314</v>
      </c>
    </row>
    <row r="29" spans="1:20" ht="43.2">
      <c r="A29" s="410" t="s">
        <v>191</v>
      </c>
      <c r="B29" s="412" t="s">
        <v>416</v>
      </c>
      <c r="C29" s="412" t="s">
        <v>191</v>
      </c>
      <c r="D29" s="387" t="s">
        <v>391</v>
      </c>
      <c r="E29" s="400" t="str">
        <f t="shared" si="0"/>
        <v xml:space="preserve">Integridad_Pública_LA_FT_FPIntegridad_Pública_LA_FT_FPAfectación económica y reputacional por Corrupción </v>
      </c>
      <c r="F29" s="400" t="str">
        <f t="shared" si="1"/>
        <v>Integridad_Pública_LA_FT_FPIntegridad_Pública_LA_FT_FP</v>
      </c>
      <c r="G29" s="400" t="s">
        <v>431</v>
      </c>
      <c r="H29" s="396" t="s">
        <v>279</v>
      </c>
      <c r="I29" s="396" t="s">
        <v>392</v>
      </c>
      <c r="J29" s="418" t="s">
        <v>435</v>
      </c>
      <c r="L29" s="432"/>
    </row>
    <row r="30" spans="1:20" ht="30" customHeight="1">
      <c r="A30" s="410" t="s">
        <v>191</v>
      </c>
      <c r="B30" s="411" t="s">
        <v>219</v>
      </c>
      <c r="C30" s="413" t="s">
        <v>191</v>
      </c>
      <c r="D30" s="385" t="s">
        <v>395</v>
      </c>
      <c r="E30" s="398" t="str">
        <f t="shared" si="0"/>
        <v>Integridad_Pública_LA_FT_FPIntegridad_Pública_LA_FT_FPAfectación económica</v>
      </c>
      <c r="F30" s="398" t="str">
        <f t="shared" si="1"/>
        <v>Integridad_Pública_LA_FT_FPIntegridad_Pública_LA_FT_FP</v>
      </c>
      <c r="G30" s="398" t="s">
        <v>432</v>
      </c>
      <c r="H30" s="396" t="s">
        <v>279</v>
      </c>
      <c r="I30" s="396" t="s">
        <v>392</v>
      </c>
      <c r="J30" s="418" t="s">
        <v>435</v>
      </c>
      <c r="L30" s="432"/>
    </row>
    <row r="31" spans="1:20" ht="30" customHeight="1">
      <c r="A31" s="410" t="s">
        <v>191</v>
      </c>
      <c r="B31" s="411" t="s">
        <v>219</v>
      </c>
      <c r="C31" s="413" t="s">
        <v>191</v>
      </c>
      <c r="D31" s="385" t="s">
        <v>394</v>
      </c>
      <c r="E31" s="398" t="str">
        <f t="shared" si="0"/>
        <v>Integridad_Pública_LA_FT_FPIntegridad_Pública_LA_FT_FPAfectación económica por consecuencias legales</v>
      </c>
      <c r="F31" s="398" t="str">
        <f t="shared" si="1"/>
        <v>Integridad_Pública_LA_FT_FPIntegridad_Pública_LA_FT_FP</v>
      </c>
      <c r="G31" s="398" t="s">
        <v>432</v>
      </c>
      <c r="H31" s="396" t="s">
        <v>279</v>
      </c>
      <c r="I31" s="396" t="s">
        <v>392</v>
      </c>
      <c r="J31" s="418" t="s">
        <v>435</v>
      </c>
      <c r="L31" s="432"/>
    </row>
    <row r="32" spans="1:20" ht="30" customHeight="1">
      <c r="A32" s="410" t="s">
        <v>191</v>
      </c>
      <c r="B32" s="411" t="s">
        <v>219</v>
      </c>
      <c r="C32" s="413" t="s">
        <v>191</v>
      </c>
      <c r="D32" s="385" t="s">
        <v>397</v>
      </c>
      <c r="E32" s="398" t="str">
        <f t="shared" si="0"/>
        <v>Integridad_Pública_LA_FT_FPIntegridad_Pública_LA_FT_FPAfectación económica operativa o de contagio</v>
      </c>
      <c r="F32" s="398" t="str">
        <f t="shared" si="1"/>
        <v>Integridad_Pública_LA_FT_FPIntegridad_Pública_LA_FT_FP</v>
      </c>
      <c r="G32" s="398" t="s">
        <v>432</v>
      </c>
      <c r="H32" s="396" t="s">
        <v>279</v>
      </c>
      <c r="I32" s="396" t="s">
        <v>392</v>
      </c>
      <c r="J32" s="418" t="s">
        <v>435</v>
      </c>
      <c r="L32" s="432"/>
    </row>
    <row r="33" spans="1:19" ht="30" customHeight="1">
      <c r="A33" s="410" t="s">
        <v>191</v>
      </c>
      <c r="B33" s="411" t="s">
        <v>219</v>
      </c>
      <c r="C33" s="413" t="s">
        <v>191</v>
      </c>
      <c r="D33" s="387" t="s">
        <v>396</v>
      </c>
      <c r="E33" s="400" t="str">
        <f t="shared" si="0"/>
        <v>Integridad_Pública_LA_FT_FPIntegridad_Pública_LA_FT_FPAfectación reputacional</v>
      </c>
      <c r="F33" s="400" t="str">
        <f t="shared" si="1"/>
        <v>Integridad_Pública_LA_FT_FPIntegridad_Pública_LA_FT_FP</v>
      </c>
      <c r="G33" s="400" t="s">
        <v>432</v>
      </c>
      <c r="H33" s="396" t="s">
        <v>417</v>
      </c>
      <c r="I33" s="396" t="s">
        <v>392</v>
      </c>
      <c r="J33" s="418" t="s">
        <v>407</v>
      </c>
      <c r="L33" s="432"/>
    </row>
    <row r="34" spans="1:19" ht="30" customHeight="1">
      <c r="A34" s="410" t="s">
        <v>191</v>
      </c>
      <c r="B34" s="411" t="s">
        <v>219</v>
      </c>
      <c r="C34" s="413" t="s">
        <v>191</v>
      </c>
      <c r="D34" s="387" t="s">
        <v>391</v>
      </c>
      <c r="E34" s="400" t="str">
        <f t="shared" si="0"/>
        <v xml:space="preserve">Integridad_Pública_LA_FT_FPIntegridad_Pública_LA_FT_FPAfectación económica y reputacional por Corrupción </v>
      </c>
      <c r="F34" s="400" t="str">
        <f t="shared" si="1"/>
        <v>Integridad_Pública_LA_FT_FPIntegridad_Pública_LA_FT_FP</v>
      </c>
      <c r="G34" s="400" t="s">
        <v>432</v>
      </c>
      <c r="H34" s="396" t="s">
        <v>279</v>
      </c>
      <c r="I34" s="396" t="s">
        <v>392</v>
      </c>
      <c r="J34" s="418" t="s">
        <v>435</v>
      </c>
      <c r="L34" s="432"/>
    </row>
    <row r="35" spans="1:19" ht="30" customHeight="1">
      <c r="A35" s="410" t="s">
        <v>191</v>
      </c>
      <c r="B35" s="412" t="s">
        <v>226</v>
      </c>
      <c r="C35" s="414" t="s">
        <v>191</v>
      </c>
      <c r="D35" s="385" t="s">
        <v>395</v>
      </c>
      <c r="E35" s="398" t="str">
        <f t="shared" si="0"/>
        <v>Integridad_Pública_LA_FT_FPIntegridad_Pública_LA_FT_FPAfectación económica</v>
      </c>
      <c r="F35" s="398" t="str">
        <f t="shared" si="1"/>
        <v>Integridad_Pública_LA_FT_FPIntegridad_Pública_LA_FT_FP</v>
      </c>
      <c r="G35" s="398" t="s">
        <v>433</v>
      </c>
      <c r="H35" s="396" t="s">
        <v>279</v>
      </c>
      <c r="I35" s="396" t="s">
        <v>392</v>
      </c>
      <c r="J35" s="418" t="s">
        <v>435</v>
      </c>
      <c r="L35" s="432"/>
    </row>
    <row r="36" spans="1:19" ht="30.6">
      <c r="A36" s="410" t="s">
        <v>191</v>
      </c>
      <c r="B36" s="412" t="s">
        <v>226</v>
      </c>
      <c r="C36" s="414" t="s">
        <v>191</v>
      </c>
      <c r="D36" s="385" t="s">
        <v>394</v>
      </c>
      <c r="E36" s="398" t="str">
        <f t="shared" si="0"/>
        <v>Integridad_Pública_LA_FT_FPIntegridad_Pública_LA_FT_FPAfectación económica por consecuencias legales</v>
      </c>
      <c r="F36" s="398" t="str">
        <f t="shared" si="1"/>
        <v>Integridad_Pública_LA_FT_FPIntegridad_Pública_LA_FT_FP</v>
      </c>
      <c r="G36" s="398" t="s">
        <v>433</v>
      </c>
      <c r="H36" s="396" t="s">
        <v>279</v>
      </c>
      <c r="I36" s="396" t="s">
        <v>392</v>
      </c>
      <c r="J36" s="418" t="s">
        <v>435</v>
      </c>
      <c r="L36" s="432"/>
      <c r="S36" t="s">
        <v>399</v>
      </c>
    </row>
    <row r="37" spans="1:19" ht="30.6">
      <c r="A37" s="410" t="s">
        <v>191</v>
      </c>
      <c r="B37" s="412" t="s">
        <v>226</v>
      </c>
      <c r="C37" s="414" t="s">
        <v>191</v>
      </c>
      <c r="D37" s="385" t="s">
        <v>397</v>
      </c>
      <c r="E37" s="398" t="str">
        <f t="shared" si="0"/>
        <v>Integridad_Pública_LA_FT_FPIntegridad_Pública_LA_FT_FPAfectación económica operativa o de contagio</v>
      </c>
      <c r="F37" s="398" t="str">
        <f t="shared" si="1"/>
        <v>Integridad_Pública_LA_FT_FPIntegridad_Pública_LA_FT_FP</v>
      </c>
      <c r="G37" s="398" t="s">
        <v>433</v>
      </c>
      <c r="H37" s="396" t="s">
        <v>279</v>
      </c>
      <c r="I37" s="396" t="s">
        <v>392</v>
      </c>
      <c r="J37" s="418" t="s">
        <v>435</v>
      </c>
      <c r="L37" s="432"/>
    </row>
    <row r="38" spans="1:19" ht="30" customHeight="1">
      <c r="A38" s="410" t="s">
        <v>191</v>
      </c>
      <c r="B38" s="412" t="s">
        <v>226</v>
      </c>
      <c r="C38" s="414" t="s">
        <v>191</v>
      </c>
      <c r="D38" s="387" t="s">
        <v>396</v>
      </c>
      <c r="E38" s="400" t="str">
        <f t="shared" si="0"/>
        <v>Integridad_Pública_LA_FT_FPIntegridad_Pública_LA_FT_FPAfectación reputacional</v>
      </c>
      <c r="F38" s="400" t="str">
        <f t="shared" si="1"/>
        <v>Integridad_Pública_LA_FT_FPIntegridad_Pública_LA_FT_FP</v>
      </c>
      <c r="G38" s="400" t="s">
        <v>433</v>
      </c>
      <c r="H38" s="396" t="s">
        <v>417</v>
      </c>
      <c r="I38" s="396" t="s">
        <v>392</v>
      </c>
      <c r="J38" s="418" t="s">
        <v>407</v>
      </c>
      <c r="L38" s="432"/>
    </row>
    <row r="39" spans="1:19" ht="30.6">
      <c r="A39" s="410" t="s">
        <v>191</v>
      </c>
      <c r="B39" s="412" t="s">
        <v>226</v>
      </c>
      <c r="C39" s="412" t="s">
        <v>191</v>
      </c>
      <c r="D39" s="387" t="s">
        <v>391</v>
      </c>
      <c r="E39" s="400" t="str">
        <f t="shared" si="0"/>
        <v xml:space="preserve">Integridad_Pública_LA_FT_FPIntegridad_Pública_LA_FT_FPAfectación económica y reputacional por Corrupción </v>
      </c>
      <c r="F39" s="400" t="str">
        <f t="shared" si="1"/>
        <v>Integridad_Pública_LA_FT_FPIntegridad_Pública_LA_FT_FP</v>
      </c>
      <c r="G39" s="400" t="s">
        <v>433</v>
      </c>
      <c r="H39" s="396" t="s">
        <v>279</v>
      </c>
      <c r="I39" s="396" t="s">
        <v>392</v>
      </c>
      <c r="J39" s="418" t="s">
        <v>435</v>
      </c>
      <c r="L39" s="432"/>
    </row>
    <row r="40" spans="1:19" ht="28.8">
      <c r="A40" s="429" t="s">
        <v>202</v>
      </c>
      <c r="B40" s="442" t="s">
        <v>206</v>
      </c>
      <c r="C40" s="438" t="s">
        <v>184</v>
      </c>
      <c r="D40" s="429" t="s">
        <v>192</v>
      </c>
      <c r="E40" s="400" t="str">
        <f t="shared" si="0"/>
        <v>Ejecución_administración_de_procesosGestiónPosibilidad de afectación económica</v>
      </c>
      <c r="F40" s="400" t="str">
        <f t="shared" si="1"/>
        <v>Ejecución_administración_de_procesosGestión</v>
      </c>
      <c r="G40" s="400" t="s">
        <v>184</v>
      </c>
      <c r="H40" s="439" t="s">
        <v>279</v>
      </c>
      <c r="I40" s="440" t="s">
        <v>417</v>
      </c>
      <c r="J40" s="441" t="s">
        <v>436</v>
      </c>
      <c r="L40" s="432"/>
      <c r="O40" t="b">
        <f>EXACT(M40,$T$2)</f>
        <v>0</v>
      </c>
    </row>
    <row r="41" spans="1:19" ht="28.8">
      <c r="A41" s="429" t="s">
        <v>202</v>
      </c>
      <c r="B41" s="442" t="s">
        <v>206</v>
      </c>
      <c r="C41" s="438" t="s">
        <v>184</v>
      </c>
      <c r="D41" s="429" t="s">
        <v>195</v>
      </c>
      <c r="E41" s="400" t="str">
        <f t="shared" si="0"/>
        <v>Ejecución_administración_de_procesosGestiónPosibilidad de afectación reputacional</v>
      </c>
      <c r="F41" s="400" t="str">
        <f t="shared" si="1"/>
        <v>Ejecución_administración_de_procesosGestión</v>
      </c>
      <c r="G41" s="400" t="s">
        <v>184</v>
      </c>
      <c r="H41" s="422" t="s">
        <v>417</v>
      </c>
      <c r="I41" s="421" t="s">
        <v>438</v>
      </c>
      <c r="J41" s="418" t="s">
        <v>436</v>
      </c>
      <c r="L41" s="432"/>
      <c r="O41" t="b">
        <f t="shared" ref="O41:O42" si="12">EXACT(M41,$T$2)</f>
        <v>0</v>
      </c>
    </row>
    <row r="42" spans="1:19" ht="28.8">
      <c r="A42" s="429" t="s">
        <v>202</v>
      </c>
      <c r="B42" s="442" t="s">
        <v>206</v>
      </c>
      <c r="C42" s="438" t="s">
        <v>184</v>
      </c>
      <c r="D42" s="429" t="s">
        <v>197</v>
      </c>
      <c r="E42" s="400" t="str">
        <f t="shared" si="0"/>
        <v>Ejecución_administración_de_procesosGestiónPosibilidad de afectación económica y reputacional</v>
      </c>
      <c r="F42" s="400" t="str">
        <f t="shared" si="1"/>
        <v>Ejecución_administración_de_procesosGestión</v>
      </c>
      <c r="G42" s="400" t="s">
        <v>184</v>
      </c>
      <c r="H42" s="422" t="s">
        <v>279</v>
      </c>
      <c r="I42" s="421" t="s">
        <v>438</v>
      </c>
      <c r="J42" s="418" t="s">
        <v>437</v>
      </c>
      <c r="L42" s="432"/>
      <c r="O42" t="b">
        <f t="shared" si="12"/>
        <v>0</v>
      </c>
    </row>
    <row r="43" spans="1:19" ht="28.8">
      <c r="A43" s="420" t="s">
        <v>202</v>
      </c>
      <c r="B43" s="310" t="s">
        <v>206</v>
      </c>
      <c r="C43" s="310" t="s">
        <v>112</v>
      </c>
      <c r="D43" s="420" t="s">
        <v>193</v>
      </c>
      <c r="E43" s="400" t="str">
        <f t="shared" si="0"/>
        <v>Ejecución_administración_de_procesosFiscalPosibilidad  de efecto dañoso sobre el recurso público</v>
      </c>
      <c r="F43" s="400" t="str">
        <f t="shared" si="1"/>
        <v>Ejecución_administración_de_procesosFiscal</v>
      </c>
      <c r="G43" s="400" t="s">
        <v>112</v>
      </c>
      <c r="H43" s="422" t="s">
        <v>279</v>
      </c>
      <c r="I43" s="421" t="s">
        <v>392</v>
      </c>
      <c r="J43" s="418" t="s">
        <v>435</v>
      </c>
      <c r="L43" s="432"/>
    </row>
    <row r="44" spans="1:19" ht="30.6">
      <c r="A44" s="420" t="s">
        <v>202</v>
      </c>
      <c r="B44" s="310" t="s">
        <v>206</v>
      </c>
      <c r="C44" s="310" t="s">
        <v>112</v>
      </c>
      <c r="D44" s="420" t="s">
        <v>113</v>
      </c>
      <c r="E44" s="400" t="str">
        <f t="shared" si="0"/>
        <v>Ejecución_administración_de_procesosFiscalPosibilidad  de efecto dañoso sobre bienes de uso público</v>
      </c>
      <c r="F44" s="400" t="str">
        <f t="shared" si="1"/>
        <v>Ejecución_administración_de_procesosFiscal</v>
      </c>
      <c r="G44" s="400" t="s">
        <v>112</v>
      </c>
      <c r="H44" s="422" t="s">
        <v>279</v>
      </c>
      <c r="I44" s="421" t="s">
        <v>392</v>
      </c>
      <c r="J44" s="418" t="s">
        <v>435</v>
      </c>
      <c r="L44" s="432"/>
    </row>
    <row r="45" spans="1:19" ht="28.8">
      <c r="A45" s="420" t="s">
        <v>202</v>
      </c>
      <c r="B45" s="310" t="s">
        <v>206</v>
      </c>
      <c r="C45" s="310" t="s">
        <v>112</v>
      </c>
      <c r="D45" s="420" t="s">
        <v>198</v>
      </c>
      <c r="E45" s="400" t="str">
        <f t="shared" si="0"/>
        <v>Ejecución_administración_de_procesosFiscalPosibilidad  de efecto dañoso sobre bienes de uso fiscal</v>
      </c>
      <c r="F45" s="400" t="str">
        <f t="shared" si="1"/>
        <v>Ejecución_administración_de_procesosFiscal</v>
      </c>
      <c r="G45" s="400" t="s">
        <v>112</v>
      </c>
      <c r="H45" s="422" t="s">
        <v>279</v>
      </c>
      <c r="I45" s="421" t="s">
        <v>392</v>
      </c>
      <c r="J45" s="418" t="s">
        <v>435</v>
      </c>
      <c r="L45" s="432"/>
    </row>
    <row r="46" spans="1:19" ht="30.6">
      <c r="A46" s="420" t="s">
        <v>202</v>
      </c>
      <c r="B46" s="310" t="s">
        <v>206</v>
      </c>
      <c r="C46" s="310" t="s">
        <v>112</v>
      </c>
      <c r="D46" s="420" t="s">
        <v>200</v>
      </c>
      <c r="E46" s="400" t="str">
        <f t="shared" si="0"/>
        <v>Ejecución_administración_de_procesosFiscalPosibilidad  de efecto dañoso sobre el interes patrimonial</v>
      </c>
      <c r="F46" s="400" t="str">
        <f t="shared" si="1"/>
        <v>Ejecución_administración_de_procesosFiscal</v>
      </c>
      <c r="G46" s="400" t="s">
        <v>112</v>
      </c>
      <c r="H46" s="422" t="s">
        <v>279</v>
      </c>
      <c r="I46" s="421" t="s">
        <v>392</v>
      </c>
      <c r="J46" s="418" t="s">
        <v>435</v>
      </c>
      <c r="L46" s="432"/>
    </row>
    <row r="47" spans="1:19" ht="28.8">
      <c r="A47" s="429" t="s">
        <v>202</v>
      </c>
      <c r="B47" s="438" t="s">
        <v>213</v>
      </c>
      <c r="C47" s="438" t="s">
        <v>184</v>
      </c>
      <c r="D47" s="429" t="s">
        <v>192</v>
      </c>
      <c r="E47" s="400" t="str">
        <f t="shared" si="0"/>
        <v>Ejecución_administración_de_procesosGestiónPosibilidad de afectación económica</v>
      </c>
      <c r="F47" s="400" t="str">
        <f t="shared" si="1"/>
        <v>Ejecución_administración_de_procesosGestión</v>
      </c>
      <c r="G47" s="400" t="s">
        <v>184</v>
      </c>
      <c r="H47" s="439" t="s">
        <v>279</v>
      </c>
      <c r="I47" s="440" t="s">
        <v>417</v>
      </c>
      <c r="J47" s="441" t="s">
        <v>436</v>
      </c>
      <c r="L47" s="432"/>
    </row>
    <row r="48" spans="1:19" ht="28.8">
      <c r="A48" s="429" t="s">
        <v>202</v>
      </c>
      <c r="B48" s="438" t="s">
        <v>213</v>
      </c>
      <c r="C48" s="438" t="s">
        <v>184</v>
      </c>
      <c r="D48" s="429" t="s">
        <v>195</v>
      </c>
      <c r="E48" s="400" t="str">
        <f t="shared" si="0"/>
        <v>Ejecución_administración_de_procesosGestiónPosibilidad de afectación reputacional</v>
      </c>
      <c r="F48" s="400" t="str">
        <f t="shared" si="1"/>
        <v>Ejecución_administración_de_procesosGestión</v>
      </c>
      <c r="G48" s="400" t="s">
        <v>184</v>
      </c>
      <c r="H48" s="422" t="s">
        <v>417</v>
      </c>
      <c r="I48" s="421" t="s">
        <v>438</v>
      </c>
      <c r="J48" s="418" t="s">
        <v>436</v>
      </c>
      <c r="L48" s="432"/>
    </row>
    <row r="49" spans="1:12" ht="28.8">
      <c r="A49" s="429" t="s">
        <v>202</v>
      </c>
      <c r="B49" s="438" t="s">
        <v>213</v>
      </c>
      <c r="C49" s="438" t="s">
        <v>184</v>
      </c>
      <c r="D49" s="429" t="s">
        <v>197</v>
      </c>
      <c r="E49" s="400" t="str">
        <f t="shared" si="0"/>
        <v>Ejecución_administración_de_procesosGestiónPosibilidad de afectación económica y reputacional</v>
      </c>
      <c r="F49" s="400" t="str">
        <f t="shared" si="1"/>
        <v>Ejecución_administración_de_procesosGestión</v>
      </c>
      <c r="G49" s="400" t="s">
        <v>184</v>
      </c>
      <c r="H49" s="422" t="s">
        <v>279</v>
      </c>
      <c r="I49" s="421" t="s">
        <v>438</v>
      </c>
      <c r="J49" s="418" t="s">
        <v>437</v>
      </c>
      <c r="L49" s="432"/>
    </row>
    <row r="50" spans="1:12" ht="28.8">
      <c r="A50" s="420" t="s">
        <v>202</v>
      </c>
      <c r="B50" s="310" t="s">
        <v>213</v>
      </c>
      <c r="C50" s="310" t="s">
        <v>112</v>
      </c>
      <c r="D50" s="420" t="s">
        <v>193</v>
      </c>
      <c r="E50" s="400" t="str">
        <f t="shared" si="0"/>
        <v>Ejecución_administración_de_procesosFiscalPosibilidad  de efecto dañoso sobre el recurso público</v>
      </c>
      <c r="F50" s="400" t="str">
        <f t="shared" si="1"/>
        <v>Ejecución_administración_de_procesosFiscal</v>
      </c>
      <c r="G50" s="400" t="s">
        <v>112</v>
      </c>
      <c r="H50" s="422" t="s">
        <v>279</v>
      </c>
      <c r="I50" s="421" t="s">
        <v>392</v>
      </c>
      <c r="J50" s="418" t="s">
        <v>435</v>
      </c>
      <c r="L50" s="432"/>
    </row>
    <row r="51" spans="1:12" ht="30.6">
      <c r="A51" s="420" t="s">
        <v>202</v>
      </c>
      <c r="B51" s="310" t="s">
        <v>213</v>
      </c>
      <c r="C51" s="310" t="s">
        <v>112</v>
      </c>
      <c r="D51" s="420" t="s">
        <v>113</v>
      </c>
      <c r="E51" s="400" t="str">
        <f t="shared" si="0"/>
        <v>Ejecución_administración_de_procesosFiscalPosibilidad  de efecto dañoso sobre bienes de uso público</v>
      </c>
      <c r="F51" s="400" t="str">
        <f t="shared" si="1"/>
        <v>Ejecución_administración_de_procesosFiscal</v>
      </c>
      <c r="G51" s="400" t="s">
        <v>112</v>
      </c>
      <c r="H51" s="422" t="s">
        <v>279</v>
      </c>
      <c r="I51" s="421" t="s">
        <v>392</v>
      </c>
      <c r="J51" s="418" t="s">
        <v>435</v>
      </c>
      <c r="L51" s="432"/>
    </row>
    <row r="52" spans="1:12" ht="28.8">
      <c r="A52" s="420" t="s">
        <v>202</v>
      </c>
      <c r="B52" s="310" t="s">
        <v>213</v>
      </c>
      <c r="C52" s="310" t="s">
        <v>112</v>
      </c>
      <c r="D52" s="420" t="s">
        <v>198</v>
      </c>
      <c r="E52" s="400" t="str">
        <f t="shared" si="0"/>
        <v>Ejecución_administración_de_procesosFiscalPosibilidad  de efecto dañoso sobre bienes de uso fiscal</v>
      </c>
      <c r="F52" s="400" t="str">
        <f t="shared" si="1"/>
        <v>Ejecución_administración_de_procesosFiscal</v>
      </c>
      <c r="G52" s="400" t="s">
        <v>112</v>
      </c>
      <c r="H52" s="422" t="s">
        <v>279</v>
      </c>
      <c r="I52" s="421" t="s">
        <v>392</v>
      </c>
      <c r="J52" s="418" t="s">
        <v>435</v>
      </c>
      <c r="L52" s="432"/>
    </row>
    <row r="53" spans="1:12" ht="30.6">
      <c r="A53" s="420" t="s">
        <v>202</v>
      </c>
      <c r="B53" s="310" t="s">
        <v>213</v>
      </c>
      <c r="C53" s="310" t="s">
        <v>112</v>
      </c>
      <c r="D53" s="420" t="s">
        <v>200</v>
      </c>
      <c r="E53" s="400" t="str">
        <f t="shared" si="0"/>
        <v>Ejecución_administración_de_procesosFiscalPosibilidad  de efecto dañoso sobre el interes patrimonial</v>
      </c>
      <c r="F53" s="400" t="str">
        <f t="shared" si="1"/>
        <v>Ejecución_administración_de_procesosFiscal</v>
      </c>
      <c r="G53" s="400" t="s">
        <v>112</v>
      </c>
      <c r="H53" s="422" t="s">
        <v>279</v>
      </c>
      <c r="I53" s="421" t="s">
        <v>392</v>
      </c>
      <c r="J53" s="418" t="s">
        <v>435</v>
      </c>
      <c r="L53" s="432"/>
    </row>
    <row r="54" spans="1:12" ht="28.8">
      <c r="A54" s="429" t="s">
        <v>202</v>
      </c>
      <c r="B54" s="438" t="s">
        <v>218</v>
      </c>
      <c r="C54" s="438" t="s">
        <v>184</v>
      </c>
      <c r="D54" s="429" t="s">
        <v>192</v>
      </c>
      <c r="E54" s="400" t="str">
        <f t="shared" si="0"/>
        <v>Ejecución_administración_de_procesosGestiónPosibilidad de afectación económica</v>
      </c>
      <c r="F54" s="400" t="str">
        <f t="shared" si="1"/>
        <v>Ejecución_administración_de_procesosGestión</v>
      </c>
      <c r="G54" s="400" t="s">
        <v>184</v>
      </c>
      <c r="H54" s="439" t="s">
        <v>279</v>
      </c>
      <c r="I54" s="440" t="s">
        <v>417</v>
      </c>
      <c r="J54" s="441" t="s">
        <v>436</v>
      </c>
      <c r="L54" s="432"/>
    </row>
    <row r="55" spans="1:12" ht="28.8">
      <c r="A55" s="429" t="s">
        <v>202</v>
      </c>
      <c r="B55" s="438" t="s">
        <v>218</v>
      </c>
      <c r="C55" s="438" t="s">
        <v>184</v>
      </c>
      <c r="D55" s="429" t="s">
        <v>195</v>
      </c>
      <c r="E55" s="400" t="str">
        <f t="shared" si="0"/>
        <v>Ejecución_administración_de_procesosGestiónPosibilidad de afectación reputacional</v>
      </c>
      <c r="F55" s="400" t="str">
        <f t="shared" si="1"/>
        <v>Ejecución_administración_de_procesosGestión</v>
      </c>
      <c r="G55" s="400" t="s">
        <v>184</v>
      </c>
      <c r="H55" s="422" t="s">
        <v>417</v>
      </c>
      <c r="I55" s="421" t="s">
        <v>438</v>
      </c>
      <c r="J55" s="418" t="s">
        <v>436</v>
      </c>
      <c r="L55" s="432"/>
    </row>
    <row r="56" spans="1:12" ht="28.8">
      <c r="A56" s="429" t="s">
        <v>202</v>
      </c>
      <c r="B56" s="438" t="s">
        <v>218</v>
      </c>
      <c r="C56" s="438" t="s">
        <v>184</v>
      </c>
      <c r="D56" s="429" t="s">
        <v>197</v>
      </c>
      <c r="E56" s="400" t="str">
        <f t="shared" si="0"/>
        <v>Ejecución_administración_de_procesosGestiónPosibilidad de afectación económica y reputacional</v>
      </c>
      <c r="F56" s="400" t="str">
        <f t="shared" si="1"/>
        <v>Ejecución_administración_de_procesosGestión</v>
      </c>
      <c r="G56" s="400" t="s">
        <v>184</v>
      </c>
      <c r="H56" s="422" t="s">
        <v>279</v>
      </c>
      <c r="I56" s="421" t="s">
        <v>438</v>
      </c>
      <c r="J56" s="418" t="s">
        <v>437</v>
      </c>
      <c r="L56" s="432"/>
    </row>
    <row r="57" spans="1:12" ht="28.8">
      <c r="A57" s="420" t="s">
        <v>202</v>
      </c>
      <c r="B57" s="310" t="s">
        <v>218</v>
      </c>
      <c r="C57" s="310" t="s">
        <v>112</v>
      </c>
      <c r="D57" s="420" t="s">
        <v>193</v>
      </c>
      <c r="E57" s="400" t="str">
        <f t="shared" si="0"/>
        <v>Ejecución_administración_de_procesosFiscalPosibilidad  de efecto dañoso sobre el recurso público</v>
      </c>
      <c r="F57" s="400" t="str">
        <f t="shared" si="1"/>
        <v>Ejecución_administración_de_procesosFiscal</v>
      </c>
      <c r="G57" s="400" t="s">
        <v>112</v>
      </c>
      <c r="H57" s="422" t="s">
        <v>279</v>
      </c>
      <c r="I57" s="421" t="s">
        <v>392</v>
      </c>
      <c r="J57" s="418" t="s">
        <v>435</v>
      </c>
      <c r="L57" s="432"/>
    </row>
    <row r="58" spans="1:12" ht="30.6">
      <c r="A58" s="420" t="s">
        <v>202</v>
      </c>
      <c r="B58" s="310" t="s">
        <v>218</v>
      </c>
      <c r="C58" s="310" t="s">
        <v>112</v>
      </c>
      <c r="D58" s="420" t="s">
        <v>113</v>
      </c>
      <c r="E58" s="400" t="str">
        <f t="shared" si="0"/>
        <v>Ejecución_administración_de_procesosFiscalPosibilidad  de efecto dañoso sobre bienes de uso público</v>
      </c>
      <c r="F58" s="400" t="str">
        <f t="shared" si="1"/>
        <v>Ejecución_administración_de_procesosFiscal</v>
      </c>
      <c r="G58" s="400" t="s">
        <v>112</v>
      </c>
      <c r="H58" s="422" t="s">
        <v>279</v>
      </c>
      <c r="I58" s="421" t="s">
        <v>392</v>
      </c>
      <c r="J58" s="418" t="s">
        <v>435</v>
      </c>
      <c r="L58" s="432"/>
    </row>
    <row r="59" spans="1:12" ht="28.8">
      <c r="A59" s="420" t="s">
        <v>202</v>
      </c>
      <c r="B59" s="310" t="s">
        <v>218</v>
      </c>
      <c r="C59" s="310" t="s">
        <v>112</v>
      </c>
      <c r="D59" s="420" t="s">
        <v>198</v>
      </c>
      <c r="E59" s="400" t="str">
        <f t="shared" si="0"/>
        <v>Ejecución_administración_de_procesosFiscalPosibilidad  de efecto dañoso sobre bienes de uso fiscal</v>
      </c>
      <c r="F59" s="400" t="str">
        <f t="shared" si="1"/>
        <v>Ejecución_administración_de_procesosFiscal</v>
      </c>
      <c r="G59" s="400" t="s">
        <v>112</v>
      </c>
      <c r="H59" s="422" t="s">
        <v>279</v>
      </c>
      <c r="I59" s="421" t="s">
        <v>392</v>
      </c>
      <c r="J59" s="418" t="s">
        <v>435</v>
      </c>
      <c r="L59" s="432"/>
    </row>
    <row r="60" spans="1:12" ht="30.6">
      <c r="A60" s="420" t="s">
        <v>202</v>
      </c>
      <c r="B60" s="310" t="s">
        <v>218</v>
      </c>
      <c r="C60" s="310" t="s">
        <v>112</v>
      </c>
      <c r="D60" s="420" t="s">
        <v>200</v>
      </c>
      <c r="E60" s="400" t="str">
        <f t="shared" si="0"/>
        <v>Ejecución_administración_de_procesosFiscalPosibilidad  de efecto dañoso sobre el interes patrimonial</v>
      </c>
      <c r="F60" s="400" t="str">
        <f t="shared" si="1"/>
        <v>Ejecución_administración_de_procesosFiscal</v>
      </c>
      <c r="G60" s="400" t="s">
        <v>112</v>
      </c>
      <c r="H60" s="422" t="s">
        <v>279</v>
      </c>
      <c r="I60" s="421" t="s">
        <v>392</v>
      </c>
      <c r="J60" s="418" t="s">
        <v>435</v>
      </c>
      <c r="L60" s="432"/>
    </row>
    <row r="61" spans="1:12" ht="41.4">
      <c r="A61" s="429" t="s">
        <v>202</v>
      </c>
      <c r="B61" s="438" t="s">
        <v>225</v>
      </c>
      <c r="C61" s="438" t="s">
        <v>184</v>
      </c>
      <c r="D61" s="429" t="s">
        <v>192</v>
      </c>
      <c r="E61" s="400" t="str">
        <f t="shared" si="0"/>
        <v>Ejecución_administración_de_procesosGestiónPosibilidad de afectación económica</v>
      </c>
      <c r="F61" s="400" t="str">
        <f t="shared" si="1"/>
        <v>Ejecución_administración_de_procesosGestión</v>
      </c>
      <c r="G61" s="400" t="s">
        <v>184</v>
      </c>
      <c r="H61" s="439" t="s">
        <v>279</v>
      </c>
      <c r="I61" s="440" t="s">
        <v>417</v>
      </c>
      <c r="J61" s="441" t="s">
        <v>436</v>
      </c>
      <c r="L61" s="432"/>
    </row>
    <row r="62" spans="1:12" ht="41.4">
      <c r="A62" s="429" t="s">
        <v>202</v>
      </c>
      <c r="B62" s="438" t="s">
        <v>225</v>
      </c>
      <c r="C62" s="438" t="s">
        <v>184</v>
      </c>
      <c r="D62" s="429" t="s">
        <v>195</v>
      </c>
      <c r="E62" s="400" t="str">
        <f t="shared" si="0"/>
        <v>Ejecución_administración_de_procesosGestiónPosibilidad de afectación reputacional</v>
      </c>
      <c r="F62" s="400" t="str">
        <f t="shared" si="1"/>
        <v>Ejecución_administración_de_procesosGestión</v>
      </c>
      <c r="G62" s="400" t="s">
        <v>184</v>
      </c>
      <c r="H62" s="422" t="s">
        <v>417</v>
      </c>
      <c r="I62" s="421" t="s">
        <v>438</v>
      </c>
      <c r="J62" s="418" t="s">
        <v>436</v>
      </c>
      <c r="L62" s="432"/>
    </row>
    <row r="63" spans="1:12" ht="41.4">
      <c r="A63" s="429" t="s">
        <v>202</v>
      </c>
      <c r="B63" s="438" t="s">
        <v>225</v>
      </c>
      <c r="C63" s="438" t="s">
        <v>184</v>
      </c>
      <c r="D63" s="429" t="s">
        <v>197</v>
      </c>
      <c r="E63" s="400" t="str">
        <f t="shared" si="0"/>
        <v>Ejecución_administración_de_procesosGestiónPosibilidad de afectación económica y reputacional</v>
      </c>
      <c r="F63" s="400" t="str">
        <f t="shared" si="1"/>
        <v>Ejecución_administración_de_procesosGestión</v>
      </c>
      <c r="G63" s="400" t="s">
        <v>184</v>
      </c>
      <c r="H63" s="422" t="s">
        <v>279</v>
      </c>
      <c r="I63" s="421" t="s">
        <v>438</v>
      </c>
      <c r="J63" s="418" t="s">
        <v>437</v>
      </c>
      <c r="L63" s="432"/>
    </row>
    <row r="64" spans="1:12" ht="41.4">
      <c r="A64" s="420" t="s">
        <v>202</v>
      </c>
      <c r="B64" s="310" t="s">
        <v>225</v>
      </c>
      <c r="C64" s="310" t="s">
        <v>112</v>
      </c>
      <c r="D64" s="420" t="s">
        <v>193</v>
      </c>
      <c r="E64" s="400" t="str">
        <f t="shared" si="0"/>
        <v>Ejecución_administración_de_procesosFiscalPosibilidad  de efecto dañoso sobre el recurso público</v>
      </c>
      <c r="F64" s="400" t="str">
        <f t="shared" si="1"/>
        <v>Ejecución_administración_de_procesosFiscal</v>
      </c>
      <c r="G64" s="400" t="s">
        <v>112</v>
      </c>
      <c r="H64" s="422" t="s">
        <v>279</v>
      </c>
      <c r="I64" s="421" t="s">
        <v>392</v>
      </c>
      <c r="J64" s="418" t="s">
        <v>435</v>
      </c>
      <c r="L64" s="432"/>
    </row>
    <row r="65" spans="1:12" ht="41.4">
      <c r="A65" s="420" t="s">
        <v>202</v>
      </c>
      <c r="B65" s="310" t="s">
        <v>225</v>
      </c>
      <c r="C65" s="310" t="s">
        <v>112</v>
      </c>
      <c r="D65" s="420" t="s">
        <v>113</v>
      </c>
      <c r="E65" s="400" t="str">
        <f t="shared" si="0"/>
        <v>Ejecución_administración_de_procesosFiscalPosibilidad  de efecto dañoso sobre bienes de uso público</v>
      </c>
      <c r="F65" s="400" t="str">
        <f t="shared" si="1"/>
        <v>Ejecución_administración_de_procesosFiscal</v>
      </c>
      <c r="G65" s="400" t="s">
        <v>112</v>
      </c>
      <c r="H65" s="422" t="s">
        <v>279</v>
      </c>
      <c r="I65" s="421" t="s">
        <v>392</v>
      </c>
      <c r="J65" s="418" t="s">
        <v>435</v>
      </c>
      <c r="L65" s="432"/>
    </row>
    <row r="66" spans="1:12" ht="41.4">
      <c r="A66" s="420" t="s">
        <v>202</v>
      </c>
      <c r="B66" s="310" t="s">
        <v>225</v>
      </c>
      <c r="C66" s="310" t="s">
        <v>112</v>
      </c>
      <c r="D66" s="420" t="s">
        <v>198</v>
      </c>
      <c r="E66" s="400" t="str">
        <f t="shared" si="0"/>
        <v>Ejecución_administración_de_procesosFiscalPosibilidad  de efecto dañoso sobre bienes de uso fiscal</v>
      </c>
      <c r="F66" s="400" t="str">
        <f t="shared" si="1"/>
        <v>Ejecución_administración_de_procesosFiscal</v>
      </c>
      <c r="G66" s="400" t="s">
        <v>112</v>
      </c>
      <c r="H66" s="422" t="s">
        <v>279</v>
      </c>
      <c r="I66" s="421" t="s">
        <v>392</v>
      </c>
      <c r="J66" s="418" t="s">
        <v>435</v>
      </c>
      <c r="L66" s="432"/>
    </row>
    <row r="67" spans="1:12" ht="41.4">
      <c r="A67" s="420" t="s">
        <v>202</v>
      </c>
      <c r="B67" s="310" t="s">
        <v>225</v>
      </c>
      <c r="C67" s="310" t="s">
        <v>112</v>
      </c>
      <c r="D67" s="420" t="s">
        <v>200</v>
      </c>
      <c r="E67" s="400" t="str">
        <f t="shared" ref="E67:E130" si="13">CONCATENATE(A67,C67,D67)</f>
        <v>Ejecución_administración_de_procesosFiscalPosibilidad  de efecto dañoso sobre el interes patrimonial</v>
      </c>
      <c r="F67" s="400" t="str">
        <f t="shared" ref="F67:F130" si="14">CONCATENATE(A67,C67)</f>
        <v>Ejecución_administración_de_procesosFiscal</v>
      </c>
      <c r="G67" s="400" t="s">
        <v>112</v>
      </c>
      <c r="H67" s="422" t="s">
        <v>279</v>
      </c>
      <c r="I67" s="421" t="s">
        <v>392</v>
      </c>
      <c r="J67" s="418" t="s">
        <v>435</v>
      </c>
      <c r="L67" s="432"/>
    </row>
    <row r="68" spans="1:12" ht="28.8">
      <c r="A68" s="429" t="s">
        <v>202</v>
      </c>
      <c r="B68" s="438" t="s">
        <v>232</v>
      </c>
      <c r="C68" s="438" t="s">
        <v>184</v>
      </c>
      <c r="D68" s="429" t="s">
        <v>192</v>
      </c>
      <c r="E68" s="400" t="str">
        <f t="shared" si="13"/>
        <v>Ejecución_administración_de_procesosGestiónPosibilidad de afectación económica</v>
      </c>
      <c r="F68" s="400" t="str">
        <f t="shared" si="14"/>
        <v>Ejecución_administración_de_procesosGestión</v>
      </c>
      <c r="G68" s="400" t="s">
        <v>184</v>
      </c>
      <c r="H68" s="439" t="s">
        <v>279</v>
      </c>
      <c r="I68" s="440" t="s">
        <v>417</v>
      </c>
      <c r="J68" s="441" t="s">
        <v>436</v>
      </c>
      <c r="L68" s="432"/>
    </row>
    <row r="69" spans="1:12" ht="28.8">
      <c r="A69" s="429" t="s">
        <v>202</v>
      </c>
      <c r="B69" s="438" t="s">
        <v>232</v>
      </c>
      <c r="C69" s="438" t="s">
        <v>184</v>
      </c>
      <c r="D69" s="429" t="s">
        <v>195</v>
      </c>
      <c r="E69" s="400" t="str">
        <f t="shared" si="13"/>
        <v>Ejecución_administración_de_procesosGestiónPosibilidad de afectación reputacional</v>
      </c>
      <c r="F69" s="400" t="str">
        <f t="shared" si="14"/>
        <v>Ejecución_administración_de_procesosGestión</v>
      </c>
      <c r="G69" s="400" t="s">
        <v>184</v>
      </c>
      <c r="H69" s="422" t="s">
        <v>417</v>
      </c>
      <c r="I69" s="421" t="s">
        <v>438</v>
      </c>
      <c r="J69" s="418" t="s">
        <v>436</v>
      </c>
      <c r="L69" s="432"/>
    </row>
    <row r="70" spans="1:12" ht="28.8">
      <c r="A70" s="429" t="s">
        <v>202</v>
      </c>
      <c r="B70" s="438" t="s">
        <v>232</v>
      </c>
      <c r="C70" s="438" t="s">
        <v>184</v>
      </c>
      <c r="D70" s="429" t="s">
        <v>197</v>
      </c>
      <c r="E70" s="400" t="str">
        <f t="shared" si="13"/>
        <v>Ejecución_administración_de_procesosGestiónPosibilidad de afectación económica y reputacional</v>
      </c>
      <c r="F70" s="400" t="str">
        <f t="shared" si="14"/>
        <v>Ejecución_administración_de_procesosGestión</v>
      </c>
      <c r="G70" s="400" t="s">
        <v>184</v>
      </c>
      <c r="H70" s="422" t="s">
        <v>279</v>
      </c>
      <c r="I70" s="421" t="s">
        <v>438</v>
      </c>
      <c r="J70" s="418" t="s">
        <v>437</v>
      </c>
      <c r="L70" s="432"/>
    </row>
    <row r="71" spans="1:12" ht="28.8">
      <c r="A71" s="420" t="s">
        <v>202</v>
      </c>
      <c r="B71" s="310" t="s">
        <v>232</v>
      </c>
      <c r="C71" s="310" t="s">
        <v>112</v>
      </c>
      <c r="D71" s="420" t="s">
        <v>193</v>
      </c>
      <c r="E71" s="400" t="str">
        <f t="shared" si="13"/>
        <v>Ejecución_administración_de_procesosFiscalPosibilidad  de efecto dañoso sobre el recurso público</v>
      </c>
      <c r="F71" s="400" t="str">
        <f t="shared" si="14"/>
        <v>Ejecución_administración_de_procesosFiscal</v>
      </c>
      <c r="G71" s="400" t="s">
        <v>112</v>
      </c>
      <c r="H71" s="422" t="s">
        <v>279</v>
      </c>
      <c r="I71" s="421" t="s">
        <v>392</v>
      </c>
      <c r="J71" s="418" t="s">
        <v>435</v>
      </c>
      <c r="L71" s="432"/>
    </row>
    <row r="72" spans="1:12" ht="30.6">
      <c r="A72" s="420" t="s">
        <v>202</v>
      </c>
      <c r="B72" s="310" t="s">
        <v>232</v>
      </c>
      <c r="C72" s="310" t="s">
        <v>112</v>
      </c>
      <c r="D72" s="420" t="s">
        <v>113</v>
      </c>
      <c r="E72" s="400" t="str">
        <f t="shared" si="13"/>
        <v>Ejecución_administración_de_procesosFiscalPosibilidad  de efecto dañoso sobre bienes de uso público</v>
      </c>
      <c r="F72" s="400" t="str">
        <f t="shared" si="14"/>
        <v>Ejecución_administración_de_procesosFiscal</v>
      </c>
      <c r="G72" s="400" t="s">
        <v>112</v>
      </c>
      <c r="H72" s="422" t="s">
        <v>279</v>
      </c>
      <c r="I72" s="421" t="s">
        <v>392</v>
      </c>
      <c r="J72" s="418" t="s">
        <v>435</v>
      </c>
      <c r="L72" s="432"/>
    </row>
    <row r="73" spans="1:12" ht="28.8">
      <c r="A73" s="420" t="s">
        <v>202</v>
      </c>
      <c r="B73" s="310" t="s">
        <v>232</v>
      </c>
      <c r="C73" s="310" t="s">
        <v>112</v>
      </c>
      <c r="D73" s="420" t="s">
        <v>198</v>
      </c>
      <c r="E73" s="400" t="str">
        <f t="shared" si="13"/>
        <v>Ejecución_administración_de_procesosFiscalPosibilidad  de efecto dañoso sobre bienes de uso fiscal</v>
      </c>
      <c r="F73" s="400" t="str">
        <f t="shared" si="14"/>
        <v>Ejecución_administración_de_procesosFiscal</v>
      </c>
      <c r="G73" s="400" t="s">
        <v>112</v>
      </c>
      <c r="H73" s="422" t="s">
        <v>279</v>
      </c>
      <c r="I73" s="421" t="s">
        <v>392</v>
      </c>
      <c r="J73" s="418" t="s">
        <v>435</v>
      </c>
      <c r="L73" s="432"/>
    </row>
    <row r="74" spans="1:12" ht="30.6">
      <c r="A74" s="420" t="s">
        <v>202</v>
      </c>
      <c r="B74" s="310" t="s">
        <v>232</v>
      </c>
      <c r="C74" s="310" t="s">
        <v>112</v>
      </c>
      <c r="D74" s="420" t="s">
        <v>200</v>
      </c>
      <c r="E74" s="400" t="str">
        <f t="shared" si="13"/>
        <v>Ejecución_administración_de_procesosFiscalPosibilidad  de efecto dañoso sobre el interes patrimonial</v>
      </c>
      <c r="F74" s="400" t="str">
        <f t="shared" si="14"/>
        <v>Ejecución_administración_de_procesosFiscal</v>
      </c>
      <c r="G74" s="400" t="s">
        <v>112</v>
      </c>
      <c r="H74" s="422" t="s">
        <v>279</v>
      </c>
      <c r="I74" s="421" t="s">
        <v>392</v>
      </c>
      <c r="J74" s="418" t="s">
        <v>435</v>
      </c>
      <c r="L74" s="432"/>
    </row>
    <row r="75" spans="1:12" ht="41.4">
      <c r="A75" s="429" t="s">
        <v>202</v>
      </c>
      <c r="B75" s="438" t="s">
        <v>235</v>
      </c>
      <c r="C75" s="438" t="s">
        <v>184</v>
      </c>
      <c r="D75" s="429" t="s">
        <v>192</v>
      </c>
      <c r="E75" s="400" t="str">
        <f t="shared" si="13"/>
        <v>Ejecución_administración_de_procesosGestiónPosibilidad de afectación económica</v>
      </c>
      <c r="F75" s="400" t="str">
        <f t="shared" si="14"/>
        <v>Ejecución_administración_de_procesosGestión</v>
      </c>
      <c r="G75" s="400" t="s">
        <v>184</v>
      </c>
      <c r="H75" s="439" t="s">
        <v>279</v>
      </c>
      <c r="I75" s="440" t="s">
        <v>417</v>
      </c>
      <c r="J75" s="441" t="s">
        <v>436</v>
      </c>
      <c r="L75" s="432"/>
    </row>
    <row r="76" spans="1:12" ht="41.4">
      <c r="A76" s="429" t="s">
        <v>202</v>
      </c>
      <c r="B76" s="438" t="s">
        <v>235</v>
      </c>
      <c r="C76" s="438" t="s">
        <v>184</v>
      </c>
      <c r="D76" s="429" t="s">
        <v>195</v>
      </c>
      <c r="E76" s="400" t="str">
        <f t="shared" si="13"/>
        <v>Ejecución_administración_de_procesosGestiónPosibilidad de afectación reputacional</v>
      </c>
      <c r="F76" s="400" t="str">
        <f t="shared" si="14"/>
        <v>Ejecución_administración_de_procesosGestión</v>
      </c>
      <c r="G76" s="400" t="s">
        <v>184</v>
      </c>
      <c r="H76" s="422" t="s">
        <v>417</v>
      </c>
      <c r="I76" s="421" t="s">
        <v>438</v>
      </c>
      <c r="J76" s="418" t="s">
        <v>436</v>
      </c>
      <c r="L76" s="432"/>
    </row>
    <row r="77" spans="1:12" ht="41.4">
      <c r="A77" s="429" t="s">
        <v>202</v>
      </c>
      <c r="B77" s="438" t="s">
        <v>235</v>
      </c>
      <c r="C77" s="438" t="s">
        <v>184</v>
      </c>
      <c r="D77" s="429" t="s">
        <v>197</v>
      </c>
      <c r="E77" s="400" t="str">
        <f t="shared" si="13"/>
        <v>Ejecución_administración_de_procesosGestiónPosibilidad de afectación económica y reputacional</v>
      </c>
      <c r="F77" s="400" t="str">
        <f t="shared" si="14"/>
        <v>Ejecución_administración_de_procesosGestión</v>
      </c>
      <c r="G77" s="400" t="s">
        <v>184</v>
      </c>
      <c r="H77" s="422" t="s">
        <v>279</v>
      </c>
      <c r="I77" s="421" t="s">
        <v>438</v>
      </c>
      <c r="J77" s="418" t="s">
        <v>437</v>
      </c>
      <c r="L77" s="432"/>
    </row>
    <row r="78" spans="1:12" ht="41.4">
      <c r="A78" s="420" t="s">
        <v>202</v>
      </c>
      <c r="B78" s="310" t="s">
        <v>235</v>
      </c>
      <c r="C78" s="310" t="s">
        <v>112</v>
      </c>
      <c r="D78" s="420" t="s">
        <v>193</v>
      </c>
      <c r="E78" s="400" t="str">
        <f t="shared" si="13"/>
        <v>Ejecución_administración_de_procesosFiscalPosibilidad  de efecto dañoso sobre el recurso público</v>
      </c>
      <c r="F78" s="400" t="str">
        <f t="shared" si="14"/>
        <v>Ejecución_administración_de_procesosFiscal</v>
      </c>
      <c r="G78" s="400" t="s">
        <v>112</v>
      </c>
      <c r="H78" s="422" t="s">
        <v>279</v>
      </c>
      <c r="I78" s="421" t="s">
        <v>392</v>
      </c>
      <c r="J78" s="418" t="s">
        <v>435</v>
      </c>
      <c r="L78" s="432"/>
    </row>
    <row r="79" spans="1:12" ht="41.4">
      <c r="A79" s="420" t="s">
        <v>202</v>
      </c>
      <c r="B79" s="310" t="s">
        <v>235</v>
      </c>
      <c r="C79" s="310" t="s">
        <v>112</v>
      </c>
      <c r="D79" s="420" t="s">
        <v>113</v>
      </c>
      <c r="E79" s="400" t="str">
        <f t="shared" si="13"/>
        <v>Ejecución_administración_de_procesosFiscalPosibilidad  de efecto dañoso sobre bienes de uso público</v>
      </c>
      <c r="F79" s="400" t="str">
        <f t="shared" si="14"/>
        <v>Ejecución_administración_de_procesosFiscal</v>
      </c>
      <c r="G79" s="400" t="s">
        <v>112</v>
      </c>
      <c r="H79" s="422" t="s">
        <v>279</v>
      </c>
      <c r="I79" s="421" t="s">
        <v>392</v>
      </c>
      <c r="J79" s="418" t="s">
        <v>435</v>
      </c>
      <c r="L79" s="432"/>
    </row>
    <row r="80" spans="1:12" ht="41.4">
      <c r="A80" s="420" t="s">
        <v>202</v>
      </c>
      <c r="B80" s="310" t="s">
        <v>235</v>
      </c>
      <c r="C80" s="310" t="s">
        <v>112</v>
      </c>
      <c r="D80" s="420" t="s">
        <v>198</v>
      </c>
      <c r="E80" s="400" t="str">
        <f t="shared" si="13"/>
        <v>Ejecución_administración_de_procesosFiscalPosibilidad  de efecto dañoso sobre bienes de uso fiscal</v>
      </c>
      <c r="F80" s="400" t="str">
        <f t="shared" si="14"/>
        <v>Ejecución_administración_de_procesosFiscal</v>
      </c>
      <c r="G80" s="400" t="s">
        <v>112</v>
      </c>
      <c r="H80" s="422" t="s">
        <v>279</v>
      </c>
      <c r="I80" s="421" t="s">
        <v>392</v>
      </c>
      <c r="J80" s="418" t="s">
        <v>435</v>
      </c>
      <c r="L80" s="432"/>
    </row>
    <row r="81" spans="1:12" ht="41.4">
      <c r="A81" s="420" t="s">
        <v>202</v>
      </c>
      <c r="B81" s="310" t="s">
        <v>235</v>
      </c>
      <c r="C81" s="310" t="s">
        <v>112</v>
      </c>
      <c r="D81" s="420" t="s">
        <v>200</v>
      </c>
      <c r="E81" s="400" t="str">
        <f t="shared" si="13"/>
        <v>Ejecución_administración_de_procesosFiscalPosibilidad  de efecto dañoso sobre el interes patrimonial</v>
      </c>
      <c r="F81" s="400" t="str">
        <f t="shared" si="14"/>
        <v>Ejecución_administración_de_procesosFiscal</v>
      </c>
      <c r="G81" s="400" t="s">
        <v>112</v>
      </c>
      <c r="H81" s="422" t="s">
        <v>279</v>
      </c>
      <c r="I81" s="421" t="s">
        <v>392</v>
      </c>
      <c r="J81" s="418" t="s">
        <v>435</v>
      </c>
      <c r="L81" s="432"/>
    </row>
    <row r="82" spans="1:12" ht="69">
      <c r="A82" s="429" t="s">
        <v>202</v>
      </c>
      <c r="B82" s="438" t="s">
        <v>236</v>
      </c>
      <c r="C82" s="438" t="s">
        <v>184</v>
      </c>
      <c r="D82" s="429" t="s">
        <v>192</v>
      </c>
      <c r="E82" s="400" t="str">
        <f t="shared" si="13"/>
        <v>Ejecución_administración_de_procesosGestiónPosibilidad de afectación económica</v>
      </c>
      <c r="F82" s="400" t="str">
        <f t="shared" si="14"/>
        <v>Ejecución_administración_de_procesosGestión</v>
      </c>
      <c r="G82" s="400" t="s">
        <v>184</v>
      </c>
      <c r="H82" s="439" t="s">
        <v>279</v>
      </c>
      <c r="I82" s="440" t="s">
        <v>417</v>
      </c>
      <c r="J82" s="441" t="s">
        <v>436</v>
      </c>
      <c r="L82" s="432"/>
    </row>
    <row r="83" spans="1:12" ht="69">
      <c r="A83" s="429" t="s">
        <v>202</v>
      </c>
      <c r="B83" s="438" t="s">
        <v>236</v>
      </c>
      <c r="C83" s="438" t="s">
        <v>184</v>
      </c>
      <c r="D83" s="429" t="s">
        <v>195</v>
      </c>
      <c r="E83" s="400" t="str">
        <f t="shared" si="13"/>
        <v>Ejecución_administración_de_procesosGestiónPosibilidad de afectación reputacional</v>
      </c>
      <c r="F83" s="400" t="str">
        <f t="shared" si="14"/>
        <v>Ejecución_administración_de_procesosGestión</v>
      </c>
      <c r="G83" s="400" t="s">
        <v>184</v>
      </c>
      <c r="H83" s="422" t="s">
        <v>417</v>
      </c>
      <c r="I83" s="421" t="s">
        <v>438</v>
      </c>
      <c r="J83" s="418" t="s">
        <v>436</v>
      </c>
      <c r="L83" s="432"/>
    </row>
    <row r="84" spans="1:12" ht="69">
      <c r="A84" s="429" t="s">
        <v>202</v>
      </c>
      <c r="B84" s="438" t="s">
        <v>236</v>
      </c>
      <c r="C84" s="438" t="s">
        <v>184</v>
      </c>
      <c r="D84" s="429" t="s">
        <v>197</v>
      </c>
      <c r="E84" s="400" t="str">
        <f t="shared" si="13"/>
        <v>Ejecución_administración_de_procesosGestiónPosibilidad de afectación económica y reputacional</v>
      </c>
      <c r="F84" s="400" t="str">
        <f t="shared" si="14"/>
        <v>Ejecución_administración_de_procesosGestión</v>
      </c>
      <c r="G84" s="400" t="s">
        <v>184</v>
      </c>
      <c r="H84" s="422" t="s">
        <v>279</v>
      </c>
      <c r="I84" s="421" t="s">
        <v>438</v>
      </c>
      <c r="J84" s="418" t="s">
        <v>437</v>
      </c>
      <c r="L84" s="432"/>
    </row>
    <row r="85" spans="1:12" ht="69">
      <c r="A85" s="420" t="s">
        <v>202</v>
      </c>
      <c r="B85" s="310" t="s">
        <v>236</v>
      </c>
      <c r="C85" s="310" t="s">
        <v>112</v>
      </c>
      <c r="D85" s="420" t="s">
        <v>193</v>
      </c>
      <c r="E85" s="400" t="str">
        <f t="shared" si="13"/>
        <v>Ejecución_administración_de_procesosFiscalPosibilidad  de efecto dañoso sobre el recurso público</v>
      </c>
      <c r="F85" s="400" t="str">
        <f t="shared" si="14"/>
        <v>Ejecución_administración_de_procesosFiscal</v>
      </c>
      <c r="G85" s="400" t="s">
        <v>112</v>
      </c>
      <c r="H85" s="422" t="s">
        <v>279</v>
      </c>
      <c r="I85" s="421" t="s">
        <v>392</v>
      </c>
      <c r="J85" s="418" t="s">
        <v>435</v>
      </c>
      <c r="L85" s="432"/>
    </row>
    <row r="86" spans="1:12" ht="69">
      <c r="A86" s="420" t="s">
        <v>202</v>
      </c>
      <c r="B86" s="310" t="s">
        <v>236</v>
      </c>
      <c r="C86" s="310" t="s">
        <v>112</v>
      </c>
      <c r="D86" s="420" t="s">
        <v>113</v>
      </c>
      <c r="E86" s="400" t="str">
        <f t="shared" si="13"/>
        <v>Ejecución_administración_de_procesosFiscalPosibilidad  de efecto dañoso sobre bienes de uso público</v>
      </c>
      <c r="F86" s="400" t="str">
        <f t="shared" si="14"/>
        <v>Ejecución_administración_de_procesosFiscal</v>
      </c>
      <c r="G86" s="400" t="s">
        <v>112</v>
      </c>
      <c r="H86" s="422" t="s">
        <v>279</v>
      </c>
      <c r="I86" s="421" t="s">
        <v>392</v>
      </c>
      <c r="J86" s="418" t="s">
        <v>435</v>
      </c>
      <c r="L86" s="432"/>
    </row>
    <row r="87" spans="1:12" ht="69">
      <c r="A87" s="420" t="s">
        <v>202</v>
      </c>
      <c r="B87" s="310" t="s">
        <v>236</v>
      </c>
      <c r="C87" s="310" t="s">
        <v>112</v>
      </c>
      <c r="D87" s="420" t="s">
        <v>198</v>
      </c>
      <c r="E87" s="400" t="str">
        <f t="shared" si="13"/>
        <v>Ejecución_administración_de_procesosFiscalPosibilidad  de efecto dañoso sobre bienes de uso fiscal</v>
      </c>
      <c r="F87" s="400" t="str">
        <f t="shared" si="14"/>
        <v>Ejecución_administración_de_procesosFiscal</v>
      </c>
      <c r="G87" s="400" t="s">
        <v>112</v>
      </c>
      <c r="H87" s="422" t="s">
        <v>279</v>
      </c>
      <c r="I87" s="421" t="s">
        <v>392</v>
      </c>
      <c r="J87" s="418" t="s">
        <v>435</v>
      </c>
      <c r="L87" s="432"/>
    </row>
    <row r="88" spans="1:12" ht="69">
      <c r="A88" s="420" t="s">
        <v>202</v>
      </c>
      <c r="B88" s="310" t="s">
        <v>236</v>
      </c>
      <c r="C88" s="310" t="s">
        <v>112</v>
      </c>
      <c r="D88" s="420" t="s">
        <v>200</v>
      </c>
      <c r="E88" s="400" t="str">
        <f t="shared" si="13"/>
        <v>Ejecución_administración_de_procesosFiscalPosibilidad  de efecto dañoso sobre el interes patrimonial</v>
      </c>
      <c r="F88" s="400" t="str">
        <f t="shared" si="14"/>
        <v>Ejecución_administración_de_procesosFiscal</v>
      </c>
      <c r="G88" s="400" t="s">
        <v>112</v>
      </c>
      <c r="H88" s="422" t="s">
        <v>279</v>
      </c>
      <c r="I88" s="421" t="s">
        <v>392</v>
      </c>
      <c r="J88" s="418" t="s">
        <v>435</v>
      </c>
      <c r="L88" s="432"/>
    </row>
    <row r="89" spans="1:12" ht="41.4">
      <c r="A89" s="429" t="s">
        <v>202</v>
      </c>
      <c r="B89" s="438" t="s">
        <v>237</v>
      </c>
      <c r="C89" s="438" t="s">
        <v>184</v>
      </c>
      <c r="D89" s="429" t="s">
        <v>192</v>
      </c>
      <c r="E89" s="400" t="str">
        <f t="shared" si="13"/>
        <v>Ejecución_administración_de_procesosGestiónPosibilidad de afectación económica</v>
      </c>
      <c r="F89" s="400" t="str">
        <f t="shared" si="14"/>
        <v>Ejecución_administración_de_procesosGestión</v>
      </c>
      <c r="G89" s="400" t="s">
        <v>184</v>
      </c>
      <c r="H89" s="439" t="s">
        <v>279</v>
      </c>
      <c r="I89" s="440" t="s">
        <v>417</v>
      </c>
      <c r="J89" s="441" t="s">
        <v>436</v>
      </c>
      <c r="L89" s="432"/>
    </row>
    <row r="90" spans="1:12" ht="41.4">
      <c r="A90" s="429" t="s">
        <v>202</v>
      </c>
      <c r="B90" s="438" t="s">
        <v>237</v>
      </c>
      <c r="C90" s="438" t="s">
        <v>184</v>
      </c>
      <c r="D90" s="429" t="s">
        <v>195</v>
      </c>
      <c r="E90" s="400" t="str">
        <f t="shared" si="13"/>
        <v>Ejecución_administración_de_procesosGestiónPosibilidad de afectación reputacional</v>
      </c>
      <c r="F90" s="400" t="str">
        <f t="shared" si="14"/>
        <v>Ejecución_administración_de_procesosGestión</v>
      </c>
      <c r="G90" s="400" t="s">
        <v>184</v>
      </c>
      <c r="H90" s="422" t="s">
        <v>417</v>
      </c>
      <c r="I90" s="421" t="s">
        <v>438</v>
      </c>
      <c r="J90" s="418" t="s">
        <v>436</v>
      </c>
      <c r="L90" s="432"/>
    </row>
    <row r="91" spans="1:12" ht="41.4">
      <c r="A91" s="429" t="s">
        <v>202</v>
      </c>
      <c r="B91" s="438" t="s">
        <v>237</v>
      </c>
      <c r="C91" s="438" t="s">
        <v>184</v>
      </c>
      <c r="D91" s="429" t="s">
        <v>197</v>
      </c>
      <c r="E91" s="400" t="str">
        <f t="shared" si="13"/>
        <v>Ejecución_administración_de_procesosGestiónPosibilidad de afectación económica y reputacional</v>
      </c>
      <c r="F91" s="400" t="str">
        <f t="shared" si="14"/>
        <v>Ejecución_administración_de_procesosGestión</v>
      </c>
      <c r="G91" s="400" t="s">
        <v>184</v>
      </c>
      <c r="H91" s="422" t="s">
        <v>279</v>
      </c>
      <c r="I91" s="421" t="s">
        <v>438</v>
      </c>
      <c r="J91" s="418" t="s">
        <v>437</v>
      </c>
      <c r="L91" s="432"/>
    </row>
    <row r="92" spans="1:12" ht="41.4">
      <c r="A92" s="420" t="s">
        <v>202</v>
      </c>
      <c r="B92" s="310" t="s">
        <v>237</v>
      </c>
      <c r="C92" s="310" t="s">
        <v>112</v>
      </c>
      <c r="D92" s="420" t="s">
        <v>193</v>
      </c>
      <c r="E92" s="400" t="str">
        <f t="shared" si="13"/>
        <v>Ejecución_administración_de_procesosFiscalPosibilidad  de efecto dañoso sobre el recurso público</v>
      </c>
      <c r="F92" s="400" t="str">
        <f t="shared" si="14"/>
        <v>Ejecución_administración_de_procesosFiscal</v>
      </c>
      <c r="G92" s="400" t="s">
        <v>112</v>
      </c>
      <c r="H92" s="422" t="s">
        <v>279</v>
      </c>
      <c r="I92" s="421" t="s">
        <v>392</v>
      </c>
      <c r="J92" s="418" t="s">
        <v>435</v>
      </c>
      <c r="L92" s="432"/>
    </row>
    <row r="93" spans="1:12" ht="41.4">
      <c r="A93" s="420" t="s">
        <v>202</v>
      </c>
      <c r="B93" s="310" t="s">
        <v>237</v>
      </c>
      <c r="C93" s="310" t="s">
        <v>112</v>
      </c>
      <c r="D93" s="420" t="s">
        <v>113</v>
      </c>
      <c r="E93" s="400" t="str">
        <f t="shared" si="13"/>
        <v>Ejecución_administración_de_procesosFiscalPosibilidad  de efecto dañoso sobre bienes de uso público</v>
      </c>
      <c r="F93" s="400" t="str">
        <f t="shared" si="14"/>
        <v>Ejecución_administración_de_procesosFiscal</v>
      </c>
      <c r="G93" s="400" t="s">
        <v>112</v>
      </c>
      <c r="H93" s="422" t="s">
        <v>279</v>
      </c>
      <c r="I93" s="421" t="s">
        <v>392</v>
      </c>
      <c r="J93" s="418" t="s">
        <v>435</v>
      </c>
      <c r="L93" s="432"/>
    </row>
    <row r="94" spans="1:12" ht="41.4">
      <c r="A94" s="420" t="s">
        <v>202</v>
      </c>
      <c r="B94" s="310" t="s">
        <v>237</v>
      </c>
      <c r="C94" s="310" t="s">
        <v>112</v>
      </c>
      <c r="D94" s="420" t="s">
        <v>198</v>
      </c>
      <c r="E94" s="400" t="str">
        <f t="shared" si="13"/>
        <v>Ejecución_administración_de_procesosFiscalPosibilidad  de efecto dañoso sobre bienes de uso fiscal</v>
      </c>
      <c r="F94" s="400" t="str">
        <f t="shared" si="14"/>
        <v>Ejecución_administración_de_procesosFiscal</v>
      </c>
      <c r="G94" s="400" t="s">
        <v>112</v>
      </c>
      <c r="H94" s="422" t="s">
        <v>279</v>
      </c>
      <c r="I94" s="421" t="s">
        <v>392</v>
      </c>
      <c r="J94" s="418" t="s">
        <v>435</v>
      </c>
      <c r="L94" s="432"/>
    </row>
    <row r="95" spans="1:12" ht="41.4">
      <c r="A95" s="420" t="s">
        <v>202</v>
      </c>
      <c r="B95" s="310" t="s">
        <v>237</v>
      </c>
      <c r="C95" s="310" t="s">
        <v>112</v>
      </c>
      <c r="D95" s="420" t="s">
        <v>200</v>
      </c>
      <c r="E95" s="400" t="str">
        <f t="shared" si="13"/>
        <v>Ejecución_administración_de_procesosFiscalPosibilidad  de efecto dañoso sobre el interes patrimonial</v>
      </c>
      <c r="F95" s="400" t="str">
        <f t="shared" si="14"/>
        <v>Ejecución_administración_de_procesosFiscal</v>
      </c>
      <c r="G95" s="400" t="s">
        <v>112</v>
      </c>
      <c r="H95" s="422" t="s">
        <v>279</v>
      </c>
      <c r="I95" s="421" t="s">
        <v>392</v>
      </c>
      <c r="J95" s="418" t="s">
        <v>435</v>
      </c>
      <c r="L95" s="432"/>
    </row>
    <row r="96" spans="1:12" ht="55.2">
      <c r="A96" s="429" t="s">
        <v>202</v>
      </c>
      <c r="B96" s="438" t="s">
        <v>238</v>
      </c>
      <c r="C96" s="438" t="s">
        <v>184</v>
      </c>
      <c r="D96" s="429" t="s">
        <v>192</v>
      </c>
      <c r="E96" s="400" t="str">
        <f t="shared" si="13"/>
        <v>Ejecución_administración_de_procesosGestiónPosibilidad de afectación económica</v>
      </c>
      <c r="F96" s="400" t="str">
        <f t="shared" si="14"/>
        <v>Ejecución_administración_de_procesosGestión</v>
      </c>
      <c r="G96" s="400" t="s">
        <v>184</v>
      </c>
      <c r="H96" s="439" t="s">
        <v>279</v>
      </c>
      <c r="I96" s="440" t="s">
        <v>417</v>
      </c>
      <c r="J96" s="441" t="s">
        <v>436</v>
      </c>
      <c r="L96" s="432"/>
    </row>
    <row r="97" spans="1:12" ht="55.2">
      <c r="A97" s="429" t="s">
        <v>202</v>
      </c>
      <c r="B97" s="438" t="s">
        <v>238</v>
      </c>
      <c r="C97" s="438" t="s">
        <v>184</v>
      </c>
      <c r="D97" s="429" t="s">
        <v>195</v>
      </c>
      <c r="E97" s="400" t="str">
        <f t="shared" si="13"/>
        <v>Ejecución_administración_de_procesosGestiónPosibilidad de afectación reputacional</v>
      </c>
      <c r="F97" s="400" t="str">
        <f t="shared" si="14"/>
        <v>Ejecución_administración_de_procesosGestión</v>
      </c>
      <c r="G97" s="400" t="s">
        <v>184</v>
      </c>
      <c r="H97" s="422" t="s">
        <v>417</v>
      </c>
      <c r="I97" s="421" t="s">
        <v>438</v>
      </c>
      <c r="J97" s="418" t="s">
        <v>436</v>
      </c>
      <c r="L97" s="432"/>
    </row>
    <row r="98" spans="1:12" ht="55.2">
      <c r="A98" s="429" t="s">
        <v>202</v>
      </c>
      <c r="B98" s="438" t="s">
        <v>238</v>
      </c>
      <c r="C98" s="438" t="s">
        <v>184</v>
      </c>
      <c r="D98" s="429" t="s">
        <v>197</v>
      </c>
      <c r="E98" s="400" t="str">
        <f t="shared" si="13"/>
        <v>Ejecución_administración_de_procesosGestiónPosibilidad de afectación económica y reputacional</v>
      </c>
      <c r="F98" s="400" t="str">
        <f t="shared" si="14"/>
        <v>Ejecución_administración_de_procesosGestión</v>
      </c>
      <c r="G98" s="400" t="s">
        <v>184</v>
      </c>
      <c r="H98" s="422" t="s">
        <v>279</v>
      </c>
      <c r="I98" s="421" t="s">
        <v>438</v>
      </c>
      <c r="J98" s="418" t="s">
        <v>437</v>
      </c>
      <c r="L98" s="432"/>
    </row>
    <row r="99" spans="1:12" ht="55.2">
      <c r="A99" s="420" t="s">
        <v>202</v>
      </c>
      <c r="B99" s="310" t="s">
        <v>238</v>
      </c>
      <c r="C99" s="310" t="s">
        <v>112</v>
      </c>
      <c r="D99" s="420" t="s">
        <v>193</v>
      </c>
      <c r="E99" s="400" t="str">
        <f t="shared" si="13"/>
        <v>Ejecución_administración_de_procesosFiscalPosibilidad  de efecto dañoso sobre el recurso público</v>
      </c>
      <c r="F99" s="400" t="str">
        <f t="shared" si="14"/>
        <v>Ejecución_administración_de_procesosFiscal</v>
      </c>
      <c r="G99" s="400" t="s">
        <v>112</v>
      </c>
      <c r="H99" s="422" t="s">
        <v>279</v>
      </c>
      <c r="I99" s="421" t="s">
        <v>392</v>
      </c>
      <c r="J99" s="418" t="s">
        <v>435</v>
      </c>
      <c r="L99" s="432"/>
    </row>
    <row r="100" spans="1:12" ht="55.2">
      <c r="A100" s="420" t="s">
        <v>202</v>
      </c>
      <c r="B100" s="310" t="s">
        <v>238</v>
      </c>
      <c r="C100" s="310" t="s">
        <v>112</v>
      </c>
      <c r="D100" s="420" t="s">
        <v>113</v>
      </c>
      <c r="E100" s="400" t="str">
        <f t="shared" si="13"/>
        <v>Ejecución_administración_de_procesosFiscalPosibilidad  de efecto dañoso sobre bienes de uso público</v>
      </c>
      <c r="F100" s="400" t="str">
        <f t="shared" si="14"/>
        <v>Ejecución_administración_de_procesosFiscal</v>
      </c>
      <c r="G100" s="400" t="s">
        <v>112</v>
      </c>
      <c r="H100" s="422" t="s">
        <v>279</v>
      </c>
      <c r="I100" s="421" t="s">
        <v>392</v>
      </c>
      <c r="J100" s="418" t="s">
        <v>435</v>
      </c>
      <c r="L100" s="432"/>
    </row>
    <row r="101" spans="1:12" ht="55.2">
      <c r="A101" s="420" t="s">
        <v>202</v>
      </c>
      <c r="B101" s="310" t="s">
        <v>238</v>
      </c>
      <c r="C101" s="310" t="s">
        <v>112</v>
      </c>
      <c r="D101" s="420" t="s">
        <v>198</v>
      </c>
      <c r="E101" s="400" t="str">
        <f t="shared" si="13"/>
        <v>Ejecución_administración_de_procesosFiscalPosibilidad  de efecto dañoso sobre bienes de uso fiscal</v>
      </c>
      <c r="F101" s="400" t="str">
        <f t="shared" si="14"/>
        <v>Ejecución_administración_de_procesosFiscal</v>
      </c>
      <c r="G101" s="400" t="s">
        <v>112</v>
      </c>
      <c r="H101" s="422" t="s">
        <v>279</v>
      </c>
      <c r="I101" s="421" t="s">
        <v>392</v>
      </c>
      <c r="J101" s="418" t="s">
        <v>435</v>
      </c>
      <c r="L101" s="432"/>
    </row>
    <row r="102" spans="1:12" ht="55.2">
      <c r="A102" s="420" t="s">
        <v>202</v>
      </c>
      <c r="B102" s="310" t="s">
        <v>238</v>
      </c>
      <c r="C102" s="310" t="s">
        <v>112</v>
      </c>
      <c r="D102" s="420" t="s">
        <v>200</v>
      </c>
      <c r="E102" s="400" t="str">
        <f t="shared" si="13"/>
        <v>Ejecución_administración_de_procesosFiscalPosibilidad  de efecto dañoso sobre el interes patrimonial</v>
      </c>
      <c r="F102" s="400" t="str">
        <f t="shared" si="14"/>
        <v>Ejecución_administración_de_procesosFiscal</v>
      </c>
      <c r="G102" s="400" t="s">
        <v>112</v>
      </c>
      <c r="H102" s="422" t="s">
        <v>279</v>
      </c>
      <c r="I102" s="421" t="s">
        <v>392</v>
      </c>
      <c r="J102" s="418" t="s">
        <v>435</v>
      </c>
      <c r="L102" s="432"/>
    </row>
    <row r="103" spans="1:12" ht="30.75" customHeight="1">
      <c r="A103" s="423" t="s">
        <v>203</v>
      </c>
      <c r="B103" s="423" t="s">
        <v>209</v>
      </c>
      <c r="C103" s="310" t="s">
        <v>184</v>
      </c>
      <c r="D103" s="420" t="s">
        <v>192</v>
      </c>
      <c r="E103" s="400" t="str">
        <f t="shared" si="13"/>
        <v>TecnologíaGestiónPosibilidad de afectación económica</v>
      </c>
      <c r="F103" s="400" t="str">
        <f t="shared" si="14"/>
        <v>TecnologíaGestión</v>
      </c>
      <c r="G103" s="400" t="s">
        <v>184</v>
      </c>
      <c r="H103" s="422" t="s">
        <v>279</v>
      </c>
      <c r="I103" s="421" t="s">
        <v>417</v>
      </c>
      <c r="J103" s="418" t="s">
        <v>436</v>
      </c>
      <c r="L103" s="432"/>
    </row>
    <row r="104" spans="1:12" ht="30.75" customHeight="1">
      <c r="A104" s="423" t="s">
        <v>203</v>
      </c>
      <c r="B104" s="423" t="s">
        <v>209</v>
      </c>
      <c r="C104" s="310" t="s">
        <v>184</v>
      </c>
      <c r="D104" s="420" t="s">
        <v>195</v>
      </c>
      <c r="E104" s="400" t="str">
        <f t="shared" si="13"/>
        <v>TecnologíaGestiónPosibilidad de afectación reputacional</v>
      </c>
      <c r="F104" s="400" t="str">
        <f t="shared" si="14"/>
        <v>TecnologíaGestión</v>
      </c>
      <c r="G104" s="400" t="s">
        <v>184</v>
      </c>
      <c r="H104" s="422" t="s">
        <v>417</v>
      </c>
      <c r="I104" s="421" t="s">
        <v>438</v>
      </c>
      <c r="J104" s="418" t="s">
        <v>436</v>
      </c>
      <c r="L104" s="432"/>
    </row>
    <row r="105" spans="1:12" ht="30.75" customHeight="1">
      <c r="A105" s="423" t="s">
        <v>203</v>
      </c>
      <c r="B105" s="423" t="s">
        <v>209</v>
      </c>
      <c r="C105" s="310" t="s">
        <v>184</v>
      </c>
      <c r="D105" s="420" t="s">
        <v>197</v>
      </c>
      <c r="E105" s="400" t="str">
        <f t="shared" si="13"/>
        <v>TecnologíaGestiónPosibilidad de afectación económica y reputacional</v>
      </c>
      <c r="F105" s="400" t="str">
        <f t="shared" si="14"/>
        <v>TecnologíaGestión</v>
      </c>
      <c r="G105" s="400" t="s">
        <v>184</v>
      </c>
      <c r="H105" s="422" t="s">
        <v>279</v>
      </c>
      <c r="I105" s="421" t="s">
        <v>438</v>
      </c>
      <c r="J105" s="418" t="s">
        <v>437</v>
      </c>
      <c r="L105" s="432"/>
    </row>
    <row r="106" spans="1:12" ht="43.2">
      <c r="A106" s="423" t="s">
        <v>203</v>
      </c>
      <c r="B106" s="420" t="s">
        <v>214</v>
      </c>
      <c r="C106" s="310" t="s">
        <v>184</v>
      </c>
      <c r="D106" s="420" t="s">
        <v>192</v>
      </c>
      <c r="E106" s="400" t="str">
        <f t="shared" si="13"/>
        <v>TecnologíaGestiónPosibilidad de afectación económica</v>
      </c>
      <c r="F106" s="400" t="str">
        <f t="shared" si="14"/>
        <v>TecnologíaGestión</v>
      </c>
      <c r="G106" s="400" t="s">
        <v>184</v>
      </c>
      <c r="H106" s="422" t="s">
        <v>279</v>
      </c>
      <c r="I106" s="421" t="s">
        <v>417</v>
      </c>
      <c r="J106" s="418" t="s">
        <v>436</v>
      </c>
      <c r="L106" s="432"/>
    </row>
    <row r="107" spans="1:12" ht="43.2">
      <c r="A107" s="423" t="s">
        <v>203</v>
      </c>
      <c r="B107" s="420" t="s">
        <v>214</v>
      </c>
      <c r="C107" s="310" t="s">
        <v>184</v>
      </c>
      <c r="D107" s="420" t="s">
        <v>195</v>
      </c>
      <c r="E107" s="400" t="str">
        <f t="shared" si="13"/>
        <v>TecnologíaGestiónPosibilidad de afectación reputacional</v>
      </c>
      <c r="F107" s="400" t="str">
        <f t="shared" si="14"/>
        <v>TecnologíaGestión</v>
      </c>
      <c r="G107" s="400" t="s">
        <v>184</v>
      </c>
      <c r="H107" s="422" t="s">
        <v>417</v>
      </c>
      <c r="I107" s="421" t="s">
        <v>438</v>
      </c>
      <c r="J107" s="418" t="s">
        <v>436</v>
      </c>
      <c r="L107" s="432"/>
    </row>
    <row r="108" spans="1:12" ht="43.2">
      <c r="A108" s="423" t="s">
        <v>203</v>
      </c>
      <c r="B108" s="420" t="s">
        <v>214</v>
      </c>
      <c r="C108" s="310" t="s">
        <v>184</v>
      </c>
      <c r="D108" s="420" t="s">
        <v>197</v>
      </c>
      <c r="E108" s="400" t="str">
        <f t="shared" si="13"/>
        <v>TecnologíaGestiónPosibilidad de afectación económica y reputacional</v>
      </c>
      <c r="F108" s="400" t="str">
        <f t="shared" si="14"/>
        <v>TecnologíaGestión</v>
      </c>
      <c r="G108" s="400" t="s">
        <v>184</v>
      </c>
      <c r="H108" s="422" t="s">
        <v>279</v>
      </c>
      <c r="I108" s="421" t="s">
        <v>438</v>
      </c>
      <c r="J108" s="418" t="s">
        <v>437</v>
      </c>
      <c r="L108" s="432"/>
    </row>
    <row r="109" spans="1:12" ht="26.25" customHeight="1">
      <c r="A109" s="423" t="s">
        <v>203</v>
      </c>
      <c r="B109" s="420" t="s">
        <v>221</v>
      </c>
      <c r="C109" s="310" t="s">
        <v>184</v>
      </c>
      <c r="D109" s="420" t="s">
        <v>192</v>
      </c>
      <c r="E109" s="400" t="str">
        <f t="shared" si="13"/>
        <v>TecnologíaGestiónPosibilidad de afectación económica</v>
      </c>
      <c r="F109" s="400" t="str">
        <f t="shared" si="14"/>
        <v>TecnologíaGestión</v>
      </c>
      <c r="G109" s="400" t="s">
        <v>184</v>
      </c>
      <c r="H109" s="422" t="s">
        <v>279</v>
      </c>
      <c r="I109" s="421" t="s">
        <v>417</v>
      </c>
      <c r="J109" s="418" t="s">
        <v>436</v>
      </c>
      <c r="L109" s="432"/>
    </row>
    <row r="110" spans="1:12" ht="26.25" customHeight="1">
      <c r="A110" s="423" t="s">
        <v>203</v>
      </c>
      <c r="B110" s="420" t="s">
        <v>221</v>
      </c>
      <c r="C110" s="310" t="s">
        <v>184</v>
      </c>
      <c r="D110" s="420" t="s">
        <v>195</v>
      </c>
      <c r="E110" s="400" t="str">
        <f t="shared" si="13"/>
        <v>TecnologíaGestiónPosibilidad de afectación reputacional</v>
      </c>
      <c r="F110" s="400" t="str">
        <f t="shared" si="14"/>
        <v>TecnologíaGestión</v>
      </c>
      <c r="G110" s="400" t="s">
        <v>184</v>
      </c>
      <c r="H110" s="422" t="s">
        <v>417</v>
      </c>
      <c r="I110" s="421" t="s">
        <v>438</v>
      </c>
      <c r="J110" s="418" t="s">
        <v>436</v>
      </c>
      <c r="L110" s="432"/>
    </row>
    <row r="111" spans="1:12" ht="28.8">
      <c r="A111" s="423" t="s">
        <v>203</v>
      </c>
      <c r="B111" s="420" t="s">
        <v>221</v>
      </c>
      <c r="C111" s="310" t="s">
        <v>184</v>
      </c>
      <c r="D111" s="420" t="s">
        <v>197</v>
      </c>
      <c r="E111" s="400" t="str">
        <f t="shared" si="13"/>
        <v>TecnologíaGestiónPosibilidad de afectación económica y reputacional</v>
      </c>
      <c r="F111" s="400" t="str">
        <f t="shared" si="14"/>
        <v>TecnologíaGestión</v>
      </c>
      <c r="G111" s="400" t="s">
        <v>184</v>
      </c>
      <c r="H111" s="422" t="s">
        <v>279</v>
      </c>
      <c r="I111" s="421" t="s">
        <v>438</v>
      </c>
      <c r="J111" s="418" t="s">
        <v>437</v>
      </c>
      <c r="L111" s="432"/>
    </row>
    <row r="112" spans="1:12" ht="28.8">
      <c r="A112" s="423" t="s">
        <v>203</v>
      </c>
      <c r="B112" s="420" t="s">
        <v>228</v>
      </c>
      <c r="C112" s="310" t="s">
        <v>184</v>
      </c>
      <c r="D112" s="420" t="s">
        <v>192</v>
      </c>
      <c r="E112" s="400" t="str">
        <f t="shared" si="13"/>
        <v>TecnologíaGestiónPosibilidad de afectación económica</v>
      </c>
      <c r="F112" s="400" t="str">
        <f t="shared" si="14"/>
        <v>TecnologíaGestión</v>
      </c>
      <c r="G112" s="400" t="s">
        <v>184</v>
      </c>
      <c r="H112" s="422" t="s">
        <v>279</v>
      </c>
      <c r="I112" s="421" t="s">
        <v>417</v>
      </c>
      <c r="J112" s="418" t="s">
        <v>436</v>
      </c>
      <c r="L112" s="432"/>
    </row>
    <row r="113" spans="1:12" ht="28.8">
      <c r="A113" s="423" t="s">
        <v>203</v>
      </c>
      <c r="B113" s="420" t="s">
        <v>228</v>
      </c>
      <c r="C113" s="310" t="s">
        <v>184</v>
      </c>
      <c r="D113" s="420" t="s">
        <v>195</v>
      </c>
      <c r="E113" s="400" t="str">
        <f t="shared" si="13"/>
        <v>TecnologíaGestiónPosibilidad de afectación reputacional</v>
      </c>
      <c r="F113" s="400" t="str">
        <f t="shared" si="14"/>
        <v>TecnologíaGestión</v>
      </c>
      <c r="G113" s="400" t="s">
        <v>184</v>
      </c>
      <c r="H113" s="422" t="s">
        <v>417</v>
      </c>
      <c r="I113" s="421" t="s">
        <v>438</v>
      </c>
      <c r="J113" s="418" t="s">
        <v>436</v>
      </c>
      <c r="L113" s="432"/>
    </row>
    <row r="114" spans="1:12" ht="28.8">
      <c r="A114" s="423" t="s">
        <v>203</v>
      </c>
      <c r="B114" s="420" t="s">
        <v>228</v>
      </c>
      <c r="C114" s="310" t="s">
        <v>184</v>
      </c>
      <c r="D114" s="420" t="s">
        <v>197</v>
      </c>
      <c r="E114" s="400" t="str">
        <f t="shared" si="13"/>
        <v>TecnologíaGestiónPosibilidad de afectación económica y reputacional</v>
      </c>
      <c r="F114" s="400" t="str">
        <f t="shared" si="14"/>
        <v>TecnologíaGestión</v>
      </c>
      <c r="G114" s="400" t="s">
        <v>184</v>
      </c>
      <c r="H114" s="422" t="s">
        <v>279</v>
      </c>
      <c r="I114" s="421" t="s">
        <v>438</v>
      </c>
      <c r="J114" s="418" t="s">
        <v>437</v>
      </c>
      <c r="L114" s="432"/>
    </row>
    <row r="115" spans="1:12" ht="20.399999999999999">
      <c r="A115" s="423" t="s">
        <v>203</v>
      </c>
      <c r="B115" s="423" t="s">
        <v>233</v>
      </c>
      <c r="C115" s="310" t="s">
        <v>184</v>
      </c>
      <c r="D115" s="420" t="s">
        <v>192</v>
      </c>
      <c r="E115" s="400" t="str">
        <f t="shared" si="13"/>
        <v>TecnologíaGestiónPosibilidad de afectación económica</v>
      </c>
      <c r="F115" s="400" t="str">
        <f t="shared" si="14"/>
        <v>TecnologíaGestión</v>
      </c>
      <c r="G115" s="400" t="s">
        <v>184</v>
      </c>
      <c r="H115" s="422" t="s">
        <v>279</v>
      </c>
      <c r="I115" s="421" t="s">
        <v>417</v>
      </c>
      <c r="J115" s="418" t="s">
        <v>436</v>
      </c>
      <c r="L115" s="432"/>
    </row>
    <row r="116" spans="1:12" ht="24" customHeight="1">
      <c r="A116" s="423" t="s">
        <v>203</v>
      </c>
      <c r="B116" s="423" t="s">
        <v>233</v>
      </c>
      <c r="C116" s="310" t="s">
        <v>184</v>
      </c>
      <c r="D116" s="420" t="s">
        <v>195</v>
      </c>
      <c r="E116" s="400" t="str">
        <f t="shared" si="13"/>
        <v>TecnologíaGestiónPosibilidad de afectación reputacional</v>
      </c>
      <c r="F116" s="400" t="str">
        <f t="shared" si="14"/>
        <v>TecnologíaGestión</v>
      </c>
      <c r="G116" s="400" t="s">
        <v>184</v>
      </c>
      <c r="H116" s="422" t="s">
        <v>417</v>
      </c>
      <c r="I116" s="421" t="s">
        <v>438</v>
      </c>
      <c r="J116" s="418" t="s">
        <v>436</v>
      </c>
      <c r="L116" s="432"/>
    </row>
    <row r="117" spans="1:12" ht="28.8">
      <c r="A117" s="423" t="s">
        <v>203</v>
      </c>
      <c r="B117" s="423" t="s">
        <v>233</v>
      </c>
      <c r="C117" s="310" t="s">
        <v>184</v>
      </c>
      <c r="D117" s="420" t="s">
        <v>197</v>
      </c>
      <c r="E117" s="400" t="str">
        <f t="shared" si="13"/>
        <v>TecnologíaGestiónPosibilidad de afectación económica y reputacional</v>
      </c>
      <c r="F117" s="400" t="str">
        <f t="shared" si="14"/>
        <v>TecnologíaGestión</v>
      </c>
      <c r="G117" s="400" t="s">
        <v>184</v>
      </c>
      <c r="H117" s="422" t="s">
        <v>279</v>
      </c>
      <c r="I117" s="421" t="s">
        <v>438</v>
      </c>
      <c r="J117" s="418" t="s">
        <v>437</v>
      </c>
      <c r="L117" s="432"/>
    </row>
    <row r="118" spans="1:12" ht="28.8">
      <c r="A118" s="423" t="s">
        <v>203</v>
      </c>
      <c r="B118" s="423" t="s">
        <v>209</v>
      </c>
      <c r="C118" s="310" t="s">
        <v>112</v>
      </c>
      <c r="D118" s="420" t="s">
        <v>193</v>
      </c>
      <c r="E118" s="400" t="str">
        <f t="shared" si="13"/>
        <v>TecnologíaFiscalPosibilidad  de efecto dañoso sobre el recurso público</v>
      </c>
      <c r="F118" s="400" t="str">
        <f t="shared" si="14"/>
        <v>TecnologíaFiscal</v>
      </c>
      <c r="G118" s="400" t="s">
        <v>112</v>
      </c>
      <c r="H118" s="422" t="s">
        <v>279</v>
      </c>
      <c r="I118" s="421" t="s">
        <v>392</v>
      </c>
      <c r="J118" s="418" t="s">
        <v>435</v>
      </c>
      <c r="L118" s="432"/>
    </row>
    <row r="119" spans="1:12" ht="28.8">
      <c r="A119" s="423" t="s">
        <v>203</v>
      </c>
      <c r="B119" s="423" t="s">
        <v>209</v>
      </c>
      <c r="C119" s="310" t="s">
        <v>112</v>
      </c>
      <c r="D119" s="420" t="s">
        <v>113</v>
      </c>
      <c r="E119" s="400" t="str">
        <f t="shared" si="13"/>
        <v>TecnologíaFiscalPosibilidad  de efecto dañoso sobre bienes de uso público</v>
      </c>
      <c r="F119" s="400" t="str">
        <f t="shared" si="14"/>
        <v>TecnologíaFiscal</v>
      </c>
      <c r="G119" s="400" t="s">
        <v>112</v>
      </c>
      <c r="H119" s="422" t="s">
        <v>279</v>
      </c>
      <c r="I119" s="421" t="s">
        <v>392</v>
      </c>
      <c r="J119" s="418" t="s">
        <v>435</v>
      </c>
      <c r="L119" s="432"/>
    </row>
    <row r="120" spans="1:12" ht="28.8">
      <c r="A120" s="423" t="s">
        <v>203</v>
      </c>
      <c r="B120" s="423" t="s">
        <v>209</v>
      </c>
      <c r="C120" s="310" t="s">
        <v>112</v>
      </c>
      <c r="D120" s="420" t="s">
        <v>198</v>
      </c>
      <c r="E120" s="400" t="str">
        <f t="shared" si="13"/>
        <v>TecnologíaFiscalPosibilidad  de efecto dañoso sobre bienes de uso fiscal</v>
      </c>
      <c r="F120" s="400" t="str">
        <f t="shared" si="14"/>
        <v>TecnologíaFiscal</v>
      </c>
      <c r="G120" s="400" t="s">
        <v>112</v>
      </c>
      <c r="H120" s="422" t="s">
        <v>279</v>
      </c>
      <c r="I120" s="421" t="s">
        <v>392</v>
      </c>
      <c r="J120" s="418" t="s">
        <v>435</v>
      </c>
      <c r="L120" s="432"/>
    </row>
    <row r="121" spans="1:12" ht="28.8">
      <c r="A121" s="423" t="s">
        <v>203</v>
      </c>
      <c r="B121" s="423" t="s">
        <v>209</v>
      </c>
      <c r="C121" s="310" t="s">
        <v>112</v>
      </c>
      <c r="D121" s="420" t="s">
        <v>200</v>
      </c>
      <c r="E121" s="400" t="str">
        <f t="shared" si="13"/>
        <v>TecnologíaFiscalPosibilidad  de efecto dañoso sobre el interes patrimonial</v>
      </c>
      <c r="F121" s="400" t="str">
        <f t="shared" si="14"/>
        <v>TecnologíaFiscal</v>
      </c>
      <c r="G121" s="400" t="s">
        <v>112</v>
      </c>
      <c r="H121" s="422" t="s">
        <v>279</v>
      </c>
      <c r="I121" s="421" t="s">
        <v>392</v>
      </c>
      <c r="J121" s="418" t="s">
        <v>435</v>
      </c>
      <c r="L121" s="432"/>
    </row>
    <row r="122" spans="1:12" ht="43.2">
      <c r="A122" s="423" t="s">
        <v>203</v>
      </c>
      <c r="B122" s="420" t="s">
        <v>214</v>
      </c>
      <c r="C122" s="310" t="s">
        <v>112</v>
      </c>
      <c r="D122" s="420" t="s">
        <v>193</v>
      </c>
      <c r="E122" s="400" t="str">
        <f t="shared" si="13"/>
        <v>TecnologíaFiscalPosibilidad  de efecto dañoso sobre el recurso público</v>
      </c>
      <c r="F122" s="400" t="str">
        <f t="shared" si="14"/>
        <v>TecnologíaFiscal</v>
      </c>
      <c r="G122" s="400" t="s">
        <v>112</v>
      </c>
      <c r="H122" s="422" t="s">
        <v>279</v>
      </c>
      <c r="I122" s="421" t="s">
        <v>392</v>
      </c>
      <c r="J122" s="418" t="s">
        <v>435</v>
      </c>
      <c r="L122" s="432"/>
    </row>
    <row r="123" spans="1:12" ht="43.2">
      <c r="A123" s="423" t="s">
        <v>203</v>
      </c>
      <c r="B123" s="420" t="s">
        <v>214</v>
      </c>
      <c r="C123" s="310" t="s">
        <v>112</v>
      </c>
      <c r="D123" s="420" t="s">
        <v>113</v>
      </c>
      <c r="E123" s="400" t="str">
        <f t="shared" si="13"/>
        <v>TecnologíaFiscalPosibilidad  de efecto dañoso sobre bienes de uso público</v>
      </c>
      <c r="F123" s="400" t="str">
        <f t="shared" si="14"/>
        <v>TecnologíaFiscal</v>
      </c>
      <c r="G123" s="400" t="s">
        <v>112</v>
      </c>
      <c r="H123" s="422" t="s">
        <v>279</v>
      </c>
      <c r="I123" s="421" t="s">
        <v>392</v>
      </c>
      <c r="J123" s="418" t="s">
        <v>435</v>
      </c>
      <c r="L123" s="432"/>
    </row>
    <row r="124" spans="1:12" ht="43.2">
      <c r="A124" s="423" t="s">
        <v>203</v>
      </c>
      <c r="B124" s="420" t="s">
        <v>214</v>
      </c>
      <c r="C124" s="310" t="s">
        <v>112</v>
      </c>
      <c r="D124" s="420" t="s">
        <v>198</v>
      </c>
      <c r="E124" s="400" t="str">
        <f t="shared" si="13"/>
        <v>TecnologíaFiscalPosibilidad  de efecto dañoso sobre bienes de uso fiscal</v>
      </c>
      <c r="F124" s="400" t="str">
        <f t="shared" si="14"/>
        <v>TecnologíaFiscal</v>
      </c>
      <c r="G124" s="400" t="s">
        <v>112</v>
      </c>
      <c r="H124" s="422" t="s">
        <v>279</v>
      </c>
      <c r="I124" s="421" t="s">
        <v>392</v>
      </c>
      <c r="J124" s="418" t="s">
        <v>435</v>
      </c>
      <c r="L124" s="432"/>
    </row>
    <row r="125" spans="1:12" ht="43.2">
      <c r="A125" s="423" t="s">
        <v>203</v>
      </c>
      <c r="B125" s="420" t="s">
        <v>214</v>
      </c>
      <c r="C125" s="310" t="s">
        <v>112</v>
      </c>
      <c r="D125" s="420" t="s">
        <v>200</v>
      </c>
      <c r="E125" s="400" t="str">
        <f t="shared" si="13"/>
        <v>TecnologíaFiscalPosibilidad  de efecto dañoso sobre el interes patrimonial</v>
      </c>
      <c r="F125" s="400" t="str">
        <f t="shared" si="14"/>
        <v>TecnologíaFiscal</v>
      </c>
      <c r="G125" s="400" t="s">
        <v>112</v>
      </c>
      <c r="H125" s="422" t="s">
        <v>279</v>
      </c>
      <c r="I125" s="421" t="s">
        <v>392</v>
      </c>
      <c r="J125" s="418" t="s">
        <v>435</v>
      </c>
      <c r="L125" s="432"/>
    </row>
    <row r="126" spans="1:12" ht="28.8">
      <c r="A126" s="423" t="s">
        <v>203</v>
      </c>
      <c r="B126" s="420" t="s">
        <v>221</v>
      </c>
      <c r="C126" s="310" t="s">
        <v>112</v>
      </c>
      <c r="D126" s="420" t="s">
        <v>193</v>
      </c>
      <c r="E126" s="400" t="str">
        <f t="shared" si="13"/>
        <v>TecnologíaFiscalPosibilidad  de efecto dañoso sobre el recurso público</v>
      </c>
      <c r="F126" s="400" t="str">
        <f t="shared" si="14"/>
        <v>TecnologíaFiscal</v>
      </c>
      <c r="G126" s="400" t="s">
        <v>112</v>
      </c>
      <c r="H126" s="422" t="s">
        <v>279</v>
      </c>
      <c r="I126" s="421" t="s">
        <v>392</v>
      </c>
      <c r="J126" s="418" t="s">
        <v>435</v>
      </c>
      <c r="L126" s="432"/>
    </row>
    <row r="127" spans="1:12" ht="28.8">
      <c r="A127" s="423" t="s">
        <v>203</v>
      </c>
      <c r="B127" s="420" t="s">
        <v>221</v>
      </c>
      <c r="C127" s="310" t="s">
        <v>112</v>
      </c>
      <c r="D127" s="420" t="s">
        <v>113</v>
      </c>
      <c r="E127" s="400" t="str">
        <f t="shared" si="13"/>
        <v>TecnologíaFiscalPosibilidad  de efecto dañoso sobre bienes de uso público</v>
      </c>
      <c r="F127" s="400" t="str">
        <f t="shared" si="14"/>
        <v>TecnologíaFiscal</v>
      </c>
      <c r="G127" s="400" t="s">
        <v>112</v>
      </c>
      <c r="H127" s="422" t="s">
        <v>279</v>
      </c>
      <c r="I127" s="421" t="s">
        <v>392</v>
      </c>
      <c r="J127" s="418" t="s">
        <v>435</v>
      </c>
      <c r="L127" s="432"/>
    </row>
    <row r="128" spans="1:12" ht="28.8">
      <c r="A128" s="423" t="s">
        <v>203</v>
      </c>
      <c r="B128" s="420" t="s">
        <v>221</v>
      </c>
      <c r="C128" s="310" t="s">
        <v>112</v>
      </c>
      <c r="D128" s="420" t="s">
        <v>198</v>
      </c>
      <c r="E128" s="400" t="str">
        <f t="shared" si="13"/>
        <v>TecnologíaFiscalPosibilidad  de efecto dañoso sobre bienes de uso fiscal</v>
      </c>
      <c r="F128" s="400" t="str">
        <f t="shared" si="14"/>
        <v>TecnologíaFiscal</v>
      </c>
      <c r="G128" s="400" t="s">
        <v>112</v>
      </c>
      <c r="H128" s="422" t="s">
        <v>279</v>
      </c>
      <c r="I128" s="421" t="s">
        <v>392</v>
      </c>
      <c r="J128" s="418" t="s">
        <v>435</v>
      </c>
      <c r="L128" s="432"/>
    </row>
    <row r="129" spans="1:12" ht="28.8">
      <c r="A129" s="423" t="s">
        <v>203</v>
      </c>
      <c r="B129" s="420" t="s">
        <v>221</v>
      </c>
      <c r="C129" s="310" t="s">
        <v>112</v>
      </c>
      <c r="D129" s="420" t="s">
        <v>200</v>
      </c>
      <c r="E129" s="400" t="str">
        <f t="shared" si="13"/>
        <v>TecnologíaFiscalPosibilidad  de efecto dañoso sobre el interes patrimonial</v>
      </c>
      <c r="F129" s="400" t="str">
        <f t="shared" si="14"/>
        <v>TecnologíaFiscal</v>
      </c>
      <c r="G129" s="400" t="s">
        <v>112</v>
      </c>
      <c r="H129" s="422" t="s">
        <v>279</v>
      </c>
      <c r="I129" s="421" t="s">
        <v>392</v>
      </c>
      <c r="J129" s="418" t="s">
        <v>435</v>
      </c>
      <c r="L129" s="432"/>
    </row>
    <row r="130" spans="1:12" ht="28.8">
      <c r="A130" s="423" t="s">
        <v>203</v>
      </c>
      <c r="B130" s="420" t="s">
        <v>228</v>
      </c>
      <c r="C130" s="310" t="s">
        <v>112</v>
      </c>
      <c r="D130" s="420" t="s">
        <v>193</v>
      </c>
      <c r="E130" s="400" t="str">
        <f t="shared" si="13"/>
        <v>TecnologíaFiscalPosibilidad  de efecto dañoso sobre el recurso público</v>
      </c>
      <c r="F130" s="400" t="str">
        <f t="shared" si="14"/>
        <v>TecnologíaFiscal</v>
      </c>
      <c r="G130" s="400" t="s">
        <v>112</v>
      </c>
      <c r="H130" s="422" t="s">
        <v>279</v>
      </c>
      <c r="I130" s="421" t="s">
        <v>392</v>
      </c>
      <c r="J130" s="418" t="s">
        <v>435</v>
      </c>
      <c r="L130" s="432"/>
    </row>
    <row r="131" spans="1:12" ht="28.8">
      <c r="A131" s="423" t="s">
        <v>203</v>
      </c>
      <c r="B131" s="420" t="s">
        <v>228</v>
      </c>
      <c r="C131" s="310" t="s">
        <v>112</v>
      </c>
      <c r="D131" s="420" t="s">
        <v>113</v>
      </c>
      <c r="E131" s="400" t="str">
        <f t="shared" ref="E131:E193" si="15">CONCATENATE(A131,C131,D131)</f>
        <v>TecnologíaFiscalPosibilidad  de efecto dañoso sobre bienes de uso público</v>
      </c>
      <c r="F131" s="400" t="str">
        <f t="shared" ref="F131:F193" si="16">CONCATENATE(A131,C131)</f>
        <v>TecnologíaFiscal</v>
      </c>
      <c r="G131" s="400" t="s">
        <v>112</v>
      </c>
      <c r="H131" s="422" t="s">
        <v>279</v>
      </c>
      <c r="I131" s="421" t="s">
        <v>392</v>
      </c>
      <c r="J131" s="418" t="s">
        <v>435</v>
      </c>
      <c r="L131" s="432"/>
    </row>
    <row r="132" spans="1:12" ht="28.8">
      <c r="A132" s="423" t="s">
        <v>203</v>
      </c>
      <c r="B132" s="420" t="s">
        <v>228</v>
      </c>
      <c r="C132" s="310" t="s">
        <v>112</v>
      </c>
      <c r="D132" s="420" t="s">
        <v>198</v>
      </c>
      <c r="E132" s="400" t="str">
        <f t="shared" si="15"/>
        <v>TecnologíaFiscalPosibilidad  de efecto dañoso sobre bienes de uso fiscal</v>
      </c>
      <c r="F132" s="400" t="str">
        <f t="shared" si="16"/>
        <v>TecnologíaFiscal</v>
      </c>
      <c r="G132" s="400" t="s">
        <v>112</v>
      </c>
      <c r="H132" s="422" t="s">
        <v>279</v>
      </c>
      <c r="I132" s="421" t="s">
        <v>392</v>
      </c>
      <c r="J132" s="418" t="s">
        <v>435</v>
      </c>
      <c r="L132" s="432"/>
    </row>
    <row r="133" spans="1:12" ht="28.8">
      <c r="A133" s="423" t="s">
        <v>203</v>
      </c>
      <c r="B133" s="420" t="s">
        <v>228</v>
      </c>
      <c r="C133" s="310" t="s">
        <v>112</v>
      </c>
      <c r="D133" s="420" t="s">
        <v>200</v>
      </c>
      <c r="E133" s="400" t="str">
        <f t="shared" si="15"/>
        <v>TecnologíaFiscalPosibilidad  de efecto dañoso sobre el interes patrimonial</v>
      </c>
      <c r="F133" s="400" t="str">
        <f t="shared" si="16"/>
        <v>TecnologíaFiscal</v>
      </c>
      <c r="G133" s="400" t="s">
        <v>112</v>
      </c>
      <c r="H133" s="422" t="s">
        <v>279</v>
      </c>
      <c r="I133" s="421" t="s">
        <v>392</v>
      </c>
      <c r="J133" s="418" t="s">
        <v>435</v>
      </c>
      <c r="L133" s="432"/>
    </row>
    <row r="134" spans="1:12" ht="28.8">
      <c r="A134" s="423" t="s">
        <v>203</v>
      </c>
      <c r="B134" s="423" t="s">
        <v>233</v>
      </c>
      <c r="C134" s="310" t="s">
        <v>112</v>
      </c>
      <c r="D134" s="420" t="s">
        <v>193</v>
      </c>
      <c r="E134" s="400" t="str">
        <f t="shared" si="15"/>
        <v>TecnologíaFiscalPosibilidad  de efecto dañoso sobre el recurso público</v>
      </c>
      <c r="F134" s="400" t="str">
        <f t="shared" si="16"/>
        <v>TecnologíaFiscal</v>
      </c>
      <c r="G134" s="400" t="s">
        <v>112</v>
      </c>
      <c r="H134" s="422" t="s">
        <v>279</v>
      </c>
      <c r="I134" s="421" t="s">
        <v>392</v>
      </c>
      <c r="J134" s="418" t="s">
        <v>435</v>
      </c>
      <c r="L134" s="432"/>
    </row>
    <row r="135" spans="1:12" ht="28.8">
      <c r="A135" s="423" t="s">
        <v>203</v>
      </c>
      <c r="B135" s="423" t="s">
        <v>233</v>
      </c>
      <c r="C135" s="310" t="s">
        <v>112</v>
      </c>
      <c r="D135" s="420" t="s">
        <v>113</v>
      </c>
      <c r="E135" s="400" t="str">
        <f t="shared" si="15"/>
        <v>TecnologíaFiscalPosibilidad  de efecto dañoso sobre bienes de uso público</v>
      </c>
      <c r="F135" s="400" t="str">
        <f t="shared" si="16"/>
        <v>TecnologíaFiscal</v>
      </c>
      <c r="G135" s="400" t="s">
        <v>112</v>
      </c>
      <c r="H135" s="422" t="s">
        <v>279</v>
      </c>
      <c r="I135" s="421" t="s">
        <v>392</v>
      </c>
      <c r="J135" s="418" t="s">
        <v>435</v>
      </c>
      <c r="L135" s="432"/>
    </row>
    <row r="136" spans="1:12" ht="28.8">
      <c r="A136" s="423" t="s">
        <v>203</v>
      </c>
      <c r="B136" s="423" t="s">
        <v>233</v>
      </c>
      <c r="C136" s="310" t="s">
        <v>112</v>
      </c>
      <c r="D136" s="420" t="s">
        <v>198</v>
      </c>
      <c r="E136" s="400" t="str">
        <f t="shared" si="15"/>
        <v>TecnologíaFiscalPosibilidad  de efecto dañoso sobre bienes de uso fiscal</v>
      </c>
      <c r="F136" s="400" t="str">
        <f t="shared" si="16"/>
        <v>TecnologíaFiscal</v>
      </c>
      <c r="G136" s="400" t="s">
        <v>112</v>
      </c>
      <c r="H136" s="422" t="s">
        <v>279</v>
      </c>
      <c r="I136" s="421" t="s">
        <v>392</v>
      </c>
      <c r="J136" s="418" t="s">
        <v>435</v>
      </c>
      <c r="L136" s="432"/>
    </row>
    <row r="137" spans="1:12" ht="28.8">
      <c r="A137" s="423" t="s">
        <v>203</v>
      </c>
      <c r="B137" s="423" t="s">
        <v>233</v>
      </c>
      <c r="C137" s="310" t="s">
        <v>112</v>
      </c>
      <c r="D137" s="420" t="s">
        <v>200</v>
      </c>
      <c r="E137" s="400" t="str">
        <f t="shared" si="15"/>
        <v>TecnologíaFiscalPosibilidad  de efecto dañoso sobre el interes patrimonial</v>
      </c>
      <c r="F137" s="400" t="str">
        <f t="shared" si="16"/>
        <v>TecnologíaFiscal</v>
      </c>
      <c r="G137" s="400" t="s">
        <v>112</v>
      </c>
      <c r="H137" s="422" t="s">
        <v>279</v>
      </c>
      <c r="I137" s="421" t="s">
        <v>392</v>
      </c>
      <c r="J137" s="418" t="s">
        <v>435</v>
      </c>
      <c r="L137" s="432"/>
    </row>
    <row r="138" spans="1:12" ht="28.8">
      <c r="A138" s="423" t="s">
        <v>186</v>
      </c>
      <c r="B138" s="423" t="s">
        <v>210</v>
      </c>
      <c r="C138" s="310" t="s">
        <v>184</v>
      </c>
      <c r="D138" s="420" t="s">
        <v>192</v>
      </c>
      <c r="E138" s="400" t="str">
        <f t="shared" si="15"/>
        <v>InfraestructuraGestiónPosibilidad de afectación económica</v>
      </c>
      <c r="F138" s="400" t="str">
        <f t="shared" si="16"/>
        <v>InfraestructuraGestión</v>
      </c>
      <c r="G138" s="400" t="s">
        <v>184</v>
      </c>
      <c r="H138" s="422" t="s">
        <v>279</v>
      </c>
      <c r="I138" s="421" t="s">
        <v>438</v>
      </c>
      <c r="J138" s="418" t="s">
        <v>437</v>
      </c>
      <c r="L138" s="432"/>
    </row>
    <row r="139" spans="1:12" ht="28.8">
      <c r="A139" s="423" t="s">
        <v>186</v>
      </c>
      <c r="B139" s="423" t="s">
        <v>210</v>
      </c>
      <c r="C139" s="310" t="s">
        <v>184</v>
      </c>
      <c r="D139" s="420" t="s">
        <v>195</v>
      </c>
      <c r="E139" s="400" t="str">
        <f t="shared" si="15"/>
        <v>InfraestructuraGestiónPosibilidad de afectación reputacional</v>
      </c>
      <c r="F139" s="400" t="str">
        <f t="shared" si="16"/>
        <v>InfraestructuraGestión</v>
      </c>
      <c r="G139" s="400" t="s">
        <v>184</v>
      </c>
      <c r="H139" s="422" t="s">
        <v>279</v>
      </c>
      <c r="I139" s="421" t="s">
        <v>438</v>
      </c>
      <c r="J139" s="418" t="s">
        <v>437</v>
      </c>
      <c r="L139" s="432"/>
    </row>
    <row r="140" spans="1:12" ht="28.8">
      <c r="A140" s="423" t="s">
        <v>186</v>
      </c>
      <c r="B140" s="423" t="s">
        <v>210</v>
      </c>
      <c r="C140" s="310" t="s">
        <v>184</v>
      </c>
      <c r="D140" s="420" t="s">
        <v>197</v>
      </c>
      <c r="E140" s="400" t="str">
        <f t="shared" si="15"/>
        <v>InfraestructuraGestiónPosibilidad de afectación económica y reputacional</v>
      </c>
      <c r="F140" s="400" t="str">
        <f t="shared" si="16"/>
        <v>InfraestructuraGestión</v>
      </c>
      <c r="G140" s="400" t="s">
        <v>184</v>
      </c>
      <c r="H140" s="422" t="s">
        <v>279</v>
      </c>
      <c r="I140" s="421" t="s">
        <v>438</v>
      </c>
      <c r="J140" s="418" t="s">
        <v>437</v>
      </c>
      <c r="L140" s="432"/>
    </row>
    <row r="141" spans="1:12" ht="28.8">
      <c r="A141" s="423" t="s">
        <v>186</v>
      </c>
      <c r="B141" s="423" t="s">
        <v>215</v>
      </c>
      <c r="C141" s="310" t="s">
        <v>184</v>
      </c>
      <c r="D141" s="420" t="s">
        <v>192</v>
      </c>
      <c r="E141" s="400" t="str">
        <f t="shared" si="15"/>
        <v>InfraestructuraGestiónPosibilidad de afectación económica</v>
      </c>
      <c r="F141" s="400" t="str">
        <f t="shared" si="16"/>
        <v>InfraestructuraGestión</v>
      </c>
      <c r="G141" s="400" t="s">
        <v>184</v>
      </c>
      <c r="H141" s="422" t="s">
        <v>279</v>
      </c>
      <c r="I141" s="421" t="s">
        <v>438</v>
      </c>
      <c r="J141" s="418" t="s">
        <v>437</v>
      </c>
      <c r="L141" s="432"/>
    </row>
    <row r="142" spans="1:12" ht="28.8">
      <c r="A142" s="423" t="s">
        <v>186</v>
      </c>
      <c r="B142" s="423" t="s">
        <v>215</v>
      </c>
      <c r="C142" s="310" t="s">
        <v>184</v>
      </c>
      <c r="D142" s="420" t="s">
        <v>195</v>
      </c>
      <c r="E142" s="400" t="str">
        <f t="shared" si="15"/>
        <v>InfraestructuraGestiónPosibilidad de afectación reputacional</v>
      </c>
      <c r="F142" s="400" t="str">
        <f t="shared" si="16"/>
        <v>InfraestructuraGestión</v>
      </c>
      <c r="G142" s="400" t="s">
        <v>184</v>
      </c>
      <c r="H142" s="422" t="s">
        <v>279</v>
      </c>
      <c r="I142" s="421" t="s">
        <v>438</v>
      </c>
      <c r="J142" s="418" t="s">
        <v>437</v>
      </c>
      <c r="L142" s="432"/>
    </row>
    <row r="143" spans="1:12" ht="28.8">
      <c r="A143" s="423" t="s">
        <v>186</v>
      </c>
      <c r="B143" s="423" t="s">
        <v>215</v>
      </c>
      <c r="C143" s="310" t="s">
        <v>184</v>
      </c>
      <c r="D143" s="420" t="s">
        <v>197</v>
      </c>
      <c r="E143" s="400" t="str">
        <f t="shared" si="15"/>
        <v>InfraestructuraGestiónPosibilidad de afectación económica y reputacional</v>
      </c>
      <c r="F143" s="400" t="str">
        <f t="shared" si="16"/>
        <v>InfraestructuraGestión</v>
      </c>
      <c r="G143" s="400" t="s">
        <v>184</v>
      </c>
      <c r="H143" s="422" t="s">
        <v>279</v>
      </c>
      <c r="I143" s="421" t="s">
        <v>438</v>
      </c>
      <c r="J143" s="418" t="s">
        <v>437</v>
      </c>
      <c r="L143" s="432"/>
    </row>
    <row r="144" spans="1:12" ht="28.8">
      <c r="A144" s="423" t="s">
        <v>186</v>
      </c>
      <c r="B144" s="423" t="s">
        <v>222</v>
      </c>
      <c r="C144" s="310" t="s">
        <v>184</v>
      </c>
      <c r="D144" s="420" t="s">
        <v>192</v>
      </c>
      <c r="E144" s="400" t="str">
        <f t="shared" si="15"/>
        <v>InfraestructuraGestiónPosibilidad de afectación económica</v>
      </c>
      <c r="F144" s="400" t="str">
        <f t="shared" si="16"/>
        <v>InfraestructuraGestión</v>
      </c>
      <c r="G144" s="400" t="s">
        <v>184</v>
      </c>
      <c r="H144" s="422" t="s">
        <v>279</v>
      </c>
      <c r="I144" s="421" t="s">
        <v>438</v>
      </c>
      <c r="J144" s="418" t="s">
        <v>437</v>
      </c>
      <c r="L144" s="432"/>
    </row>
    <row r="145" spans="1:12" ht="28.8">
      <c r="A145" s="423" t="s">
        <v>186</v>
      </c>
      <c r="B145" s="423" t="s">
        <v>222</v>
      </c>
      <c r="C145" s="310" t="s">
        <v>184</v>
      </c>
      <c r="D145" s="420" t="s">
        <v>195</v>
      </c>
      <c r="E145" s="400" t="str">
        <f t="shared" si="15"/>
        <v>InfraestructuraGestiónPosibilidad de afectación reputacional</v>
      </c>
      <c r="F145" s="400" t="str">
        <f t="shared" si="16"/>
        <v>InfraestructuraGestión</v>
      </c>
      <c r="G145" s="400" t="s">
        <v>184</v>
      </c>
      <c r="H145" s="422" t="s">
        <v>279</v>
      </c>
      <c r="I145" s="421" t="s">
        <v>438</v>
      </c>
      <c r="J145" s="418" t="s">
        <v>437</v>
      </c>
      <c r="L145" s="432"/>
    </row>
    <row r="146" spans="1:12" ht="28.8">
      <c r="A146" s="423" t="s">
        <v>186</v>
      </c>
      <c r="B146" s="423" t="s">
        <v>222</v>
      </c>
      <c r="C146" s="310" t="s">
        <v>184</v>
      </c>
      <c r="D146" s="420" t="s">
        <v>197</v>
      </c>
      <c r="E146" s="400" t="str">
        <f t="shared" si="15"/>
        <v>InfraestructuraGestiónPosibilidad de afectación económica y reputacional</v>
      </c>
      <c r="F146" s="400" t="str">
        <f t="shared" si="16"/>
        <v>InfraestructuraGestión</v>
      </c>
      <c r="G146" s="400" t="s">
        <v>184</v>
      </c>
      <c r="H146" s="422" t="s">
        <v>279</v>
      </c>
      <c r="I146" s="421" t="s">
        <v>438</v>
      </c>
      <c r="J146" s="418" t="s">
        <v>437</v>
      </c>
      <c r="L146" s="432"/>
    </row>
    <row r="147" spans="1:12" ht="28.8">
      <c r="A147" s="423" t="s">
        <v>186</v>
      </c>
      <c r="B147" s="423" t="s">
        <v>229</v>
      </c>
      <c r="C147" s="310" t="s">
        <v>184</v>
      </c>
      <c r="D147" s="420" t="s">
        <v>192</v>
      </c>
      <c r="E147" s="400" t="str">
        <f t="shared" si="15"/>
        <v>InfraestructuraGestiónPosibilidad de afectación económica</v>
      </c>
      <c r="F147" s="400" t="str">
        <f t="shared" si="16"/>
        <v>InfraestructuraGestión</v>
      </c>
      <c r="G147" s="400" t="s">
        <v>184</v>
      </c>
      <c r="H147" s="422" t="s">
        <v>279</v>
      </c>
      <c r="I147" s="421" t="s">
        <v>438</v>
      </c>
      <c r="J147" s="418" t="s">
        <v>437</v>
      </c>
      <c r="L147" s="432"/>
    </row>
    <row r="148" spans="1:12" ht="28.8">
      <c r="A148" s="423" t="s">
        <v>186</v>
      </c>
      <c r="B148" s="423" t="s">
        <v>229</v>
      </c>
      <c r="C148" s="310" t="s">
        <v>184</v>
      </c>
      <c r="D148" s="420" t="s">
        <v>195</v>
      </c>
      <c r="E148" s="400" t="str">
        <f t="shared" si="15"/>
        <v>InfraestructuraGestiónPosibilidad de afectación reputacional</v>
      </c>
      <c r="F148" s="400" t="str">
        <f t="shared" si="16"/>
        <v>InfraestructuraGestión</v>
      </c>
      <c r="G148" s="400" t="s">
        <v>184</v>
      </c>
      <c r="H148" s="422" t="s">
        <v>279</v>
      </c>
      <c r="I148" s="421" t="s">
        <v>438</v>
      </c>
      <c r="J148" s="418" t="s">
        <v>437</v>
      </c>
      <c r="L148" s="432"/>
    </row>
    <row r="149" spans="1:12" ht="28.8">
      <c r="A149" s="426" t="s">
        <v>186</v>
      </c>
      <c r="B149" s="426" t="s">
        <v>229</v>
      </c>
      <c r="C149" s="311" t="s">
        <v>184</v>
      </c>
      <c r="D149" s="427" t="s">
        <v>197</v>
      </c>
      <c r="E149" s="400" t="str">
        <f t="shared" si="15"/>
        <v>InfraestructuraGestiónPosibilidad de afectación económica y reputacional</v>
      </c>
      <c r="F149" s="400" t="str">
        <f t="shared" si="16"/>
        <v>InfraestructuraGestión</v>
      </c>
      <c r="G149" s="400" t="s">
        <v>184</v>
      </c>
      <c r="H149" s="425" t="s">
        <v>279</v>
      </c>
      <c r="I149" s="421" t="s">
        <v>438</v>
      </c>
      <c r="J149" s="417" t="s">
        <v>437</v>
      </c>
      <c r="L149" s="432"/>
    </row>
    <row r="150" spans="1:12" ht="28.8">
      <c r="A150" s="423" t="s">
        <v>186</v>
      </c>
      <c r="B150" s="423" t="s">
        <v>210</v>
      </c>
      <c r="C150" s="310" t="s">
        <v>112</v>
      </c>
      <c r="D150" s="420" t="s">
        <v>193</v>
      </c>
      <c r="E150" s="400" t="str">
        <f t="shared" si="15"/>
        <v>InfraestructuraFiscalPosibilidad  de efecto dañoso sobre el recurso público</v>
      </c>
      <c r="F150" s="400" t="str">
        <f t="shared" si="16"/>
        <v>InfraestructuraFiscal</v>
      </c>
      <c r="G150" s="400" t="s">
        <v>112</v>
      </c>
      <c r="H150" s="421" t="s">
        <v>279</v>
      </c>
      <c r="I150" s="421" t="s">
        <v>392</v>
      </c>
      <c r="J150" s="418" t="s">
        <v>435</v>
      </c>
      <c r="L150" s="432"/>
    </row>
    <row r="151" spans="1:12" ht="28.8">
      <c r="A151" s="423" t="s">
        <v>186</v>
      </c>
      <c r="B151" s="423" t="s">
        <v>210</v>
      </c>
      <c r="C151" s="310" t="s">
        <v>112</v>
      </c>
      <c r="D151" s="420" t="s">
        <v>113</v>
      </c>
      <c r="E151" s="400" t="str">
        <f t="shared" si="15"/>
        <v>InfraestructuraFiscalPosibilidad  de efecto dañoso sobre bienes de uso público</v>
      </c>
      <c r="F151" s="400" t="str">
        <f t="shared" si="16"/>
        <v>InfraestructuraFiscal</v>
      </c>
      <c r="G151" s="400" t="s">
        <v>112</v>
      </c>
      <c r="H151" s="421" t="s">
        <v>279</v>
      </c>
      <c r="I151" s="421" t="s">
        <v>392</v>
      </c>
      <c r="J151" s="418" t="s">
        <v>435</v>
      </c>
      <c r="L151" s="432"/>
    </row>
    <row r="152" spans="1:12" ht="28.8">
      <c r="A152" s="423" t="s">
        <v>186</v>
      </c>
      <c r="B152" s="423" t="s">
        <v>210</v>
      </c>
      <c r="C152" s="310" t="s">
        <v>112</v>
      </c>
      <c r="D152" s="420" t="s">
        <v>198</v>
      </c>
      <c r="E152" s="400" t="str">
        <f t="shared" si="15"/>
        <v>InfraestructuraFiscalPosibilidad  de efecto dañoso sobre bienes de uso fiscal</v>
      </c>
      <c r="F152" s="400" t="str">
        <f t="shared" si="16"/>
        <v>InfraestructuraFiscal</v>
      </c>
      <c r="G152" s="400" t="s">
        <v>112</v>
      </c>
      <c r="H152" s="421" t="s">
        <v>279</v>
      </c>
      <c r="I152" s="421" t="s">
        <v>392</v>
      </c>
      <c r="J152" s="418" t="s">
        <v>435</v>
      </c>
      <c r="L152" s="432"/>
    </row>
    <row r="153" spans="1:12" ht="28.8">
      <c r="A153" s="423" t="s">
        <v>186</v>
      </c>
      <c r="B153" s="423" t="s">
        <v>210</v>
      </c>
      <c r="C153" s="310" t="s">
        <v>112</v>
      </c>
      <c r="D153" s="420" t="s">
        <v>200</v>
      </c>
      <c r="E153" s="400" t="str">
        <f t="shared" si="15"/>
        <v>InfraestructuraFiscalPosibilidad  de efecto dañoso sobre el interes patrimonial</v>
      </c>
      <c r="F153" s="400" t="str">
        <f t="shared" si="16"/>
        <v>InfraestructuraFiscal</v>
      </c>
      <c r="G153" s="400" t="s">
        <v>112</v>
      </c>
      <c r="H153" s="421" t="s">
        <v>279</v>
      </c>
      <c r="I153" s="421" t="s">
        <v>392</v>
      </c>
      <c r="J153" s="418" t="s">
        <v>435</v>
      </c>
      <c r="L153" s="432"/>
    </row>
    <row r="154" spans="1:12" ht="28.8">
      <c r="A154" s="423" t="s">
        <v>186</v>
      </c>
      <c r="B154" s="423" t="s">
        <v>215</v>
      </c>
      <c r="C154" s="310" t="s">
        <v>112</v>
      </c>
      <c r="D154" s="420" t="s">
        <v>193</v>
      </c>
      <c r="E154" s="400" t="str">
        <f t="shared" si="15"/>
        <v>InfraestructuraFiscalPosibilidad  de efecto dañoso sobre el recurso público</v>
      </c>
      <c r="F154" s="400" t="str">
        <f t="shared" si="16"/>
        <v>InfraestructuraFiscal</v>
      </c>
      <c r="G154" s="400" t="s">
        <v>112</v>
      </c>
      <c r="H154" s="421" t="s">
        <v>279</v>
      </c>
      <c r="I154" s="421" t="s">
        <v>392</v>
      </c>
      <c r="J154" s="418" t="s">
        <v>435</v>
      </c>
      <c r="L154" s="432"/>
    </row>
    <row r="155" spans="1:12" ht="28.8">
      <c r="A155" s="423" t="s">
        <v>186</v>
      </c>
      <c r="B155" s="423" t="s">
        <v>215</v>
      </c>
      <c r="C155" s="310" t="s">
        <v>112</v>
      </c>
      <c r="D155" s="420" t="s">
        <v>113</v>
      </c>
      <c r="E155" s="400" t="str">
        <f t="shared" si="15"/>
        <v>InfraestructuraFiscalPosibilidad  de efecto dañoso sobre bienes de uso público</v>
      </c>
      <c r="F155" s="400" t="str">
        <f t="shared" si="16"/>
        <v>InfraestructuraFiscal</v>
      </c>
      <c r="G155" s="400" t="s">
        <v>112</v>
      </c>
      <c r="H155" s="421" t="s">
        <v>279</v>
      </c>
      <c r="I155" s="421" t="s">
        <v>392</v>
      </c>
      <c r="J155" s="418" t="s">
        <v>435</v>
      </c>
      <c r="L155" s="432"/>
    </row>
    <row r="156" spans="1:12" ht="28.8">
      <c r="A156" s="423" t="s">
        <v>186</v>
      </c>
      <c r="B156" s="423" t="s">
        <v>215</v>
      </c>
      <c r="C156" s="310" t="s">
        <v>112</v>
      </c>
      <c r="D156" s="420" t="s">
        <v>198</v>
      </c>
      <c r="E156" s="400" t="str">
        <f t="shared" si="15"/>
        <v>InfraestructuraFiscalPosibilidad  de efecto dañoso sobre bienes de uso fiscal</v>
      </c>
      <c r="F156" s="400" t="str">
        <f t="shared" si="16"/>
        <v>InfraestructuraFiscal</v>
      </c>
      <c r="G156" s="400" t="s">
        <v>112</v>
      </c>
      <c r="H156" s="421" t="s">
        <v>279</v>
      </c>
      <c r="I156" s="421" t="s">
        <v>392</v>
      </c>
      <c r="J156" s="418" t="s">
        <v>435</v>
      </c>
      <c r="L156" s="432"/>
    </row>
    <row r="157" spans="1:12" ht="28.8">
      <c r="A157" s="423" t="s">
        <v>186</v>
      </c>
      <c r="B157" s="423" t="s">
        <v>215</v>
      </c>
      <c r="C157" s="310" t="s">
        <v>112</v>
      </c>
      <c r="D157" s="420" t="s">
        <v>200</v>
      </c>
      <c r="E157" s="400" t="str">
        <f t="shared" si="15"/>
        <v>InfraestructuraFiscalPosibilidad  de efecto dañoso sobre el interes patrimonial</v>
      </c>
      <c r="F157" s="400" t="str">
        <f t="shared" si="16"/>
        <v>InfraestructuraFiscal</v>
      </c>
      <c r="G157" s="400" t="s">
        <v>112</v>
      </c>
      <c r="H157" s="421" t="s">
        <v>279</v>
      </c>
      <c r="I157" s="421" t="s">
        <v>392</v>
      </c>
      <c r="J157" s="418" t="s">
        <v>435</v>
      </c>
      <c r="L157" s="432"/>
    </row>
    <row r="158" spans="1:12" ht="28.8">
      <c r="A158" s="423" t="s">
        <v>186</v>
      </c>
      <c r="B158" s="423" t="s">
        <v>222</v>
      </c>
      <c r="C158" s="310" t="s">
        <v>112</v>
      </c>
      <c r="D158" s="420" t="s">
        <v>193</v>
      </c>
      <c r="E158" s="400" t="str">
        <f t="shared" si="15"/>
        <v>InfraestructuraFiscalPosibilidad  de efecto dañoso sobre el recurso público</v>
      </c>
      <c r="F158" s="400" t="str">
        <f t="shared" si="16"/>
        <v>InfraestructuraFiscal</v>
      </c>
      <c r="G158" s="400" t="s">
        <v>112</v>
      </c>
      <c r="H158" s="421" t="s">
        <v>279</v>
      </c>
      <c r="I158" s="421" t="s">
        <v>392</v>
      </c>
      <c r="J158" s="418" t="s">
        <v>435</v>
      </c>
      <c r="L158" s="432"/>
    </row>
    <row r="159" spans="1:12" ht="28.8">
      <c r="A159" s="423" t="s">
        <v>186</v>
      </c>
      <c r="B159" s="423" t="s">
        <v>222</v>
      </c>
      <c r="C159" s="310" t="s">
        <v>112</v>
      </c>
      <c r="D159" s="420" t="s">
        <v>113</v>
      </c>
      <c r="E159" s="400" t="str">
        <f t="shared" si="15"/>
        <v>InfraestructuraFiscalPosibilidad  de efecto dañoso sobre bienes de uso público</v>
      </c>
      <c r="F159" s="400" t="str">
        <f t="shared" si="16"/>
        <v>InfraestructuraFiscal</v>
      </c>
      <c r="G159" s="400" t="s">
        <v>112</v>
      </c>
      <c r="H159" s="421" t="s">
        <v>279</v>
      </c>
      <c r="I159" s="421" t="s">
        <v>392</v>
      </c>
      <c r="J159" s="418" t="s">
        <v>435</v>
      </c>
      <c r="L159" s="432"/>
    </row>
    <row r="160" spans="1:12" ht="28.8">
      <c r="A160" s="423" t="s">
        <v>186</v>
      </c>
      <c r="B160" s="423" t="s">
        <v>222</v>
      </c>
      <c r="C160" s="310" t="s">
        <v>112</v>
      </c>
      <c r="D160" s="420" t="s">
        <v>198</v>
      </c>
      <c r="E160" s="400" t="str">
        <f t="shared" si="15"/>
        <v>InfraestructuraFiscalPosibilidad  de efecto dañoso sobre bienes de uso fiscal</v>
      </c>
      <c r="F160" s="400" t="str">
        <f t="shared" si="16"/>
        <v>InfraestructuraFiscal</v>
      </c>
      <c r="G160" s="400" t="s">
        <v>112</v>
      </c>
      <c r="H160" s="421" t="s">
        <v>279</v>
      </c>
      <c r="I160" s="421" t="s">
        <v>392</v>
      </c>
      <c r="J160" s="418" t="s">
        <v>435</v>
      </c>
      <c r="L160" s="432"/>
    </row>
    <row r="161" spans="1:12" ht="28.8">
      <c r="A161" s="423" t="s">
        <v>186</v>
      </c>
      <c r="B161" s="423" t="s">
        <v>222</v>
      </c>
      <c r="C161" s="310" t="s">
        <v>112</v>
      </c>
      <c r="D161" s="420" t="s">
        <v>200</v>
      </c>
      <c r="E161" s="400" t="str">
        <f t="shared" si="15"/>
        <v>InfraestructuraFiscalPosibilidad  de efecto dañoso sobre el interes patrimonial</v>
      </c>
      <c r="F161" s="400" t="str">
        <f t="shared" si="16"/>
        <v>InfraestructuraFiscal</v>
      </c>
      <c r="G161" s="400" t="s">
        <v>112</v>
      </c>
      <c r="H161" s="421" t="s">
        <v>279</v>
      </c>
      <c r="I161" s="421" t="s">
        <v>392</v>
      </c>
      <c r="J161" s="418" t="s">
        <v>435</v>
      </c>
      <c r="L161" s="432"/>
    </row>
    <row r="162" spans="1:12" ht="28.8">
      <c r="A162" s="423" t="s">
        <v>186</v>
      </c>
      <c r="B162" s="423" t="s">
        <v>229</v>
      </c>
      <c r="C162" s="310" t="s">
        <v>112</v>
      </c>
      <c r="D162" s="420" t="s">
        <v>193</v>
      </c>
      <c r="E162" s="400" t="str">
        <f t="shared" si="15"/>
        <v>InfraestructuraFiscalPosibilidad  de efecto dañoso sobre el recurso público</v>
      </c>
      <c r="F162" s="400" t="str">
        <f t="shared" si="16"/>
        <v>InfraestructuraFiscal</v>
      </c>
      <c r="G162" s="400" t="s">
        <v>112</v>
      </c>
      <c r="H162" s="421" t="s">
        <v>279</v>
      </c>
      <c r="I162" s="421" t="s">
        <v>392</v>
      </c>
      <c r="J162" s="418" t="s">
        <v>435</v>
      </c>
      <c r="L162" s="432"/>
    </row>
    <row r="163" spans="1:12" ht="28.8">
      <c r="A163" s="423" t="s">
        <v>186</v>
      </c>
      <c r="B163" s="423" t="s">
        <v>229</v>
      </c>
      <c r="C163" s="310" t="s">
        <v>112</v>
      </c>
      <c r="D163" s="420" t="s">
        <v>113</v>
      </c>
      <c r="E163" s="400" t="str">
        <f t="shared" si="15"/>
        <v>InfraestructuraFiscalPosibilidad  de efecto dañoso sobre bienes de uso público</v>
      </c>
      <c r="F163" s="400" t="str">
        <f t="shared" si="16"/>
        <v>InfraestructuraFiscal</v>
      </c>
      <c r="G163" s="400" t="s">
        <v>112</v>
      </c>
      <c r="H163" s="421" t="s">
        <v>279</v>
      </c>
      <c r="I163" s="421" t="s">
        <v>392</v>
      </c>
      <c r="J163" s="418" t="s">
        <v>435</v>
      </c>
      <c r="L163" s="432"/>
    </row>
    <row r="164" spans="1:12" ht="28.8">
      <c r="A164" s="426" t="s">
        <v>186</v>
      </c>
      <c r="B164" s="426" t="s">
        <v>229</v>
      </c>
      <c r="C164" s="310" t="s">
        <v>112</v>
      </c>
      <c r="D164" s="420" t="s">
        <v>198</v>
      </c>
      <c r="E164" s="400" t="str">
        <f t="shared" si="15"/>
        <v>InfraestructuraFiscalPosibilidad  de efecto dañoso sobre bienes de uso fiscal</v>
      </c>
      <c r="F164" s="400" t="str">
        <f t="shared" si="16"/>
        <v>InfraestructuraFiscal</v>
      </c>
      <c r="G164" s="400" t="s">
        <v>112</v>
      </c>
      <c r="H164" s="421" t="s">
        <v>279</v>
      </c>
      <c r="I164" s="421" t="s">
        <v>392</v>
      </c>
      <c r="J164" s="418" t="s">
        <v>435</v>
      </c>
      <c r="L164" s="432"/>
    </row>
    <row r="165" spans="1:12" ht="28.8">
      <c r="A165" s="426" t="s">
        <v>186</v>
      </c>
      <c r="B165" s="426" t="s">
        <v>229</v>
      </c>
      <c r="C165" s="310" t="s">
        <v>112</v>
      </c>
      <c r="D165" s="420" t="s">
        <v>200</v>
      </c>
      <c r="E165" s="400" t="str">
        <f t="shared" si="15"/>
        <v>InfraestructuraFiscalPosibilidad  de efecto dañoso sobre el interes patrimonial</v>
      </c>
      <c r="F165" s="400" t="str">
        <f t="shared" si="16"/>
        <v>InfraestructuraFiscal</v>
      </c>
      <c r="G165" s="400" t="s">
        <v>112</v>
      </c>
      <c r="H165" s="421" t="s">
        <v>279</v>
      </c>
      <c r="I165" s="421" t="s">
        <v>392</v>
      </c>
      <c r="J165" s="418" t="s">
        <v>435</v>
      </c>
      <c r="L165" s="432"/>
    </row>
    <row r="166" spans="1:12" ht="28.8">
      <c r="A166" s="423" t="s">
        <v>204</v>
      </c>
      <c r="B166" s="423" t="s">
        <v>211</v>
      </c>
      <c r="C166" s="310" t="s">
        <v>184</v>
      </c>
      <c r="D166" s="420" t="s">
        <v>192</v>
      </c>
      <c r="E166" s="400" t="str">
        <f t="shared" si="15"/>
        <v>Evento_externoGestiónPosibilidad de afectación económica</v>
      </c>
      <c r="F166" s="400" t="str">
        <f t="shared" si="16"/>
        <v>Evento_externoGestión</v>
      </c>
      <c r="G166" s="400" t="s">
        <v>184</v>
      </c>
      <c r="H166" s="421" t="s">
        <v>279</v>
      </c>
      <c r="I166" s="421" t="s">
        <v>438</v>
      </c>
      <c r="J166" s="418" t="s">
        <v>437</v>
      </c>
      <c r="L166" s="432"/>
    </row>
    <row r="167" spans="1:12" ht="28.8">
      <c r="A167" s="423" t="s">
        <v>204</v>
      </c>
      <c r="B167" s="423" t="s">
        <v>211</v>
      </c>
      <c r="C167" s="310" t="s">
        <v>184</v>
      </c>
      <c r="D167" s="420" t="s">
        <v>195</v>
      </c>
      <c r="E167" s="400" t="str">
        <f t="shared" si="15"/>
        <v>Evento_externoGestiónPosibilidad de afectación reputacional</v>
      </c>
      <c r="F167" s="400" t="str">
        <f t="shared" si="16"/>
        <v>Evento_externoGestión</v>
      </c>
      <c r="G167" s="400" t="s">
        <v>184</v>
      </c>
      <c r="H167" s="421" t="s">
        <v>279</v>
      </c>
      <c r="I167" s="421" t="s">
        <v>438</v>
      </c>
      <c r="J167" s="418" t="s">
        <v>437</v>
      </c>
      <c r="L167" s="432"/>
    </row>
    <row r="168" spans="1:12" ht="28.8">
      <c r="A168" s="423" t="s">
        <v>204</v>
      </c>
      <c r="B168" s="423" t="s">
        <v>211</v>
      </c>
      <c r="C168" s="310" t="s">
        <v>184</v>
      </c>
      <c r="D168" s="420" t="s">
        <v>197</v>
      </c>
      <c r="E168" s="400" t="str">
        <f t="shared" si="15"/>
        <v>Evento_externoGestiónPosibilidad de afectación económica y reputacional</v>
      </c>
      <c r="F168" s="400" t="str">
        <f t="shared" si="16"/>
        <v>Evento_externoGestión</v>
      </c>
      <c r="G168" s="400" t="s">
        <v>184</v>
      </c>
      <c r="H168" s="421" t="s">
        <v>279</v>
      </c>
      <c r="I168" s="421" t="s">
        <v>438</v>
      </c>
      <c r="J168" s="418" t="s">
        <v>437</v>
      </c>
      <c r="L168" s="432"/>
    </row>
    <row r="169" spans="1:12" ht="28.8">
      <c r="A169" s="423" t="s">
        <v>204</v>
      </c>
      <c r="B169" s="424" t="s">
        <v>216</v>
      </c>
      <c r="C169" s="310" t="s">
        <v>184</v>
      </c>
      <c r="D169" s="420" t="s">
        <v>192</v>
      </c>
      <c r="E169" s="400" t="str">
        <f t="shared" si="15"/>
        <v>Evento_externoGestiónPosibilidad de afectación económica</v>
      </c>
      <c r="F169" s="400" t="str">
        <f t="shared" si="16"/>
        <v>Evento_externoGestión</v>
      </c>
      <c r="G169" s="400" t="s">
        <v>184</v>
      </c>
      <c r="H169" s="421" t="s">
        <v>279</v>
      </c>
      <c r="I169" s="421" t="s">
        <v>438</v>
      </c>
      <c r="J169" s="418" t="s">
        <v>437</v>
      </c>
      <c r="L169" s="432"/>
    </row>
    <row r="170" spans="1:12" ht="28.8">
      <c r="A170" s="423" t="s">
        <v>204</v>
      </c>
      <c r="B170" s="424" t="s">
        <v>216</v>
      </c>
      <c r="C170" s="310" t="s">
        <v>184</v>
      </c>
      <c r="D170" s="420" t="s">
        <v>195</v>
      </c>
      <c r="E170" s="400" t="str">
        <f t="shared" si="15"/>
        <v>Evento_externoGestiónPosibilidad de afectación reputacional</v>
      </c>
      <c r="F170" s="400" t="str">
        <f t="shared" si="16"/>
        <v>Evento_externoGestión</v>
      </c>
      <c r="G170" s="400" t="s">
        <v>184</v>
      </c>
      <c r="H170" s="421" t="s">
        <v>279</v>
      </c>
      <c r="I170" s="421" t="s">
        <v>438</v>
      </c>
      <c r="J170" s="418" t="s">
        <v>437</v>
      </c>
      <c r="L170" s="432"/>
    </row>
    <row r="171" spans="1:12" ht="28.8">
      <c r="A171" s="423" t="s">
        <v>204</v>
      </c>
      <c r="B171" s="424" t="s">
        <v>216</v>
      </c>
      <c r="C171" s="310" t="s">
        <v>184</v>
      </c>
      <c r="D171" s="420" t="s">
        <v>197</v>
      </c>
      <c r="E171" s="400" t="str">
        <f t="shared" si="15"/>
        <v>Evento_externoGestiónPosibilidad de afectación económica y reputacional</v>
      </c>
      <c r="F171" s="400" t="str">
        <f t="shared" si="16"/>
        <v>Evento_externoGestión</v>
      </c>
      <c r="G171" s="400" t="s">
        <v>184</v>
      </c>
      <c r="H171" s="421" t="s">
        <v>279</v>
      </c>
      <c r="I171" s="421" t="s">
        <v>438</v>
      </c>
      <c r="J171" s="418" t="s">
        <v>437</v>
      </c>
      <c r="L171" s="432"/>
    </row>
    <row r="172" spans="1:12" ht="28.8">
      <c r="A172" s="423" t="s">
        <v>204</v>
      </c>
      <c r="B172" s="424" t="s">
        <v>223</v>
      </c>
      <c r="C172" s="310" t="s">
        <v>184</v>
      </c>
      <c r="D172" s="420" t="s">
        <v>192</v>
      </c>
      <c r="E172" s="400" t="str">
        <f t="shared" si="15"/>
        <v>Evento_externoGestiónPosibilidad de afectación económica</v>
      </c>
      <c r="F172" s="400" t="str">
        <f t="shared" si="16"/>
        <v>Evento_externoGestión</v>
      </c>
      <c r="G172" s="400" t="s">
        <v>184</v>
      </c>
      <c r="H172" s="421" t="s">
        <v>279</v>
      </c>
      <c r="I172" s="421" t="s">
        <v>438</v>
      </c>
      <c r="J172" s="418" t="s">
        <v>437</v>
      </c>
      <c r="L172" s="432"/>
    </row>
    <row r="173" spans="1:12" ht="28.8">
      <c r="A173" s="423" t="s">
        <v>204</v>
      </c>
      <c r="B173" s="424" t="s">
        <v>223</v>
      </c>
      <c r="C173" s="310" t="s">
        <v>184</v>
      </c>
      <c r="D173" s="420" t="s">
        <v>195</v>
      </c>
      <c r="E173" s="400" t="str">
        <f t="shared" si="15"/>
        <v>Evento_externoGestiónPosibilidad de afectación reputacional</v>
      </c>
      <c r="F173" s="400" t="str">
        <f t="shared" si="16"/>
        <v>Evento_externoGestión</v>
      </c>
      <c r="G173" s="400" t="s">
        <v>184</v>
      </c>
      <c r="H173" s="421" t="s">
        <v>279</v>
      </c>
      <c r="I173" s="421" t="s">
        <v>438</v>
      </c>
      <c r="J173" s="418" t="s">
        <v>437</v>
      </c>
      <c r="L173" s="432"/>
    </row>
    <row r="174" spans="1:12" ht="28.8">
      <c r="A174" s="423" t="s">
        <v>204</v>
      </c>
      <c r="B174" s="424" t="s">
        <v>223</v>
      </c>
      <c r="C174" s="310" t="s">
        <v>184</v>
      </c>
      <c r="D174" s="420" t="s">
        <v>197</v>
      </c>
      <c r="E174" s="400" t="str">
        <f t="shared" si="15"/>
        <v>Evento_externoGestiónPosibilidad de afectación económica y reputacional</v>
      </c>
      <c r="F174" s="400" t="str">
        <f t="shared" si="16"/>
        <v>Evento_externoGestión</v>
      </c>
      <c r="G174" s="400" t="s">
        <v>184</v>
      </c>
      <c r="H174" s="421" t="s">
        <v>279</v>
      </c>
      <c r="I174" s="421" t="s">
        <v>438</v>
      </c>
      <c r="J174" s="418" t="s">
        <v>437</v>
      </c>
      <c r="L174" s="432"/>
    </row>
    <row r="175" spans="1:12" ht="28.8">
      <c r="A175" s="423" t="s">
        <v>204</v>
      </c>
      <c r="B175" s="424" t="s">
        <v>230</v>
      </c>
      <c r="C175" s="310" t="s">
        <v>184</v>
      </c>
      <c r="D175" s="420" t="s">
        <v>197</v>
      </c>
      <c r="E175" s="400" t="str">
        <f t="shared" si="15"/>
        <v>Evento_externoGestiónPosibilidad de afectación económica y reputacional</v>
      </c>
      <c r="F175" s="400" t="str">
        <f t="shared" si="16"/>
        <v>Evento_externoGestión</v>
      </c>
      <c r="G175" s="400" t="s">
        <v>184</v>
      </c>
      <c r="H175" s="421" t="s">
        <v>279</v>
      </c>
      <c r="I175" s="421" t="s">
        <v>438</v>
      </c>
      <c r="J175" s="418" t="s">
        <v>437</v>
      </c>
      <c r="L175" s="432"/>
    </row>
    <row r="176" spans="1:12" ht="28.8">
      <c r="A176" s="423" t="s">
        <v>204</v>
      </c>
      <c r="B176" s="424" t="s">
        <v>230</v>
      </c>
      <c r="C176" s="310" t="s">
        <v>184</v>
      </c>
      <c r="D176" s="420" t="s">
        <v>197</v>
      </c>
      <c r="E176" s="400" t="str">
        <f t="shared" si="15"/>
        <v>Evento_externoGestiónPosibilidad de afectación económica y reputacional</v>
      </c>
      <c r="F176" s="400" t="str">
        <f t="shared" si="16"/>
        <v>Evento_externoGestión</v>
      </c>
      <c r="G176" s="400" t="s">
        <v>184</v>
      </c>
      <c r="H176" s="421" t="s">
        <v>279</v>
      </c>
      <c r="I176" s="421" t="s">
        <v>438</v>
      </c>
      <c r="J176" s="418" t="s">
        <v>437</v>
      </c>
      <c r="L176" s="432"/>
    </row>
    <row r="177" spans="1:12" ht="28.8">
      <c r="A177" s="423" t="s">
        <v>204</v>
      </c>
      <c r="B177" s="424" t="s">
        <v>230</v>
      </c>
      <c r="C177" s="310" t="s">
        <v>184</v>
      </c>
      <c r="D177" s="420" t="s">
        <v>197</v>
      </c>
      <c r="E177" s="400" t="str">
        <f t="shared" si="15"/>
        <v>Evento_externoGestiónPosibilidad de afectación económica y reputacional</v>
      </c>
      <c r="F177" s="400" t="str">
        <f t="shared" si="16"/>
        <v>Evento_externoGestión</v>
      </c>
      <c r="G177" s="400" t="s">
        <v>184</v>
      </c>
      <c r="H177" s="421" t="s">
        <v>279</v>
      </c>
      <c r="I177" s="421" t="s">
        <v>438</v>
      </c>
      <c r="J177" s="418" t="s">
        <v>437</v>
      </c>
      <c r="L177" s="432"/>
    </row>
    <row r="178" spans="1:12" ht="28.8">
      <c r="A178" s="423" t="s">
        <v>204</v>
      </c>
      <c r="B178" s="423" t="s">
        <v>211</v>
      </c>
      <c r="C178" s="310" t="s">
        <v>112</v>
      </c>
      <c r="D178" s="420" t="s">
        <v>193</v>
      </c>
      <c r="E178" s="400" t="str">
        <f t="shared" si="15"/>
        <v>Evento_externoFiscalPosibilidad  de efecto dañoso sobre el recurso público</v>
      </c>
      <c r="F178" s="400" t="str">
        <f t="shared" si="16"/>
        <v>Evento_externoFiscal</v>
      </c>
      <c r="G178" s="400" t="s">
        <v>112</v>
      </c>
      <c r="H178" s="421" t="s">
        <v>279</v>
      </c>
      <c r="I178" s="421" t="s">
        <v>392</v>
      </c>
      <c r="J178" s="418" t="s">
        <v>435</v>
      </c>
      <c r="L178" s="432"/>
    </row>
    <row r="179" spans="1:12" ht="28.8">
      <c r="A179" s="423" t="s">
        <v>204</v>
      </c>
      <c r="B179" s="423" t="s">
        <v>211</v>
      </c>
      <c r="C179" s="310" t="s">
        <v>112</v>
      </c>
      <c r="D179" s="420" t="s">
        <v>113</v>
      </c>
      <c r="E179" s="400" t="str">
        <f t="shared" si="15"/>
        <v>Evento_externoFiscalPosibilidad  de efecto dañoso sobre bienes de uso público</v>
      </c>
      <c r="F179" s="400" t="str">
        <f t="shared" si="16"/>
        <v>Evento_externoFiscal</v>
      </c>
      <c r="G179" s="400" t="s">
        <v>112</v>
      </c>
      <c r="H179" s="421" t="s">
        <v>279</v>
      </c>
      <c r="I179" s="421" t="s">
        <v>392</v>
      </c>
      <c r="J179" s="418" t="s">
        <v>435</v>
      </c>
      <c r="L179" s="432"/>
    </row>
    <row r="180" spans="1:12" ht="28.8">
      <c r="A180" s="423" t="s">
        <v>204</v>
      </c>
      <c r="B180" s="423" t="s">
        <v>211</v>
      </c>
      <c r="C180" s="310" t="s">
        <v>112</v>
      </c>
      <c r="D180" s="420" t="s">
        <v>198</v>
      </c>
      <c r="E180" s="400" t="str">
        <f t="shared" si="15"/>
        <v>Evento_externoFiscalPosibilidad  de efecto dañoso sobre bienes de uso fiscal</v>
      </c>
      <c r="F180" s="400" t="str">
        <f t="shared" si="16"/>
        <v>Evento_externoFiscal</v>
      </c>
      <c r="G180" s="400" t="s">
        <v>112</v>
      </c>
      <c r="H180" s="421" t="s">
        <v>279</v>
      </c>
      <c r="I180" s="421" t="s">
        <v>392</v>
      </c>
      <c r="J180" s="418" t="s">
        <v>435</v>
      </c>
      <c r="L180" s="432"/>
    </row>
    <row r="181" spans="1:12" ht="28.8">
      <c r="A181" s="423" t="s">
        <v>204</v>
      </c>
      <c r="B181" s="423" t="s">
        <v>211</v>
      </c>
      <c r="C181" s="310" t="s">
        <v>112</v>
      </c>
      <c r="D181" s="420" t="s">
        <v>200</v>
      </c>
      <c r="E181" s="400" t="str">
        <f t="shared" si="15"/>
        <v>Evento_externoFiscalPosibilidad  de efecto dañoso sobre el interes patrimonial</v>
      </c>
      <c r="F181" s="400" t="str">
        <f t="shared" si="16"/>
        <v>Evento_externoFiscal</v>
      </c>
      <c r="G181" s="400" t="s">
        <v>112</v>
      </c>
      <c r="H181" s="421" t="s">
        <v>279</v>
      </c>
      <c r="I181" s="421" t="s">
        <v>392</v>
      </c>
      <c r="J181" s="418" t="s">
        <v>435</v>
      </c>
      <c r="L181" s="432"/>
    </row>
    <row r="182" spans="1:12" ht="28.8">
      <c r="A182" s="423" t="s">
        <v>204</v>
      </c>
      <c r="B182" s="424" t="s">
        <v>216</v>
      </c>
      <c r="C182" s="310" t="s">
        <v>112</v>
      </c>
      <c r="D182" s="420" t="s">
        <v>193</v>
      </c>
      <c r="E182" s="400" t="str">
        <f t="shared" si="15"/>
        <v>Evento_externoFiscalPosibilidad  de efecto dañoso sobre el recurso público</v>
      </c>
      <c r="F182" s="400" t="str">
        <f t="shared" si="16"/>
        <v>Evento_externoFiscal</v>
      </c>
      <c r="G182" s="400" t="s">
        <v>112</v>
      </c>
      <c r="H182" s="421" t="s">
        <v>279</v>
      </c>
      <c r="I182" s="421" t="s">
        <v>392</v>
      </c>
      <c r="J182" s="418" t="s">
        <v>435</v>
      </c>
      <c r="L182" s="432"/>
    </row>
    <row r="183" spans="1:12" ht="28.8">
      <c r="A183" s="423" t="s">
        <v>204</v>
      </c>
      <c r="B183" s="424" t="s">
        <v>216</v>
      </c>
      <c r="C183" s="310" t="s">
        <v>112</v>
      </c>
      <c r="D183" s="420" t="s">
        <v>113</v>
      </c>
      <c r="E183" s="400" t="str">
        <f t="shared" si="15"/>
        <v>Evento_externoFiscalPosibilidad  de efecto dañoso sobre bienes de uso público</v>
      </c>
      <c r="F183" s="400" t="str">
        <f t="shared" si="16"/>
        <v>Evento_externoFiscal</v>
      </c>
      <c r="G183" s="400" t="s">
        <v>112</v>
      </c>
      <c r="H183" s="421" t="s">
        <v>279</v>
      </c>
      <c r="I183" s="421" t="s">
        <v>392</v>
      </c>
      <c r="J183" s="418" t="s">
        <v>435</v>
      </c>
      <c r="L183" s="432"/>
    </row>
    <row r="184" spans="1:12" ht="28.8">
      <c r="A184" s="423" t="s">
        <v>204</v>
      </c>
      <c r="B184" s="424" t="s">
        <v>216</v>
      </c>
      <c r="C184" s="310" t="s">
        <v>112</v>
      </c>
      <c r="D184" s="420" t="s">
        <v>198</v>
      </c>
      <c r="E184" s="400" t="str">
        <f t="shared" si="15"/>
        <v>Evento_externoFiscalPosibilidad  de efecto dañoso sobre bienes de uso fiscal</v>
      </c>
      <c r="F184" s="400" t="str">
        <f t="shared" si="16"/>
        <v>Evento_externoFiscal</v>
      </c>
      <c r="G184" s="400" t="s">
        <v>112</v>
      </c>
      <c r="H184" s="421" t="s">
        <v>279</v>
      </c>
      <c r="I184" s="421" t="s">
        <v>392</v>
      </c>
      <c r="J184" s="418" t="s">
        <v>435</v>
      </c>
      <c r="L184" s="432"/>
    </row>
    <row r="185" spans="1:12" ht="28.8">
      <c r="A185" s="423" t="s">
        <v>204</v>
      </c>
      <c r="B185" s="424" t="s">
        <v>216</v>
      </c>
      <c r="C185" s="310" t="s">
        <v>112</v>
      </c>
      <c r="D185" s="420" t="s">
        <v>200</v>
      </c>
      <c r="E185" s="400" t="str">
        <f t="shared" si="15"/>
        <v>Evento_externoFiscalPosibilidad  de efecto dañoso sobre el interes patrimonial</v>
      </c>
      <c r="F185" s="400" t="str">
        <f t="shared" si="16"/>
        <v>Evento_externoFiscal</v>
      </c>
      <c r="G185" s="400" t="s">
        <v>112</v>
      </c>
      <c r="H185" s="421" t="s">
        <v>279</v>
      </c>
      <c r="I185" s="421" t="s">
        <v>392</v>
      </c>
      <c r="J185" s="418" t="s">
        <v>435</v>
      </c>
      <c r="L185" s="432"/>
    </row>
    <row r="186" spans="1:12" ht="28.8">
      <c r="A186" s="423" t="s">
        <v>204</v>
      </c>
      <c r="B186" s="420" t="s">
        <v>223</v>
      </c>
      <c r="C186" s="310" t="s">
        <v>112</v>
      </c>
      <c r="D186" s="420" t="s">
        <v>193</v>
      </c>
      <c r="E186" s="400" t="str">
        <f t="shared" si="15"/>
        <v>Evento_externoFiscalPosibilidad  de efecto dañoso sobre el recurso público</v>
      </c>
      <c r="F186" s="400" t="str">
        <f t="shared" si="16"/>
        <v>Evento_externoFiscal</v>
      </c>
      <c r="G186" s="400" t="s">
        <v>112</v>
      </c>
      <c r="H186" s="421" t="s">
        <v>279</v>
      </c>
      <c r="I186" s="421" t="s">
        <v>392</v>
      </c>
      <c r="J186" s="418" t="s">
        <v>435</v>
      </c>
      <c r="L186" s="432"/>
    </row>
    <row r="187" spans="1:12" ht="28.8">
      <c r="A187" s="423" t="s">
        <v>204</v>
      </c>
      <c r="B187" s="420" t="s">
        <v>223</v>
      </c>
      <c r="C187" s="310" t="s">
        <v>112</v>
      </c>
      <c r="D187" s="420" t="s">
        <v>113</v>
      </c>
      <c r="E187" s="400" t="str">
        <f t="shared" si="15"/>
        <v>Evento_externoFiscalPosibilidad  de efecto dañoso sobre bienes de uso público</v>
      </c>
      <c r="F187" s="400" t="str">
        <f t="shared" si="16"/>
        <v>Evento_externoFiscal</v>
      </c>
      <c r="G187" s="400" t="s">
        <v>112</v>
      </c>
      <c r="H187" s="421" t="s">
        <v>279</v>
      </c>
      <c r="I187" s="421" t="s">
        <v>392</v>
      </c>
      <c r="J187" s="418" t="s">
        <v>435</v>
      </c>
      <c r="L187" s="432"/>
    </row>
    <row r="188" spans="1:12" ht="28.8">
      <c r="A188" s="423" t="s">
        <v>204</v>
      </c>
      <c r="B188" s="420" t="s">
        <v>223</v>
      </c>
      <c r="C188" s="310" t="s">
        <v>112</v>
      </c>
      <c r="D188" s="420" t="s">
        <v>198</v>
      </c>
      <c r="E188" s="400" t="str">
        <f t="shared" si="15"/>
        <v>Evento_externoFiscalPosibilidad  de efecto dañoso sobre bienes de uso fiscal</v>
      </c>
      <c r="F188" s="400" t="str">
        <f t="shared" si="16"/>
        <v>Evento_externoFiscal</v>
      </c>
      <c r="G188" s="400" t="s">
        <v>112</v>
      </c>
      <c r="H188" s="421" t="s">
        <v>279</v>
      </c>
      <c r="I188" s="421" t="s">
        <v>392</v>
      </c>
      <c r="J188" s="418" t="s">
        <v>435</v>
      </c>
      <c r="L188" s="432"/>
    </row>
    <row r="189" spans="1:12" ht="28.8">
      <c r="A189" s="423" t="s">
        <v>204</v>
      </c>
      <c r="B189" s="420" t="s">
        <v>223</v>
      </c>
      <c r="C189" s="310" t="s">
        <v>112</v>
      </c>
      <c r="D189" s="420" t="s">
        <v>200</v>
      </c>
      <c r="E189" s="400" t="str">
        <f t="shared" si="15"/>
        <v>Evento_externoFiscalPosibilidad  de efecto dañoso sobre el interes patrimonial</v>
      </c>
      <c r="F189" s="400" t="str">
        <f t="shared" si="16"/>
        <v>Evento_externoFiscal</v>
      </c>
      <c r="G189" s="400" t="s">
        <v>112</v>
      </c>
      <c r="H189" s="421" t="s">
        <v>279</v>
      </c>
      <c r="I189" s="421" t="s">
        <v>392</v>
      </c>
      <c r="J189" s="418" t="s">
        <v>435</v>
      </c>
      <c r="L189" s="432"/>
    </row>
    <row r="190" spans="1:12" ht="28.8">
      <c r="A190" s="423" t="s">
        <v>204</v>
      </c>
      <c r="B190" s="424" t="s">
        <v>230</v>
      </c>
      <c r="C190" s="310" t="s">
        <v>112</v>
      </c>
      <c r="D190" s="420" t="s">
        <v>193</v>
      </c>
      <c r="E190" s="400" t="str">
        <f t="shared" si="15"/>
        <v>Evento_externoFiscalPosibilidad  de efecto dañoso sobre el recurso público</v>
      </c>
      <c r="F190" s="400" t="str">
        <f t="shared" si="16"/>
        <v>Evento_externoFiscal</v>
      </c>
      <c r="G190" s="400" t="s">
        <v>112</v>
      </c>
      <c r="H190" s="421" t="s">
        <v>279</v>
      </c>
      <c r="I190" s="421" t="s">
        <v>392</v>
      </c>
      <c r="J190" s="418" t="s">
        <v>435</v>
      </c>
      <c r="L190" s="432"/>
    </row>
    <row r="191" spans="1:12" ht="28.8">
      <c r="A191" s="423" t="s">
        <v>204</v>
      </c>
      <c r="B191" s="424" t="s">
        <v>230</v>
      </c>
      <c r="C191" s="310" t="s">
        <v>112</v>
      </c>
      <c r="D191" s="420" t="s">
        <v>113</v>
      </c>
      <c r="E191" s="400" t="str">
        <f t="shared" si="15"/>
        <v>Evento_externoFiscalPosibilidad  de efecto dañoso sobre bienes de uso público</v>
      </c>
      <c r="F191" s="400" t="str">
        <f t="shared" si="16"/>
        <v>Evento_externoFiscal</v>
      </c>
      <c r="G191" s="400" t="s">
        <v>112</v>
      </c>
      <c r="H191" s="421" t="s">
        <v>279</v>
      </c>
      <c r="I191" s="421" t="s">
        <v>392</v>
      </c>
      <c r="J191" s="418" t="s">
        <v>435</v>
      </c>
      <c r="L191" s="432"/>
    </row>
    <row r="192" spans="1:12" ht="28.8">
      <c r="A192" s="423" t="s">
        <v>204</v>
      </c>
      <c r="B192" s="424" t="s">
        <v>230</v>
      </c>
      <c r="C192" s="310" t="s">
        <v>112</v>
      </c>
      <c r="D192" s="420" t="s">
        <v>198</v>
      </c>
      <c r="E192" s="400" t="str">
        <f t="shared" si="15"/>
        <v>Evento_externoFiscalPosibilidad  de efecto dañoso sobre bienes de uso fiscal</v>
      </c>
      <c r="F192" s="400" t="str">
        <f t="shared" si="16"/>
        <v>Evento_externoFiscal</v>
      </c>
      <c r="G192" s="400" t="s">
        <v>112</v>
      </c>
      <c r="H192" s="421" t="s">
        <v>279</v>
      </c>
      <c r="I192" s="421" t="s">
        <v>392</v>
      </c>
      <c r="J192" s="418" t="s">
        <v>435</v>
      </c>
      <c r="L192" s="432"/>
    </row>
    <row r="193" spans="1:12" ht="28.8">
      <c r="A193" s="423" t="s">
        <v>204</v>
      </c>
      <c r="B193" s="424" t="s">
        <v>230</v>
      </c>
      <c r="C193" s="310" t="s">
        <v>112</v>
      </c>
      <c r="D193" s="420" t="s">
        <v>200</v>
      </c>
      <c r="E193" s="400" t="str">
        <f t="shared" si="15"/>
        <v>Evento_externoFiscalPosibilidad  de efecto dañoso sobre el interes patrimonial</v>
      </c>
      <c r="F193" s="400" t="str">
        <f t="shared" si="16"/>
        <v>Evento_externoFiscal</v>
      </c>
      <c r="G193" s="400" t="s">
        <v>112</v>
      </c>
      <c r="H193" s="421" t="s">
        <v>279</v>
      </c>
      <c r="I193" s="421" t="s">
        <v>392</v>
      </c>
      <c r="J193" s="418" t="s">
        <v>435</v>
      </c>
      <c r="L193" s="432"/>
    </row>
  </sheetData>
  <phoneticPr fontId="16" type="noConversion"/>
  <dataValidations count="1">
    <dataValidation type="list" allowBlank="1" showInputMessage="1" showErrorMessage="1" sqref="B40:B102">
      <formula1>INDIRECT(A40)</formula1>
    </dataValidation>
  </dataValidations>
  <pageMargins left="0.7" right="0.7" top="0.75" bottom="0.75" header="0.3" footer="0.3"/>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W78"/>
  <sheetViews>
    <sheetView topLeftCell="M1" zoomScale="110" zoomScaleNormal="110" workbookViewId="0">
      <selection activeCell="S7" sqref="S7"/>
    </sheetView>
  </sheetViews>
  <sheetFormatPr baseColWidth="10" defaultColWidth="10.77734375" defaultRowHeight="13.2"/>
  <cols>
    <col min="1" max="1" width="35.44140625" style="131" customWidth="1"/>
    <col min="2" max="2" width="47.109375" style="131" customWidth="1"/>
    <col min="3" max="3" width="42.44140625" style="131" customWidth="1"/>
    <col min="4" max="4" width="34.44140625" style="131" customWidth="1"/>
    <col min="5" max="5" width="27.109375" style="131" customWidth="1"/>
    <col min="6" max="6" width="34.44140625" style="131" customWidth="1"/>
    <col min="7" max="7" width="25.33203125" style="131" customWidth="1"/>
    <col min="8" max="8" width="20.77734375" style="131" customWidth="1"/>
    <col min="9" max="9" width="46.33203125" style="131" customWidth="1"/>
    <col min="10" max="10" width="10.77734375" style="131"/>
    <col min="11" max="11" width="20.77734375" style="131" customWidth="1"/>
    <col min="12" max="12" width="14.44140625" style="131" customWidth="1"/>
    <col min="13" max="14" width="21" style="131" customWidth="1"/>
    <col min="15" max="16" width="10.77734375" style="131"/>
    <col min="17" max="17" width="14.77734375" style="131" customWidth="1"/>
    <col min="18" max="18" width="10.77734375" style="131"/>
    <col min="19" max="19" width="16.44140625" style="131" customWidth="1"/>
    <col min="20" max="20" width="10.77734375" style="131"/>
    <col min="21" max="21" width="30.109375" style="131" customWidth="1"/>
    <col min="22" max="16384" width="10.77734375" style="131"/>
  </cols>
  <sheetData>
    <row r="1" spans="1:23" ht="25.5" customHeight="1">
      <c r="A1" s="626" t="s">
        <v>133</v>
      </c>
      <c r="B1" s="626"/>
      <c r="E1" s="625" t="s">
        <v>134</v>
      </c>
      <c r="F1" s="625"/>
      <c r="G1" s="625"/>
      <c r="H1" s="625"/>
    </row>
    <row r="2" spans="1:23" ht="49.05" customHeight="1">
      <c r="B2" s="143" t="s">
        <v>101</v>
      </c>
      <c r="C2" s="143"/>
      <c r="E2" s="624" t="s">
        <v>135</v>
      </c>
      <c r="F2" s="624"/>
      <c r="G2" s="624"/>
      <c r="H2" s="624"/>
      <c r="I2" s="624"/>
      <c r="K2" s="624" t="s">
        <v>136</v>
      </c>
      <c r="L2" s="624"/>
      <c r="M2" s="624"/>
      <c r="N2" s="624"/>
      <c r="P2" s="624" t="s">
        <v>53</v>
      </c>
      <c r="Q2" s="624"/>
      <c r="S2" s="132" t="s">
        <v>71</v>
      </c>
      <c r="U2" s="132" t="s">
        <v>137</v>
      </c>
      <c r="W2" s="71" t="s">
        <v>83</v>
      </c>
    </row>
    <row r="3" spans="1:23" ht="28.2" thickBot="1">
      <c r="A3" s="133" t="s">
        <v>138</v>
      </c>
      <c r="B3" s="143" t="s">
        <v>138</v>
      </c>
      <c r="C3" s="143" t="s">
        <v>101</v>
      </c>
      <c r="E3" s="134" t="s">
        <v>49</v>
      </c>
      <c r="F3" s="134" t="s">
        <v>51</v>
      </c>
      <c r="H3" s="134" t="s">
        <v>54</v>
      </c>
      <c r="I3" s="134" t="s">
        <v>56</v>
      </c>
      <c r="K3" s="132" t="s">
        <v>139</v>
      </c>
      <c r="L3" s="132" t="s">
        <v>140</v>
      </c>
      <c r="M3" s="132" t="s">
        <v>141</v>
      </c>
      <c r="N3" s="132" t="s">
        <v>142</v>
      </c>
      <c r="P3" s="138" t="s">
        <v>49</v>
      </c>
      <c r="Q3" s="138" t="s">
        <v>143</v>
      </c>
      <c r="S3" s="133" t="s">
        <v>144</v>
      </c>
      <c r="U3" s="9" t="s">
        <v>145</v>
      </c>
      <c r="W3" s="49" t="s">
        <v>146</v>
      </c>
    </row>
    <row r="4" spans="1:23" ht="39.6">
      <c r="A4" s="142" t="s">
        <v>147</v>
      </c>
      <c r="B4" s="145" t="s">
        <v>147</v>
      </c>
      <c r="C4" s="156" t="s">
        <v>148</v>
      </c>
      <c r="E4" s="133" t="s">
        <v>149</v>
      </c>
      <c r="F4" s="135">
        <v>0.25</v>
      </c>
      <c r="H4" s="133" t="s">
        <v>150</v>
      </c>
      <c r="I4" s="135">
        <v>0.25</v>
      </c>
      <c r="K4" s="285" t="s">
        <v>151</v>
      </c>
      <c r="L4" s="133" t="s">
        <v>152</v>
      </c>
      <c r="M4" s="133" t="s">
        <v>153</v>
      </c>
      <c r="N4" s="133" t="s">
        <v>154</v>
      </c>
      <c r="P4" s="133" t="s">
        <v>149</v>
      </c>
      <c r="Q4" s="175" t="s">
        <v>155</v>
      </c>
      <c r="S4" s="133" t="s">
        <v>156</v>
      </c>
      <c r="U4" s="9" t="s">
        <v>157</v>
      </c>
      <c r="W4" s="49" t="s">
        <v>158</v>
      </c>
    </row>
    <row r="5" spans="1:23" ht="79.8" thickBot="1">
      <c r="A5" s="142" t="s">
        <v>159</v>
      </c>
      <c r="B5" s="149"/>
      <c r="C5" s="157"/>
      <c r="E5" s="133" t="s">
        <v>160</v>
      </c>
      <c r="F5" s="135">
        <v>0.15</v>
      </c>
      <c r="H5" s="133" t="s">
        <v>161</v>
      </c>
      <c r="I5" s="135">
        <v>0.15</v>
      </c>
      <c r="K5" s="285" t="s">
        <v>162</v>
      </c>
      <c r="L5" s="133" t="s">
        <v>163</v>
      </c>
      <c r="M5" s="133" t="s">
        <v>164</v>
      </c>
      <c r="N5" s="133" t="s">
        <v>165</v>
      </c>
      <c r="P5" s="133" t="s">
        <v>160</v>
      </c>
      <c r="Q5" s="175" t="s">
        <v>155</v>
      </c>
      <c r="S5" s="133" t="s">
        <v>166</v>
      </c>
      <c r="U5" s="9" t="s">
        <v>167</v>
      </c>
      <c r="W5" s="49" t="s">
        <v>168</v>
      </c>
    </row>
    <row r="6" spans="1:23" ht="27.6">
      <c r="A6" s="142" t="s">
        <v>169</v>
      </c>
      <c r="B6" s="151" t="s">
        <v>159</v>
      </c>
      <c r="C6" s="158" t="s">
        <v>170</v>
      </c>
      <c r="E6" s="133" t="s">
        <v>171</v>
      </c>
      <c r="F6" s="135">
        <v>0.1</v>
      </c>
      <c r="H6" s="133"/>
      <c r="I6" s="133"/>
      <c r="K6" s="285" t="s">
        <v>172</v>
      </c>
      <c r="L6" s="133"/>
      <c r="M6" s="133"/>
      <c r="N6" s="133" t="s">
        <v>173</v>
      </c>
      <c r="P6" s="133" t="s">
        <v>171</v>
      </c>
      <c r="Q6" s="175" t="s">
        <v>174</v>
      </c>
      <c r="S6" s="133" t="s">
        <v>175</v>
      </c>
      <c r="U6" s="9" t="s">
        <v>176</v>
      </c>
      <c r="W6" s="133"/>
    </row>
    <row r="7" spans="1:23" ht="13.8" thickBot="1">
      <c r="A7" s="142" t="s">
        <v>177</v>
      </c>
      <c r="B7" s="149"/>
      <c r="C7" s="157"/>
      <c r="E7" s="133"/>
      <c r="F7" s="135"/>
      <c r="P7" s="136"/>
      <c r="S7" s="133" t="s">
        <v>178</v>
      </c>
    </row>
    <row r="8" spans="1:23">
      <c r="A8" s="142" t="s">
        <v>179</v>
      </c>
      <c r="B8" s="151" t="s">
        <v>169</v>
      </c>
      <c r="C8" s="158" t="s">
        <v>180</v>
      </c>
      <c r="S8" s="133"/>
    </row>
    <row r="9" spans="1:23" ht="27" thickBot="1">
      <c r="A9" s="142" t="s">
        <v>181</v>
      </c>
      <c r="B9" s="153"/>
      <c r="C9" s="157"/>
    </row>
    <row r="10" spans="1:23">
      <c r="A10" s="142" t="s">
        <v>182</v>
      </c>
      <c r="B10" s="151" t="s">
        <v>177</v>
      </c>
      <c r="C10" s="158" t="s">
        <v>183</v>
      </c>
    </row>
    <row r="11" spans="1:23" ht="14.25" customHeight="1" thickBot="1">
      <c r="A11" s="144"/>
      <c r="B11" s="149"/>
      <c r="C11" s="157"/>
    </row>
    <row r="12" spans="1:23" ht="14.25" customHeight="1">
      <c r="B12" s="151" t="s">
        <v>179</v>
      </c>
      <c r="C12" s="152" t="s">
        <v>148</v>
      </c>
    </row>
    <row r="13" spans="1:23" ht="14.25" customHeight="1">
      <c r="A13" s="283" t="s">
        <v>106</v>
      </c>
      <c r="B13" s="148"/>
      <c r="C13" s="147" t="s">
        <v>170</v>
      </c>
    </row>
    <row r="14" spans="1:23" ht="14.25" customHeight="1">
      <c r="A14" s="284" t="s">
        <v>184</v>
      </c>
      <c r="B14" s="146"/>
      <c r="C14" s="147" t="s">
        <v>180</v>
      </c>
    </row>
    <row r="15" spans="1:23" ht="14.25" customHeight="1">
      <c r="A15" s="284" t="s">
        <v>112</v>
      </c>
      <c r="B15" s="146"/>
      <c r="C15" s="147" t="s">
        <v>183</v>
      </c>
    </row>
    <row r="16" spans="1:23" ht="14.25" customHeight="1">
      <c r="A16" s="284" t="s">
        <v>185</v>
      </c>
      <c r="B16" s="146"/>
      <c r="C16" s="147" t="s">
        <v>186</v>
      </c>
    </row>
    <row r="17" spans="1:7" ht="14.25" customHeight="1" thickBot="1">
      <c r="A17" s="284" t="s">
        <v>187</v>
      </c>
      <c r="B17" s="149"/>
      <c r="C17" s="150"/>
    </row>
    <row r="18" spans="1:7">
      <c r="A18" s="284" t="s">
        <v>188</v>
      </c>
      <c r="B18" s="151" t="s">
        <v>181</v>
      </c>
      <c r="C18" s="152" t="s">
        <v>148</v>
      </c>
    </row>
    <row r="19" spans="1:7" ht="14.25" customHeight="1">
      <c r="B19" s="146"/>
      <c r="C19" s="147" t="s">
        <v>170</v>
      </c>
    </row>
    <row r="20" spans="1:7" ht="14.25" customHeight="1">
      <c r="B20" s="146"/>
      <c r="C20" s="147" t="s">
        <v>180</v>
      </c>
    </row>
    <row r="21" spans="1:7" ht="14.25" customHeight="1">
      <c r="B21" s="146"/>
      <c r="C21" s="147" t="s">
        <v>183</v>
      </c>
    </row>
    <row r="22" spans="1:7" ht="14.25" customHeight="1">
      <c r="B22" s="146"/>
      <c r="C22" s="147" t="s">
        <v>186</v>
      </c>
    </row>
    <row r="23" spans="1:7" ht="14.25" customHeight="1" thickBot="1">
      <c r="B23" s="153"/>
      <c r="C23" s="154"/>
    </row>
    <row r="24" spans="1:7" ht="14.25" customHeight="1">
      <c r="B24" s="151" t="s">
        <v>182</v>
      </c>
      <c r="C24" s="152" t="s">
        <v>186</v>
      </c>
    </row>
    <row r="25" spans="1:7" ht="14.25" customHeight="1">
      <c r="B25" s="146"/>
      <c r="C25" s="147" t="s">
        <v>170</v>
      </c>
    </row>
    <row r="26" spans="1:7" ht="14.25" customHeight="1" thickBot="1">
      <c r="B26" s="149"/>
      <c r="C26" s="150"/>
    </row>
    <row r="30" spans="1:7">
      <c r="A30" s="283"/>
      <c r="B30" s="283"/>
      <c r="C30" s="283"/>
      <c r="D30" s="283"/>
      <c r="E30" s="283"/>
    </row>
    <row r="31" spans="1:7">
      <c r="A31" s="131" t="s">
        <v>184</v>
      </c>
      <c r="B31" s="131" t="s">
        <v>112</v>
      </c>
      <c r="C31" s="131" t="s">
        <v>189</v>
      </c>
      <c r="D31" s="131" t="s">
        <v>190</v>
      </c>
      <c r="E31" s="131" t="s">
        <v>191</v>
      </c>
      <c r="F31" s="131" t="s">
        <v>418</v>
      </c>
      <c r="G31" s="131" t="s">
        <v>419</v>
      </c>
    </row>
    <row r="32" spans="1:7" ht="27.6">
      <c r="A32" s="292" t="s">
        <v>192</v>
      </c>
      <c r="B32" s="131" t="s">
        <v>193</v>
      </c>
      <c r="C32" s="131" t="s">
        <v>194</v>
      </c>
      <c r="D32" s="131" t="s">
        <v>411</v>
      </c>
      <c r="E32" s="295" t="s">
        <v>207</v>
      </c>
      <c r="F32" s="131" t="s">
        <v>380</v>
      </c>
      <c r="G32" s="131" t="s">
        <v>380</v>
      </c>
    </row>
    <row r="33" spans="1:9" ht="41.4">
      <c r="A33" s="292" t="s">
        <v>195</v>
      </c>
      <c r="B33" s="131" t="s">
        <v>113</v>
      </c>
      <c r="C33" s="131" t="s">
        <v>196</v>
      </c>
      <c r="D33" s="131" t="s">
        <v>412</v>
      </c>
      <c r="E33" s="295" t="s">
        <v>416</v>
      </c>
      <c r="F33" s="131" t="s">
        <v>383</v>
      </c>
      <c r="G33" s="131" t="s">
        <v>383</v>
      </c>
    </row>
    <row r="34" spans="1:9" ht="39.6">
      <c r="A34" s="292" t="s">
        <v>197</v>
      </c>
      <c r="B34" s="131" t="s">
        <v>198</v>
      </c>
      <c r="C34" s="131" t="s">
        <v>199</v>
      </c>
      <c r="D34" s="131" t="s">
        <v>413</v>
      </c>
      <c r="E34" s="295" t="s">
        <v>219</v>
      </c>
      <c r="F34" s="131" t="s">
        <v>388</v>
      </c>
      <c r="G34" s="131" t="s">
        <v>388</v>
      </c>
    </row>
    <row r="35" spans="1:9" ht="27.6">
      <c r="B35" s="131" t="s">
        <v>200</v>
      </c>
      <c r="C35" s="131" t="s">
        <v>723</v>
      </c>
      <c r="D35" s="131" t="s">
        <v>729</v>
      </c>
      <c r="E35" s="295" t="s">
        <v>226</v>
      </c>
    </row>
    <row r="36" spans="1:9" ht="26.4">
      <c r="C36" s="131" t="s">
        <v>724</v>
      </c>
      <c r="D36" s="131" t="s">
        <v>728</v>
      </c>
      <c r="E36" s="483"/>
    </row>
    <row r="37" spans="1:9" ht="26.4">
      <c r="C37" s="131" t="s">
        <v>725</v>
      </c>
      <c r="D37" s="131" t="s">
        <v>730</v>
      </c>
      <c r="E37" s="483"/>
    </row>
    <row r="38" spans="1:9" ht="26.4">
      <c r="C38" s="131" t="s">
        <v>726</v>
      </c>
      <c r="D38" s="131" t="s">
        <v>731</v>
      </c>
      <c r="E38" s="483"/>
    </row>
    <row r="39" spans="1:9" ht="26.4">
      <c r="A39" s="484"/>
      <c r="B39" s="484"/>
      <c r="C39" s="484"/>
      <c r="D39" s="131" t="s">
        <v>732</v>
      </c>
      <c r="E39" s="483"/>
      <c r="F39" s="484"/>
      <c r="G39" s="484"/>
    </row>
    <row r="40" spans="1:9" ht="26.4">
      <c r="A40" s="484"/>
      <c r="B40" s="484"/>
      <c r="C40" s="484"/>
      <c r="D40" s="131" t="s">
        <v>733</v>
      </c>
      <c r="E40" s="483"/>
      <c r="F40" s="484"/>
      <c r="G40" s="484"/>
    </row>
    <row r="41" spans="1:9" ht="26.4">
      <c r="A41" s="484"/>
      <c r="B41" s="484"/>
      <c r="C41" s="484"/>
      <c r="D41" s="131" t="s">
        <v>734</v>
      </c>
      <c r="E41" s="483"/>
      <c r="F41" s="484"/>
      <c r="G41" s="484"/>
    </row>
    <row r="42" spans="1:9" ht="26.4">
      <c r="A42" s="484"/>
      <c r="B42" s="484"/>
      <c r="C42" s="484"/>
      <c r="D42" s="131" t="s">
        <v>735</v>
      </c>
      <c r="E42" s="483"/>
      <c r="F42" s="484"/>
      <c r="G42" s="484"/>
    </row>
    <row r="43" spans="1:9" ht="26.4">
      <c r="A43" s="484"/>
      <c r="B43" s="484"/>
      <c r="C43" s="484"/>
      <c r="D43" s="131" t="s">
        <v>736</v>
      </c>
      <c r="E43" s="483"/>
      <c r="F43" s="484"/>
      <c r="G43" s="484"/>
      <c r="H43" s="131" t="s">
        <v>102</v>
      </c>
      <c r="I43" s="131" t="s">
        <v>201</v>
      </c>
    </row>
    <row r="44" spans="1:9" ht="105.6">
      <c r="A44" s="389" t="s">
        <v>202</v>
      </c>
      <c r="B44" s="389" t="s">
        <v>191</v>
      </c>
      <c r="C44" s="389" t="s">
        <v>180</v>
      </c>
      <c r="D44" s="389" t="s">
        <v>203</v>
      </c>
      <c r="E44" s="389" t="s">
        <v>186</v>
      </c>
      <c r="F44" s="389" t="s">
        <v>204</v>
      </c>
      <c r="H44" s="131" t="s">
        <v>202</v>
      </c>
      <c r="I44" s="131" t="s">
        <v>205</v>
      </c>
    </row>
    <row r="45" spans="1:9" ht="66">
      <c r="A45" s="294" t="s">
        <v>206</v>
      </c>
      <c r="B45" s="295" t="s">
        <v>207</v>
      </c>
      <c r="C45" s="390" t="s">
        <v>208</v>
      </c>
      <c r="D45" s="294" t="s">
        <v>209</v>
      </c>
      <c r="E45" s="294" t="s">
        <v>210</v>
      </c>
      <c r="F45" s="296" t="s">
        <v>211</v>
      </c>
      <c r="H45" s="131" t="s">
        <v>191</v>
      </c>
      <c r="I45" s="131" t="s">
        <v>212</v>
      </c>
    </row>
    <row r="46" spans="1:9" ht="39.6">
      <c r="A46" s="294" t="s">
        <v>213</v>
      </c>
      <c r="B46" s="295" t="s">
        <v>111</v>
      </c>
      <c r="C46" s="406" t="s">
        <v>403</v>
      </c>
      <c r="D46" s="297" t="s">
        <v>214</v>
      </c>
      <c r="E46" s="297" t="s">
        <v>215</v>
      </c>
      <c r="F46" s="294" t="s">
        <v>216</v>
      </c>
      <c r="H46" s="131" t="s">
        <v>180</v>
      </c>
      <c r="I46" s="131" t="s">
        <v>217</v>
      </c>
    </row>
    <row r="47" spans="1:9" ht="26.4">
      <c r="A47" s="294" t="s">
        <v>218</v>
      </c>
      <c r="B47" s="295" t="s">
        <v>219</v>
      </c>
      <c r="C47" s="407" t="s">
        <v>404</v>
      </c>
      <c r="D47" s="297" t="s">
        <v>221</v>
      </c>
      <c r="E47" s="297" t="s">
        <v>222</v>
      </c>
      <c r="F47" s="297" t="s">
        <v>223</v>
      </c>
      <c r="H47" s="131" t="s">
        <v>203</v>
      </c>
      <c r="I47" s="131" t="s">
        <v>224</v>
      </c>
    </row>
    <row r="48" spans="1:9" ht="27.6">
      <c r="A48" s="294" t="s">
        <v>225</v>
      </c>
      <c r="B48" s="295" t="s">
        <v>226</v>
      </c>
      <c r="C48" s="405" t="s">
        <v>220</v>
      </c>
      <c r="D48" s="297" t="s">
        <v>228</v>
      </c>
      <c r="E48" s="297" t="s">
        <v>229</v>
      </c>
      <c r="F48" s="297" t="s">
        <v>230</v>
      </c>
      <c r="H48" s="131" t="s">
        <v>186</v>
      </c>
      <c r="I48" s="131" t="s">
        <v>231</v>
      </c>
    </row>
    <row r="49" spans="1:9" ht="26.4">
      <c r="A49" s="294" t="s">
        <v>232</v>
      </c>
      <c r="B49" s="293"/>
      <c r="C49" s="405" t="s">
        <v>227</v>
      </c>
      <c r="D49" s="297" t="s">
        <v>233</v>
      </c>
      <c r="E49" s="293"/>
      <c r="F49" s="293"/>
      <c r="H49" s="131" t="s">
        <v>204</v>
      </c>
      <c r="I49" s="131" t="s">
        <v>234</v>
      </c>
    </row>
    <row r="50" spans="1:9" ht="27.6">
      <c r="A50" s="294" t="s">
        <v>235</v>
      </c>
      <c r="B50" s="293"/>
      <c r="C50" s="391" t="s">
        <v>398</v>
      </c>
      <c r="D50" s="293"/>
      <c r="E50" s="293"/>
      <c r="F50" s="293"/>
    </row>
    <row r="51" spans="1:9" ht="41.4">
      <c r="A51" s="294" t="s">
        <v>236</v>
      </c>
      <c r="B51" s="293"/>
      <c r="C51" s="293"/>
      <c r="D51" s="293"/>
      <c r="E51" s="293"/>
      <c r="F51" s="293"/>
    </row>
    <row r="52" spans="1:9" ht="27.6">
      <c r="A52" s="294" t="s">
        <v>237</v>
      </c>
      <c r="B52" s="293"/>
      <c r="C52" s="293"/>
      <c r="D52" s="293"/>
      <c r="E52" s="293"/>
      <c r="F52" s="293"/>
    </row>
    <row r="53" spans="1:9" ht="27.6">
      <c r="A53" s="294" t="s">
        <v>238</v>
      </c>
      <c r="B53" s="293"/>
      <c r="C53" s="293"/>
      <c r="D53" s="293"/>
      <c r="E53" s="293"/>
      <c r="F53" s="293"/>
    </row>
    <row r="56" spans="1:9">
      <c r="A56" s="619" t="s">
        <v>239</v>
      </c>
      <c r="B56" s="620"/>
      <c r="C56" s="299" t="s">
        <v>240</v>
      </c>
      <c r="D56" s="299" t="s">
        <v>241</v>
      </c>
    </row>
    <row r="57" spans="1:9" ht="13.8">
      <c r="A57" s="627" t="s">
        <v>242</v>
      </c>
      <c r="B57" s="298" t="s">
        <v>149</v>
      </c>
      <c r="C57" s="300">
        <v>0.25</v>
      </c>
      <c r="D57" s="300" t="s">
        <v>155</v>
      </c>
    </row>
    <row r="58" spans="1:9" ht="13.8">
      <c r="A58" s="628"/>
      <c r="B58" s="298" t="s">
        <v>160</v>
      </c>
      <c r="C58" s="300">
        <v>0.15</v>
      </c>
      <c r="D58" s="300" t="s">
        <v>155</v>
      </c>
    </row>
    <row r="59" spans="1:9" ht="13.8">
      <c r="A59" s="629"/>
      <c r="B59" s="298" t="s">
        <v>171</v>
      </c>
      <c r="C59" s="300">
        <v>0.1</v>
      </c>
      <c r="D59" s="300" t="s">
        <v>174</v>
      </c>
    </row>
    <row r="60" spans="1:9" ht="13.8">
      <c r="A60" s="298" t="s">
        <v>243</v>
      </c>
      <c r="B60" s="298" t="s">
        <v>150</v>
      </c>
      <c r="C60" s="300">
        <v>0.25</v>
      </c>
    </row>
    <row r="61" spans="1:9" ht="23.4">
      <c r="A61" s="298" t="s">
        <v>244</v>
      </c>
      <c r="B61" s="298" t="s">
        <v>161</v>
      </c>
      <c r="C61" s="300">
        <v>0.15</v>
      </c>
    </row>
    <row r="64" spans="1:9" ht="14.4">
      <c r="A64" t="s">
        <v>245</v>
      </c>
      <c r="B64"/>
      <c r="C64"/>
    </row>
    <row r="65" spans="1:3">
      <c r="A65" s="619" t="s">
        <v>239</v>
      </c>
      <c r="B65" s="620"/>
      <c r="C65" s="302" t="s">
        <v>201</v>
      </c>
    </row>
    <row r="66" spans="1:3" ht="80.55" customHeight="1">
      <c r="A66" s="621" t="s">
        <v>139</v>
      </c>
      <c r="B66" s="294" t="s">
        <v>151</v>
      </c>
      <c r="C66" s="294" t="s">
        <v>246</v>
      </c>
    </row>
    <row r="67" spans="1:3" ht="34.5" customHeight="1">
      <c r="A67" s="622"/>
      <c r="B67" s="294" t="s">
        <v>162</v>
      </c>
      <c r="C67" s="294" t="s">
        <v>247</v>
      </c>
    </row>
    <row r="68" spans="1:3" ht="34.5" customHeight="1">
      <c r="A68" s="623"/>
      <c r="B68" s="294" t="s">
        <v>172</v>
      </c>
      <c r="C68" s="294" t="s">
        <v>248</v>
      </c>
    </row>
    <row r="69" spans="1:3" ht="12.75" customHeight="1">
      <c r="A69" s="294" t="s">
        <v>140</v>
      </c>
      <c r="B69" s="294" t="s">
        <v>249</v>
      </c>
      <c r="C69" s="294" t="s">
        <v>250</v>
      </c>
    </row>
    <row r="70" spans="1:3" ht="13.8">
      <c r="A70" s="294"/>
      <c r="B70" s="294" t="s">
        <v>251</v>
      </c>
      <c r="C70" s="294"/>
    </row>
    <row r="71" spans="1:3" ht="13.8">
      <c r="A71" s="294"/>
      <c r="B71" s="294" t="s">
        <v>252</v>
      </c>
      <c r="C71" s="294"/>
    </row>
    <row r="72" spans="1:3" ht="13.8">
      <c r="A72" s="294"/>
      <c r="B72" s="294" t="s">
        <v>253</v>
      </c>
      <c r="C72" s="294"/>
    </row>
    <row r="73" spans="1:3" ht="13.8">
      <c r="A73" s="294"/>
      <c r="B73" s="294" t="s">
        <v>254</v>
      </c>
      <c r="C73" s="294"/>
    </row>
    <row r="74" spans="1:3" ht="12.75" customHeight="1">
      <c r="A74" s="294" t="s">
        <v>255</v>
      </c>
      <c r="B74" s="294" t="s">
        <v>153</v>
      </c>
      <c r="C74" s="294" t="s">
        <v>256</v>
      </c>
    </row>
    <row r="75" spans="1:3" ht="13.8">
      <c r="A75" s="294"/>
      <c r="B75" s="294" t="s">
        <v>164</v>
      </c>
      <c r="C75" s="294"/>
    </row>
    <row r="76" spans="1:3" ht="25.2">
      <c r="A76" s="294" t="s">
        <v>257</v>
      </c>
      <c r="B76" s="294" t="s">
        <v>154</v>
      </c>
      <c r="C76" s="294" t="s">
        <v>258</v>
      </c>
    </row>
    <row r="77" spans="1:3" ht="69" customHeight="1">
      <c r="A77" s="294"/>
      <c r="B77" s="294" t="s">
        <v>259</v>
      </c>
      <c r="C77" s="294" t="s">
        <v>260</v>
      </c>
    </row>
    <row r="78" spans="1:3" ht="34.5" customHeight="1">
      <c r="A78" s="294"/>
      <c r="B78" s="294" t="s">
        <v>173</v>
      </c>
      <c r="C78" s="294" t="s">
        <v>261</v>
      </c>
    </row>
  </sheetData>
  <mergeCells count="9">
    <mergeCell ref="A65:B65"/>
    <mergeCell ref="A66:A68"/>
    <mergeCell ref="E2:I2"/>
    <mergeCell ref="P2:Q2"/>
    <mergeCell ref="E1:H1"/>
    <mergeCell ref="A1:B1"/>
    <mergeCell ref="K2:N2"/>
    <mergeCell ref="A56:B56"/>
    <mergeCell ref="A57:A59"/>
  </mergeCells>
  <pageMargins left="0.7" right="0.7" top="0.75" bottom="0.75" header="0.3" footer="0.3"/>
  <pageSetup orientation="portrait" r:id="rId1"/>
  <legacyDrawing r:id="rId2"/>
  <tableParts count="3">
    <tablePart r:id="rId3"/>
    <tablePart r:id="rId4"/>
    <tablePart r:id="rId5"/>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8"/>
  <dimension ref="A1:Y28"/>
  <sheetViews>
    <sheetView showGridLines="0" zoomScale="76" zoomScaleNormal="76" zoomScaleSheetLayoutView="96" workbookViewId="0">
      <selection activeCell="C14" sqref="C14"/>
    </sheetView>
  </sheetViews>
  <sheetFormatPr baseColWidth="10" defaultColWidth="14.44140625" defaultRowHeight="13.8"/>
  <cols>
    <col min="1" max="1" width="15.44140625" style="3" customWidth="1"/>
    <col min="2" max="2" width="49.44140625" style="36" customWidth="1"/>
    <col min="3" max="3" width="28.44140625" style="36" customWidth="1"/>
    <col min="4" max="4" width="21.109375" style="3" customWidth="1"/>
    <col min="5" max="5" width="15.77734375" style="12" customWidth="1"/>
    <col min="6" max="6" width="15.109375" style="3" customWidth="1"/>
    <col min="7" max="7" width="13.44140625" style="12" customWidth="1"/>
    <col min="8" max="8" width="11.109375" style="12" customWidth="1"/>
    <col min="9" max="9" width="10.44140625" style="12" customWidth="1"/>
    <col min="10" max="10" width="27.77734375" style="12" customWidth="1"/>
    <col min="11" max="11" width="11.77734375" style="12" customWidth="1"/>
    <col min="12" max="12" width="12.33203125" style="12" customWidth="1"/>
    <col min="13" max="13" width="9.44140625" style="193" customWidth="1"/>
    <col min="14" max="14" width="12.33203125" style="193" customWidth="1"/>
    <col min="15" max="15" width="8" style="3" customWidth="1"/>
    <col min="16" max="16" width="21.44140625" style="3" customWidth="1"/>
    <col min="17" max="17" width="32.77734375" style="3" customWidth="1"/>
    <col min="18" max="18" width="9.44140625" style="36" customWidth="1"/>
    <col min="19" max="19" width="8.77734375" style="36" customWidth="1"/>
    <col min="20" max="20" width="17.77734375" style="3" customWidth="1"/>
    <col min="21" max="21" width="5.44140625" style="3" customWidth="1"/>
    <col min="22" max="22" width="14.109375" style="3" bestFit="1" customWidth="1"/>
    <col min="23" max="23" width="14.77734375" style="3" bestFit="1" customWidth="1"/>
    <col min="24" max="24" width="24.109375" style="3" customWidth="1"/>
    <col min="25" max="25" width="57.77734375" style="3" customWidth="1"/>
    <col min="26" max="29" width="24.109375" style="3" customWidth="1"/>
    <col min="30" max="256" width="11.44140625" style="3" customWidth="1"/>
    <col min="257" max="257" width="12.44140625" style="3" customWidth="1"/>
    <col min="258" max="258" width="47" style="3" customWidth="1"/>
    <col min="259" max="259" width="35" style="3" customWidth="1"/>
    <col min="260" max="16384" width="14.44140625" style="3"/>
  </cols>
  <sheetData>
    <row r="1" spans="1:25" ht="32.25" customHeight="1">
      <c r="A1" s="637"/>
      <c r="B1" s="638" t="str">
        <f>+'2 CONTEXTO E IDENTIFICACIÓN'!A1</f>
        <v>MAPA DE RIESGOS</v>
      </c>
      <c r="C1" s="649"/>
      <c r="D1" s="650"/>
      <c r="E1" s="11"/>
      <c r="G1" s="11"/>
      <c r="H1" s="11"/>
      <c r="I1" s="11"/>
      <c r="J1" s="11"/>
      <c r="K1" s="11"/>
      <c r="L1" s="11"/>
      <c r="M1" s="188"/>
      <c r="N1" s="188"/>
    </row>
    <row r="2" spans="1:25" s="2" customFormat="1" ht="32.25" customHeight="1">
      <c r="A2" s="637"/>
      <c r="B2" s="638"/>
      <c r="C2" s="37" t="str">
        <f>+'2 CONTEXTO E IDENTIFICACIÓN'!A2</f>
        <v>VERSIÓN:</v>
      </c>
      <c r="D2" s="37">
        <f>'2 CONTEXTO E IDENTIFICACIÓN'!B2</f>
        <v>1</v>
      </c>
      <c r="E2" s="11"/>
      <c r="G2" s="202" t="str">
        <f>+'2 CONTEXTO E IDENTIFICACIÓN'!$J$4</f>
        <v>Elaboración o Actualización:</v>
      </c>
      <c r="H2" s="215">
        <f>'2 CONTEXTO E IDENTIFICACIÓN'!K4</f>
        <v>45991</v>
      </c>
      <c r="I2" s="11"/>
      <c r="J2" s="11"/>
      <c r="K2" s="11"/>
      <c r="L2" s="11"/>
      <c r="M2" s="188"/>
      <c r="N2" s="188"/>
      <c r="R2" s="162"/>
      <c r="S2" s="162"/>
    </row>
    <row r="3" spans="1:25" s="2" customFormat="1" ht="15">
      <c r="A3" s="212"/>
      <c r="B3" s="13"/>
      <c r="C3" s="208"/>
      <c r="D3" s="39"/>
      <c r="E3" s="11"/>
      <c r="G3" s="213"/>
      <c r="H3" s="214"/>
      <c r="I3" s="11"/>
      <c r="J3" s="11"/>
      <c r="K3" s="11"/>
      <c r="L3" s="11"/>
      <c r="M3" s="188"/>
      <c r="N3" s="188"/>
      <c r="R3" s="162"/>
      <c r="S3" s="162"/>
    </row>
    <row r="4" spans="1:25" s="2" customFormat="1" ht="32.25" customHeight="1">
      <c r="A4" s="10" t="s">
        <v>95</v>
      </c>
      <c r="B4" s="336"/>
      <c r="C4" s="647"/>
      <c r="D4" s="648"/>
      <c r="E4" s="11"/>
      <c r="G4" s="207" t="str">
        <f>+'2 CONTEXTO E IDENTIFICACIÓN'!$E$5</f>
        <v xml:space="preserve">Vigencia: </v>
      </c>
      <c r="H4" s="205">
        <f>'2 CONTEXTO E IDENTIFICACIÓN'!H5</f>
        <v>46023</v>
      </c>
      <c r="I4" s="206" t="s">
        <v>99</v>
      </c>
      <c r="J4" s="203">
        <f>'2 CONTEXTO E IDENTIFICACIÓN'!K5</f>
        <v>46387</v>
      </c>
      <c r="K4" s="11"/>
      <c r="L4" s="11"/>
      <c r="M4" s="188"/>
      <c r="N4" s="188"/>
      <c r="P4" s="2" t="str">
        <f>IF(AND('2 CONTEXTO E IDENTIFICACIÓN'!$B$9='H1'!$A$2,'2 CONTEXTO E IDENTIFICACIÓN'!$C$9='H1'!$B$2,'H1'!$Q$2='H1'!$C$2,OR('H1'!$R$2='H1'!$D$2,'H1'!$R$2='H1'!$D$4)),"Afectación_Económica",'H1'!$U$2)</f>
        <v>N/A</v>
      </c>
      <c r="R4" s="162"/>
      <c r="S4" s="162"/>
    </row>
    <row r="5" spans="1:25" s="2" customFormat="1" ht="14.4" thickBot="1">
      <c r="A5" s="10" t="s">
        <v>96</v>
      </c>
      <c r="B5" s="639"/>
      <c r="C5" s="640"/>
      <c r="D5" s="640"/>
      <c r="E5" s="14"/>
      <c r="F5" s="14"/>
      <c r="R5" s="162"/>
      <c r="S5" s="162"/>
    </row>
    <row r="6" spans="1:25" s="2" customFormat="1" ht="14.4" thickBot="1">
      <c r="A6" s="216"/>
      <c r="B6" s="217"/>
      <c r="C6" s="210"/>
      <c r="D6" s="210"/>
      <c r="E6" s="14"/>
      <c r="F6" s="14"/>
      <c r="G6" s="641" t="s">
        <v>262</v>
      </c>
      <c r="H6" s="642"/>
      <c r="I6" s="642"/>
      <c r="J6" s="642"/>
      <c r="K6" s="642"/>
      <c r="L6" s="642"/>
      <c r="M6" s="642"/>
      <c r="N6" s="643"/>
      <c r="R6" s="162"/>
      <c r="S6" s="162"/>
    </row>
    <row r="7" spans="1:25" s="17" customFormat="1" ht="14.25" customHeight="1" thickBot="1">
      <c r="A7" s="15"/>
      <c r="B7" s="16"/>
      <c r="C7" s="641" t="s">
        <v>263</v>
      </c>
      <c r="D7" s="642"/>
      <c r="E7" s="642"/>
      <c r="F7" s="643"/>
      <c r="G7" s="644" t="s">
        <v>39</v>
      </c>
      <c r="H7" s="645"/>
      <c r="I7" s="646"/>
      <c r="J7" s="644" t="s">
        <v>41</v>
      </c>
      <c r="K7" s="645"/>
      <c r="L7" s="646"/>
      <c r="M7" s="644" t="s">
        <v>264</v>
      </c>
      <c r="N7" s="646"/>
      <c r="P7" s="633" t="s">
        <v>265</v>
      </c>
      <c r="Q7" s="634"/>
      <c r="R7" s="635"/>
      <c r="S7" s="635"/>
      <c r="T7" s="636"/>
      <c r="V7" s="630" t="s">
        <v>266</v>
      </c>
      <c r="W7" s="631"/>
      <c r="X7" s="631"/>
      <c r="Y7" s="632"/>
    </row>
    <row r="8" spans="1:25" s="140" customFormat="1" ht="39.6">
      <c r="A8" s="173" t="s">
        <v>267</v>
      </c>
      <c r="B8" s="172" t="s">
        <v>268</v>
      </c>
      <c r="C8" s="372" t="s">
        <v>37</v>
      </c>
      <c r="D8" s="373" t="s">
        <v>269</v>
      </c>
      <c r="E8" s="374" t="s">
        <v>270</v>
      </c>
      <c r="F8" s="375" t="s">
        <v>271</v>
      </c>
      <c r="G8" s="376" t="s">
        <v>39</v>
      </c>
      <c r="H8" s="377" t="s">
        <v>272</v>
      </c>
      <c r="I8" s="378" t="s">
        <v>273</v>
      </c>
      <c r="J8" s="376" t="s">
        <v>41</v>
      </c>
      <c r="K8" s="377" t="s">
        <v>272</v>
      </c>
      <c r="L8" s="378" t="s">
        <v>273</v>
      </c>
      <c r="M8" s="376" t="s">
        <v>274</v>
      </c>
      <c r="N8" s="379" t="s">
        <v>275</v>
      </c>
      <c r="P8" s="19" t="s">
        <v>273</v>
      </c>
      <c r="Q8" s="20" t="s">
        <v>269</v>
      </c>
      <c r="R8" s="159" t="s">
        <v>276</v>
      </c>
      <c r="S8" s="159" t="s">
        <v>277</v>
      </c>
      <c r="T8" s="21" t="s">
        <v>155</v>
      </c>
      <c r="V8" s="19" t="s">
        <v>273</v>
      </c>
      <c r="W8" s="20" t="s">
        <v>278</v>
      </c>
      <c r="X8" s="20" t="s">
        <v>279</v>
      </c>
      <c r="Y8" s="21" t="s">
        <v>41</v>
      </c>
    </row>
    <row r="9" spans="1:25" ht="93" customHeight="1">
      <c r="A9" s="22" t="str">
        <f>'2 CONTEXTO E IDENTIFICACIÓN'!A9</f>
        <v>R1</v>
      </c>
      <c r="B9" s="184" t="str">
        <f>+'2 CONTEXTO E IDENTIFICACIÓN'!K9</f>
        <v>Posibilidad de perdida de Disponibilidad, confidencialidad e integridad de la información por fallas en el sistema  debido a deficiencias en la infraestructura tecnológica, ausencia o insuficiencia de mantenimiento preventivo y correctivo</v>
      </c>
      <c r="C9" s="185">
        <v>800</v>
      </c>
      <c r="D9" s="163" t="str">
        <f t="shared" ref="D9:D28" si="0">+IF(C9="","",IF(C9&lt;=$S$9,$Q$9,IF(C9&lt;=$S$10,$Q$10,IF(C9&lt;=$S$11,$Q$11,IF(C9&lt;=$S$12,$Q$12,IF(C9&gt;=$R$13,$Q$13,""))))))</f>
        <v>La actividad que conlleva el riesgo se ejecuta mínimo 500 veces al año y máximo 5.000 veces por año</v>
      </c>
      <c r="E9" s="164">
        <f t="shared" ref="E9:E28" si="1">+IF(D9="","",IF(D9=$Q$9,$T$9,IF(D9=$Q$10,$T$10,IF(D9=$Q$11,$T$11,IF(D9=$Q$12,$T$12,IF(D9=$Q$13,$T$13))))))</f>
        <v>0.8</v>
      </c>
      <c r="F9" s="23" t="str">
        <f t="shared" ref="F9:F28" si="2">+IF(D9="","",IF(D9=$Q$9,$P$9,IF(D9=$Q$10,$P$10,IF(D9=$Q$11,$P$11,IF(D9=$Q$12,$P$12,IF(D9=$Q$13,$P$13))))))</f>
        <v>Alta</v>
      </c>
      <c r="G9" s="170" t="s">
        <v>280</v>
      </c>
      <c r="H9" s="166">
        <f>+IF(G9="","",IF(G9="N/A","",IF(OR(G9=$X$9,G9=$Y$9),$W$9,IF(OR(G9=$X$10,G9=$Y$10),$W$10,IF(OR(G9=$X$11,G9=$Y$11),$W$11,IF(OR(G9=$X$12,G9=$Y$12),$W$12,IF(OR(G9=$X$13,G9=$Y$13),$W$13)))))))</f>
        <v>0.4</v>
      </c>
      <c r="I9" s="168" t="str">
        <f t="shared" ref="I9:I28" si="3">+IF(G9="","",IF(G9="N/A","",IF(OR(G9=$X$9,G9=$Y$9),$V$9,IF(OR(G9=$X$10,G9=$Y$10),$V$10,IF(OR(G9=$X$11,G9=$Y$11),$V$11,IF(OR(G9=$X$12,G9=$Y$12),$V$12,IF(OR(G9=$X$13,G9=$Y$13),$V$13)))))))</f>
        <v>Menor</v>
      </c>
      <c r="J9" s="170" t="s">
        <v>289</v>
      </c>
      <c r="K9" s="166">
        <f t="shared" ref="K9:K28" si="4">+IF(J9="","",IF(J9="N/A","",IF(OR(J9=$X$9,J9=$Y$9),$W$9,IF(OR(J9=$X$10,J9=$Y$10),$W$10,IF(OR(J9=$X$11,J9=$Y$11),$W$11,IF(OR(J9=$X$12,J9=$Y$12),$W$12,IF(OR(J9=$X$13,J9=$Y$13),$W$13)))))))</f>
        <v>0.4</v>
      </c>
      <c r="L9" s="168" t="str">
        <f t="shared" ref="L9:L28" si="5">+IF(J9="","",IF(J9="N/A","",IF(OR(J9=$X$9,J9=$Y$9),$V$9,IF(OR(J9=$X$10,J9=$Y$10),$V$10,IF(OR(J9=$X$11,J9=$Y$11),$V$11,IF(OR(J9=$X$12,J9=$Y$12),$V$12,IF(OR(J9=$X$13,J9=$Y$13),$V$13)))))))</f>
        <v>Menor</v>
      </c>
      <c r="M9" s="189">
        <f>+IF(H9="",K9,IF(K9="",H9,IF(H9&gt;K9,H9,K9)))</f>
        <v>0.4</v>
      </c>
      <c r="N9" s="190" t="str">
        <f>+IF(M9="","",IF(M9=$W$9,$V$9,IF(M9=$W$10,$V$10,IF(M9=$W$11,$V$11,IF(M9=$W$12,$V$12,IF(M9=$W$13,$V$13))))))</f>
        <v>Menor</v>
      </c>
      <c r="P9" s="286" t="s">
        <v>282</v>
      </c>
      <c r="Q9" s="24" t="s">
        <v>283</v>
      </c>
      <c r="R9" s="160">
        <v>0</v>
      </c>
      <c r="S9" s="160">
        <v>2</v>
      </c>
      <c r="T9" s="25">
        <v>0.2</v>
      </c>
      <c r="V9" s="286" t="s">
        <v>284</v>
      </c>
      <c r="W9" s="26">
        <v>0.2</v>
      </c>
      <c r="X9" s="24" t="s">
        <v>285</v>
      </c>
      <c r="Y9" s="27" t="s">
        <v>281</v>
      </c>
    </row>
    <row r="10" spans="1:25" ht="93" customHeight="1">
      <c r="A10" s="22" t="str">
        <f>'2 CONTEXTO E IDENTIFICACIÓN'!A10</f>
        <v>R2</v>
      </c>
      <c r="B10" s="184" t="str">
        <f>+'2 CONTEXTO E IDENTIFICACIÓN'!K10</f>
        <v>Posibilidad de perdida de Disponibilidad, confidencialidad e integridad de la información por accesos no autorizados, hackeos o fallas en el servicio  debido a controles de seguridad y autenticación de usuarios, falta de actualización o  monitoreo de la plataforma</v>
      </c>
      <c r="C10" s="186">
        <v>2000</v>
      </c>
      <c r="D10" s="163" t="str">
        <f t="shared" si="0"/>
        <v>La actividad que conlleva el riesgo se ejecuta mínimo 500 veces al año y máximo 5.000 veces por año</v>
      </c>
      <c r="E10" s="164">
        <f t="shared" si="1"/>
        <v>0.8</v>
      </c>
      <c r="F10" s="23" t="str">
        <f t="shared" si="2"/>
        <v>Alta</v>
      </c>
      <c r="G10" s="170" t="s">
        <v>280</v>
      </c>
      <c r="H10" s="166">
        <f t="shared" ref="H10:H28" si="6">+IF(G10="","",IF(G10="N/A","",IF(OR(G10=$X$9,G10=$Y$9),$W$9,IF(OR(G10=$X$10,G10=$Y$10),$W$10,IF(OR(G10=$X$11,G10=$Y$11),$W$11,IF(OR(G10=$X$12,G10=$Y$12),$W$12,IF(OR(G10=$X$13,G10=$Y$13),$W$13)))))))</f>
        <v>0.4</v>
      </c>
      <c r="I10" s="168" t="str">
        <f t="shared" si="3"/>
        <v>Menor</v>
      </c>
      <c r="J10" s="170" t="s">
        <v>299</v>
      </c>
      <c r="K10" s="166">
        <f t="shared" si="4"/>
        <v>0.8</v>
      </c>
      <c r="L10" s="168" t="str">
        <f t="shared" si="5"/>
        <v>Mayor</v>
      </c>
      <c r="M10" s="189">
        <f>+IF(H10="",K10,IF(K10="",H10,IF(H10&gt;K10,H10,K10)))</f>
        <v>0.8</v>
      </c>
      <c r="N10" s="190" t="str">
        <f t="shared" ref="N10:N28" si="7">+IF(M10="","",IF(M10=$W$9,$V$9,IF(M10=$W$10,$V$10,IF(M10=$W$11,$V$11,IF(M10=$W$12,$V$12,IF(M10=$W$13,$V$13))))))</f>
        <v>Mayor</v>
      </c>
      <c r="P10" s="287" t="s">
        <v>286</v>
      </c>
      <c r="Q10" s="28" t="s">
        <v>287</v>
      </c>
      <c r="R10" s="160">
        <v>3</v>
      </c>
      <c r="S10" s="160">
        <v>24</v>
      </c>
      <c r="T10" s="25">
        <v>0.4</v>
      </c>
      <c r="V10" s="287" t="s">
        <v>288</v>
      </c>
      <c r="W10" s="26">
        <v>0.4</v>
      </c>
      <c r="X10" s="28" t="s">
        <v>280</v>
      </c>
      <c r="Y10" s="29" t="s">
        <v>289</v>
      </c>
    </row>
    <row r="11" spans="1:25" ht="93" customHeight="1">
      <c r="A11" s="22" t="str">
        <f>'2 CONTEXTO E IDENTIFICACIÓN'!A11</f>
        <v>R3</v>
      </c>
      <c r="B11" s="184" t="str">
        <f>+'2 CONTEXTO E IDENTIFICACIÓN'!K11</f>
        <v>Posibilidad de perdida de Disponibilidad, confidencialidad e integridad de la información por eliminación accidental de archivos,  fallas en el sistema o accesos no autorizados     a causa de deficiencias en copias de seguridad, controles de accesos o ausencia de politicas de preservación digital</v>
      </c>
      <c r="C11" s="186">
        <v>2000</v>
      </c>
      <c r="D11" s="163" t="str">
        <f t="shared" si="0"/>
        <v>La actividad que conlleva el riesgo se ejecuta mínimo 500 veces al año y máximo 5.000 veces por año</v>
      </c>
      <c r="E11" s="164">
        <f t="shared" si="1"/>
        <v>0.8</v>
      </c>
      <c r="F11" s="23" t="str">
        <f t="shared" si="2"/>
        <v>Alta</v>
      </c>
      <c r="G11" s="170" t="s">
        <v>293</v>
      </c>
      <c r="H11" s="166">
        <f t="shared" si="6"/>
        <v>0.6</v>
      </c>
      <c r="I11" s="168" t="str">
        <f t="shared" si="3"/>
        <v>Moderado</v>
      </c>
      <c r="J11" s="170" t="s">
        <v>299</v>
      </c>
      <c r="K11" s="166">
        <f t="shared" si="4"/>
        <v>0.8</v>
      </c>
      <c r="L11" s="168" t="str">
        <f t="shared" si="5"/>
        <v>Mayor</v>
      </c>
      <c r="M11" s="189">
        <f t="shared" ref="M11:M28" si="8">+IF(H11="",K11,IF(K11="",H11,IF(H11&gt;K11,H11,K11)))</f>
        <v>0.8</v>
      </c>
      <c r="N11" s="190" t="str">
        <f t="shared" si="7"/>
        <v>Mayor</v>
      </c>
      <c r="P11" s="288" t="s">
        <v>290</v>
      </c>
      <c r="Q11" s="28" t="s">
        <v>291</v>
      </c>
      <c r="R11" s="160">
        <v>25</v>
      </c>
      <c r="S11" s="160">
        <v>500</v>
      </c>
      <c r="T11" s="25">
        <v>0.6</v>
      </c>
      <c r="V11" s="288" t="s">
        <v>292</v>
      </c>
      <c r="W11" s="26">
        <v>0.6</v>
      </c>
      <c r="X11" s="28" t="s">
        <v>293</v>
      </c>
      <c r="Y11" s="29" t="s">
        <v>294</v>
      </c>
    </row>
    <row r="12" spans="1:25" ht="93" customHeight="1">
      <c r="A12" s="22" t="str">
        <f>'2 CONTEXTO E IDENTIFICACIÓN'!A12</f>
        <v>R4</v>
      </c>
      <c r="B12" s="184" t="str">
        <f>+'2 CONTEXTO E IDENTIFICACIÓN'!K12</f>
        <v>Posibilidad de perdida de Disponibilidad, confidencialidad e integridad de la información por fallas tecnológicas y manipulación indebida de la información o interrupciones del servicio  debido a falta de actualización tecnólogica, vulnerabilidades en la administración de la plataforma o controles de seguridad avanzados</v>
      </c>
      <c r="C12" s="186">
        <v>800</v>
      </c>
      <c r="D12" s="163" t="str">
        <f t="shared" si="0"/>
        <v>La actividad que conlleva el riesgo se ejecuta mínimo 500 veces al año y máximo 5.000 veces por año</v>
      </c>
      <c r="E12" s="164">
        <f t="shared" si="1"/>
        <v>0.8</v>
      </c>
      <c r="F12" s="23" t="str">
        <f t="shared" si="2"/>
        <v>Alta</v>
      </c>
      <c r="G12" s="170" t="s">
        <v>280</v>
      </c>
      <c r="H12" s="166">
        <f t="shared" si="6"/>
        <v>0.4</v>
      </c>
      <c r="I12" s="168" t="str">
        <f t="shared" si="3"/>
        <v>Menor</v>
      </c>
      <c r="J12" s="170" t="s">
        <v>289</v>
      </c>
      <c r="K12" s="166">
        <f t="shared" si="4"/>
        <v>0.4</v>
      </c>
      <c r="L12" s="168" t="str">
        <f t="shared" si="5"/>
        <v>Menor</v>
      </c>
      <c r="M12" s="189">
        <f t="shared" si="8"/>
        <v>0.4</v>
      </c>
      <c r="N12" s="190" t="str">
        <f t="shared" si="7"/>
        <v>Menor</v>
      </c>
      <c r="P12" s="30" t="s">
        <v>295</v>
      </c>
      <c r="Q12" s="28" t="s">
        <v>296</v>
      </c>
      <c r="R12" s="160">
        <v>501</v>
      </c>
      <c r="S12" s="160">
        <v>5000</v>
      </c>
      <c r="T12" s="25">
        <v>0.8</v>
      </c>
      <c r="V12" s="30" t="s">
        <v>297</v>
      </c>
      <c r="W12" s="26">
        <v>0.8</v>
      </c>
      <c r="X12" s="28" t="s">
        <v>298</v>
      </c>
      <c r="Y12" s="29" t="s">
        <v>299</v>
      </c>
    </row>
    <row r="13" spans="1:25" ht="93" customHeight="1">
      <c r="A13" s="22" t="str">
        <f>'2 CONTEXTO E IDENTIFICACIÓN'!A13</f>
        <v>R5</v>
      </c>
      <c r="B13" s="184" t="str">
        <f>+'2 CONTEXTO E IDENTIFICACIÓN'!K13</f>
        <v>Posibilidad de perdida de disponibilidad e integridad de la información por ataques cibernéticos, modificaciones no autorizadas o fallas del servidor   debido a ausencia de monitoreo permanente y mantenimiento de la plataforma o deficiencias en la implementación de controles de seguridad</v>
      </c>
      <c r="C13" s="186">
        <v>500</v>
      </c>
      <c r="D13" s="163" t="str">
        <f t="shared" si="0"/>
        <v>La actividad que conlleva el riesgo se ejecuta de 24 a 500 veces por año</v>
      </c>
      <c r="E13" s="164">
        <f t="shared" si="1"/>
        <v>0.6</v>
      </c>
      <c r="F13" s="23" t="str">
        <f t="shared" si="2"/>
        <v>Media</v>
      </c>
      <c r="G13" s="170" t="s">
        <v>285</v>
      </c>
      <c r="H13" s="166">
        <f t="shared" si="6"/>
        <v>0.2</v>
      </c>
      <c r="I13" s="168" t="str">
        <f t="shared" si="3"/>
        <v>Leve</v>
      </c>
      <c r="J13" s="170" t="s">
        <v>294</v>
      </c>
      <c r="K13" s="166">
        <f t="shared" si="4"/>
        <v>0.6</v>
      </c>
      <c r="L13" s="168" t="str">
        <f t="shared" si="5"/>
        <v>Moderado</v>
      </c>
      <c r="M13" s="189">
        <f t="shared" si="8"/>
        <v>0.6</v>
      </c>
      <c r="N13" s="190" t="str">
        <f t="shared" si="7"/>
        <v>Moderado</v>
      </c>
      <c r="P13" s="289" t="s">
        <v>300</v>
      </c>
      <c r="Q13" s="28" t="s">
        <v>301</v>
      </c>
      <c r="R13" s="160">
        <v>5001</v>
      </c>
      <c r="S13" s="160"/>
      <c r="T13" s="25">
        <v>1</v>
      </c>
      <c r="V13" s="289" t="s">
        <v>302</v>
      </c>
      <c r="W13" s="26">
        <v>1</v>
      </c>
      <c r="X13" s="28" t="s">
        <v>303</v>
      </c>
      <c r="Y13" s="29" t="s">
        <v>304</v>
      </c>
    </row>
    <row r="14" spans="1:25" ht="93" customHeight="1" thickBot="1">
      <c r="A14" s="22" t="str">
        <f>'2 CONTEXTO E IDENTIFICACIÓN'!A14</f>
        <v>R6</v>
      </c>
      <c r="B14" s="184" t="str">
        <f>+'2 CONTEXTO E IDENTIFICACIÓN'!K14</f>
        <v xml:space="preserve">   </v>
      </c>
      <c r="C14" s="186"/>
      <c r="D14" s="163" t="str">
        <f t="shared" si="0"/>
        <v/>
      </c>
      <c r="E14" s="164" t="str">
        <f t="shared" si="1"/>
        <v/>
      </c>
      <c r="F14" s="23" t="str">
        <f t="shared" si="2"/>
        <v/>
      </c>
      <c r="G14" s="170"/>
      <c r="H14" s="166" t="str">
        <f t="shared" si="6"/>
        <v/>
      </c>
      <c r="I14" s="168" t="str">
        <f t="shared" si="3"/>
        <v/>
      </c>
      <c r="J14" s="170"/>
      <c r="K14" s="166" t="str">
        <f t="shared" si="4"/>
        <v/>
      </c>
      <c r="L14" s="168" t="str">
        <f t="shared" si="5"/>
        <v/>
      </c>
      <c r="M14" s="189" t="str">
        <f t="shared" si="8"/>
        <v/>
      </c>
      <c r="N14" s="190" t="str">
        <f t="shared" si="7"/>
        <v/>
      </c>
      <c r="P14" s="31"/>
      <c r="Q14" s="32"/>
      <c r="R14" s="161"/>
      <c r="S14" s="161"/>
      <c r="T14" s="33"/>
      <c r="V14" s="31"/>
      <c r="W14" s="32"/>
      <c r="X14" s="32" t="s">
        <v>305</v>
      </c>
      <c r="Y14" s="33" t="s">
        <v>305</v>
      </c>
    </row>
    <row r="15" spans="1:25" ht="93" customHeight="1">
      <c r="A15" s="22" t="str">
        <f>'2 CONTEXTO E IDENTIFICACIÓN'!A15</f>
        <v>R7</v>
      </c>
      <c r="B15" s="184" t="str">
        <f>+'2 CONTEXTO E IDENTIFICACIÓN'!K15</f>
        <v xml:space="preserve">   </v>
      </c>
      <c r="C15" s="186"/>
      <c r="D15" s="163" t="str">
        <f t="shared" si="0"/>
        <v/>
      </c>
      <c r="E15" s="164" t="str">
        <f t="shared" si="1"/>
        <v/>
      </c>
      <c r="F15" s="23" t="str">
        <f t="shared" si="2"/>
        <v/>
      </c>
      <c r="G15" s="170"/>
      <c r="H15" s="166" t="str">
        <f t="shared" si="6"/>
        <v/>
      </c>
      <c r="I15" s="168" t="str">
        <f t="shared" si="3"/>
        <v/>
      </c>
      <c r="J15" s="170"/>
      <c r="K15" s="166" t="str">
        <f t="shared" si="4"/>
        <v/>
      </c>
      <c r="L15" s="168" t="str">
        <f t="shared" si="5"/>
        <v/>
      </c>
      <c r="M15" s="189" t="str">
        <f t="shared" si="8"/>
        <v/>
      </c>
      <c r="N15" s="190" t="str">
        <f t="shared" si="7"/>
        <v/>
      </c>
    </row>
    <row r="16" spans="1:25" ht="93" customHeight="1">
      <c r="A16" s="22" t="str">
        <f>'2 CONTEXTO E IDENTIFICACIÓN'!A16</f>
        <v>R8</v>
      </c>
      <c r="B16" s="184" t="str">
        <f>+'2 CONTEXTO E IDENTIFICACIÓN'!K16</f>
        <v xml:space="preserve">   </v>
      </c>
      <c r="C16" s="186"/>
      <c r="D16" s="163" t="str">
        <f t="shared" si="0"/>
        <v/>
      </c>
      <c r="E16" s="164" t="str">
        <f t="shared" si="1"/>
        <v/>
      </c>
      <c r="F16" s="23" t="str">
        <f t="shared" si="2"/>
        <v/>
      </c>
      <c r="G16" s="170"/>
      <c r="H16" s="166" t="str">
        <f t="shared" si="6"/>
        <v/>
      </c>
      <c r="I16" s="168" t="str">
        <f t="shared" si="3"/>
        <v/>
      </c>
      <c r="J16" s="170"/>
      <c r="K16" s="166" t="str">
        <f t="shared" si="4"/>
        <v/>
      </c>
      <c r="L16" s="168" t="str">
        <f t="shared" si="5"/>
        <v/>
      </c>
      <c r="M16" s="189" t="str">
        <f t="shared" si="8"/>
        <v/>
      </c>
      <c r="N16" s="190" t="str">
        <f t="shared" si="7"/>
        <v/>
      </c>
    </row>
    <row r="17" spans="1:14" ht="93" customHeight="1">
      <c r="A17" s="22" t="str">
        <f>'2 CONTEXTO E IDENTIFICACIÓN'!A17</f>
        <v>R9</v>
      </c>
      <c r="B17" s="184" t="str">
        <f>+'2 CONTEXTO E IDENTIFICACIÓN'!K17</f>
        <v xml:space="preserve">   </v>
      </c>
      <c r="C17" s="186"/>
      <c r="D17" s="163" t="str">
        <f t="shared" si="0"/>
        <v/>
      </c>
      <c r="E17" s="164" t="str">
        <f t="shared" si="1"/>
        <v/>
      </c>
      <c r="F17" s="23" t="str">
        <f t="shared" si="2"/>
        <v/>
      </c>
      <c r="G17" s="170"/>
      <c r="H17" s="166" t="str">
        <f t="shared" si="6"/>
        <v/>
      </c>
      <c r="I17" s="168" t="str">
        <f t="shared" si="3"/>
        <v/>
      </c>
      <c r="J17" s="170"/>
      <c r="K17" s="166" t="str">
        <f t="shared" si="4"/>
        <v/>
      </c>
      <c r="L17" s="168" t="str">
        <f t="shared" si="5"/>
        <v/>
      </c>
      <c r="M17" s="189" t="str">
        <f t="shared" si="8"/>
        <v/>
      </c>
      <c r="N17" s="190" t="str">
        <f t="shared" si="7"/>
        <v/>
      </c>
    </row>
    <row r="18" spans="1:14" ht="93" customHeight="1">
      <c r="A18" s="22" t="str">
        <f>'2 CONTEXTO E IDENTIFICACIÓN'!A18</f>
        <v>R10</v>
      </c>
      <c r="B18" s="184" t="str">
        <f>+'2 CONTEXTO E IDENTIFICACIÓN'!K18</f>
        <v xml:space="preserve">   </v>
      </c>
      <c r="C18" s="186"/>
      <c r="D18" s="163" t="str">
        <f t="shared" si="0"/>
        <v/>
      </c>
      <c r="E18" s="164" t="str">
        <f t="shared" si="1"/>
        <v/>
      </c>
      <c r="F18" s="23" t="str">
        <f t="shared" si="2"/>
        <v/>
      </c>
      <c r="G18" s="170"/>
      <c r="H18" s="166" t="str">
        <f t="shared" si="6"/>
        <v/>
      </c>
      <c r="I18" s="168" t="str">
        <f t="shared" si="3"/>
        <v/>
      </c>
      <c r="J18" s="170"/>
      <c r="K18" s="166" t="str">
        <f t="shared" si="4"/>
        <v/>
      </c>
      <c r="L18" s="168" t="str">
        <f t="shared" si="5"/>
        <v/>
      </c>
      <c r="M18" s="189" t="str">
        <f t="shared" si="8"/>
        <v/>
      </c>
      <c r="N18" s="190" t="str">
        <f t="shared" si="7"/>
        <v/>
      </c>
    </row>
    <row r="19" spans="1:14" ht="93" customHeight="1">
      <c r="A19" s="22" t="str">
        <f>'2 CONTEXTO E IDENTIFICACIÓN'!A19</f>
        <v>R11</v>
      </c>
      <c r="B19" s="184" t="str">
        <f>+'2 CONTEXTO E IDENTIFICACIÓN'!K19</f>
        <v xml:space="preserve">   </v>
      </c>
      <c r="C19" s="186"/>
      <c r="D19" s="163" t="str">
        <f t="shared" si="0"/>
        <v/>
      </c>
      <c r="E19" s="164" t="str">
        <f t="shared" si="1"/>
        <v/>
      </c>
      <c r="F19" s="23" t="str">
        <f t="shared" si="2"/>
        <v/>
      </c>
      <c r="G19" s="170"/>
      <c r="H19" s="166" t="str">
        <f t="shared" si="6"/>
        <v/>
      </c>
      <c r="I19" s="168" t="str">
        <f t="shared" si="3"/>
        <v/>
      </c>
      <c r="J19" s="170"/>
      <c r="K19" s="166" t="str">
        <f t="shared" si="4"/>
        <v/>
      </c>
      <c r="L19" s="168" t="str">
        <f t="shared" si="5"/>
        <v/>
      </c>
      <c r="M19" s="189" t="str">
        <f t="shared" si="8"/>
        <v/>
      </c>
      <c r="N19" s="190" t="str">
        <f t="shared" si="7"/>
        <v/>
      </c>
    </row>
    <row r="20" spans="1:14" ht="93" customHeight="1">
      <c r="A20" s="22" t="str">
        <f>'2 CONTEXTO E IDENTIFICACIÓN'!A20</f>
        <v>R12</v>
      </c>
      <c r="B20" s="184" t="str">
        <f>+'2 CONTEXTO E IDENTIFICACIÓN'!K20</f>
        <v xml:space="preserve">   </v>
      </c>
      <c r="C20" s="186"/>
      <c r="D20" s="163" t="str">
        <f t="shared" si="0"/>
        <v/>
      </c>
      <c r="E20" s="164" t="str">
        <f t="shared" si="1"/>
        <v/>
      </c>
      <c r="F20" s="23" t="str">
        <f t="shared" si="2"/>
        <v/>
      </c>
      <c r="G20" s="170"/>
      <c r="H20" s="166" t="str">
        <f t="shared" si="6"/>
        <v/>
      </c>
      <c r="I20" s="168" t="str">
        <f t="shared" si="3"/>
        <v/>
      </c>
      <c r="J20" s="170"/>
      <c r="K20" s="166" t="str">
        <f t="shared" si="4"/>
        <v/>
      </c>
      <c r="L20" s="168" t="str">
        <f t="shared" si="5"/>
        <v/>
      </c>
      <c r="M20" s="189" t="str">
        <f t="shared" si="8"/>
        <v/>
      </c>
      <c r="N20" s="190" t="str">
        <f t="shared" si="7"/>
        <v/>
      </c>
    </row>
    <row r="21" spans="1:14" ht="93" customHeight="1">
      <c r="A21" s="22" t="str">
        <f>'2 CONTEXTO E IDENTIFICACIÓN'!A21</f>
        <v>R13</v>
      </c>
      <c r="B21" s="184" t="str">
        <f>+'2 CONTEXTO E IDENTIFICACIÓN'!K21</f>
        <v xml:space="preserve">   </v>
      </c>
      <c r="C21" s="186"/>
      <c r="D21" s="163" t="str">
        <f t="shared" si="0"/>
        <v/>
      </c>
      <c r="E21" s="164" t="str">
        <f t="shared" si="1"/>
        <v/>
      </c>
      <c r="F21" s="23" t="str">
        <f t="shared" si="2"/>
        <v/>
      </c>
      <c r="G21" s="170"/>
      <c r="H21" s="166" t="str">
        <f t="shared" si="6"/>
        <v/>
      </c>
      <c r="I21" s="168" t="str">
        <f t="shared" si="3"/>
        <v/>
      </c>
      <c r="J21" s="170"/>
      <c r="K21" s="166" t="str">
        <f t="shared" si="4"/>
        <v/>
      </c>
      <c r="L21" s="168" t="str">
        <f t="shared" si="5"/>
        <v/>
      </c>
      <c r="M21" s="189" t="str">
        <f t="shared" si="8"/>
        <v/>
      </c>
      <c r="N21" s="190" t="str">
        <f t="shared" si="7"/>
        <v/>
      </c>
    </row>
    <row r="22" spans="1:14" ht="93" customHeight="1">
      <c r="A22" s="22" t="str">
        <f>'2 CONTEXTO E IDENTIFICACIÓN'!A22</f>
        <v>R14</v>
      </c>
      <c r="B22" s="184" t="str">
        <f>+'2 CONTEXTO E IDENTIFICACIÓN'!K22</f>
        <v xml:space="preserve">   </v>
      </c>
      <c r="C22" s="186"/>
      <c r="D22" s="163" t="str">
        <f t="shared" si="0"/>
        <v/>
      </c>
      <c r="E22" s="164" t="str">
        <f t="shared" si="1"/>
        <v/>
      </c>
      <c r="F22" s="23" t="str">
        <f t="shared" si="2"/>
        <v/>
      </c>
      <c r="G22" s="170"/>
      <c r="H22" s="166" t="str">
        <f t="shared" si="6"/>
        <v/>
      </c>
      <c r="I22" s="168" t="str">
        <f t="shared" si="3"/>
        <v/>
      </c>
      <c r="J22" s="170"/>
      <c r="K22" s="166" t="str">
        <f t="shared" si="4"/>
        <v/>
      </c>
      <c r="L22" s="168" t="str">
        <f t="shared" si="5"/>
        <v/>
      </c>
      <c r="M22" s="189" t="str">
        <f t="shared" si="8"/>
        <v/>
      </c>
      <c r="N22" s="190" t="str">
        <f t="shared" si="7"/>
        <v/>
      </c>
    </row>
    <row r="23" spans="1:14" ht="93" customHeight="1">
      <c r="A23" s="22" t="str">
        <f>'2 CONTEXTO E IDENTIFICACIÓN'!A23</f>
        <v>R15</v>
      </c>
      <c r="B23" s="184" t="str">
        <f>+'2 CONTEXTO E IDENTIFICACIÓN'!K23</f>
        <v xml:space="preserve">   </v>
      </c>
      <c r="C23" s="186"/>
      <c r="D23" s="163" t="str">
        <f t="shared" si="0"/>
        <v/>
      </c>
      <c r="E23" s="164" t="str">
        <f t="shared" si="1"/>
        <v/>
      </c>
      <c r="F23" s="23" t="str">
        <f t="shared" si="2"/>
        <v/>
      </c>
      <c r="G23" s="170"/>
      <c r="H23" s="166" t="str">
        <f t="shared" si="6"/>
        <v/>
      </c>
      <c r="I23" s="168" t="str">
        <f t="shared" si="3"/>
        <v/>
      </c>
      <c r="J23" s="170"/>
      <c r="K23" s="166" t="str">
        <f t="shared" si="4"/>
        <v/>
      </c>
      <c r="L23" s="168" t="str">
        <f t="shared" si="5"/>
        <v/>
      </c>
      <c r="M23" s="189" t="str">
        <f t="shared" si="8"/>
        <v/>
      </c>
      <c r="N23" s="190" t="str">
        <f t="shared" si="7"/>
        <v/>
      </c>
    </row>
    <row r="24" spans="1:14" ht="93" customHeight="1">
      <c r="A24" s="22" t="str">
        <f>'2 CONTEXTO E IDENTIFICACIÓN'!A24</f>
        <v>R16</v>
      </c>
      <c r="B24" s="184" t="str">
        <f>+'2 CONTEXTO E IDENTIFICACIÓN'!K24</f>
        <v xml:space="preserve">   </v>
      </c>
      <c r="C24" s="186"/>
      <c r="D24" s="163" t="str">
        <f t="shared" si="0"/>
        <v/>
      </c>
      <c r="E24" s="164" t="str">
        <f t="shared" si="1"/>
        <v/>
      </c>
      <c r="F24" s="23" t="str">
        <f t="shared" si="2"/>
        <v/>
      </c>
      <c r="G24" s="170"/>
      <c r="H24" s="166" t="str">
        <f t="shared" si="6"/>
        <v/>
      </c>
      <c r="I24" s="168" t="str">
        <f t="shared" si="3"/>
        <v/>
      </c>
      <c r="J24" s="170"/>
      <c r="K24" s="166" t="str">
        <f t="shared" si="4"/>
        <v/>
      </c>
      <c r="L24" s="168" t="str">
        <f t="shared" si="5"/>
        <v/>
      </c>
      <c r="M24" s="189" t="str">
        <f t="shared" si="8"/>
        <v/>
      </c>
      <c r="N24" s="190" t="str">
        <f t="shared" si="7"/>
        <v/>
      </c>
    </row>
    <row r="25" spans="1:14" ht="93" customHeight="1">
      <c r="A25" s="22" t="str">
        <f>'2 CONTEXTO E IDENTIFICACIÓN'!A25</f>
        <v>R17</v>
      </c>
      <c r="B25" s="184" t="str">
        <f>+'2 CONTEXTO E IDENTIFICACIÓN'!K25</f>
        <v xml:space="preserve">   </v>
      </c>
      <c r="C25" s="186"/>
      <c r="D25" s="163" t="str">
        <f t="shared" si="0"/>
        <v/>
      </c>
      <c r="E25" s="164" t="str">
        <f t="shared" si="1"/>
        <v/>
      </c>
      <c r="F25" s="23" t="str">
        <f t="shared" si="2"/>
        <v/>
      </c>
      <c r="G25" s="170"/>
      <c r="H25" s="166" t="str">
        <f t="shared" si="6"/>
        <v/>
      </c>
      <c r="I25" s="168" t="str">
        <f t="shared" si="3"/>
        <v/>
      </c>
      <c r="J25" s="170"/>
      <c r="K25" s="166" t="str">
        <f t="shared" si="4"/>
        <v/>
      </c>
      <c r="L25" s="168" t="str">
        <f t="shared" si="5"/>
        <v/>
      </c>
      <c r="M25" s="189" t="str">
        <f t="shared" si="8"/>
        <v/>
      </c>
      <c r="N25" s="190" t="str">
        <f t="shared" si="7"/>
        <v/>
      </c>
    </row>
    <row r="26" spans="1:14" ht="93" customHeight="1">
      <c r="A26" s="22" t="str">
        <f>'2 CONTEXTO E IDENTIFICACIÓN'!A26</f>
        <v>R18</v>
      </c>
      <c r="B26" s="184" t="str">
        <f>+'2 CONTEXTO E IDENTIFICACIÓN'!K26</f>
        <v xml:space="preserve">   </v>
      </c>
      <c r="C26" s="186"/>
      <c r="D26" s="163" t="str">
        <f t="shared" si="0"/>
        <v/>
      </c>
      <c r="E26" s="164" t="str">
        <f t="shared" si="1"/>
        <v/>
      </c>
      <c r="F26" s="23" t="str">
        <f t="shared" si="2"/>
        <v/>
      </c>
      <c r="G26" s="170"/>
      <c r="H26" s="166" t="str">
        <f t="shared" si="6"/>
        <v/>
      </c>
      <c r="I26" s="168" t="str">
        <f t="shared" si="3"/>
        <v/>
      </c>
      <c r="J26" s="170"/>
      <c r="K26" s="166" t="str">
        <f t="shared" si="4"/>
        <v/>
      </c>
      <c r="L26" s="168" t="str">
        <f t="shared" si="5"/>
        <v/>
      </c>
      <c r="M26" s="189" t="str">
        <f t="shared" si="8"/>
        <v/>
      </c>
      <c r="N26" s="190" t="str">
        <f t="shared" si="7"/>
        <v/>
      </c>
    </row>
    <row r="27" spans="1:14" ht="93" customHeight="1">
      <c r="A27" s="22" t="str">
        <f>'2 CONTEXTO E IDENTIFICACIÓN'!A27</f>
        <v>R19</v>
      </c>
      <c r="B27" s="184" t="str">
        <f>+'2 CONTEXTO E IDENTIFICACIÓN'!K27</f>
        <v xml:space="preserve">   </v>
      </c>
      <c r="C27" s="186"/>
      <c r="D27" s="163" t="str">
        <f t="shared" si="0"/>
        <v/>
      </c>
      <c r="E27" s="164" t="str">
        <f t="shared" si="1"/>
        <v/>
      </c>
      <c r="F27" s="23" t="str">
        <f t="shared" si="2"/>
        <v/>
      </c>
      <c r="G27" s="170"/>
      <c r="H27" s="166" t="str">
        <f t="shared" si="6"/>
        <v/>
      </c>
      <c r="I27" s="168" t="str">
        <f t="shared" si="3"/>
        <v/>
      </c>
      <c r="J27" s="170"/>
      <c r="K27" s="166" t="str">
        <f t="shared" si="4"/>
        <v/>
      </c>
      <c r="L27" s="168" t="str">
        <f t="shared" si="5"/>
        <v/>
      </c>
      <c r="M27" s="189" t="str">
        <f t="shared" si="8"/>
        <v/>
      </c>
      <c r="N27" s="190" t="str">
        <f t="shared" si="7"/>
        <v/>
      </c>
    </row>
    <row r="28" spans="1:14" ht="93" customHeight="1" thickBot="1">
      <c r="A28" s="34" t="str">
        <f>'2 CONTEXTO E IDENTIFICACIÓN'!A28</f>
        <v>R20</v>
      </c>
      <c r="B28" s="184" t="str">
        <f>+'2 CONTEXTO E IDENTIFICACIÓN'!K28</f>
        <v xml:space="preserve">   </v>
      </c>
      <c r="C28" s="187"/>
      <c r="D28" s="171" t="str">
        <f t="shared" si="0"/>
        <v/>
      </c>
      <c r="E28" s="165" t="str">
        <f t="shared" si="1"/>
        <v/>
      </c>
      <c r="F28" s="35" t="str">
        <f t="shared" si="2"/>
        <v/>
      </c>
      <c r="G28" s="170"/>
      <c r="H28" s="167" t="str">
        <f t="shared" si="6"/>
        <v/>
      </c>
      <c r="I28" s="169" t="str">
        <f t="shared" si="3"/>
        <v/>
      </c>
      <c r="J28" s="170"/>
      <c r="K28" s="167" t="str">
        <f t="shared" si="4"/>
        <v/>
      </c>
      <c r="L28" s="169" t="str">
        <f t="shared" si="5"/>
        <v/>
      </c>
      <c r="M28" s="191" t="str">
        <f t="shared" si="8"/>
        <v/>
      </c>
      <c r="N28" s="192" t="str">
        <f t="shared" si="7"/>
        <v/>
      </c>
    </row>
  </sheetData>
  <sheetProtection sheet="1" objects="1" scenarios="1"/>
  <autoFilter ref="A8:N8"/>
  <dataConsolidate/>
  <mergeCells count="12">
    <mergeCell ref="V7:Y7"/>
    <mergeCell ref="P7:T7"/>
    <mergeCell ref="A1:A2"/>
    <mergeCell ref="B1:B2"/>
    <mergeCell ref="B5:D5"/>
    <mergeCell ref="C7:F7"/>
    <mergeCell ref="G7:I7"/>
    <mergeCell ref="J7:L7"/>
    <mergeCell ref="M7:N7"/>
    <mergeCell ref="G6:N6"/>
    <mergeCell ref="C4:D4"/>
    <mergeCell ref="C1:D1"/>
  </mergeCells>
  <conditionalFormatting sqref="E9:E28 G9:G28">
    <cfRule type="cellIs" dxfId="138" priority="1" operator="equal">
      <formula>$T$9</formula>
    </cfRule>
    <cfRule type="cellIs" dxfId="137" priority="2" operator="equal">
      <formula>$T$10</formula>
    </cfRule>
    <cfRule type="cellIs" dxfId="136" priority="3" operator="equal">
      <formula>$T$11</formula>
    </cfRule>
    <cfRule type="cellIs" dxfId="135" priority="4" operator="equal">
      <formula>$T$12</formula>
    </cfRule>
    <cfRule type="cellIs" dxfId="134" priority="5" operator="equal">
      <formula>$T$13</formula>
    </cfRule>
  </conditionalFormatting>
  <conditionalFormatting sqref="F9:F28">
    <cfRule type="cellIs" dxfId="133" priority="159" operator="equal">
      <formula>$P$9</formula>
    </cfRule>
    <cfRule type="cellIs" dxfId="132" priority="160" operator="equal">
      <formula>$P$10</formula>
    </cfRule>
    <cfRule type="cellIs" dxfId="131" priority="161" operator="equal">
      <formula>$P$11</formula>
    </cfRule>
    <cfRule type="cellIs" dxfId="130" priority="162" operator="equal">
      <formula>$P$12</formula>
    </cfRule>
    <cfRule type="cellIs" dxfId="129" priority="163" operator="equal">
      <formula>$P$13</formula>
    </cfRule>
  </conditionalFormatting>
  <conditionalFormatting sqref="H9:H28">
    <cfRule type="cellIs" dxfId="128" priority="76" operator="equal">
      <formula>$W$9</formula>
    </cfRule>
    <cfRule type="cellIs" dxfId="127" priority="77" operator="equal">
      <formula>$W$10</formula>
    </cfRule>
    <cfRule type="cellIs" dxfId="126" priority="78" operator="equal">
      <formula>$W$11</formula>
    </cfRule>
    <cfRule type="cellIs" dxfId="125" priority="79" operator="equal">
      <formula>$W$12</formula>
    </cfRule>
    <cfRule type="cellIs" dxfId="124" priority="80" operator="equal">
      <formula>$W$13</formula>
    </cfRule>
  </conditionalFormatting>
  <conditionalFormatting sqref="I9:J28">
    <cfRule type="cellIs" dxfId="123" priority="81" operator="equal">
      <formula>$V$9</formula>
    </cfRule>
    <cfRule type="cellIs" dxfId="122" priority="82" operator="equal">
      <formula>$V$10</formula>
    </cfRule>
    <cfRule type="cellIs" dxfId="121" priority="83" operator="equal">
      <formula>$V$11</formula>
    </cfRule>
    <cfRule type="cellIs" dxfId="120" priority="84" operator="equal">
      <formula>$V$12</formula>
    </cfRule>
    <cfRule type="cellIs" dxfId="119" priority="85" operator="equal">
      <formula>$V$13</formula>
    </cfRule>
  </conditionalFormatting>
  <conditionalFormatting sqref="K9:K28">
    <cfRule type="cellIs" dxfId="118" priority="61" operator="equal">
      <formula>$W$9</formula>
    </cfRule>
    <cfRule type="cellIs" dxfId="117" priority="62" operator="equal">
      <formula>$W$10</formula>
    </cfRule>
    <cfRule type="cellIs" dxfId="116" priority="63" operator="equal">
      <formula>$W$11</formula>
    </cfRule>
    <cfRule type="cellIs" dxfId="115" priority="64" operator="equal">
      <formula>$W$12</formula>
    </cfRule>
    <cfRule type="cellIs" dxfId="114" priority="65" operator="equal">
      <formula>$W$13</formula>
    </cfRule>
  </conditionalFormatting>
  <conditionalFormatting sqref="L9:L28">
    <cfRule type="cellIs" dxfId="113" priority="96" operator="equal">
      <formula>$V$9</formula>
    </cfRule>
    <cfRule type="cellIs" dxfId="112" priority="97" operator="equal">
      <formula>$V$10</formula>
    </cfRule>
    <cfRule type="cellIs" dxfId="111" priority="98" operator="equal">
      <formula>$V$11</formula>
    </cfRule>
    <cfRule type="cellIs" dxfId="110" priority="99" operator="equal">
      <formula>$V$12</formula>
    </cfRule>
    <cfRule type="cellIs" dxfId="109" priority="100" operator="equal">
      <formula>$V$13</formula>
    </cfRule>
  </conditionalFormatting>
  <conditionalFormatting sqref="M9:M28">
    <cfRule type="cellIs" dxfId="108" priority="6" operator="equal">
      <formula>$W$9</formula>
    </cfRule>
    <cfRule type="cellIs" dxfId="107" priority="7" operator="equal">
      <formula>$W$10</formula>
    </cfRule>
    <cfRule type="cellIs" dxfId="106" priority="8" operator="equal">
      <formula>$W$11</formula>
    </cfRule>
    <cfRule type="cellIs" dxfId="105" priority="9" operator="equal">
      <formula>$W$12</formula>
    </cfRule>
    <cfRule type="cellIs" dxfId="104" priority="10" operator="equal">
      <formula>$W$13</formula>
    </cfRule>
  </conditionalFormatting>
  <conditionalFormatting sqref="N9:N28">
    <cfRule type="cellIs" dxfId="103" priority="31" operator="equal">
      <formula>$V$9</formula>
    </cfRule>
    <cfRule type="cellIs" dxfId="102" priority="32" operator="equal">
      <formula>$V$10</formula>
    </cfRule>
    <cfRule type="cellIs" dxfId="101" priority="33" operator="equal">
      <formula>$V$11</formula>
    </cfRule>
    <cfRule type="cellIs" dxfId="100" priority="34" operator="equal">
      <formula>$V$12</formula>
    </cfRule>
    <cfRule type="cellIs" dxfId="99" priority="35" operator="equal">
      <formula>$V$13</formula>
    </cfRule>
  </conditionalFormatting>
  <dataValidations count="3">
    <dataValidation allowBlank="1" showInputMessage="1" showErrorMessage="1" prompt="La probabilidad se encuentra determinada por una escala de 1 a 3, siendo 1 la menor probabilidad de ocurrencia del riesgo y 3 la mayor probabilidad de  ocurrencia." sqref="IO8"/>
    <dataValidation allowBlank="1" showInputMessage="1" showErrorMessage="1" prompt="Es la materialización del riesgo y las consecuencias de su aparición. Su escala es: 5 bajo impacto, 10 medio, 20 alto impacto._x000a_" sqref="IP8:JA8"/>
    <dataValidation type="list" allowBlank="1" showInputMessage="1" showErrorMessage="1" sqref="IU12:JA12 IP9:JA11">
      <formula1>#REF!</formula1>
    </dataValidation>
  </dataValidations>
  <printOptions horizontalCentered="1" verticalCentered="1"/>
  <pageMargins left="0.31496062992125984" right="0.27559055118110237" top="0.23622047244094491" bottom="0.15748031496062992" header="0" footer="0"/>
  <pageSetup scale="35" orientation="landscape" r:id="rId1"/>
  <headerFooter alignWithMargins="0"/>
  <colBreaks count="1" manualBreakCount="1">
    <brk id="14" max="1048575" man="1"/>
  </colBreaks>
  <extLst>
    <ext xmlns:x14="http://schemas.microsoft.com/office/spreadsheetml/2009/9/main" uri="{CCE6A557-97BC-4b89-ADB6-D9C93CAAB3DF}">
      <x14:dataValidations xmlns:xm="http://schemas.microsoft.com/office/excel/2006/main" count="2">
        <x14:dataValidation type="list" allowBlank="1" showInputMessage="1" showErrorMessage="1">
          <x14:formula1>
            <xm:f>IF('H1'!$N2=0,AFECTACIÓN_ECONÓMICA_EXTENDIDA,INDIRECT(VLOOKUP('H1'!$S2,'H1'!$E$1:$I$193,4,0)))</xm:f>
          </x14:formula1>
          <xm:sqref>G9:G28</xm:sqref>
        </x14:dataValidation>
        <x14:dataValidation type="list" allowBlank="1" showInputMessage="1" showErrorMessage="1">
          <x14:formula1>
            <xm:f>IF('H1'!$R2='H1'!$V2,'H1'!$U2,IF('H1'!$N2=0,REPUTACIONAL_EXTENDIDA,INDIRECT(VLOOKUP('H1'!$S2,'H1'!$E$1:$I$193,5,0))))</xm:f>
          </x14:formula1>
          <xm:sqref>J9:J28</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F35"/>
  <sheetViews>
    <sheetView showGridLines="0" zoomScaleNormal="100" workbookViewId="0">
      <pane xSplit="1" ySplit="8" topLeftCell="B10" activePane="bottomRight" state="frozen"/>
      <selection pane="topRight" activeCell="B1" sqref="B1"/>
      <selection pane="bottomLeft" activeCell="A7" sqref="A7"/>
      <selection pane="bottomRight" activeCell="B10" sqref="B10"/>
    </sheetView>
  </sheetViews>
  <sheetFormatPr baseColWidth="10" defaultColWidth="0" defaultRowHeight="13.2"/>
  <cols>
    <col min="1" max="1" width="12.77734375" style="63" customWidth="1"/>
    <col min="2" max="2" width="29.44140625" style="68" customWidth="1"/>
    <col min="3" max="3" width="16.44140625" style="63" customWidth="1"/>
    <col min="4" max="4" width="12.44140625" style="68" customWidth="1"/>
    <col min="5" max="5" width="25" style="68" customWidth="1"/>
    <col min="6" max="6" width="3.77734375" style="68" customWidth="1"/>
    <col min="7" max="7" width="7.44140625" style="68" customWidth="1"/>
    <col min="8" max="8" width="14" style="68" customWidth="1"/>
    <col min="9" max="9" width="13.77734375" style="68" customWidth="1"/>
    <col min="10" max="13" width="12.44140625" style="68" customWidth="1"/>
    <col min="14" max="14" width="3.77734375" style="68" customWidth="1"/>
    <col min="15" max="15" width="4.77734375" style="63" customWidth="1"/>
    <col min="16" max="16" width="6.44140625" style="63" customWidth="1"/>
    <col min="17" max="17" width="11" style="63" bestFit="1" customWidth="1"/>
    <col min="18" max="22" width="12" style="63" customWidth="1"/>
    <col min="23" max="23" width="11.44140625" style="63" customWidth="1"/>
    <col min="24" max="27" width="11.44140625" style="63" hidden="1" customWidth="1"/>
    <col min="28" max="28" width="5.44140625" style="63" hidden="1" customWidth="1"/>
    <col min="29" max="29" width="26.77734375" style="63" hidden="1" customWidth="1"/>
    <col min="30" max="34" width="22.77734375" style="68" hidden="1" customWidth="1"/>
    <col min="35" max="35" width="23.44140625" style="63" hidden="1" customWidth="1"/>
    <col min="36" max="263" width="11.44140625" style="63" hidden="1" customWidth="1"/>
    <col min="264" max="264" width="12.44140625" style="63" hidden="1" customWidth="1"/>
    <col min="265" max="265" width="47" style="63" hidden="1" customWidth="1"/>
    <col min="266" max="266" width="35" style="63" hidden="1" customWidth="1"/>
    <col min="267" max="16384" width="14.44140625" style="63" hidden="1"/>
  </cols>
  <sheetData>
    <row r="1" spans="1:36" s="51" customFormat="1" ht="36" customHeight="1">
      <c r="A1" s="653"/>
      <c r="B1" s="659" t="str">
        <f>+'2 CONTEXTO E IDENTIFICACIÓN'!A1</f>
        <v>MAPA DE RIESGOS</v>
      </c>
      <c r="C1" s="649"/>
      <c r="D1" s="650"/>
      <c r="AD1" s="52"/>
      <c r="AE1" s="52"/>
      <c r="AF1" s="52"/>
      <c r="AG1" s="52"/>
      <c r="AH1" s="52"/>
    </row>
    <row r="2" spans="1:36" s="51" customFormat="1" ht="36" customHeight="1">
      <c r="A2" s="653"/>
      <c r="B2" s="659"/>
      <c r="C2" s="37" t="str">
        <f>+'2 CONTEXTO E IDENTIFICACIÓN'!A2</f>
        <v>VERSIÓN:</v>
      </c>
      <c r="D2" s="326">
        <f>'2 CONTEXTO E IDENTIFICACIÓN'!B2</f>
        <v>1</v>
      </c>
      <c r="E2" s="53"/>
      <c r="F2" s="53"/>
      <c r="G2" s="53"/>
      <c r="H2" s="2"/>
      <c r="I2" s="204" t="str">
        <f>+'2 CONTEXTO E IDENTIFICACIÓN'!$J$4</f>
        <v>Elaboración o Actualización:</v>
      </c>
      <c r="J2" s="347">
        <f>'2 CONTEXTO E IDENTIFICACIÓN'!K4</f>
        <v>45991</v>
      </c>
      <c r="K2" s="344"/>
      <c r="L2" s="344"/>
      <c r="M2" s="54"/>
      <c r="N2" s="53"/>
      <c r="AD2" s="52"/>
      <c r="AE2" s="52"/>
      <c r="AF2" s="52"/>
      <c r="AG2" s="52"/>
      <c r="AH2" s="52"/>
    </row>
    <row r="3" spans="1:36" s="51" customFormat="1" ht="28.05" customHeight="1">
      <c r="A3" s="55"/>
      <c r="B3" s="53"/>
      <c r="C3" s="39"/>
      <c r="D3" s="54"/>
      <c r="E3" s="53"/>
      <c r="F3" s="53"/>
      <c r="G3" s="53"/>
      <c r="I3" s="207" t="str">
        <f>+'2 CONTEXTO E IDENTIFICACIÓN'!$E$5</f>
        <v xml:space="preserve">Vigencia: </v>
      </c>
      <c r="J3" s="347">
        <f>'2 CONTEXTO E IDENTIFICACIÓN'!H5</f>
        <v>46023</v>
      </c>
      <c r="K3" s="206" t="s">
        <v>99</v>
      </c>
      <c r="L3" s="347">
        <f>'2 CONTEXTO E IDENTIFICACIÓN'!K5</f>
        <v>46387</v>
      </c>
      <c r="M3" s="54"/>
      <c r="N3" s="53"/>
      <c r="AD3" s="52"/>
      <c r="AE3" s="52"/>
      <c r="AF3" s="52"/>
      <c r="AG3" s="52"/>
      <c r="AH3" s="52"/>
    </row>
    <row r="4" spans="1:36" s="51" customFormat="1" ht="13.8">
      <c r="A4" s="10" t="s">
        <v>95</v>
      </c>
      <c r="B4" s="663">
        <f>'2 CONTEXTO E IDENTIFICACIÓN'!B4</f>
        <v>0</v>
      </c>
      <c r="C4" s="664"/>
      <c r="D4" s="665"/>
      <c r="AD4" s="52"/>
      <c r="AE4" s="52"/>
      <c r="AF4" s="52"/>
      <c r="AG4" s="52"/>
      <c r="AH4" s="52"/>
    </row>
    <row r="5" spans="1:36" s="51" customFormat="1" ht="14.4" thickBot="1">
      <c r="A5" s="10" t="s">
        <v>96</v>
      </c>
      <c r="B5" s="666">
        <f>'2 CONTEXTO E IDENTIFICACIÓN'!F4</f>
        <v>0</v>
      </c>
      <c r="C5" s="667"/>
      <c r="D5" s="667"/>
      <c r="AD5" s="52"/>
      <c r="AE5" s="52"/>
      <c r="AF5" s="52"/>
      <c r="AG5" s="52"/>
      <c r="AH5" s="52"/>
    </row>
    <row r="6" spans="1:36" s="51" customFormat="1" ht="14.4" thickBot="1">
      <c r="A6" s="211"/>
      <c r="B6" s="210"/>
      <c r="C6" s="210"/>
      <c r="D6" s="54"/>
      <c r="G6" s="660" t="s">
        <v>306</v>
      </c>
      <c r="H6" s="661"/>
      <c r="I6" s="661"/>
      <c r="J6" s="661"/>
      <c r="K6" s="661"/>
      <c r="L6" s="661"/>
      <c r="M6" s="662"/>
      <c r="O6" s="56"/>
      <c r="P6" s="56"/>
      <c r="Q6" s="57"/>
      <c r="R6" s="651" t="s">
        <v>174</v>
      </c>
      <c r="S6" s="651"/>
      <c r="T6" s="651"/>
      <c r="U6" s="651"/>
      <c r="V6" s="652"/>
      <c r="AD6" s="52"/>
      <c r="AE6" s="52"/>
      <c r="AF6" s="52"/>
      <c r="AG6" s="52"/>
      <c r="AH6" s="52"/>
    </row>
    <row r="7" spans="1:36">
      <c r="A7" s="58"/>
      <c r="B7" s="59"/>
      <c r="C7" s="654" t="s">
        <v>307</v>
      </c>
      <c r="D7" s="654"/>
      <c r="E7" s="654"/>
      <c r="F7" s="60"/>
      <c r="G7" s="61"/>
      <c r="H7" s="62"/>
      <c r="I7" s="651" t="s">
        <v>174</v>
      </c>
      <c r="J7" s="651"/>
      <c r="K7" s="651"/>
      <c r="L7" s="651"/>
      <c r="M7" s="652"/>
      <c r="N7" s="60"/>
      <c r="O7" s="64"/>
      <c r="P7" s="64"/>
      <c r="R7" s="65">
        <v>0.2</v>
      </c>
      <c r="S7" s="65">
        <v>0.4</v>
      </c>
      <c r="T7" s="65">
        <v>0.6</v>
      </c>
      <c r="U7" s="65">
        <v>0.8</v>
      </c>
      <c r="V7" s="66">
        <v>1</v>
      </c>
      <c r="W7" s="67"/>
      <c r="X7" s="67"/>
      <c r="Y7" s="67"/>
      <c r="Z7" s="67"/>
      <c r="AA7" s="67"/>
      <c r="AB7" s="67"/>
      <c r="AC7" s="67"/>
    </row>
    <row r="8" spans="1:36" ht="26.4">
      <c r="A8" s="69" t="s">
        <v>308</v>
      </c>
      <c r="B8" s="70" t="s">
        <v>309</v>
      </c>
      <c r="C8" s="71" t="s">
        <v>265</v>
      </c>
      <c r="D8" s="71" t="s">
        <v>266</v>
      </c>
      <c r="E8" s="72" t="s">
        <v>69</v>
      </c>
      <c r="F8" s="60"/>
      <c r="G8" s="64"/>
      <c r="H8" s="73"/>
      <c r="I8" s="74" t="s">
        <v>284</v>
      </c>
      <c r="J8" s="74" t="s">
        <v>288</v>
      </c>
      <c r="K8" s="74" t="s">
        <v>292</v>
      </c>
      <c r="L8" s="74" t="s">
        <v>297</v>
      </c>
      <c r="M8" s="75" t="s">
        <v>302</v>
      </c>
      <c r="N8" s="60"/>
      <c r="O8" s="64"/>
      <c r="P8" s="64"/>
      <c r="Q8" s="76"/>
      <c r="R8" s="77" t="s">
        <v>284</v>
      </c>
      <c r="S8" s="77" t="s">
        <v>288</v>
      </c>
      <c r="T8" s="77" t="s">
        <v>292</v>
      </c>
      <c r="U8" s="77" t="s">
        <v>297</v>
      </c>
      <c r="V8" s="78" t="s">
        <v>302</v>
      </c>
      <c r="Y8" s="67"/>
      <c r="Z8" s="67"/>
      <c r="AA8" s="79"/>
      <c r="AB8" s="79"/>
      <c r="AC8" s="79"/>
      <c r="AD8" s="79"/>
      <c r="AE8" s="79"/>
      <c r="AF8" s="79"/>
      <c r="AG8" s="79"/>
      <c r="AH8" s="79"/>
      <c r="AI8" s="79"/>
      <c r="AJ8" s="79"/>
    </row>
    <row r="9" spans="1:36" ht="93" customHeight="1">
      <c r="A9" s="80" t="str">
        <f>'2 CONTEXTO E IDENTIFICACIÓN'!A9</f>
        <v>R1</v>
      </c>
      <c r="B9" s="81" t="str">
        <f>+'2 CONTEXTO E IDENTIFICACIÓN'!K9</f>
        <v>Posibilidad de perdida de Disponibilidad, confidencialidad e integridad de la información por fallas en el sistema  debido a deficiencias en la infraestructura tecnológica, ausencia o insuficiencia de mantenimiento preventivo y correctivo</v>
      </c>
      <c r="C9" s="82" t="str">
        <f>+'3 PROBABIL E IMPACTO INHERENTE'!F9</f>
        <v>Alta</v>
      </c>
      <c r="D9" s="82" t="str">
        <f>+'3 PROBABIL E IMPACTO INHERENTE'!N9</f>
        <v>Menor</v>
      </c>
      <c r="E9" s="337" t="str">
        <f>+IF(C9=$Q$9,IF(D9=$R$8,$R$9,IF(D9=$S$8,$S$9,IF(D9=$T$8,$T$9,IF(D9=$U$8,$U$9,IF(D9=$V$8,$V$9))))),IF(C9=$Q$10,IF(D9=$R$8,$R$10,IF(D9=$S$8,$S$10,IF(D9=$T$8,$T$10,IF(D9=$U$8,$U$10,IF(D9=$V$8,$V$10))))),IF(C9=$Q$11,IF(D9=$R$8,$R$11,IF(D9=$S$8,$S$11,IF(D9=$T$8,$T$11,IF(D9=$U$8,$U$11,IF(D9=$V$8,$V$11))))),IF(C9=$Q$12,IF(D9=$R$8,$R$12,IF(D9=$S$8,$S$12,IF(D9=$T$8,$T$12,IF(D9=$U$8,$U$12,IF(D9=$V$8,$V$12))))),IF(C9=$Q$13,IF(D9=$R$8,$R$13,IF(D9=$S$8,$S$13,IF(D9=$T$8,$T$13,IF(D9=$U$8,$U$13,IF(D9=$V$8,$V$13))))),"")))))</f>
        <v>Moderado</v>
      </c>
      <c r="F9" s="83"/>
      <c r="G9" s="657" t="s">
        <v>155</v>
      </c>
      <c r="H9" s="74" t="s">
        <v>300</v>
      </c>
      <c r="I9" s="84" t="str">
        <f>+IF(AND(C9=$Q$9,D9=$R$8),A9,"")&amp;" "&amp;IF(AND(C10=$Q$9,D10=$R$8),A10,"")&amp;" "&amp;IF(AND(C11=$Q$9,D11=$R$8),A11,"")&amp;" "&amp;IF(AND(C12=$Q$9,D12=$R$8),A12,"")&amp;" "&amp;IF(AND(C13=$Q$9,D13=$R$8),A13,"")&amp;" "&amp;IF(AND(C14=$Q$9,D14=$R$8),A14,"")&amp;" "&amp;IF(AND(C15=$Q$9,D15=$R$8),A15,"")&amp;" "&amp;IF(AND(C16=$Q$9,D16=$R$8),A16,"")&amp;" "&amp;IF(AND(C17=$Q$9,D17=$R$8),A17,"")&amp;" "&amp;IF(AND(C18=$Q$9,D18=$R$8),A18,"")&amp;" "&amp;IF(AND(C19=$Q$9,D19=$R$8),A19,"")&amp;" "&amp;IF(AND(C20=$Q$9,D20=$R$8),A20,"")&amp;" "&amp;IF(AND(C21=$Q$9,D21=$R$8),A21,"")&amp;" "&amp;IF(AND(C22=$Q$9,D22=$R$8),A22,"")&amp;" "&amp;IF(AND(C23=$Q$9,D23=$R$8),A23,"")&amp;" "&amp;IF(AND(C24=$Q$9,D24=$R$8),A24,"")&amp;" "&amp;IF(AND(C25=$Q$9,D25=$R$8),A25,"")&amp;" "&amp;IF(AND(C26=$Q$9,D26=$R$8),A26,"")&amp;" "&amp;IF(AND(C27=$Q$9,D27=$R$8),A27,"")&amp;" "&amp;IF(AND(C28=$Q$9,D28=$R$8),A28,"")</f>
        <v xml:space="preserve">                   </v>
      </c>
      <c r="J9" s="84" t="str">
        <f>+IF(AND(C9=$Q$9,D9=$S$8),A9,"")&amp;" "&amp;IF(AND(C10=$Q$9,D10=$S$8),A10,"")&amp;" "&amp;IF(AND(C11=$Q$9,D11=$S$8),A11,"")&amp;" "&amp;IF(AND(C12=$Q$9,D12=$S$8),A12,"")&amp;" "&amp;IF(AND(C13=$Q$9,D13=$S$8),A13,"")&amp;" "&amp;IF(AND(C14=$Q$9,D14=$S$8),A14,"")&amp;" "&amp;IF(AND(C15=$Q$9,D15=$S$8),A15,"")&amp;" "&amp;IF(AND(C16=$Q$9,D16=$S$8),A16,"")&amp;" "&amp;IF(AND(C17=$Q$9,D17=$S$8),A17,"")&amp;" "&amp;IF(AND(C18=$Q$9,D18=$S$8),A18,"")&amp;" "&amp;IF(AND(C19=$Q$9,D19=$S$8),A19,"")&amp;" "&amp;IF(AND(C20=$Q$9,D20=$S$8),A20,"")&amp;" "&amp;IF(AND(C21=$Q$9,D21=$S$8),A21,"")&amp;" "&amp;IF(AND(C22=$Q$9,D22=$S$8),A22,"")&amp;" "&amp;IF(AND(C23=$Q$9,D23=$S$8),A23,"")&amp;" "&amp;IF(AND(C24=$Q$9,D24=$S$8),A24,"")&amp;" "&amp;IF(AND(C25=$Q$9,D25=$S$8),A25,"")&amp;" "&amp;IF(AND(C26=$Q$9,D26=$S$8),A26,"")&amp;" "&amp;IF(AND(C27=$Q$9,D27=$S$8),A27,"")&amp;" "&amp;IF(AND(C28=$Q$9,D28=$S$8),A28,"")</f>
        <v xml:space="preserve">                   </v>
      </c>
      <c r="K9" s="84" t="str">
        <f>+IF(AND(C9=$Q$9,D9=$T$8),A9,"")&amp;" "&amp;IF(AND(C10=$Q$9,D10=$T$8),A10,"")&amp;" "&amp;IF(AND(C11=$Q$9,D11=$T$8),A11,"")&amp;" "&amp;IF(AND(C12=$Q$9,D12=$T$8),A12,"")&amp;" "&amp;IF(AND(C13=$Q$9,D13=$T$8),A13,"")&amp;" "&amp;IF(AND(C14=$Q$9,D14=$T$8),A14,"")&amp;" "&amp;IF(AND(C15=$Q$9,D15=$T$8),A15,"")&amp;" "&amp;IF(AND(C16=$Q$9,D16=$T$8),A16,"")&amp;" "&amp;IF(AND(C17=$Q$9,D17=$T$8),A17,"")&amp;" "&amp;IF(AND(C18=$Q$9,D18=$T$8),A18,"")&amp;" "&amp;IF(AND(C19=$Q$9,D19=$T$8),A19,"")&amp;" "&amp;IF(AND(C20=$Q$9,D20=$T$8),A20,"")&amp;" "&amp;IF(AND(C21=$Q$9,D21=$T$8),A21,"")&amp;" "&amp;IF(AND(C22=$Q$9,D22=$T$8),A22,"")&amp;" "&amp;IF(AND(C23=$Q$9,D23=$T$8),A23,"")&amp;" "&amp;IF(AND(C24=$Q$9,D24=$T$8),A24,"")&amp;" "&amp;IF(AND(C25=$Q$9,D25=$T$8),A25,"")&amp;" "&amp;IF(AND(C26=$Q$9,D26=$T$8),A26,"")&amp;" "&amp;IF(AND(C27=$Q$9,D27=$T$8),A27,"")&amp;" "&amp;IF(AND(C28=$Q$9,D28=$T$8),A28,"")</f>
        <v xml:space="preserve">                   </v>
      </c>
      <c r="L9" s="84" t="str">
        <f>+IF(AND(C9=$Q$9,D9=$U$8),A9,"")&amp;" "&amp;IF(AND(C10=$Q$9,D10=$U$8),A10,"")&amp;" "&amp;IF(AND(C11=$Q$9,D11=$U$8),A11,"")&amp;" "&amp;IF(AND(C12=$Q$9,D12=$U$8),A12,"")&amp;" "&amp;IF(AND(C13=$Q$9,D13=$U$8),A13,"")&amp;" "&amp;IF(AND(C14=$Q$9,D14=$U$8),A14,"")&amp;" "&amp;IF(AND(C15=$Q$9,D15=$U$8),A15,"")&amp;" "&amp;IF(AND(C16=$Q$9,D16=$U$8),A16,"")&amp;" "&amp;IF(AND(C17=$Q$9,D17=$U$8),A17,"")&amp;" "&amp;IF(AND(C18=$Q$9,D18=$U$8),A18,"")&amp;" "&amp;IF(AND(C19=$Q$9,D19=$U$8),A19,"")&amp;" "&amp;IF(AND(C20=$Q$9,D20=$U$8),A20,"")&amp;" "&amp;IF(AND(C21=$Q$9,D21=$U$8),A21,"")&amp;" "&amp;IF(AND(C22=$Q$9,D22=$U$8),A22,"")&amp;" "&amp;IF(AND(C23=$Q$9,D23=$U$8),A23,"")&amp;" "&amp;IF(AND(C24=$Q$9,D24=$U$8),A24,"")&amp;" "&amp;IF(AND(C25=$Q$9,D25=$U$8),A25,"")&amp;" "&amp;IF(AND(C26=$Q$9,D26=$U$8),A26,"")&amp;" "&amp;IF(AND(C27=$Q$9,D27=$U$8),A27,"")&amp;" "&amp;IF(AND(C28=$Q$9,D28=$U$8),A28,"")</f>
        <v xml:space="preserve">                   </v>
      </c>
      <c r="M9" s="85" t="str">
        <f>+IF(AND(C9=$Q$9,D9=$V$8),A9,"")&amp;" "&amp;IF(AND(C10=$Q$9,D10=$V$8),A10,"")&amp;" "&amp;IF(AND(C11=$Q$9,D11=$V$8),A11,"")&amp;" "&amp;IF(AND(C12=$Q$9,D12=$V$8),A12,"")&amp;" "&amp;IF(AND(C13=$Q$9,D13=$V$8),A13,"")&amp;" "&amp;IF(AND(C14=$Q$9,D14=$V$8),A14,"")&amp;" "&amp;IF(AND(C15=$Q$9,D15=$V$8),A15,"")&amp;" "&amp;IF(AND(C16=$Q$9,D16=$V$8),A16,"")&amp;" "&amp;IF(AND(C17=$Q$9,D17=$V$8),A17,"")&amp;" "&amp;IF(AND(C18=$Q$9,D18=$V$8),A18,"")&amp;" "&amp;IF(AND(C19=$Q$9,D19=$V$8),A19,"")&amp;" "&amp;IF(AND(C20=$Q$9,D20=$V$8),A20,"")&amp;" "&amp;IF(AND(C21=$Q$9,D21=$V$8),A21,"")&amp;" "&amp;IF(AND(C22=$Q$9,D22=$V$8),A22,"")&amp;" "&amp;IF(AND(C23=$Q$9,D23=$V$8),A23,"")&amp;" "&amp;IF(AND(C24=$Q$9,D24=$V$8),A24,"")&amp;" "&amp;IF(AND(C25=$Q$9,D25=$V$8),A25,"")&amp;" "&amp;IF(AND(C26=$Q$9,D26=$V$8),A26,"")&amp;" "&amp;IF(AND(C27=$Q$9,D27=$V$8),A27,"")&amp;" "&amp;IF(AND(C28=$Q$9,D28=$V$8),A28,"")</f>
        <v xml:space="preserve">                   </v>
      </c>
      <c r="N9" s="83"/>
      <c r="O9" s="655" t="s">
        <v>155</v>
      </c>
      <c r="P9" s="86">
        <v>1</v>
      </c>
      <c r="Q9" s="77" t="s">
        <v>300</v>
      </c>
      <c r="R9" s="84" t="s">
        <v>310</v>
      </c>
      <c r="S9" s="84" t="s">
        <v>310</v>
      </c>
      <c r="T9" s="84" t="s">
        <v>310</v>
      </c>
      <c r="U9" s="84" t="s">
        <v>310</v>
      </c>
      <c r="V9" s="85" t="s">
        <v>311</v>
      </c>
      <c r="Y9" s="67"/>
      <c r="Z9" s="67"/>
      <c r="AA9" s="79"/>
      <c r="AB9" s="79"/>
      <c r="AC9" s="79"/>
      <c r="AD9" s="87"/>
      <c r="AE9" s="87"/>
      <c r="AF9" s="87"/>
      <c r="AG9" s="87"/>
      <c r="AH9" s="87"/>
      <c r="AI9" s="79"/>
      <c r="AJ9" s="79"/>
    </row>
    <row r="10" spans="1:36" ht="93" customHeight="1">
      <c r="A10" s="80" t="str">
        <f>'2 CONTEXTO E IDENTIFICACIÓN'!A10</f>
        <v>R2</v>
      </c>
      <c r="B10" s="81" t="str">
        <f>+'2 CONTEXTO E IDENTIFICACIÓN'!K10</f>
        <v>Posibilidad de perdida de Disponibilidad, confidencialidad e integridad de la información por accesos no autorizados, hackeos o fallas en el servicio  debido a controles de seguridad y autenticación de usuarios, falta de actualización o  monitoreo de la plataforma</v>
      </c>
      <c r="C10" s="82" t="str">
        <f>+'3 PROBABIL E IMPACTO INHERENTE'!F10</f>
        <v>Alta</v>
      </c>
      <c r="D10" s="82" t="str">
        <f>+'3 PROBABIL E IMPACTO INHERENTE'!N10</f>
        <v>Mayor</v>
      </c>
      <c r="E10" s="337" t="str">
        <f>+IF(C10=$Q$9,IF(D10=$R$8,$R$9,IF(D10=$S$8,$S$9,IF(D10=$T$8,$T$9,IF(D10=$U$8,$U$9,IF(D10=$V$8,$V$9))))),IF(C10=$Q$10,IF(D10=$R$8,$R$10,IF(D10=$S$8,$S$10,IF(D10=$T$8,$T$10,IF(D10=$U$8,$U$10,IF(D10=$V$8,$V$10))))),IF(C10=$Q$11,IF(D10=$R$8,$R$11,IF(D10=$S$8,$S$11,IF(D10=$T$8,$T$11,IF(D10=$U$8,$U$11,IF(D10=$V$8,$V$11))))),IF(C10=$Q$12,IF(D10=$R$8,$R$12,IF(D10=$S$8,$S$12,IF(D10=$T$8,$T$12,IF(D10=$U$8,$U$12,IF(D10=$V$8,$V$12))))),IF(C10=$Q$13,IF(D10=$R$8,$R$13,IF(D10=$S$8,$S$13,IF(D10=$T$8,$T$13,IF(D10=$U$8,$U$13,IF(D10=$V$8,$V$13))))),"")))))</f>
        <v>Alto</v>
      </c>
      <c r="F10" s="83"/>
      <c r="G10" s="657"/>
      <c r="H10" s="74" t="s">
        <v>295</v>
      </c>
      <c r="I10" s="88" t="str">
        <f>+IF(AND(C9=$Q$10,D9=$R$8),A9,"")&amp;" "&amp;IF(AND(C10=$Q$10,D10=$R$8),A10,"")&amp;" "&amp;IF(AND(C11=$Q$10,D11=$R$8),A11,"")&amp;" "&amp;IF(AND(C12=$Q$10,D12=$R$8),A12,"")&amp;" "&amp;IF(AND(C13=$Q$10,D13=$R$8),A13,"")&amp;" "&amp;IF(AND(C14=$Q$10,D14=$R$8),A14,"")&amp;" "&amp;IF(AND(C15=$Q$10,D15=$R$8),A15,"")&amp;" "&amp;IF(AND(C16=$Q$10,D16=$R$8),A16,"")&amp;" "&amp;IF(AND(C17=$Q$10,D17=$R$8),A17,"")&amp;" "&amp;IF(AND(C18=$Q$10,D18=$R$8),A18,"")&amp;" "&amp;IF(AND(C19=$Q$10,D19=$R$8),A19,"")&amp;" "&amp;IF(AND(C20=$Q$10,D20=$R$8),A20,"")&amp;" "&amp;IF(AND(C21=$Q$10,D21=$R$8),A21,"")&amp;" "&amp;IF(AND(C22=$Q$10,D22=$R$8),A22,"")&amp;" "&amp;IF(AND(C23=$Q$10,D23=$R$8),A23,"")&amp;" "&amp;IF(AND(C24=$Q$10,D24=$R$8),A24,"")&amp;" "&amp;IF(AND(C25=$Q$10,D25=$R$8),A25,"")&amp;" "&amp;IF(AND(C26=$Q$10,D26=$R$8),A26,"")&amp;" "&amp;IF(AND(C27=$Q$10,D27=$R$8),A27,"")&amp;" "&amp;IF(AND(C28=$Q$10,D28=$R$8),A28,"")</f>
        <v xml:space="preserve">                   </v>
      </c>
      <c r="J10" s="88" t="str">
        <f>+IF(AND(C9=$Q$10,D9=$S$8),A9,"")&amp;" "&amp;IF(AND(C10=$Q$10,D10=$S$8),A10,"")&amp;" "&amp;IF(AND(C11=$Q$10,D11=$S$8),A11,"")&amp;" "&amp;IF(AND(C12=$Q$10,D12=$S$8),A12,"")&amp;" "&amp;IF(AND(C13=$Q$10,D13=$S$8),A13,"")&amp;" "&amp;IF(AND(C14=$Q$10,D14=$S$8),A14,"")&amp;" "&amp;IF(AND(C15=$Q$10,D15=$S$8),A15,"")&amp;" "&amp;IF(AND(C16=$Q$10,D16=$S$8),A16,"")&amp;" "&amp;IF(AND(C17=$Q$10,D17=$S$8),A17,"")&amp;" "&amp;IF(AND(C18=$Q$10,D18=$S$8),A18,"")&amp;" "&amp;IF(AND(C19=$Q$10,D19=$S$8),A19,"")&amp;" "&amp;IF(AND(C20=$Q$10,D20=$S$8),A20,"")&amp;" "&amp;IF(AND(C21=$Q$10,D21=$S$8),A21,"")&amp;" "&amp;IF(AND(C22=$Q$10,D22=$S$8),A22,"")&amp;" "&amp;IF(AND(C23=$Q$10,D23=$S$8),A23,"")&amp;" "&amp;IF(AND(C24=$Q$10,D24=$S$8),A24,"")&amp;" "&amp;IF(AND(C25=$Q$10,D25=$S$8),A25,"")&amp;" "&amp;IF(AND(C26=$Q$10,D26=$S$8),A26,"")&amp;" "&amp;IF(AND(C27=$Q$10,D27=$S$8),A27,"")&amp;" "&amp;IF(AND(C28=$Q$10,D28=$S$8),A28,"")</f>
        <v xml:space="preserve">R1   R4                </v>
      </c>
      <c r="K10" s="84" t="str">
        <f>+IF(AND(C9=$Q$10,D9=$T$8),A9,"")&amp;" "&amp;IF(AND(C10=$Q$10,D10=$T$8),A10,"")&amp;" "&amp;IF(AND(C11=$Q$10,D11=$T$8),A11,"")&amp;" "&amp;IF(AND(C12=$Q$10,D12=$T$8),A12,"")&amp;" "&amp;IF(AND(C13=$Q$10,D13=$T$8),A13,"")&amp;" "&amp;IF(AND(C14=$Q$10,D14=$T$8),A14,"")&amp;" "&amp;IF(AND(C15=$Q$10,D15=$T$8),A15,"")&amp;" "&amp;IF(AND(C16=$Q$10,D16=$T$8),A16,"")&amp;" "&amp;IF(AND(C17=$Q$10,D17=$T$8),A17,"")&amp;" "&amp;IF(AND(C18=$Q$10,D18=$T$8),A18,"")&amp;" "&amp;IF(AND(C19=$Q$10,D19=$T$8),A19,"")&amp;" "&amp;IF(AND(C20=$Q$10,D20=$T$8),A20,"")&amp;" "&amp;IF(AND(C21=$Q$10,D21=$T$8),A21,"")&amp;" "&amp;IF(AND(C22=$Q$10,D22=$T$8),A22,"")&amp;" "&amp;IF(AND(C23=$Q$10,D23=$T$8),A23,"")&amp;" "&amp;IF(AND(C24=$Q$10,D24=$T$8),A24,"")&amp;" "&amp;IF(AND(C25=$Q$10,D25=$T$8),A25,"")&amp;" "&amp;IF(AND(C26=$Q$10,D26=$T$8),A26,"")&amp;" "&amp;IF(AND(C27=$Q$10,D27=$T$8),A27,"")&amp;" "&amp;IF(AND(C28=$Q$10,D28=$T$8),A28,"")</f>
        <v xml:space="preserve">                   </v>
      </c>
      <c r="L10" s="84" t="str">
        <f>+IF(AND(C9=$Q$10,D9=$U$8),A9,"")&amp;" "&amp;IF(AND(C10=$Q$10,D10=$U$8),A10,"")&amp;" "&amp;IF(AND(C11=$Q$10,D11=$U$8),A11,"")&amp;" "&amp;IF(AND(C12=$Q$10,D12=$U$8),A12,"")&amp;" "&amp;IF(AND(C13=$Q$10,D13=$U$8),A13,"")&amp;" "&amp;IF(AND(C14=$Q$10,D14=$U$8),A14,"")&amp;" "&amp;IF(AND(C15=$Q$10,D15=$U$8),A15,"")&amp;" "&amp;IF(AND(C16=$Q$10,D16=$U$8),A16,"")&amp;" "&amp;IF(AND(C17=$Q$10,D17=$U$8),A17,"")&amp;" "&amp;IF(AND(C18=$Q$10,D18=$U$8),A18,"")&amp;" "&amp;IF(AND(C19=$Q$10,D19=$U$8),A19,"")&amp;" "&amp;IF(AND(C20=$Q$10,D20=$U$8),A20,"")&amp;" "&amp;IF(AND(C21=$Q$10,D21=$U$8),A21,"")&amp;" "&amp;IF(AND(C22=$Q$10,D22=$U$8),A22,"")&amp;" "&amp;IF(AND(C23=$Q$10,D23=$U$8),A23,"")&amp;" "&amp;IF(AND(C24=$Q$10,D24=$U$8),A24,"")&amp;" "&amp;IF(AND(C25=$Q$10,D25=$U$8),A25,"")&amp;" "&amp;IF(AND(C26=$Q$10,D26=$U$8),A26,"")&amp;" "&amp;IF(AND(C27=$Q$10,D27=$U$8),A27,"")&amp;" "&amp;IF(AND(C28=$Q$10,D28=$U$8),A28,"")</f>
        <v xml:space="preserve"> R2 R3                 </v>
      </c>
      <c r="M10" s="85" t="str">
        <f>+IF(AND(C9=$Q$10,D9=$V$8),A9,"")&amp;" "&amp;IF(AND(C10=$Q$10,D10=$V$8),A10,"")&amp;" "&amp;IF(AND(C11=$Q$10,D11=$V$8),A11,"")&amp;" "&amp;IF(AND(C12=$Q$10,D12=$V$8),A12,"")&amp;" "&amp;IF(AND(C13=$Q$10,D13=$V$8),A13,"")&amp;" "&amp;IF(AND(C14=$Q$10,D14=$V$8),A14,"")&amp;" "&amp;IF(AND(C15=$Q$10,D15=$V$8),A15,"")&amp;" "&amp;IF(AND(C16=$Q$10,D16=$V$8),A16,"")&amp;" "&amp;IF(AND(C17=$Q$10,D17=$V$8),A17,"")&amp;" "&amp;IF(AND(C18=$Q$10,D18=$V$8),A18,"")&amp;" "&amp;IF(AND(C19=$Q$10,D19=$V$8),A19,"")&amp;" "&amp;IF(AND(C20=$Q$10,D20=$V$8),A20,"")&amp;" "&amp;IF(AND(C21=$Q$10,D21=$V$8),A21,"")&amp;" "&amp;IF(AND(C22=$Q$10,D22=$V$8),A22,"")&amp;" "&amp;IF(AND(C23=$Q$10,D23=$V$8),A23,"")&amp;" "&amp;IF(AND(C24=$Q$10,D24=$V$8),A24,"")&amp;" "&amp;IF(AND(C25=$Q$10,D25=$V$8),A25,"")&amp;" "&amp;IF(AND(C26=$Q$10,D26=$V$8),A26,"")&amp;" "&amp;IF(AND(C27=$Q$10,D27=$V$8),A27,"")&amp;" "&amp;IF(AND(C28=$Q$10,D28=$V$8),A28,"")</f>
        <v xml:space="preserve">                   </v>
      </c>
      <c r="N10" s="83"/>
      <c r="O10" s="655"/>
      <c r="P10" s="86">
        <v>0.8</v>
      </c>
      <c r="Q10" s="77" t="s">
        <v>295</v>
      </c>
      <c r="R10" s="88" t="s">
        <v>292</v>
      </c>
      <c r="S10" s="88" t="s">
        <v>292</v>
      </c>
      <c r="T10" s="84" t="s">
        <v>310</v>
      </c>
      <c r="U10" s="84" t="s">
        <v>310</v>
      </c>
      <c r="V10" s="85" t="s">
        <v>311</v>
      </c>
      <c r="Y10" s="67"/>
      <c r="Z10" s="67"/>
      <c r="AA10" s="79"/>
      <c r="AB10" s="89"/>
      <c r="AC10" s="90"/>
      <c r="AD10" s="87"/>
      <c r="AE10" s="87"/>
      <c r="AF10" s="87"/>
      <c r="AG10" s="87"/>
      <c r="AH10" s="87"/>
      <c r="AI10" s="79"/>
      <c r="AJ10" s="79"/>
    </row>
    <row r="11" spans="1:36" ht="93" customHeight="1">
      <c r="A11" s="80" t="str">
        <f>'2 CONTEXTO E IDENTIFICACIÓN'!A11</f>
        <v>R3</v>
      </c>
      <c r="B11" s="81" t="str">
        <f>+'2 CONTEXTO E IDENTIFICACIÓN'!K11</f>
        <v>Posibilidad de perdida de Disponibilidad, confidencialidad e integridad de la información por eliminación accidental de archivos,  fallas en el sistema o accesos no autorizados     a causa de deficiencias en copias de seguridad, controles de accesos o ausencia de politicas de preservación digital</v>
      </c>
      <c r="C11" s="82" t="str">
        <f>+'3 PROBABIL E IMPACTO INHERENTE'!F11</f>
        <v>Alta</v>
      </c>
      <c r="D11" s="82" t="str">
        <f>+'3 PROBABIL E IMPACTO INHERENTE'!N11</f>
        <v>Mayor</v>
      </c>
      <c r="E11" s="337" t="str">
        <f>+IF(C11=$Q$9,IF(D11=$R$8,$R$9,IF(D11=$S$8,$S$9,IF(D11=$T$8,$T$9,IF(D11=$U$8,$U$9,IF(D11=$V$8,$V$9))))),IF(C11=$Q$10,IF(D11=$R$8,$R$10,IF(D11=$S$8,$S$10,IF(D11=$T$8,$T$10,IF(D11=$U$8,$U$10,IF(D11=$V$8,$V$10))))),IF(C11=$Q$11,IF(D11=$R$8,$R$11,IF(D11=$S$8,$S$11,IF(D11=$T$8,$T$11,IF(D11=$U$8,$U$11,IF(D11=$V$8,$V$11))))),IF(C11=$Q$12,IF(D11=$R$8,$R$12,IF(D11=$S$8,$S$12,IF(D11=$T$8,$T$12,IF(D11=$U$8,$U$12,IF(D11=$V$8,$V$12))))),IF(C11=$Q$13,IF(D11=$R$8,$R$13,IF(D11=$S$8,$S$13,IF(D11=$T$8,$T$13,IF(D11=$U$8,$U$13,IF(D11=$V$8,$V$13))))),"")))))</f>
        <v>Alto</v>
      </c>
      <c r="F11" s="83"/>
      <c r="G11" s="657"/>
      <c r="H11" s="74" t="s">
        <v>290</v>
      </c>
      <c r="I11" s="88" t="str">
        <f>+IF(AND(C9=$Q$11,D9=$R$8),A9,"")&amp;" "&amp;IF(AND(C10=$Q$11,D10=$R$8),A10,"")&amp;" "&amp;IF(AND(C11=$Q$11,D11=$R$8),A11,"")&amp;" "&amp;IF(AND(C12=$Q$11,D12=$R$8),A12,"")&amp;" "&amp;IF(AND(C13=$Q$11,D13=$R$8),A13,"")&amp;" "&amp;IF(AND(C14=$Q$11,D14=$R$8),A14,"")&amp;" "&amp;IF(AND(C15=$Q$11,D15=$R$8),A15,"")&amp;" "&amp;IF(AND(C16=$Q$11,D16=$R$8),A16,"")&amp;" "&amp;IF(AND(C17=$Q$11,D17=$R$8),A17,"")&amp;" "&amp;IF(AND(C18=$Q$11,D18=$R$8),A18,"")&amp;" "&amp;IF(AND(C19=$Q$11,D19=$R$8),A19,"")&amp;" "&amp;IF(AND(C20=$Q$11,D20=$R$8),A20,"")&amp;" "&amp;IF(AND(C21=$Q$11,D21=$R$8),A21,"")&amp;" "&amp;IF(AND(C22=$Q$11,D22=$R$8),A22,"")&amp;" "&amp;IF(AND(C23=$Q$11,D23=$R$8),A23,"")&amp;" "&amp;IF(AND(C24=$Q$11,D24=$R$8),A24,"")&amp;" "&amp;IF(AND(C25=$Q$11,D25=$R$8),A25,"")&amp;" "&amp;IF(AND(C26=$Q$11,D26=$R$8),A26,"")&amp;" "&amp;IF(AND(C27=$Q$11,D27=$R$8),A27,"")&amp;" "&amp;IF(AND(C28=$Q$11,D28=$R$8),A28,"")</f>
        <v xml:space="preserve">                   </v>
      </c>
      <c r="J11" s="88" t="str">
        <f>+IF(AND(C9=$Q$11,D9=$S$8),A9,"")&amp;" "&amp;IF(AND(C10=$Q$11,D10=$S$8),A10,"")&amp;" "&amp;IF(AND(C11=$Q$11,D11=$S$8),A11,"")&amp;" "&amp;IF(AND(C12=$Q$11,D12=$S$8),A12,"")&amp;" "&amp;IF(AND(C13=$Q$11,D13=$S$8),A13,"")&amp;" "&amp;IF(AND(C14=$Q$11,D14=$S$8),A14,"")&amp;" "&amp;IF(AND(C15=$Q$11,D15=$S$8),A15,"")&amp;" "&amp;IF(AND(C16=$Q$11,D16=$S$8),A16,"")&amp;" "&amp;IF(AND(C17=$Q$11,D17=$S$8),A17,"")&amp;" "&amp;IF(AND(C18=$Q$11,D18=$S$8),A18,"")&amp;" "&amp;IF(AND(C19=$Q$11,D19=$S$8),A19,"")&amp;" "&amp;IF(AND(C20=$Q$11,D20=$S$8),A20,"")&amp;" "&amp;IF(AND(C21=$Q$11,D21=$S$8),A21,"")&amp;" "&amp;IF(AND(C22=$Q$11,D22=$S$8),A22,"")&amp;" "&amp;IF(AND(C23=$Q$11,D23=$S$8),A23,"")&amp;" "&amp;IF(AND(C24=$Q$11,D24=$S$8),A24,"")&amp;" "&amp;IF(AND(C25=$Q$11,D25=$S$8),A25,"")&amp;" "&amp;IF(AND(C26=$Q$11,D26=$S$8),A26,"")&amp;" "&amp;IF(AND(C27=$Q$11,D27=$S$8),A27,"")&amp;" "&amp;IF(AND(C28=$Q$11,D28=$S$8),A28,"")</f>
        <v xml:space="preserve">                   </v>
      </c>
      <c r="K11" s="88" t="str">
        <f>+IF(AND(C9=$Q$11,D9=$T$8),A9,"")&amp;" "&amp;IF(AND(C10=$Q$11,D10=$T$8),A10,"")&amp;" "&amp;IF(AND(C11=$Q$11,D11=$T$8),A11,"")&amp;" "&amp;IF(AND(C12=$Q$11,D12=$T$8),A12,"")&amp;" "&amp;IF(AND(C13=$Q$11,D13=$T$8),A13,"")&amp;" "&amp;IF(AND(C14=$Q$11,D14=$T$8),A14,"")&amp;" "&amp;IF(AND(C15=$Q$11,D15=$T$8),A15,"")&amp;" "&amp;IF(AND(C16=$Q$11,D16=$T$8),A16,"")&amp;" "&amp;IF(AND(C17=$Q$11,D17=$T$8),A17,"")&amp;" "&amp;IF(AND(C18=$Q$11,D18=$T$8),A18,"")&amp;" "&amp;IF(AND(C19=$Q$11,D19=$T$8),A19,"")&amp;" "&amp;IF(AND(C20=$Q$11,D20=$T$8),A20,"")&amp;" "&amp;IF(AND(C21=$Q$11,D21=$T$8),A21,"")&amp;" "&amp;IF(AND(C22=$Q$11,D22=$T$8),A22,"")&amp;" "&amp;IF(AND(C23=$Q$11,D23=$T$8),A23,"")&amp;" "&amp;IF(AND(C24=$Q$11,D24=$T$8),A24,"")&amp;" "&amp;IF(AND(C25=$Q$11,D25=$T$8),A25,"")&amp;" "&amp;IF(AND(C26=$Q$11,D26=$T$8),A26,"")&amp;" "&amp;IF(AND(C27=$Q$11,D27=$T$8),A27,"")&amp;" "&amp;IF(AND(C28=$Q$11,D28=$T$8),A28,"")</f>
        <v xml:space="preserve">    R5               </v>
      </c>
      <c r="L11" s="84" t="str">
        <f>+IF(AND(C9=$Q$11,D9=$U$8),A9,"")&amp;" "&amp;IF(AND(C10=$Q$11,D10=$U$8),A10,"")&amp;" "&amp;IF(AND(C11=$Q$11,D11=$U$8),A11,"")&amp;" "&amp;IF(AND(C12=$Q$11,D12=$U$8),A12,"")&amp;" "&amp;IF(AND(C13=$Q$11,D13=$U$8),A13,"")&amp;" "&amp;IF(AND(C14=$Q$11,D14=$U$8),A14,"")&amp;" "&amp;IF(AND(C15=$Q$11,D15=$U$8),A15,"")&amp;" "&amp;IF(AND(C16=$Q$11,D16=$U$8),A16,"")&amp;" "&amp;IF(AND(C17=$Q$11,D17=$U$8),A17,"")&amp;" "&amp;IF(AND(C18=$Q$11,D18=$U$8),A18,"")&amp;" "&amp;IF(AND(C19=$Q$11,D19=$U$8),A19,"")&amp;" "&amp;IF(AND(C20=$Q$11,D20=$U$8),A20,"")&amp;" "&amp;IF(AND(C21=$Q$11,D21=$U$8),A21,"")&amp;" "&amp;IF(AND(C22=$Q$11,D22=$U$8),A22,"")&amp;" "&amp;IF(AND(C23=$Q$11,D23=$U$8),A23,"")&amp;" "&amp;IF(AND(C24=$Q$11,D24=$U$8),A24,"")&amp;" "&amp;IF(AND(C25=$Q$11,D25=$U$8),A25,"")&amp;" "&amp;IF(AND(C26=$Q$11,D26=$U$8),A26,"")&amp;" "&amp;IF(AND(C27=$Q$11,D27=$U$8),A27,"")&amp;" "&amp;IF(AND(C28=$Q$11,D28=$U$8),A28,"")</f>
        <v xml:space="preserve">                   </v>
      </c>
      <c r="M11" s="85" t="str">
        <f>+IF(AND(C9=$Q$11,D9=$V$8),A9,"")&amp;" "&amp;IF(AND(C10=$Q$11,D10=$V$8),A10,"")&amp;" "&amp;IF(AND(C11=$Q$11,D11=$V$8),A11,"")&amp;" "&amp;IF(AND(C12=$Q$11,D12=$V$8),A12,"")&amp;" "&amp;IF(AND(C13=$Q$11,D13=$V$8),A13,"")&amp;" "&amp;IF(AND(C14=$Q$11,D14=$V$8),A14,"")&amp;" "&amp;IF(AND(C15=$Q$11,D15=$V$8),A15,"")&amp;" "&amp;IF(AND(C16=$Q$11,D16=$V$8),A16,"")&amp;" "&amp;IF(AND(C17=$Q$11,D17=$V$8),A17,"")&amp;" "&amp;IF(AND(C18=$Q$11,D18=$V$8),A18,"")&amp;" "&amp;IF(AND(C19=$Q$11,D19=$V$8),A19,"")&amp;" "&amp;IF(AND(C20=$Q$11,D20=$V$8),A20,"")&amp;" "&amp;IF(AND(C21=$Q$11,D21=$V$8),A21,"")&amp;" "&amp;IF(AND(C22=$Q$11,D22=$V$8),A22,"")&amp;" "&amp;IF(AND(C23=$Q$11,D23=$V$8),A23,"")&amp;" "&amp;IF(AND(C24=$Q$11,D24=$V$8),A24,"")&amp;" "&amp;IF(AND(C25=$Q$11,D25=$V$8),A25,"")&amp;" "&amp;IF(AND(C26=$Q$11,D26=$V$8),A26,"")&amp;" "&amp;IF(AND(C27=$Q$11,D27=$V$8),A27,"")&amp;" "&amp;IF(AND(C28=$Q$11,D28=$V$8),A28,"")</f>
        <v xml:space="preserve">                   </v>
      </c>
      <c r="N11" s="83"/>
      <c r="O11" s="655"/>
      <c r="P11" s="86">
        <v>0.6</v>
      </c>
      <c r="Q11" s="77" t="s">
        <v>290</v>
      </c>
      <c r="R11" s="88" t="s">
        <v>292</v>
      </c>
      <c r="S11" s="88" t="s">
        <v>292</v>
      </c>
      <c r="T11" s="88" t="s">
        <v>292</v>
      </c>
      <c r="U11" s="84" t="s">
        <v>310</v>
      </c>
      <c r="V11" s="85" t="s">
        <v>311</v>
      </c>
      <c r="Y11" s="67"/>
      <c r="Z11" s="67"/>
      <c r="AA11" s="79"/>
      <c r="AB11" s="89"/>
      <c r="AC11" s="90"/>
      <c r="AD11" s="87"/>
      <c r="AE11" s="87"/>
      <c r="AF11" s="87"/>
      <c r="AG11" s="87"/>
      <c r="AH11" s="91"/>
      <c r="AI11" s="79"/>
      <c r="AJ11" s="79"/>
    </row>
    <row r="12" spans="1:36" ht="93" customHeight="1">
      <c r="A12" s="80" t="str">
        <f>'2 CONTEXTO E IDENTIFICACIÓN'!A12</f>
        <v>R4</v>
      </c>
      <c r="B12" s="81" t="str">
        <f>+'2 CONTEXTO E IDENTIFICACIÓN'!K12</f>
        <v>Posibilidad de perdida de Disponibilidad, confidencialidad e integridad de la información por fallas tecnológicas y manipulación indebida de la información o interrupciones del servicio  debido a falta de actualización tecnólogica, vulnerabilidades en la administración de la plataforma o controles de seguridad avanzados</v>
      </c>
      <c r="C12" s="82" t="str">
        <f>+'3 PROBABIL E IMPACTO INHERENTE'!F12</f>
        <v>Alta</v>
      </c>
      <c r="D12" s="82" t="str">
        <f>+'3 PROBABIL E IMPACTO INHERENTE'!N12</f>
        <v>Menor</v>
      </c>
      <c r="E12" s="337" t="str">
        <f t="shared" ref="E12:E28" si="0">+IF(C12=$Q$9,IF(D12=$R$8,$R$9,IF(D12=$S$8,$S$9,IF(D12=$T$8,$T$9,IF(D12=$U$8,$U$9,IF(D12=$V$8,$V$9))))),IF(C12=$Q$10,IF(D12=$R$8,$R$10,IF(D12=$S$8,$S$10,IF(D12=$T$8,$T$10,IF(D12=$U$8,$U$10,IF(D12=$V$8,$V$10))))),IF(C12=$Q$11,IF(D12=$R$8,$R$11,IF(D12=$S$8,$S$11,IF(D12=$T$8,$T$11,IF(D12=$U$8,$U$11,IF(D12=$V$8,$V$11))))),IF(C12=$Q$12,IF(D12=$R$8,$R$12,IF(D12=$S$8,$S$12,IF(D12=$T$8,$T$12,IF(D12=$U$8,$U$12,IF(D12=$V$8,$V$12))))),IF(C12=$Q$13,IF(D12=$R$8,$R$13,IF(D12=$S$8,$S$13,IF(D12=$T$8,$T$13,IF(D12=$U$8,$U$13,IF(D12=$V$8,$V$13))))),"")))))</f>
        <v>Moderado</v>
      </c>
      <c r="F12" s="83"/>
      <c r="G12" s="657"/>
      <c r="H12" s="74" t="s">
        <v>286</v>
      </c>
      <c r="I12" s="92" t="str">
        <f>+IF(AND(C9=$Q$12,D9=$R$8),A9,"")&amp;" "&amp;IF(AND(C10=$Q$12,D10=$R$8),A10,"")&amp;" "&amp;IF(AND(C11=$Q$12,D11=$R$8),A11,"")&amp;" "&amp;IF(AND(C12=$Q$12,D12=$R$8),A12,"")&amp;" "&amp;IF(AND(C13=$Q$12,D13=$R$8),A13,"")&amp;" "&amp;IF(AND(C14=$Q$12,D14=$R$8),A14,"")&amp;" "&amp;IF(AND(C15=$Q$12,D15=$R$8),A15,"")&amp;" "&amp;IF(AND(C16=$Q$12,D16=$R$8),A16,"")&amp;" "&amp;IF(AND(C17=$Q$12,D17=$R$8),A17,"")&amp;" "&amp;IF(AND(C18=$Q$12,D18=$R$8),A18,"")&amp;" "&amp;IF(AND(C19=$Q$12,D19=$R$8),A19,"")&amp;" "&amp;IF(AND(C20=$Q$12,D20=$R$8),A20,"")&amp;" "&amp;IF(AND(C21=$Q$12,D21=$R$8),A21,"")&amp;" "&amp;IF(AND(C22=$Q$12,D22=$R$8),A22,"")&amp;" "&amp;IF(AND(C23=$Q$12,D23=$R$8),A23,"")&amp;" "&amp;IF(AND(C24=$Q$12,D24=$R$8),A24,"")&amp;" "&amp;IF(AND(C25=$Q$12,D25=$R$8),A25,"")&amp;" "&amp;IF(AND(C26=$Q$12,D26=$R$8),A26,"")&amp;" "&amp;IF(AND(C27=$Q$12,D27=$R$8),A27,"")&amp;" "&amp;IF(AND(C28=$Q$12,D28=$R$8),A28,"")</f>
        <v xml:space="preserve">                   </v>
      </c>
      <c r="J12" s="88" t="str">
        <f>+IF(AND(C9=$Q$12,D9=$S$8),A9,"")&amp;" "&amp;IF(AND(C10=$Q$12,D10=$S$8),A10,"")&amp;" "&amp;IF(AND(C11=$Q$12,D11=$S$8),A11,"")&amp;" "&amp;IF(AND(C12=$Q$12,D12=$S$8),A12,"")&amp;" "&amp;IF(AND(C13=$Q$12,D13=$S$8),A13,"")&amp;" "&amp;IF(AND(C14=$Q$12,D14=$S$8),A14,"")&amp;" "&amp;IF(AND(C15=$Q$12,D15=$S$8),A15,"")&amp;" "&amp;IF(AND(C16=$Q$12,D16=$S$8),A16,"")&amp;" "&amp;IF(AND(C17=$Q$12,D17=$S$8),A17,"")&amp;" "&amp;IF(AND(C18=$Q$12,D18=$S$8),A18,"")&amp;" "&amp;IF(AND(C19=$Q$12,D19=$S$8),A19,"")&amp;" "&amp;IF(AND(C20=$Q$12,D20=$S$8),A20,"")&amp;" "&amp;IF(AND(C21=$Q$12,D21=$S$8),A21,"")&amp;" "&amp;IF(AND(C22=$Q$12,D22=$S$8),A22,"")&amp;" "&amp;IF(AND(C23=$Q$12,D23=$S$8),A23,"")&amp;" "&amp;IF(AND(C24=$Q$12,D24=$S$8),A24,"")&amp;" "&amp;IF(AND(C25=$Q$12,D25=$S$8),A25,"")&amp;" "&amp;IF(AND(C26=$Q$12,D26=$S$8),A26,"")&amp;" "&amp;IF(AND(C27=$Q$12,D27=$S$8),A27,"")&amp;" "&amp;IF(AND(C28=$Q$12,D28=$S$8),A28,"")</f>
        <v xml:space="preserve">                   </v>
      </c>
      <c r="K12" s="88" t="str">
        <f>+IF(AND(C9=$Q$12,D9=$T$8),A9,"")&amp;" "&amp;IF(AND(C10=$Q$12,D10=$T$8),A10,"")&amp;" "&amp;IF(AND(C11=$Q$12,D11=$T$8),A11,"")&amp;" "&amp;IF(AND(C12=$Q$12,D12=$T$8),A12,"")&amp;" "&amp;IF(AND(C13=$Q$12,D13=$T$8),A13,"")&amp;" "&amp;IF(AND(C14=$Q$12,D14=$T$8),A14,"")&amp;" "&amp;IF(AND(C15=$Q$12,D15=$T$8),A15,"")&amp;" "&amp;IF(AND(C16=$Q$12,D16=$T$8),A16,"")&amp;" "&amp;IF(AND(C17=$Q$12,D17=$T$8),A17,"")&amp;" "&amp;IF(AND(C18=$Q$12,D18=$T$8),A18,"")&amp;" "&amp;IF(AND(C19=$Q$12,D19=$T$8),A19,"")&amp;" "&amp;IF(AND(C20=$Q$12,D20=$T$8),A20,"")&amp;" "&amp;IF(AND(C21=$Q$12,D21=$T$8),A21,"")&amp;" "&amp;IF(AND(C22=$Q$12,D22=$T$8),A22,"")&amp;" "&amp;IF(AND(C23=$Q$12,D23=$T$8),A23,"")&amp;" "&amp;IF(AND(C24=$Q$12,D24=$T$8),A24,"")&amp;" "&amp;IF(AND(C25=$Q$12,D25=$T$8),A25,"")&amp;" "&amp;IF(AND(C26=$Q$12,D26=$T$8),A26,"")&amp;" "&amp;IF(AND(C27=$Q$12,D27=$T$8),A27,"")&amp;" "&amp;IF(AND(C28=$Q$12,D28=$T$8),A28,"")</f>
        <v xml:space="preserve">                   </v>
      </c>
      <c r="L12" s="84" t="str">
        <f>+IF(AND(C9=$Q$12,D9=$U$8),A9,"")&amp;" "&amp;IF(AND(C10=$Q$12,D10=$U$8),A10,"")&amp;" "&amp;IF(AND(C11=$Q$12,D11=$U$8),A11,"")&amp;" "&amp;IF(AND(C12=$Q$12,D12=$U$8),A12,"")&amp;" "&amp;IF(AND(C13=$Q$12,D13=$U$8),A13,"")&amp;" "&amp;IF(AND(C14=$Q$12,D14=$U$8),A14,"")&amp;" "&amp;IF(AND(C15=$Q$12,D15=$U$8),A15,"")&amp;" "&amp;IF(AND(C16=$Q$12,D16=$U$8),A16,"")&amp;" "&amp;IF(AND(C17=$Q$12,D17=$U$8),A17,"")&amp;" "&amp;IF(AND(C18=$Q$12,D18=$U$8),A18,"")&amp;" "&amp;IF(AND(C19=$Q$12,D19=$U$8),A19,"")&amp;" "&amp;IF(AND(C20=$Q$12,D20=$U$8),A20,"")&amp;" "&amp;IF(AND(C21=$Q$12,D21=$U$8),A21,"")&amp;" "&amp;IF(AND(C22=$Q$12,D22=$U$8),A22,"")&amp;" "&amp;IF(AND(C23=$Q$12,D23=$U$8),A23,"")&amp;" "&amp;IF(AND(C24=$Q$12,D24=$U$8),A24,"")&amp;" "&amp;IF(AND(C25=$Q$12,D25=$U$8),A25,"")&amp;" "&amp;IF(AND(C26=$Q$12,D26=$U$8),A26,"")&amp;" "&amp;IF(AND(C27=$Q$12,D27=$U$8),A27,"")&amp;" "&amp;IF(AND(C28=$Q$12,D28=$U$8),A28,"")</f>
        <v xml:space="preserve">                   </v>
      </c>
      <c r="M12" s="85" t="str">
        <f>+IF(AND(C9=$Q$12,D9=$V$8),A9,"")&amp;" "&amp;IF(AND(C10=$Q$12,D10=$V$8),A10,"")&amp;" "&amp;IF(AND(C11=$Q$12,D11=$V$8),A11,"")&amp;" "&amp;IF(AND(C12=$Q$12,D12=$V$8),A12,"")&amp;" "&amp;IF(AND(C13=$Q$12,D13=$V$8),A13,"")&amp;" "&amp;IF(AND(C14=$Q$12,D14=$V$8),A14,"")&amp;" "&amp;IF(AND(C15=$Q$12,D15=$V$8),A15,"")&amp;" "&amp;IF(AND(C16=$Q$12,D16=$V$8),A16,"")&amp;" "&amp;IF(AND(C17=$Q$12,D17=$V$8),A17,"")&amp;" "&amp;IF(AND(C18=$Q$12,D18=$V$8),A18,"")&amp;" "&amp;IF(AND(C19=$Q$12,D19=$V$8),A19,"")&amp;" "&amp;IF(AND(C20=$Q$12,D20=$V$8),A20,"")&amp;" "&amp;IF(AND(C21=$Q$12,D21=$V$8),A21,"")&amp;" "&amp;IF(AND(C22=$Q$12,D22=$V$8),A22,"")&amp;" "&amp;IF(AND(C23=$Q$12,D23=$V$8),A23,"")&amp;" "&amp;IF(AND(C24=$Q$12,D24=$V$8),A24,"")&amp;" "&amp;IF(AND(C25=$Q$12,D25=$V$8),A25,"")&amp;" "&amp;IF(AND(C26=$Q$12,D26=$V$8),A26,"")&amp;" "&amp;IF(AND(C27=$Q$12,D27=$V$8),A27,"")&amp;" "&amp;IF(AND(C28=$Q$12,D28=$V$8),A28,"")</f>
        <v xml:space="preserve">                   </v>
      </c>
      <c r="N12" s="83"/>
      <c r="O12" s="655"/>
      <c r="P12" s="86">
        <v>0.4</v>
      </c>
      <c r="Q12" s="77" t="s">
        <v>286</v>
      </c>
      <c r="R12" s="92" t="s">
        <v>312</v>
      </c>
      <c r="S12" s="88" t="s">
        <v>292</v>
      </c>
      <c r="T12" s="88" t="s">
        <v>292</v>
      </c>
      <c r="U12" s="84" t="s">
        <v>310</v>
      </c>
      <c r="V12" s="85" t="s">
        <v>311</v>
      </c>
      <c r="Y12" s="67"/>
      <c r="Z12" s="67"/>
      <c r="AA12" s="79"/>
      <c r="AB12" s="89"/>
      <c r="AC12" s="90"/>
      <c r="AD12" s="87"/>
      <c r="AE12" s="87"/>
      <c r="AF12" s="87"/>
      <c r="AG12" s="91"/>
      <c r="AH12" s="87"/>
      <c r="AI12" s="79"/>
      <c r="AJ12" s="79"/>
    </row>
    <row r="13" spans="1:36" ht="93" customHeight="1" thickBot="1">
      <c r="A13" s="80" t="str">
        <f>'2 CONTEXTO E IDENTIFICACIÓN'!A13</f>
        <v>R5</v>
      </c>
      <c r="B13" s="81" t="str">
        <f>+'2 CONTEXTO E IDENTIFICACIÓN'!K13</f>
        <v>Posibilidad de perdida de disponibilidad e integridad de la información por ataques cibernéticos, modificaciones no autorizadas o fallas del servidor   debido a ausencia de monitoreo permanente y mantenimiento de la plataforma o deficiencias en la implementación de controles de seguridad</v>
      </c>
      <c r="C13" s="82" t="str">
        <f>+'3 PROBABIL E IMPACTO INHERENTE'!F13</f>
        <v>Media</v>
      </c>
      <c r="D13" s="82" t="str">
        <f>+'3 PROBABIL E IMPACTO INHERENTE'!N13</f>
        <v>Moderado</v>
      </c>
      <c r="E13" s="337" t="str">
        <f t="shared" si="0"/>
        <v>Moderado</v>
      </c>
      <c r="F13" s="83"/>
      <c r="G13" s="658"/>
      <c r="H13" s="93" t="s">
        <v>282</v>
      </c>
      <c r="I13" s="94" t="str">
        <f>+IF(AND(C9=$Q$13,D9=$R$8),A9,"")&amp;" "&amp;IF(AND(C10=$Q$13,D10=$R$8),A10,"")&amp;" "&amp;IF(AND(C11=$Q$13,D11=$R$8),A11,"")&amp;" "&amp;IF(AND(C12=$Q$13,D12=$R$8),A12,"")&amp;" "&amp;IF(AND(C13=$Q$13,D13=$R$8),A13,"")&amp;" "&amp;IF(AND(C14=$Q$13,D14=$R$8),A14,"")&amp;" "&amp;IF(AND(C15=$Q$13,D15=$R$8),A15,"")&amp;" "&amp;IF(AND(C16=$Q$13,D16=$R$8),A16,"")&amp;" "&amp;IF(AND(C17=$Q$13,D17=$R$8),A17,"")&amp;" "&amp;IF(AND(C18=$Q$13,D18=$R$8),A18,"")&amp;" "&amp;IF(AND(C19=$Q$13,D19=$R$8),A19,"")&amp;" "&amp;IF(AND(C20=$Q$13,D20=$R$8),A20,"")&amp;" "&amp;IF(AND(C21=$Q$13,D21=$R$8),A21,"")&amp;" "&amp;IF(AND(C22=$Q$13,D22=$R$8),A22,"")&amp;" "&amp;IF(AND(C23=$Q$13,D23=$R$8),A23,"")&amp;" "&amp;IF(AND(C24=$Q$13,D24=$R$8),A24,"")&amp;" "&amp;IF(AND(C25=$Q$13,D25=$R$8),A25,"")&amp;" "&amp;IF(AND(C26=$Q$13,D26=$R$8),A26,"")&amp;" "&amp;IF(AND(C27=$Q$13,D27=$R$8),A27,"")&amp;" "&amp;IF(AND(C28=$Q$13,D28=$R$8),A28,"")</f>
        <v xml:space="preserve">                   </v>
      </c>
      <c r="J13" s="94" t="str">
        <f>+IF(AND(C9=$Q$13,D9=$S$8),A9,"")&amp;" "&amp;IF(AND(C10=$Q$13,D10=$S$8),A10,"")&amp;" "&amp;IF(AND(C11=$Q$13,D11=$S$8),A11,"")&amp;" "&amp;IF(AND(C12=$Q$13,D12=$S$8),A12,"")&amp;" "&amp;IF(AND(C13=$Q$13,D13=$S$8),A13,"")&amp;" "&amp;IF(AND(C14=$Q$13,D14=$S$8),A14,"")&amp;" "&amp;IF(AND(C15=$Q$13,D15=$S$8),A15,"")&amp;" "&amp;IF(AND(C16=$Q$13,D16=$S$8),A16,"")&amp;" "&amp;IF(AND(C17=$Q$13,D17=$S$8),A17,"")&amp;" "&amp;IF(AND(C18=$Q$13,D18=$S$8),A18,"")&amp;" "&amp;IF(AND(C19=$Q$13,D19=$S$8),A19,"")&amp;" "&amp;IF(AND(C20=$Q$13,D20=$S$8),A20,"")&amp;" "&amp;IF(AND(C21=$Q$13,D21=$S$8),A21,"")&amp;" "&amp;IF(AND(C22=$Q$13,D22=$S$8),A22,"")&amp;" "&amp;IF(AND(C23=$Q$13,D23=$S$8),A23,"")&amp;" "&amp;IF(AND(C24=$Q$13,D24=$S$8),A24,"")&amp;" "&amp;IF(AND(C25=$Q$13,D25=$S$8),A25,"")&amp;" "&amp;IF(AND(C26=$Q$13,D26=$S$8),A26,"")&amp;" "&amp;IF(AND(C27=$Q$13,D27=$S$8),A27,"")&amp;" "&amp;IF(AND(C28=$Q$13,D28=$S$8),A28,"")</f>
        <v xml:space="preserve">                   </v>
      </c>
      <c r="K13" s="95" t="str">
        <f>+IF(AND(C9=$Q$13,D9=$T$8),A9,"")&amp;" "&amp;IF(AND(C10=$Q$13,D10=$T$8),A10,"")&amp;" "&amp;IF(AND(C11=$Q$13,D11=$T$8),A11,"")&amp;" "&amp;IF(AND(C12=$Q$13,D12=$T$8),A12,"")&amp;" "&amp;IF(AND(C13=$Q$13,D13=$T$8),A13,"")&amp;" "&amp;IF(AND(C14=$Q$13,D14=$T$8),A14,"")&amp;" "&amp;IF(AND(C15=$Q$13,D15=$T$8),A15,"")&amp;" "&amp;IF(AND(C16=$Q$13,D16=$T$8),A16,"")&amp;" "&amp;IF(AND(C17=$Q$13,D17=$T$8),A17,"")&amp;" "&amp;IF(AND(C18=$Q$13,D18=$T$8),A18,"")&amp;" "&amp;IF(AND(C19=$Q$13,D19=$T$8),A19,"")&amp;" "&amp;IF(AND(C20=$Q$13,D20=$T$8),A20,"")&amp;" "&amp;IF(AND(C21=$Q$13,D21=$T$8),A21,"")&amp;" "&amp;IF(AND(C22=$Q$13,D22=$T$8),A22,"")&amp;" "&amp;IF(AND(C23=$Q$13,D23=$T$8),A23,"")&amp;" "&amp;IF(AND(C24=$Q$13,D24=$T$8),A24,"")&amp;" "&amp;IF(AND(C25=$Q$13,D25=$T$8),A25,"")&amp;" "&amp;IF(AND(C26=$Q$13,D26=$T$8),A26,"")&amp;" "&amp;IF(AND(C27=$Q$13,D27=$T$8),A27,"")&amp;" "&amp;IF(AND(C28=$Q$13,D28=$T$8),A28,"")</f>
        <v xml:space="preserve">                   </v>
      </c>
      <c r="L13" s="96" t="str">
        <f>+IF(AND(C9=$Q$13,D9=$U$8),A9,"")&amp;" "&amp;IF(AND(C10=$Q$13,D10=$U$8),A10,"")&amp;" "&amp;IF(AND(C11=$Q$13,D11=$U$8),A11,"")&amp;" "&amp;IF(AND(C12=$Q$13,D12=$U$8),A12,"")&amp;" "&amp;IF(AND(C13=$Q$13,D13=$U$8),A13,"")&amp;" "&amp;IF(AND(C14=$Q$13,D14=$U$8),A14,"")&amp;" "&amp;IF(AND(C15=$Q$13,D15=$U$8),A15,"")&amp;" "&amp;IF(AND(C16=$Q$13,D16=$U$8),A16,"")&amp;" "&amp;IF(AND(C17=$Q$13,D17=$U$8),A17,"")&amp;" "&amp;IF(AND(C18=$Q$13,D18=$U$8),A18,"")&amp;" "&amp;IF(AND(C19=$Q$13,D19=$U$8),A19,"")&amp;" "&amp;IF(AND(C20=$Q$13,D20=$U$8),A20,"")&amp;" "&amp;IF(AND(C21=$Q$13,D21=$U$8),A21,"")&amp;" "&amp;IF(AND(C22=$Q$13,D22=$U$8),A22,"")&amp;" "&amp;IF(AND(C23=$Q$13,D23=$U$8),A23,"")&amp;" "&amp;IF(AND(C24=$Q$13,D24=$U$8),A24,"")&amp;" "&amp;IF(AND(C25=$Q$13,D25=$U$8),A25,"")&amp;" "&amp;IF(AND(C26=$Q$13,D26=$U$8),A26,"")&amp;" "&amp;IF(AND(C27=$Q$13,D27=$U$8),A27,"")&amp;" "&amp;IF(AND(C28=$Q$13,D28=$U$8),A28,"")</f>
        <v xml:space="preserve">                   </v>
      </c>
      <c r="M13" s="97" t="str">
        <f>+IF(AND(C9=$Q$13,D9=$V$8),A9,"")&amp;" "&amp;IF(AND(C10=$Q$13,D10=$V$8),A10,"")&amp;" "&amp;IF(AND(C11=$Q$13,D11=$V$8),A11,"")&amp;" "&amp;IF(AND(C12=$Q$13,D12=$V$8),A12,"")&amp;" "&amp;IF(AND(C13=$Q$13,D13=$V$8),A13,"")&amp;" "&amp;IF(AND(C14=$Q$13,D14=$V$8),A14,"")&amp;" "&amp;IF(AND(C15=$Q$13,D15=$V$8),A15,"")&amp;" "&amp;IF(AND(C16=$Q$13,D16=$V$8),A16,"")&amp;" "&amp;IF(AND(C17=$Q$13,D17=$V$8),A17,"")&amp;" "&amp;IF(AND(C18=$Q$13,D18=$V$8),A18,"")&amp;" "&amp;IF(AND(C19=$Q$13,D19=$V$8),A19,"")&amp;" "&amp;IF(AND(C20=$Q$13,D20=$V$8),A20,"")&amp;" "&amp;IF(AND(C21=$Q$13,D21=$V$8),A21,"")&amp;" "&amp;IF(AND(C22=$Q$13,D22=$V$8),A22,"")&amp;" "&amp;IF(AND(C23=$Q$13,D23=$V$8),A23,"")&amp;" "&amp;IF(AND(C24=$Q$13,D24=$V$8),A24,"")&amp;" "&amp;IF(AND(C25=$Q$13,D25=$V$8),A25,"")&amp;" "&amp;IF(AND(C26=$Q$13,D26=$V$8),A26,"")&amp;" "&amp;IF(AND(C27=$Q$13,D27=$V$8),A27,"")&amp;" "&amp;IF(AND(C28=$Q$13,D28=$V$8),A28,"")</f>
        <v xml:space="preserve">                   </v>
      </c>
      <c r="N13" s="83"/>
      <c r="O13" s="656"/>
      <c r="P13" s="98">
        <v>0.2</v>
      </c>
      <c r="Q13" s="99" t="s">
        <v>282</v>
      </c>
      <c r="R13" s="94" t="s">
        <v>312</v>
      </c>
      <c r="S13" s="94" t="s">
        <v>312</v>
      </c>
      <c r="T13" s="95" t="s">
        <v>292</v>
      </c>
      <c r="U13" s="96" t="s">
        <v>310</v>
      </c>
      <c r="V13" s="97" t="s">
        <v>311</v>
      </c>
      <c r="Y13" s="67"/>
      <c r="Z13" s="67"/>
      <c r="AA13" s="79"/>
      <c r="AB13" s="89"/>
      <c r="AC13" s="90"/>
      <c r="AD13" s="87"/>
      <c r="AE13" s="87"/>
      <c r="AF13" s="87"/>
      <c r="AG13" s="100"/>
      <c r="AH13" s="87"/>
      <c r="AI13" s="79"/>
      <c r="AJ13" s="79"/>
    </row>
    <row r="14" spans="1:36" ht="93" customHeight="1">
      <c r="A14" s="80" t="str">
        <f>'2 CONTEXTO E IDENTIFICACIÓN'!A14</f>
        <v>R6</v>
      </c>
      <c r="B14" s="81" t="str">
        <f>+'2 CONTEXTO E IDENTIFICACIÓN'!K14</f>
        <v xml:space="preserve">   </v>
      </c>
      <c r="C14" s="82" t="str">
        <f>+'3 PROBABIL E IMPACTO INHERENTE'!F14</f>
        <v/>
      </c>
      <c r="D14" s="82" t="str">
        <f>+'3 PROBABIL E IMPACTO INHERENTE'!N14</f>
        <v/>
      </c>
      <c r="E14" s="337" t="str">
        <f t="shared" si="0"/>
        <v/>
      </c>
      <c r="F14" s="83"/>
      <c r="G14" s="83"/>
      <c r="H14" s="83"/>
      <c r="I14" s="83"/>
      <c r="J14" s="83"/>
      <c r="K14" s="83"/>
      <c r="L14" s="83"/>
      <c r="M14" s="83"/>
      <c r="N14" s="83"/>
      <c r="Y14" s="67"/>
      <c r="Z14" s="67"/>
      <c r="AA14" s="79"/>
      <c r="AB14" s="89"/>
      <c r="AC14" s="90"/>
      <c r="AD14" s="87"/>
      <c r="AE14" s="87"/>
      <c r="AF14" s="87"/>
      <c r="AG14" s="87"/>
      <c r="AH14" s="87"/>
      <c r="AI14" s="79"/>
      <c r="AJ14" s="79"/>
    </row>
    <row r="15" spans="1:36" ht="93" customHeight="1">
      <c r="A15" s="80" t="str">
        <f>'2 CONTEXTO E IDENTIFICACIÓN'!A15</f>
        <v>R7</v>
      </c>
      <c r="B15" s="81" t="str">
        <f>+'2 CONTEXTO E IDENTIFICACIÓN'!K15</f>
        <v xml:space="preserve">   </v>
      </c>
      <c r="C15" s="82" t="str">
        <f>+'3 PROBABIL E IMPACTO INHERENTE'!F15</f>
        <v/>
      </c>
      <c r="D15" s="82" t="str">
        <f>+'3 PROBABIL E IMPACTO INHERENTE'!N15</f>
        <v/>
      </c>
      <c r="E15" s="337" t="str">
        <f t="shared" si="0"/>
        <v/>
      </c>
      <c r="F15" s="83"/>
      <c r="G15" s="83"/>
      <c r="H15" s="83"/>
      <c r="I15" s="83"/>
      <c r="J15" s="83"/>
      <c r="K15" s="83"/>
      <c r="L15" s="83"/>
      <c r="M15" s="83"/>
      <c r="N15" s="83"/>
      <c r="R15" s="71" t="s">
        <v>313</v>
      </c>
      <c r="T15" s="67"/>
      <c r="U15" s="67"/>
      <c r="V15" s="67"/>
      <c r="W15" s="67"/>
      <c r="X15" s="67"/>
      <c r="Y15" s="67"/>
      <c r="Z15" s="67"/>
      <c r="AA15" s="79"/>
      <c r="AB15" s="89"/>
      <c r="AC15" s="79"/>
      <c r="AD15" s="90"/>
      <c r="AE15" s="90"/>
      <c r="AF15" s="90"/>
      <c r="AG15" s="90"/>
      <c r="AH15" s="90"/>
      <c r="AI15" s="79"/>
      <c r="AJ15" s="79"/>
    </row>
    <row r="16" spans="1:36" ht="93" customHeight="1">
      <c r="A16" s="80" t="str">
        <f>'2 CONTEXTO E IDENTIFICACIÓN'!A16</f>
        <v>R8</v>
      </c>
      <c r="B16" s="81" t="str">
        <f>+'2 CONTEXTO E IDENTIFICACIÓN'!K16</f>
        <v xml:space="preserve">   </v>
      </c>
      <c r="C16" s="82" t="str">
        <f>+'3 PROBABIL E IMPACTO INHERENTE'!F16</f>
        <v/>
      </c>
      <c r="D16" s="82" t="str">
        <f>+'3 PROBABIL E IMPACTO INHERENTE'!N16</f>
        <v/>
      </c>
      <c r="E16" s="337" t="str">
        <f t="shared" si="0"/>
        <v/>
      </c>
      <c r="F16" s="83"/>
      <c r="G16" s="83"/>
      <c r="H16" s="83"/>
      <c r="I16" s="83"/>
      <c r="J16" s="83"/>
      <c r="K16" s="83"/>
      <c r="L16" s="83"/>
      <c r="M16" s="83"/>
      <c r="N16" s="83"/>
      <c r="R16" s="101" t="s">
        <v>311</v>
      </c>
      <c r="T16" s="67"/>
      <c r="U16" s="67"/>
      <c r="V16" s="67"/>
      <c r="W16" s="67"/>
      <c r="X16" s="67"/>
      <c r="Y16" s="67"/>
      <c r="Z16" s="67"/>
      <c r="AA16" s="79"/>
      <c r="AB16" s="79"/>
      <c r="AC16" s="79"/>
      <c r="AD16" s="87"/>
      <c r="AE16" s="87"/>
      <c r="AF16" s="87"/>
      <c r="AG16" s="87"/>
      <c r="AH16" s="87"/>
      <c r="AI16" s="79"/>
      <c r="AJ16" s="79"/>
    </row>
    <row r="17" spans="1:36" ht="93" customHeight="1">
      <c r="A17" s="80" t="str">
        <f>'2 CONTEXTO E IDENTIFICACIÓN'!A17</f>
        <v>R9</v>
      </c>
      <c r="B17" s="81" t="str">
        <f>+'2 CONTEXTO E IDENTIFICACIÓN'!K17</f>
        <v xml:space="preserve">   </v>
      </c>
      <c r="C17" s="82" t="str">
        <f>+'3 PROBABIL E IMPACTO INHERENTE'!F17</f>
        <v/>
      </c>
      <c r="D17" s="82" t="str">
        <f>+'3 PROBABIL E IMPACTO INHERENTE'!N17</f>
        <v/>
      </c>
      <c r="E17" s="337" t="str">
        <f t="shared" si="0"/>
        <v/>
      </c>
      <c r="F17" s="83"/>
      <c r="G17" s="83"/>
      <c r="H17" s="83"/>
      <c r="I17" s="83"/>
      <c r="J17" s="83"/>
      <c r="K17" s="83"/>
      <c r="L17" s="83"/>
      <c r="M17" s="83"/>
      <c r="N17" s="83"/>
      <c r="R17" s="84" t="s">
        <v>310</v>
      </c>
      <c r="S17" s="67"/>
      <c r="T17" s="67"/>
      <c r="U17" s="67"/>
      <c r="V17" s="67"/>
      <c r="W17" s="67"/>
      <c r="X17" s="67"/>
      <c r="Y17" s="67"/>
      <c r="Z17" s="67"/>
      <c r="AA17" s="79"/>
      <c r="AB17" s="79"/>
      <c r="AC17" s="79"/>
      <c r="AD17" s="87"/>
      <c r="AE17" s="87"/>
      <c r="AF17" s="87"/>
      <c r="AG17" s="87"/>
      <c r="AH17" s="87"/>
      <c r="AI17" s="79"/>
      <c r="AJ17" s="79"/>
    </row>
    <row r="18" spans="1:36" ht="93" customHeight="1">
      <c r="A18" s="80" t="str">
        <f>'2 CONTEXTO E IDENTIFICACIÓN'!A18</f>
        <v>R10</v>
      </c>
      <c r="B18" s="81" t="str">
        <f>+'2 CONTEXTO E IDENTIFICACIÓN'!K18</f>
        <v xml:space="preserve">   </v>
      </c>
      <c r="C18" s="82" t="str">
        <f>+'3 PROBABIL E IMPACTO INHERENTE'!F18</f>
        <v/>
      </c>
      <c r="D18" s="82" t="str">
        <f>+'3 PROBABIL E IMPACTO INHERENTE'!N18</f>
        <v/>
      </c>
      <c r="E18" s="337" t="str">
        <f t="shared" si="0"/>
        <v/>
      </c>
      <c r="F18" s="83"/>
      <c r="G18" s="83"/>
      <c r="H18" s="83"/>
      <c r="I18" s="83"/>
      <c r="J18" s="83"/>
      <c r="K18" s="83"/>
      <c r="L18" s="83"/>
      <c r="M18" s="83"/>
      <c r="N18" s="83"/>
      <c r="Q18" s="102"/>
      <c r="R18" s="88" t="s">
        <v>292</v>
      </c>
      <c r="S18" s="102"/>
      <c r="T18" s="102"/>
      <c r="U18" s="102"/>
      <c r="V18" s="102"/>
      <c r="W18" s="102"/>
      <c r="X18" s="102"/>
      <c r="Y18" s="102"/>
      <c r="Z18" s="102"/>
      <c r="AA18" s="79"/>
      <c r="AB18" s="79"/>
      <c r="AC18" s="103"/>
      <c r="AD18" s="103"/>
      <c r="AE18" s="103"/>
      <c r="AF18" s="103"/>
      <c r="AG18" s="103"/>
      <c r="AH18" s="103"/>
      <c r="AI18" s="79"/>
      <c r="AJ18" s="79"/>
    </row>
    <row r="19" spans="1:36" ht="93" customHeight="1">
      <c r="A19" s="80" t="str">
        <f>'2 CONTEXTO E IDENTIFICACIÓN'!A19</f>
        <v>R11</v>
      </c>
      <c r="B19" s="81" t="str">
        <f>+'2 CONTEXTO E IDENTIFICACIÓN'!K19</f>
        <v xml:space="preserve">   </v>
      </c>
      <c r="C19" s="82" t="str">
        <f>+'3 PROBABIL E IMPACTO INHERENTE'!F19</f>
        <v/>
      </c>
      <c r="D19" s="82" t="str">
        <f>+'3 PROBABIL E IMPACTO INHERENTE'!N19</f>
        <v/>
      </c>
      <c r="E19" s="337" t="str">
        <f t="shared" si="0"/>
        <v/>
      </c>
      <c r="F19" s="83"/>
      <c r="G19" s="83"/>
      <c r="H19" s="83"/>
      <c r="I19" s="83"/>
      <c r="J19" s="83"/>
      <c r="K19" s="83"/>
      <c r="L19" s="83"/>
      <c r="M19" s="83"/>
      <c r="N19" s="83"/>
      <c r="Q19" s="102"/>
      <c r="R19" s="92" t="s">
        <v>312</v>
      </c>
      <c r="Y19" s="102"/>
      <c r="Z19" s="102"/>
      <c r="AA19" s="79"/>
      <c r="AB19" s="79"/>
      <c r="AC19" s="79"/>
      <c r="AD19" s="87"/>
      <c r="AE19" s="87"/>
      <c r="AF19" s="87"/>
      <c r="AG19" s="87"/>
      <c r="AH19" s="87"/>
      <c r="AI19" s="79"/>
      <c r="AJ19" s="79"/>
    </row>
    <row r="20" spans="1:36" ht="93" customHeight="1">
      <c r="A20" s="80" t="str">
        <f>'2 CONTEXTO E IDENTIFICACIÓN'!A20</f>
        <v>R12</v>
      </c>
      <c r="B20" s="81" t="str">
        <f>+'2 CONTEXTO E IDENTIFICACIÓN'!K20</f>
        <v xml:space="preserve">   </v>
      </c>
      <c r="C20" s="82" t="str">
        <f>+'3 PROBABIL E IMPACTO INHERENTE'!F20</f>
        <v/>
      </c>
      <c r="D20" s="82" t="str">
        <f>+'3 PROBABIL E IMPACTO INHERENTE'!N20</f>
        <v/>
      </c>
      <c r="E20" s="337" t="str">
        <f t="shared" si="0"/>
        <v/>
      </c>
      <c r="F20" s="83"/>
      <c r="G20" s="83"/>
      <c r="H20" s="83"/>
      <c r="I20" s="83"/>
      <c r="J20" s="83"/>
      <c r="K20" s="83"/>
      <c r="L20" s="83"/>
      <c r="M20" s="83"/>
      <c r="N20" s="83"/>
      <c r="O20" s="104"/>
      <c r="P20" s="104"/>
      <c r="Q20" s="102"/>
      <c r="Y20" s="102"/>
      <c r="Z20" s="102"/>
      <c r="AA20" s="79"/>
      <c r="AB20" s="79"/>
      <c r="AC20" s="79"/>
      <c r="AD20" s="87"/>
      <c r="AE20" s="87"/>
      <c r="AF20" s="87"/>
      <c r="AG20" s="87"/>
      <c r="AH20" s="87"/>
      <c r="AI20" s="79"/>
      <c r="AJ20" s="79"/>
    </row>
    <row r="21" spans="1:36" ht="93" customHeight="1">
      <c r="A21" s="80" t="str">
        <f>'2 CONTEXTO E IDENTIFICACIÓN'!A21</f>
        <v>R13</v>
      </c>
      <c r="B21" s="81" t="str">
        <f>+'2 CONTEXTO E IDENTIFICACIÓN'!K21</f>
        <v xml:space="preserve">   </v>
      </c>
      <c r="C21" s="82" t="str">
        <f>+'3 PROBABIL E IMPACTO INHERENTE'!F21</f>
        <v/>
      </c>
      <c r="D21" s="82" t="str">
        <f>+'3 PROBABIL E IMPACTO INHERENTE'!N21</f>
        <v/>
      </c>
      <c r="E21" s="337" t="str">
        <f t="shared" si="0"/>
        <v/>
      </c>
      <c r="F21" s="83"/>
      <c r="G21" s="83"/>
      <c r="H21" s="83"/>
      <c r="I21" s="83"/>
      <c r="J21" s="83"/>
      <c r="K21" s="83"/>
      <c r="L21" s="83"/>
      <c r="M21" s="83"/>
      <c r="N21" s="83"/>
      <c r="O21" s="104"/>
      <c r="P21" s="104"/>
      <c r="Q21" s="105"/>
      <c r="Y21" s="102"/>
      <c r="Z21" s="102"/>
      <c r="AA21" s="79"/>
      <c r="AB21" s="100"/>
      <c r="AC21" s="100"/>
      <c r="AD21" s="100"/>
      <c r="AE21" s="100"/>
      <c r="AF21" s="100"/>
      <c r="AG21" s="100"/>
      <c r="AH21" s="87"/>
      <c r="AI21" s="79"/>
      <c r="AJ21" s="79"/>
    </row>
    <row r="22" spans="1:36" ht="93" customHeight="1">
      <c r="A22" s="80" t="str">
        <f>'2 CONTEXTO E IDENTIFICACIÓN'!A22</f>
        <v>R14</v>
      </c>
      <c r="B22" s="81" t="str">
        <f>+'2 CONTEXTO E IDENTIFICACIÓN'!K22</f>
        <v xml:space="preserve">   </v>
      </c>
      <c r="C22" s="82" t="str">
        <f>+'3 PROBABIL E IMPACTO INHERENTE'!F22</f>
        <v/>
      </c>
      <c r="D22" s="82" t="str">
        <f>+'3 PROBABIL E IMPACTO INHERENTE'!N22</f>
        <v/>
      </c>
      <c r="E22" s="337" t="str">
        <f t="shared" si="0"/>
        <v/>
      </c>
      <c r="F22" s="83"/>
      <c r="G22" s="83"/>
      <c r="H22" s="83"/>
      <c r="I22" s="83"/>
      <c r="J22" s="83"/>
      <c r="K22" s="83"/>
      <c r="L22" s="83"/>
      <c r="M22" s="83"/>
      <c r="N22" s="83"/>
      <c r="O22" s="104"/>
      <c r="P22" s="104"/>
      <c r="AA22" s="79"/>
      <c r="AB22" s="106"/>
      <c r="AC22" s="106"/>
      <c r="AD22" s="106"/>
      <c r="AE22" s="106"/>
      <c r="AF22" s="106"/>
      <c r="AG22" s="106"/>
      <c r="AH22" s="87"/>
      <c r="AI22" s="79"/>
      <c r="AJ22" s="79"/>
    </row>
    <row r="23" spans="1:36" ht="93" customHeight="1">
      <c r="A23" s="80" t="str">
        <f>'2 CONTEXTO E IDENTIFICACIÓN'!A23</f>
        <v>R15</v>
      </c>
      <c r="B23" s="81" t="str">
        <f>+'2 CONTEXTO E IDENTIFICACIÓN'!K23</f>
        <v xml:space="preserve">   </v>
      </c>
      <c r="C23" s="82" t="str">
        <f>+'3 PROBABIL E IMPACTO INHERENTE'!F23</f>
        <v/>
      </c>
      <c r="D23" s="82" t="str">
        <f>+'3 PROBABIL E IMPACTO INHERENTE'!N23</f>
        <v/>
      </c>
      <c r="E23" s="337" t="str">
        <f t="shared" si="0"/>
        <v/>
      </c>
      <c r="F23" s="83"/>
      <c r="G23" s="83"/>
      <c r="H23" s="83"/>
      <c r="I23" s="83"/>
      <c r="J23" s="83"/>
      <c r="K23" s="83"/>
      <c r="L23" s="83"/>
      <c r="M23" s="83"/>
      <c r="N23" s="83"/>
      <c r="O23" s="104"/>
      <c r="P23" s="104"/>
      <c r="AA23" s="79"/>
      <c r="AB23" s="100"/>
      <c r="AC23" s="100"/>
      <c r="AD23" s="100"/>
      <c r="AE23" s="100"/>
      <c r="AF23" s="100"/>
      <c r="AG23" s="100"/>
      <c r="AH23" s="87"/>
      <c r="AI23" s="79"/>
      <c r="AJ23" s="79"/>
    </row>
    <row r="24" spans="1:36" ht="93" customHeight="1">
      <c r="A24" s="80" t="str">
        <f>'2 CONTEXTO E IDENTIFICACIÓN'!A24</f>
        <v>R16</v>
      </c>
      <c r="B24" s="81" t="str">
        <f>+'2 CONTEXTO E IDENTIFICACIÓN'!K24</f>
        <v xml:space="preserve">   </v>
      </c>
      <c r="C24" s="82" t="str">
        <f>+'3 PROBABIL E IMPACTO INHERENTE'!F24</f>
        <v/>
      </c>
      <c r="D24" s="82" t="str">
        <f>+'3 PROBABIL E IMPACTO INHERENTE'!N24</f>
        <v/>
      </c>
      <c r="E24" s="337" t="str">
        <f t="shared" si="0"/>
        <v/>
      </c>
      <c r="F24" s="83"/>
      <c r="G24" s="83"/>
      <c r="H24" s="83"/>
      <c r="I24" s="83"/>
      <c r="J24" s="83"/>
      <c r="K24" s="83"/>
      <c r="L24" s="83"/>
      <c r="M24" s="83"/>
      <c r="N24" s="83"/>
      <c r="AA24" s="79"/>
      <c r="AB24" s="100"/>
      <c r="AC24" s="100"/>
      <c r="AD24" s="100"/>
      <c r="AE24" s="100"/>
      <c r="AF24" s="100"/>
      <c r="AG24" s="100"/>
      <c r="AH24" s="87"/>
      <c r="AI24" s="79"/>
      <c r="AJ24" s="79"/>
    </row>
    <row r="25" spans="1:36" ht="93" customHeight="1">
      <c r="A25" s="80" t="str">
        <f>'2 CONTEXTO E IDENTIFICACIÓN'!A25</f>
        <v>R17</v>
      </c>
      <c r="B25" s="81" t="str">
        <f>+'2 CONTEXTO E IDENTIFICACIÓN'!K25</f>
        <v xml:space="preserve">   </v>
      </c>
      <c r="C25" s="82" t="str">
        <f>+'3 PROBABIL E IMPACTO INHERENTE'!F25</f>
        <v/>
      </c>
      <c r="D25" s="82" t="str">
        <f>+'3 PROBABIL E IMPACTO INHERENTE'!N25</f>
        <v/>
      </c>
      <c r="E25" s="337" t="str">
        <f t="shared" si="0"/>
        <v/>
      </c>
      <c r="F25" s="83"/>
      <c r="G25" s="83"/>
      <c r="H25" s="83"/>
      <c r="I25" s="83"/>
      <c r="J25" s="83"/>
      <c r="K25" s="83"/>
      <c r="L25" s="83"/>
      <c r="M25" s="83"/>
      <c r="N25" s="83"/>
    </row>
    <row r="26" spans="1:36" ht="93" customHeight="1">
      <c r="A26" s="80" t="str">
        <f>'2 CONTEXTO E IDENTIFICACIÓN'!A26</f>
        <v>R18</v>
      </c>
      <c r="B26" s="81" t="str">
        <f>+'2 CONTEXTO E IDENTIFICACIÓN'!K26</f>
        <v xml:space="preserve">   </v>
      </c>
      <c r="C26" s="82" t="str">
        <f>+'3 PROBABIL E IMPACTO INHERENTE'!F26</f>
        <v/>
      </c>
      <c r="D26" s="82" t="str">
        <f>+'3 PROBABIL E IMPACTO INHERENTE'!N26</f>
        <v/>
      </c>
      <c r="E26" s="337" t="str">
        <f t="shared" si="0"/>
        <v/>
      </c>
      <c r="F26" s="83"/>
      <c r="G26" s="83"/>
      <c r="H26" s="83"/>
      <c r="I26" s="83"/>
      <c r="J26" s="83"/>
      <c r="K26" s="83"/>
      <c r="L26" s="83"/>
      <c r="M26" s="83"/>
      <c r="N26" s="83"/>
    </row>
    <row r="27" spans="1:36" ht="93" customHeight="1">
      <c r="A27" s="80" t="str">
        <f>'2 CONTEXTO E IDENTIFICACIÓN'!A27</f>
        <v>R19</v>
      </c>
      <c r="B27" s="81" t="str">
        <f>+'2 CONTEXTO E IDENTIFICACIÓN'!K27</f>
        <v xml:space="preserve">   </v>
      </c>
      <c r="C27" s="82" t="str">
        <f>+'3 PROBABIL E IMPACTO INHERENTE'!F27</f>
        <v/>
      </c>
      <c r="D27" s="82" t="str">
        <f>+'3 PROBABIL E IMPACTO INHERENTE'!N27</f>
        <v/>
      </c>
      <c r="E27" s="337" t="str">
        <f t="shared" si="0"/>
        <v/>
      </c>
      <c r="F27" s="83"/>
      <c r="G27" s="83"/>
      <c r="H27" s="83"/>
      <c r="I27" s="83"/>
      <c r="J27" s="83"/>
      <c r="K27" s="83"/>
      <c r="L27" s="83"/>
      <c r="M27" s="83"/>
      <c r="N27" s="83"/>
    </row>
    <row r="28" spans="1:36" ht="93" customHeight="1">
      <c r="A28" s="80" t="str">
        <f>'2 CONTEXTO E IDENTIFICACIÓN'!A28</f>
        <v>R20</v>
      </c>
      <c r="B28" s="81" t="str">
        <f>+'2 CONTEXTO E IDENTIFICACIÓN'!K28</f>
        <v xml:space="preserve">   </v>
      </c>
      <c r="C28" s="82" t="str">
        <f>+'3 PROBABIL E IMPACTO INHERENTE'!F28</f>
        <v/>
      </c>
      <c r="D28" s="82" t="str">
        <f>+'3 PROBABIL E IMPACTO INHERENTE'!N28</f>
        <v/>
      </c>
      <c r="E28" s="337" t="str">
        <f t="shared" si="0"/>
        <v/>
      </c>
      <c r="F28" s="83"/>
      <c r="G28" s="83"/>
      <c r="H28" s="83"/>
      <c r="I28" s="83"/>
      <c r="J28" s="83"/>
      <c r="K28" s="83"/>
      <c r="L28" s="83"/>
      <c r="M28" s="83"/>
      <c r="N28" s="83"/>
    </row>
    <row r="29" spans="1:36" ht="14.55" customHeight="1">
      <c r="B29" s="63"/>
      <c r="D29" s="63"/>
      <c r="E29" s="63"/>
      <c r="F29" s="63"/>
      <c r="G29" s="63"/>
      <c r="H29" s="63"/>
      <c r="I29" s="63"/>
      <c r="J29" s="63"/>
      <c r="K29" s="63"/>
      <c r="L29" s="63"/>
      <c r="M29" s="63"/>
      <c r="N29" s="63"/>
      <c r="Y29" s="68"/>
      <c r="Z29" s="68"/>
      <c r="AA29" s="68"/>
      <c r="AB29" s="68"/>
      <c r="AC29" s="68"/>
      <c r="AD29" s="63"/>
      <c r="AE29" s="63"/>
      <c r="AF29" s="63"/>
      <c r="AG29" s="63"/>
      <c r="AH29" s="63"/>
    </row>
    <row r="30" spans="1:36" ht="39" customHeight="1">
      <c r="B30" s="63"/>
      <c r="D30" s="63"/>
      <c r="E30" s="63"/>
      <c r="F30" s="63"/>
      <c r="G30" s="63"/>
      <c r="H30" s="63"/>
      <c r="I30" s="63"/>
      <c r="J30" s="63"/>
      <c r="K30" s="63"/>
      <c r="L30" s="63"/>
      <c r="M30" s="63"/>
      <c r="N30" s="63"/>
      <c r="Y30" s="68"/>
      <c r="Z30" s="68"/>
      <c r="AA30" s="68"/>
      <c r="AB30" s="68"/>
      <c r="AC30" s="68"/>
      <c r="AD30" s="63"/>
      <c r="AE30" s="63"/>
      <c r="AF30" s="63"/>
      <c r="AG30" s="63"/>
      <c r="AH30" s="63"/>
    </row>
    <row r="31" spans="1:36" ht="19.5" customHeight="1">
      <c r="B31" s="63"/>
      <c r="D31" s="63"/>
      <c r="E31" s="63"/>
      <c r="F31" s="63"/>
      <c r="G31" s="63"/>
      <c r="H31" s="63"/>
      <c r="I31" s="63"/>
      <c r="J31" s="63"/>
      <c r="K31" s="63"/>
      <c r="L31" s="63"/>
      <c r="M31" s="63"/>
      <c r="N31" s="63"/>
      <c r="Y31" s="68"/>
      <c r="Z31" s="68"/>
      <c r="AA31" s="68"/>
      <c r="AB31" s="68"/>
      <c r="AC31" s="68"/>
      <c r="AD31" s="63"/>
      <c r="AE31" s="63"/>
      <c r="AF31" s="63"/>
      <c r="AG31" s="63"/>
      <c r="AH31" s="63"/>
    </row>
    <row r="32" spans="1:36" ht="19.5" customHeight="1">
      <c r="B32" s="63"/>
      <c r="D32" s="63"/>
      <c r="E32" s="63"/>
      <c r="F32" s="63"/>
      <c r="G32" s="63"/>
      <c r="H32" s="63"/>
      <c r="I32" s="63"/>
      <c r="J32" s="63"/>
      <c r="K32" s="63"/>
      <c r="L32" s="63"/>
      <c r="M32" s="63"/>
      <c r="N32" s="63"/>
      <c r="Y32" s="68"/>
      <c r="Z32" s="68"/>
      <c r="AA32" s="68"/>
      <c r="AB32" s="68"/>
      <c r="AC32" s="68"/>
      <c r="AD32" s="63"/>
      <c r="AE32" s="63"/>
      <c r="AF32" s="63"/>
      <c r="AG32" s="63"/>
      <c r="AH32" s="63"/>
    </row>
    <row r="33" spans="25:29" s="63" customFormat="1" ht="19.5" customHeight="1">
      <c r="Y33" s="68"/>
      <c r="Z33" s="68"/>
      <c r="AA33" s="68"/>
      <c r="AB33" s="68"/>
      <c r="AC33" s="68"/>
    </row>
    <row r="34" spans="25:29" s="63" customFormat="1" ht="19.5" customHeight="1">
      <c r="Y34" s="68"/>
      <c r="Z34" s="68"/>
      <c r="AA34" s="68"/>
      <c r="AB34" s="68"/>
      <c r="AC34" s="68"/>
    </row>
    <row r="35" spans="25:29" s="63" customFormat="1" ht="19.5" customHeight="1">
      <c r="Y35" s="68"/>
      <c r="Z35" s="68"/>
      <c r="AA35" s="68"/>
      <c r="AB35" s="68"/>
      <c r="AC35" s="68"/>
    </row>
  </sheetData>
  <sheetProtection sheet="1" objects="1" scenarios="1"/>
  <dataConsolidate/>
  <mergeCells count="11">
    <mergeCell ref="R6:V6"/>
    <mergeCell ref="A1:A2"/>
    <mergeCell ref="C7:E7"/>
    <mergeCell ref="O9:O13"/>
    <mergeCell ref="I7:M7"/>
    <mergeCell ref="G9:G13"/>
    <mergeCell ref="B1:B2"/>
    <mergeCell ref="G6:M6"/>
    <mergeCell ref="B4:D4"/>
    <mergeCell ref="B5:D5"/>
    <mergeCell ref="C1:D1"/>
  </mergeCells>
  <conditionalFormatting sqref="C9:C28">
    <cfRule type="cellIs" dxfId="98" priority="6" operator="equal">
      <formula>$Q$13</formula>
    </cfRule>
    <cfRule type="cellIs" dxfId="97" priority="7" operator="equal">
      <formula>$Q$12</formula>
    </cfRule>
    <cfRule type="cellIs" dxfId="96" priority="8" operator="equal">
      <formula>$Q$11</formula>
    </cfRule>
    <cfRule type="cellIs" dxfId="95" priority="9" operator="equal">
      <formula>$Q$10</formula>
    </cfRule>
    <cfRule type="cellIs" dxfId="94" priority="10" operator="equal">
      <formula>$Q$9</formula>
    </cfRule>
  </conditionalFormatting>
  <conditionalFormatting sqref="D9:D28">
    <cfRule type="cellIs" dxfId="93" priority="1" operator="equal">
      <formula>$R$8</formula>
    </cfRule>
    <cfRule type="cellIs" dxfId="92" priority="2" operator="equal">
      <formula>$S$8</formula>
    </cfRule>
    <cfRule type="cellIs" dxfId="91" priority="3" operator="equal">
      <formula>$T$8</formula>
    </cfRule>
    <cfRule type="cellIs" dxfId="90" priority="4" operator="equal">
      <formula>$U$8</formula>
    </cfRule>
    <cfRule type="cellIs" dxfId="89" priority="5" operator="equal">
      <formula>$V$8</formula>
    </cfRule>
  </conditionalFormatting>
  <conditionalFormatting sqref="E9:E28">
    <cfRule type="cellIs" dxfId="88" priority="102" operator="equal">
      <formula>$R$16</formula>
    </cfRule>
    <cfRule type="cellIs" dxfId="87" priority="103" operator="equal">
      <formula>$R$17</formula>
    </cfRule>
    <cfRule type="cellIs" dxfId="86" priority="104" operator="equal">
      <formula>$R$18</formula>
    </cfRule>
    <cfRule type="cellIs" dxfId="85" priority="105" operator="equal">
      <formula>$R$19</formula>
    </cfRule>
  </conditionalFormatting>
  <dataValidations disablePrompts="1" count="3">
    <dataValidation type="list" allowBlank="1" showInputMessage="1" showErrorMessage="1" sqref="JB9:JH16">
      <formula1>#REF!</formula1>
    </dataValidation>
    <dataValidation allowBlank="1" showInputMessage="1" showErrorMessage="1" prompt="La probabilidad se encuentra determinada por una escala de 1 a 3, siendo 1 la menor probabilidad de ocurrencia del riesgo y 3 la mayor probabilidad de  ocurrencia." sqref="JA8"/>
    <dataValidation allowBlank="1" showInputMessage="1" showErrorMessage="1" prompt="Es la materialización del riesgo y las consecuencias de su aparición. Su escala es: 5 bajo impacto, 10 medio, 20 alto impacto._x000a_" sqref="JB8:JH8"/>
  </dataValidations>
  <printOptions horizontalCentered="1" verticalCentered="1"/>
  <pageMargins left="0.31496062992125984" right="0.27559055118110237" top="0.23622047244094491" bottom="0.15748031496062992" header="0" footer="0"/>
  <pageSetup paperSize="5" scale="65" orientation="landscape" r:id="rId1"/>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4"/>
  <dimension ref="A1:AA127"/>
  <sheetViews>
    <sheetView showGridLines="0" topLeftCell="C31" zoomScale="59" zoomScaleNormal="59" zoomScaleSheetLayoutView="186" workbookViewId="0">
      <selection activeCell="I34" sqref="I34"/>
    </sheetView>
  </sheetViews>
  <sheetFormatPr baseColWidth="10" defaultColWidth="11.44140625" defaultRowHeight="13.8"/>
  <cols>
    <col min="1" max="1" width="14.77734375" style="41" customWidth="1"/>
    <col min="2" max="2" width="38.44140625" style="41" customWidth="1"/>
    <col min="3" max="3" width="15.44140625" style="41" customWidth="1"/>
    <col min="4" max="4" width="11.44140625" style="41" customWidth="1"/>
    <col min="5" max="5" width="10.109375" style="41" customWidth="1"/>
    <col min="6" max="8" width="32" style="41" customWidth="1"/>
    <col min="9" max="9" width="41.44140625" style="41" customWidth="1"/>
    <col min="10" max="10" width="15.44140625" style="41" customWidth="1"/>
    <col min="11" max="11" width="12.109375" style="47" customWidth="1"/>
    <col min="12" max="12" width="14.109375" style="47" customWidth="1"/>
    <col min="13" max="13" width="19.44140625" style="41" bestFit="1" customWidth="1"/>
    <col min="14" max="14" width="12.109375" style="47" customWidth="1"/>
    <col min="15" max="15" width="18.77734375" style="47" customWidth="1"/>
    <col min="16" max="16" width="16.44140625" style="47" bestFit="1" customWidth="1"/>
    <col min="17" max="17" width="14.44140625" style="47" customWidth="1"/>
    <col min="18" max="18" width="13" style="47" customWidth="1"/>
    <col min="19" max="19" width="13.44140625" style="280" customWidth="1"/>
    <col min="20" max="20" width="19.44140625" style="280" customWidth="1"/>
    <col min="21" max="21" width="12.44140625" style="280" customWidth="1"/>
    <col min="22" max="22" width="16.44140625" style="140" customWidth="1"/>
    <col min="23" max="23" width="14.44140625" style="140" customWidth="1"/>
    <col min="24" max="24" width="11.44140625" style="41"/>
    <col min="25" max="25" width="21.44140625" style="3" customWidth="1"/>
    <col min="26" max="26" width="7.44140625" style="3" bestFit="1" customWidth="1"/>
    <col min="27" max="27" width="8.44140625" style="3" bestFit="1" customWidth="1"/>
    <col min="28" max="16384" width="11.44140625" style="41"/>
  </cols>
  <sheetData>
    <row r="1" spans="1:27" s="38" customFormat="1" ht="45" customHeight="1">
      <c r="A1" s="637"/>
      <c r="B1" s="679" t="str">
        <f>+'2 CONTEXTO E IDENTIFICACIÓN'!A1</f>
        <v>MAPA DE RIESGOS</v>
      </c>
      <c r="C1" s="649"/>
      <c r="D1" s="650"/>
      <c r="E1" s="277"/>
      <c r="F1" s="2"/>
      <c r="G1" s="204" t="str">
        <f>+'2 CONTEXTO E IDENTIFICACIÓN'!$J$4</f>
        <v>Elaboración o Actualización:</v>
      </c>
      <c r="H1" s="215">
        <f>'2 CONTEXTO E IDENTIFICACIÓN'!K4</f>
        <v>45991</v>
      </c>
      <c r="I1" s="11"/>
      <c r="J1" s="344"/>
      <c r="K1" s="344"/>
      <c r="L1" s="345"/>
      <c r="M1" s="346"/>
      <c r="N1" s="345"/>
      <c r="O1" s="345"/>
      <c r="P1" s="345"/>
      <c r="Q1" s="345"/>
      <c r="R1" s="345"/>
      <c r="S1" s="274"/>
      <c r="T1" s="40"/>
      <c r="U1" s="40"/>
      <c r="V1" s="140"/>
      <c r="W1" s="140"/>
      <c r="X1" s="36"/>
      <c r="Y1" s="3"/>
      <c r="Z1" s="3"/>
      <c r="AA1" s="3"/>
    </row>
    <row r="2" spans="1:27" s="38" customFormat="1" ht="45" customHeight="1">
      <c r="A2" s="637"/>
      <c r="B2" s="680"/>
      <c r="C2" s="37" t="str">
        <f>+'2 CONTEXTO E IDENTIFICACIÓN'!A2</f>
        <v>VERSIÓN:</v>
      </c>
      <c r="D2" s="37">
        <f>'2 CONTEXTO E IDENTIFICACIÓN'!B2</f>
        <v>1</v>
      </c>
      <c r="E2" s="277"/>
      <c r="F2" s="277"/>
      <c r="G2" s="207" t="str">
        <f>+'2 CONTEXTO E IDENTIFICACIÓN'!$E$5</f>
        <v xml:space="preserve">Vigencia: </v>
      </c>
      <c r="H2" s="205">
        <f>'2 CONTEXTO E IDENTIFICACIÓN'!H5</f>
        <v>46023</v>
      </c>
      <c r="I2" s="206" t="s">
        <v>99</v>
      </c>
      <c r="J2" s="347">
        <f>'2 CONTEXTO E IDENTIFICACIÓN'!K5</f>
        <v>46387</v>
      </c>
      <c r="K2" s="277"/>
      <c r="L2" s="348"/>
      <c r="M2" s="13"/>
      <c r="N2" s="348"/>
      <c r="O2" s="348"/>
      <c r="P2" s="348"/>
      <c r="Q2" s="348"/>
      <c r="R2" s="348"/>
      <c r="S2" s="274"/>
      <c r="T2" s="40"/>
      <c r="U2" s="277"/>
      <c r="V2" s="140"/>
      <c r="W2" s="273"/>
      <c r="X2" s="36"/>
      <c r="Y2" s="2"/>
      <c r="Z2" s="2"/>
      <c r="AA2" s="2"/>
    </row>
    <row r="3" spans="1:27" s="38" customFormat="1" ht="14.4" thickBot="1">
      <c r="A3" s="10" t="s">
        <v>95</v>
      </c>
      <c r="B3" s="666">
        <f>'2 CONTEXTO E IDENTIFICACIÓN'!B4</f>
        <v>0</v>
      </c>
      <c r="C3" s="666"/>
      <c r="D3" s="666"/>
      <c r="E3" s="318"/>
      <c r="F3" s="277"/>
      <c r="G3" s="318"/>
      <c r="H3" s="318"/>
      <c r="I3" s="318"/>
      <c r="J3" s="277"/>
      <c r="K3" s="349"/>
      <c r="L3" s="349"/>
      <c r="M3" s="277"/>
      <c r="N3" s="349"/>
      <c r="O3" s="349"/>
      <c r="P3" s="349"/>
      <c r="Q3" s="349"/>
      <c r="R3" s="349"/>
      <c r="S3" s="278"/>
      <c r="T3" s="278"/>
      <c r="U3" s="278"/>
      <c r="V3" s="140"/>
      <c r="W3" s="140"/>
      <c r="X3" s="36"/>
      <c r="Y3" s="2"/>
      <c r="Z3" s="2"/>
      <c r="AA3" s="2"/>
    </row>
    <row r="4" spans="1:27" s="44" customFormat="1" ht="16.5" customHeight="1">
      <c r="A4" s="10" t="s">
        <v>96</v>
      </c>
      <c r="B4" s="666">
        <f>'2 CONTEXTO E IDENTIFICACIÓN'!F4</f>
        <v>0</v>
      </c>
      <c r="C4" s="667"/>
      <c r="D4" s="667"/>
      <c r="E4" s="43" t="s">
        <v>314</v>
      </c>
      <c r="F4" s="42" t="s">
        <v>315</v>
      </c>
      <c r="G4" s="43"/>
      <c r="H4" s="43"/>
      <c r="I4" s="43"/>
      <c r="J4" s="319"/>
      <c r="K4" s="319"/>
      <c r="L4" s="319"/>
      <c r="M4" s="319"/>
      <c r="N4" s="319"/>
      <c r="O4" s="319"/>
      <c r="P4" s="319"/>
      <c r="Q4" s="319"/>
      <c r="R4" s="319"/>
      <c r="S4" s="676" t="s">
        <v>316</v>
      </c>
      <c r="T4" s="676" t="s">
        <v>317</v>
      </c>
      <c r="U4" s="676" t="s">
        <v>65</v>
      </c>
      <c r="V4" s="140"/>
      <c r="W4" s="140"/>
      <c r="X4" s="36"/>
      <c r="Y4" s="630" t="s">
        <v>318</v>
      </c>
      <c r="Z4" s="631"/>
      <c r="AA4" s="632"/>
    </row>
    <row r="5" spans="1:27" s="44" customFormat="1" ht="16.5" customHeight="1">
      <c r="A5" s="211"/>
      <c r="B5" s="210"/>
      <c r="C5" s="210"/>
      <c r="D5" s="140"/>
      <c r="E5" s="43"/>
      <c r="F5" s="43"/>
      <c r="G5" s="43"/>
      <c r="H5" s="43"/>
      <c r="I5" s="43"/>
      <c r="J5" s="691" t="s">
        <v>319</v>
      </c>
      <c r="K5" s="692"/>
      <c r="L5" s="692"/>
      <c r="M5" s="692"/>
      <c r="N5" s="692"/>
      <c r="O5" s="692"/>
      <c r="P5" s="692"/>
      <c r="Q5" s="692"/>
      <c r="R5" s="693"/>
      <c r="S5" s="677"/>
      <c r="T5" s="677"/>
      <c r="U5" s="677"/>
      <c r="V5" s="140"/>
      <c r="W5" s="140"/>
      <c r="X5" s="36"/>
      <c r="Y5" s="19" t="s">
        <v>273</v>
      </c>
      <c r="Z5" s="20" t="s">
        <v>320</v>
      </c>
      <c r="AA5" s="21" t="s">
        <v>321</v>
      </c>
    </row>
    <row r="6" spans="1:27" ht="29.25" customHeight="1">
      <c r="A6" s="668" t="s">
        <v>267</v>
      </c>
      <c r="B6" s="668" t="s">
        <v>268</v>
      </c>
      <c r="C6" s="668" t="s">
        <v>322</v>
      </c>
      <c r="D6" s="668" t="s">
        <v>323</v>
      </c>
      <c r="E6" s="681" t="s">
        <v>324</v>
      </c>
      <c r="F6" s="686" t="s">
        <v>47</v>
      </c>
      <c r="G6" s="687"/>
      <c r="H6" s="681"/>
      <c r="I6" s="174"/>
      <c r="J6" s="683" t="s">
        <v>135</v>
      </c>
      <c r="K6" s="684"/>
      <c r="L6" s="684"/>
      <c r="M6" s="684"/>
      <c r="N6" s="685"/>
      <c r="O6" s="688" t="s">
        <v>325</v>
      </c>
      <c r="P6" s="689"/>
      <c r="Q6" s="689"/>
      <c r="R6" s="690"/>
      <c r="S6" s="678"/>
      <c r="T6" s="678"/>
      <c r="U6" s="678"/>
      <c r="X6" s="36"/>
      <c r="Y6" s="286" t="s">
        <v>282</v>
      </c>
      <c r="Z6" s="26">
        <v>0.01</v>
      </c>
      <c r="AA6" s="25">
        <v>0.2</v>
      </c>
    </row>
    <row r="7" spans="1:27" s="36" customFormat="1" ht="55.8" thickBot="1">
      <c r="A7" s="669"/>
      <c r="B7" s="669"/>
      <c r="C7" s="669"/>
      <c r="D7" s="669"/>
      <c r="E7" s="682"/>
      <c r="F7" s="45" t="s">
        <v>721</v>
      </c>
      <c r="G7" s="139" t="s">
        <v>326</v>
      </c>
      <c r="H7" s="139" t="s">
        <v>722</v>
      </c>
      <c r="I7" s="139" t="s">
        <v>327</v>
      </c>
      <c r="J7" s="139" t="s">
        <v>49</v>
      </c>
      <c r="K7" s="46" t="s">
        <v>51</v>
      </c>
      <c r="L7" s="46" t="s">
        <v>53</v>
      </c>
      <c r="M7" s="139" t="s">
        <v>54</v>
      </c>
      <c r="N7" s="46" t="s">
        <v>56</v>
      </c>
      <c r="O7" s="46" t="s">
        <v>139</v>
      </c>
      <c r="P7" s="46" t="s">
        <v>140</v>
      </c>
      <c r="Q7" s="46" t="s">
        <v>328</v>
      </c>
      <c r="R7" s="46" t="s">
        <v>329</v>
      </c>
      <c r="S7" s="46" t="s">
        <v>60</v>
      </c>
      <c r="T7" s="46" t="s">
        <v>62</v>
      </c>
      <c r="U7" s="268" t="s">
        <v>64</v>
      </c>
      <c r="V7" s="46" t="s">
        <v>330</v>
      </c>
      <c r="W7" s="46" t="s">
        <v>331</v>
      </c>
      <c r="Y7" s="287" t="s">
        <v>286</v>
      </c>
      <c r="Z7" s="26">
        <v>0.21</v>
      </c>
      <c r="AA7" s="25">
        <v>0.4</v>
      </c>
    </row>
    <row r="8" spans="1:27" ht="130.94999999999999" customHeight="1" thickBot="1">
      <c r="A8" s="694" t="str">
        <f>'2 CONTEXTO E IDENTIFICACIÓN'!A9</f>
        <v>R1</v>
      </c>
      <c r="B8" s="704" t="str">
        <f>+'2 CONTEXTO E IDENTIFICACIÓN'!K9</f>
        <v>Posibilidad de perdida de Disponibilidad, confidencialidad e integridad de la información por fallas en el sistema  debido a deficiencias en la infraestructura tecnológica, ausencia o insuficiencia de mantenimiento preventivo y correctivo</v>
      </c>
      <c r="C8" s="670">
        <f>+'3 PROBABIL E IMPACTO INHERENTE'!E9</f>
        <v>0.8</v>
      </c>
      <c r="D8" s="673">
        <f>+'3 PROBABIL E IMPACTO INHERENTE'!M9</f>
        <v>0.4</v>
      </c>
      <c r="E8" s="360">
        <v>1</v>
      </c>
      <c r="F8" s="338" t="s">
        <v>763</v>
      </c>
      <c r="G8" s="339" t="s">
        <v>764</v>
      </c>
      <c r="H8" s="339" t="s">
        <v>765</v>
      </c>
      <c r="I8" s="370" t="str">
        <f t="shared" ref="I8:I71" si="0">+CONCATENATE(F8," ",G8," ",H8)</f>
        <v>La auxiliar administrativa cada que se requiera asistirá a las jornadas de capacitaciones que realice el encargado del SISNET  para las actualizaciones a que haya lugar y debido uso.</v>
      </c>
      <c r="J8" s="367" t="s">
        <v>149</v>
      </c>
      <c r="K8" s="322">
        <f>+IFERROR(VLOOKUP($J8,'11 FORMULAS'!$B$57:$C$59,2,0),"")</f>
        <v>0.25</v>
      </c>
      <c r="L8" s="322" t="str">
        <f>+IFERROR(VLOOKUP($J8,'11 FORMULAS'!$B$57:$D$59,3,0),"")</f>
        <v>Probabilidad</v>
      </c>
      <c r="M8" s="361" t="s">
        <v>161</v>
      </c>
      <c r="N8" s="322">
        <f>+IFERROR(VLOOKUP($M8,'11 FORMULAS'!$B$60:$C$61,2,0),"")</f>
        <v>0.15</v>
      </c>
      <c r="O8" s="362" t="s">
        <v>172</v>
      </c>
      <c r="P8" s="362" t="s">
        <v>254</v>
      </c>
      <c r="Q8" s="362" t="s">
        <v>153</v>
      </c>
      <c r="R8" s="362" t="s">
        <v>154</v>
      </c>
      <c r="S8" s="322">
        <f>+IFERROR($K8+$N8,"")</f>
        <v>0.4</v>
      </c>
      <c r="T8" s="322">
        <f>IF($L8='11 FORMULAS'!$D$57,$C$8-($C$8*$S$8),$C$8)</f>
        <v>0.48</v>
      </c>
      <c r="U8" s="322">
        <f>IF(L8='11 FORMULAS'!$D$59,$D8-($D8*$S8),$D8)</f>
        <v>0.4</v>
      </c>
      <c r="V8" s="712">
        <f>+IF(T13="","",T13)</f>
        <v>0.33599999999999997</v>
      </c>
      <c r="W8" s="715">
        <f>+IF(U13="","",U13)</f>
        <v>0.4</v>
      </c>
      <c r="X8" s="36"/>
      <c r="Y8" s="288" t="s">
        <v>290</v>
      </c>
      <c r="Z8" s="26">
        <v>0.41</v>
      </c>
      <c r="AA8" s="25">
        <v>0.6</v>
      </c>
    </row>
    <row r="9" spans="1:27" ht="130.94999999999999" customHeight="1" thickBot="1">
      <c r="A9" s="696"/>
      <c r="B9" s="705"/>
      <c r="C9" s="671"/>
      <c r="D9" s="674"/>
      <c r="E9" s="320">
        <v>2</v>
      </c>
      <c r="F9" s="340" t="s">
        <v>763</v>
      </c>
      <c r="G9" s="339" t="s">
        <v>766</v>
      </c>
      <c r="H9" s="341" t="s">
        <v>767</v>
      </c>
      <c r="I9" s="370" t="str">
        <f t="shared" si="0"/>
        <v>La auxiliar administrativa cada que se requiera solicitará apoyo cuando se genere una alerta por falla al area encargada del mantenimiento de la plataforma.</v>
      </c>
      <c r="J9" s="368" t="s">
        <v>160</v>
      </c>
      <c r="K9" s="279">
        <f>+IFERROR(VLOOKUP($J9,'11 FORMULAS'!$B$57:$C$59,2,0),"")</f>
        <v>0.15</v>
      </c>
      <c r="L9" s="279" t="str">
        <f>+IFERROR(VLOOKUP($J9,'11 FORMULAS'!$B$57:$D$59,3,0),"")</f>
        <v>Probabilidad</v>
      </c>
      <c r="M9" s="321" t="s">
        <v>161</v>
      </c>
      <c r="N9" s="322">
        <f>+IFERROR(VLOOKUP($M9,'11 FORMULAS'!$B$60:$C$61,2,0),"")</f>
        <v>0.15</v>
      </c>
      <c r="O9" s="323" t="s">
        <v>172</v>
      </c>
      <c r="P9" s="323" t="s">
        <v>254</v>
      </c>
      <c r="Q9" s="323" t="s">
        <v>153</v>
      </c>
      <c r="R9" s="323" t="s">
        <v>154</v>
      </c>
      <c r="S9" s="279">
        <f t="shared" ref="S9:S72" si="1">+IFERROR($K9+$N9,"")</f>
        <v>0.3</v>
      </c>
      <c r="T9" s="482">
        <f>IF(OR(J9="preventivo",J9="detectivo"),T8-(T8*S9),T8)</f>
        <v>0.33599999999999997</v>
      </c>
      <c r="U9" s="482">
        <f>IF(J9="correctivo",U8-(U8*S9),U8)</f>
        <v>0.4</v>
      </c>
      <c r="V9" s="713"/>
      <c r="W9" s="716"/>
      <c r="X9" s="36"/>
      <c r="Y9" s="30" t="s">
        <v>295</v>
      </c>
      <c r="Z9" s="26">
        <v>0.61</v>
      </c>
      <c r="AA9" s="25">
        <v>0.8</v>
      </c>
    </row>
    <row r="10" spans="1:27" ht="130.94999999999999" customHeight="1" thickBot="1">
      <c r="A10" s="696"/>
      <c r="B10" s="705"/>
      <c r="C10" s="671"/>
      <c r="D10" s="674"/>
      <c r="E10" s="320">
        <v>3</v>
      </c>
      <c r="F10" s="340"/>
      <c r="G10" s="339"/>
      <c r="H10" s="341"/>
      <c r="I10" s="370" t="str">
        <f t="shared" si="0"/>
        <v xml:space="preserve">  </v>
      </c>
      <c r="J10" s="368"/>
      <c r="K10" s="279" t="str">
        <f>+IFERROR(VLOOKUP($J10,'11 FORMULAS'!$B$57:$C$59,2,0),"")</f>
        <v/>
      </c>
      <c r="L10" s="279" t="str">
        <f>+IFERROR(VLOOKUP($J10,'11 FORMULAS'!$B$57:$D$59,3,0),"")</f>
        <v/>
      </c>
      <c r="M10" s="321"/>
      <c r="N10" s="322" t="str">
        <f>+IFERROR(VLOOKUP($M10,'11 FORMULAS'!$B$60:$C$61,2,0),"")</f>
        <v/>
      </c>
      <c r="O10" s="323"/>
      <c r="P10" s="323"/>
      <c r="Q10" s="323"/>
      <c r="R10" s="323"/>
      <c r="S10" s="279" t="str">
        <f t="shared" si="1"/>
        <v/>
      </c>
      <c r="T10" s="482">
        <f t="shared" ref="T10:T13" si="2">IF(OR(J10="preventivo",J10="detectivo"),T9-(T9*S10),T9)</f>
        <v>0.33599999999999997</v>
      </c>
      <c r="U10" s="482">
        <f t="shared" ref="U10:U13" si="3">IF(J10="correctivo",U9-(U9*S10),U9)</f>
        <v>0.4</v>
      </c>
      <c r="V10" s="713"/>
      <c r="W10" s="716"/>
      <c r="X10" s="36"/>
      <c r="Y10" s="289" t="s">
        <v>300</v>
      </c>
      <c r="Z10" s="26">
        <v>0.81</v>
      </c>
      <c r="AA10" s="25">
        <v>1</v>
      </c>
    </row>
    <row r="11" spans="1:27" ht="130.94999999999999" customHeight="1" thickBot="1">
      <c r="A11" s="696"/>
      <c r="B11" s="705"/>
      <c r="C11" s="671"/>
      <c r="D11" s="674"/>
      <c r="E11" s="320">
        <v>4</v>
      </c>
      <c r="F11" s="340"/>
      <c r="G11" s="339"/>
      <c r="H11" s="341"/>
      <c r="I11" s="370" t="str">
        <f t="shared" si="0"/>
        <v xml:space="preserve">  </v>
      </c>
      <c r="J11" s="368"/>
      <c r="K11" s="279" t="str">
        <f>+IFERROR(VLOOKUP($J11,'11 FORMULAS'!$B$57:$C$59,2,0),"")</f>
        <v/>
      </c>
      <c r="L11" s="279" t="str">
        <f>+IFERROR(VLOOKUP($J11,'11 FORMULAS'!$B$57:$D$59,3,0),"")</f>
        <v/>
      </c>
      <c r="M11" s="321"/>
      <c r="N11" s="322" t="str">
        <f>+IFERROR(VLOOKUP($M11,'11 FORMULAS'!$B$60:$C$61,2,0),"")</f>
        <v/>
      </c>
      <c r="O11" s="323"/>
      <c r="P11" s="323"/>
      <c r="Q11" s="323"/>
      <c r="R11" s="323"/>
      <c r="S11" s="279" t="str">
        <f t="shared" si="1"/>
        <v/>
      </c>
      <c r="T11" s="482">
        <f t="shared" si="2"/>
        <v>0.33599999999999997</v>
      </c>
      <c r="U11" s="482">
        <f t="shared" si="3"/>
        <v>0.4</v>
      </c>
      <c r="V11" s="713"/>
      <c r="W11" s="716"/>
      <c r="X11" s="36"/>
      <c r="Y11" s="275"/>
      <c r="Z11" s="275"/>
      <c r="AA11" s="275"/>
    </row>
    <row r="12" spans="1:27" ht="130.94999999999999" customHeight="1" thickBot="1">
      <c r="A12" s="696"/>
      <c r="B12" s="705"/>
      <c r="C12" s="671"/>
      <c r="D12" s="674"/>
      <c r="E12" s="320">
        <v>5</v>
      </c>
      <c r="F12" s="340"/>
      <c r="G12" s="339"/>
      <c r="H12" s="341"/>
      <c r="I12" s="370" t="str">
        <f t="shared" si="0"/>
        <v xml:space="preserve">  </v>
      </c>
      <c r="J12" s="368"/>
      <c r="K12" s="279" t="str">
        <f>+IFERROR(VLOOKUP($J12,'11 FORMULAS'!$B$57:$C$59,2,0),"")</f>
        <v/>
      </c>
      <c r="L12" s="279" t="str">
        <f>+IFERROR(VLOOKUP($J12,'11 FORMULAS'!$B$57:$D$59,3,0),"")</f>
        <v/>
      </c>
      <c r="M12" s="321"/>
      <c r="N12" s="322" t="str">
        <f>+IFERROR(VLOOKUP($M12,'11 FORMULAS'!$B$60:$C$61,2,0),"")</f>
        <v/>
      </c>
      <c r="O12" s="323"/>
      <c r="P12" s="323"/>
      <c r="Q12" s="323"/>
      <c r="R12" s="323"/>
      <c r="S12" s="279" t="str">
        <f t="shared" si="1"/>
        <v/>
      </c>
      <c r="T12" s="482">
        <f t="shared" si="2"/>
        <v>0.33599999999999997</v>
      </c>
      <c r="U12" s="482">
        <f t="shared" si="3"/>
        <v>0.4</v>
      </c>
      <c r="V12" s="713"/>
      <c r="W12" s="716"/>
      <c r="X12" s="36"/>
      <c r="Y12" s="275"/>
      <c r="Z12" s="275"/>
      <c r="AA12" s="275"/>
    </row>
    <row r="13" spans="1:27" ht="130.94999999999999" customHeight="1" thickBot="1">
      <c r="A13" s="697"/>
      <c r="B13" s="706"/>
      <c r="C13" s="672"/>
      <c r="D13" s="675"/>
      <c r="E13" s="324">
        <v>6</v>
      </c>
      <c r="F13" s="342"/>
      <c r="G13" s="339"/>
      <c r="H13" s="343"/>
      <c r="I13" s="370" t="str">
        <f t="shared" si="0"/>
        <v xml:space="preserve">  </v>
      </c>
      <c r="J13" s="369"/>
      <c r="K13" s="363" t="str">
        <f>+IFERROR(VLOOKUP($J13,'11 FORMULAS'!$B$57:$C$59,2,0),"")</f>
        <v/>
      </c>
      <c r="L13" s="363" t="str">
        <f>+IFERROR(VLOOKUP($J13,'11 FORMULAS'!$B$57:$D$59,3,0),"")</f>
        <v/>
      </c>
      <c r="M13" s="364"/>
      <c r="N13" s="365" t="str">
        <f>+IFERROR(VLOOKUP($M13,'11 FORMULAS'!$B$60:$C$61,2,0),"")</f>
        <v/>
      </c>
      <c r="O13" s="366"/>
      <c r="P13" s="366"/>
      <c r="Q13" s="366"/>
      <c r="R13" s="366"/>
      <c r="S13" s="279" t="str">
        <f t="shared" si="1"/>
        <v/>
      </c>
      <c r="T13" s="482">
        <f t="shared" si="2"/>
        <v>0.33599999999999997</v>
      </c>
      <c r="U13" s="482">
        <f t="shared" si="3"/>
        <v>0.4</v>
      </c>
      <c r="V13" s="714"/>
      <c r="W13" s="717"/>
      <c r="X13" s="36"/>
      <c r="Y13" s="275"/>
      <c r="Z13" s="275"/>
      <c r="AA13" s="275"/>
    </row>
    <row r="14" spans="1:27" ht="130.94999999999999" customHeight="1" thickBot="1">
      <c r="A14" s="695" t="str">
        <f>'2 CONTEXTO E IDENTIFICACIÓN'!A10</f>
        <v>R2</v>
      </c>
      <c r="B14" s="699" t="str">
        <f>+'2 CONTEXTO E IDENTIFICACIÓN'!K10</f>
        <v>Posibilidad de perdida de Disponibilidad, confidencialidad e integridad de la información por accesos no autorizados, hackeos o fallas en el servicio  debido a controles de seguridad y autenticación de usuarios, falta de actualización o  monitoreo de la plataforma</v>
      </c>
      <c r="C14" s="709">
        <f>+'3 PROBABIL E IMPACTO INHERENTE'!E10</f>
        <v>0.8</v>
      </c>
      <c r="D14" s="703">
        <f>+'3 PROBABIL E IMPACTO INHERENTE'!M10</f>
        <v>0.8</v>
      </c>
      <c r="E14" s="325">
        <v>1</v>
      </c>
      <c r="F14" s="338" t="s">
        <v>768</v>
      </c>
      <c r="G14" s="339" t="s">
        <v>776</v>
      </c>
      <c r="H14" s="339" t="s">
        <v>782</v>
      </c>
      <c r="I14" s="370" t="str">
        <f t="shared" si="0"/>
        <v>El Secretario de Despacho, semestralmente realizara sensibilización sobre el debido uso con los usuarios del correo electronico en la entidad  si se materializa el riesgo del o se generaran alertas  y llamados de atención.</v>
      </c>
      <c r="J14" s="356" t="s">
        <v>149</v>
      </c>
      <c r="K14" s="357">
        <f>+IFERROR(VLOOKUP($J14,'11 FORMULAS'!$B$57:$C$59,2,0),"")</f>
        <v>0.25</v>
      </c>
      <c r="L14" s="357" t="str">
        <f>+IFERROR(VLOOKUP($J14,'11 FORMULAS'!$B$57:$D$59,3,0),"")</f>
        <v>Probabilidad</v>
      </c>
      <c r="M14" s="358" t="s">
        <v>161</v>
      </c>
      <c r="N14" s="357">
        <f>+IFERROR(VLOOKUP($M14,'11 FORMULAS'!$B$60:$C$61,2,0),"")</f>
        <v>0.15</v>
      </c>
      <c r="O14" s="359" t="s">
        <v>151</v>
      </c>
      <c r="P14" s="359" t="s">
        <v>249</v>
      </c>
      <c r="Q14" s="359" t="s">
        <v>153</v>
      </c>
      <c r="R14" s="359" t="s">
        <v>154</v>
      </c>
      <c r="S14" s="357">
        <f t="shared" si="1"/>
        <v>0.4</v>
      </c>
      <c r="T14" s="322">
        <f>IF(OR(J14="Preventivo",J14="Detectivo"),C14-(C14*S14),C14)</f>
        <v>0.48</v>
      </c>
      <c r="U14" s="322">
        <f>IF(J14="CORRECTIVO",D14-(D14*S14),D14)</f>
        <v>0.8</v>
      </c>
      <c r="V14" s="712">
        <f>+IF(T19="","",T19)</f>
        <v>0.28799999999999998</v>
      </c>
      <c r="W14" s="715">
        <f>+IF(U19="","",U19)</f>
        <v>0.8</v>
      </c>
      <c r="X14" s="36"/>
      <c r="Y14" s="275"/>
      <c r="Z14" s="276"/>
      <c r="AA14" s="276"/>
    </row>
    <row r="15" spans="1:27" ht="130.94999999999999" customHeight="1" thickBot="1">
      <c r="A15" s="696"/>
      <c r="B15" s="700"/>
      <c r="C15" s="709"/>
      <c r="D15" s="674"/>
      <c r="E15" s="320">
        <v>2</v>
      </c>
      <c r="F15" s="340" t="s">
        <v>775</v>
      </c>
      <c r="G15" s="339" t="s">
        <v>783</v>
      </c>
      <c r="H15" s="341" t="s">
        <v>777</v>
      </c>
      <c r="I15" s="370" t="str">
        <f t="shared" si="0"/>
        <v>El Secretario de Despacho, trimestralemente verificará que únicamente los usuarios autorizados tengan acceso al correo eléctronico, en caso de retiro de personal se eliminará su dispositivo.</v>
      </c>
      <c r="J15" s="341" t="s">
        <v>160</v>
      </c>
      <c r="K15" s="279">
        <f>+IFERROR(VLOOKUP($J15,'11 FORMULAS'!$B$57:$C$59,2,0),"")</f>
        <v>0.15</v>
      </c>
      <c r="L15" s="279" t="str">
        <f>+IFERROR(VLOOKUP($J15,'11 FORMULAS'!$B$57:$D$59,3,0),"")</f>
        <v>Probabilidad</v>
      </c>
      <c r="M15" s="321" t="s">
        <v>150</v>
      </c>
      <c r="N15" s="322">
        <f>+IFERROR(VLOOKUP($M15,'11 FORMULAS'!$B$60:$C$61,2,0),"")</f>
        <v>0.25</v>
      </c>
      <c r="O15" s="323" t="s">
        <v>172</v>
      </c>
      <c r="P15" s="323" t="s">
        <v>249</v>
      </c>
      <c r="Q15" s="323" t="s">
        <v>164</v>
      </c>
      <c r="R15" s="323" t="s">
        <v>154</v>
      </c>
      <c r="S15" s="279">
        <f t="shared" si="1"/>
        <v>0.4</v>
      </c>
      <c r="T15" s="482">
        <f>IF(OR(J15="preventivo",J15="detectivo"),T14-(T14*S15),T14)</f>
        <v>0.28799999999999998</v>
      </c>
      <c r="U15" s="482">
        <f>IF(J15="correctivo",U14-(U14*S9),U14)</f>
        <v>0.8</v>
      </c>
      <c r="V15" s="713"/>
      <c r="W15" s="716"/>
      <c r="X15" s="36"/>
      <c r="Y15" s="275"/>
      <c r="Z15" s="276"/>
      <c r="AA15" s="276"/>
    </row>
    <row r="16" spans="1:27" ht="130.94999999999999" customHeight="1" thickBot="1">
      <c r="A16" s="696"/>
      <c r="B16" s="700"/>
      <c r="C16" s="709"/>
      <c r="D16" s="674"/>
      <c r="E16" s="320">
        <v>3</v>
      </c>
      <c r="F16" s="340"/>
      <c r="G16" s="339"/>
      <c r="H16" s="341"/>
      <c r="I16" s="370" t="str">
        <f t="shared" si="0"/>
        <v xml:space="preserve">  </v>
      </c>
      <c r="J16" s="341"/>
      <c r="K16" s="279" t="str">
        <f>+IFERROR(VLOOKUP($J16,'11 FORMULAS'!$B$57:$C$59,2,0),"")</f>
        <v/>
      </c>
      <c r="L16" s="279" t="str">
        <f>+IFERROR(VLOOKUP($J16,'11 FORMULAS'!$B$57:$D$59,3,0),"")</f>
        <v/>
      </c>
      <c r="M16" s="321"/>
      <c r="N16" s="322" t="str">
        <f>+IFERROR(VLOOKUP($M16,'11 FORMULAS'!$B$60:$C$61,2,0),"")</f>
        <v/>
      </c>
      <c r="O16" s="323"/>
      <c r="P16" s="323"/>
      <c r="Q16" s="323"/>
      <c r="R16" s="323"/>
      <c r="S16" s="279" t="str">
        <f t="shared" si="1"/>
        <v/>
      </c>
      <c r="T16" s="482">
        <f t="shared" ref="T16:T19" si="4">IF(OR(J16="preventivo",J16="detectivo"),T15-(T15*S16),T15)</f>
        <v>0.28799999999999998</v>
      </c>
      <c r="U16" s="482">
        <f t="shared" ref="U16:U19" si="5">IF(J16="correctivo",U15-(U15*S10),U15)</f>
        <v>0.8</v>
      </c>
      <c r="V16" s="713"/>
      <c r="W16" s="716"/>
      <c r="X16" s="36"/>
      <c r="Y16" s="275"/>
      <c r="Z16" s="276"/>
      <c r="AA16" s="276"/>
    </row>
    <row r="17" spans="1:27" ht="130.94999999999999" customHeight="1" thickBot="1">
      <c r="A17" s="707"/>
      <c r="B17" s="708"/>
      <c r="C17" s="709"/>
      <c r="D17" s="711"/>
      <c r="E17" s="320">
        <v>4</v>
      </c>
      <c r="F17" s="306"/>
      <c r="G17" s="339"/>
      <c r="H17" s="339"/>
      <c r="I17" s="370" t="str">
        <f t="shared" si="0"/>
        <v xml:space="preserve">  </v>
      </c>
      <c r="J17" s="341"/>
      <c r="K17" s="279" t="str">
        <f>+IFERROR(VLOOKUP($J17,'11 FORMULAS'!$B$57:$C$59,2,0),"")</f>
        <v/>
      </c>
      <c r="L17" s="279" t="str">
        <f>+IFERROR(VLOOKUP($J17,'11 FORMULAS'!$B$57:$D$59,3,0),"")</f>
        <v/>
      </c>
      <c r="M17" s="321"/>
      <c r="N17" s="322" t="str">
        <f>+IFERROR(VLOOKUP($M17,'11 FORMULAS'!$B$60:$C$61,2,0),"")</f>
        <v/>
      </c>
      <c r="O17" s="323"/>
      <c r="P17" s="323"/>
      <c r="Q17" s="323"/>
      <c r="R17" s="323"/>
      <c r="S17" s="279" t="str">
        <f t="shared" si="1"/>
        <v/>
      </c>
      <c r="T17" s="482">
        <f t="shared" si="4"/>
        <v>0.28799999999999998</v>
      </c>
      <c r="U17" s="482">
        <f t="shared" si="5"/>
        <v>0.8</v>
      </c>
      <c r="V17" s="713"/>
      <c r="W17" s="716"/>
      <c r="X17" s="36"/>
      <c r="Y17" s="275"/>
      <c r="Z17" s="276"/>
      <c r="AA17" s="276"/>
    </row>
    <row r="18" spans="1:27" ht="130.94999999999999" customHeight="1" thickBot="1">
      <c r="A18" s="707"/>
      <c r="B18" s="708"/>
      <c r="C18" s="709"/>
      <c r="D18" s="711"/>
      <c r="E18" s="320">
        <v>5</v>
      </c>
      <c r="F18" s="306"/>
      <c r="G18" s="339"/>
      <c r="H18" s="341"/>
      <c r="I18" s="370" t="str">
        <f t="shared" si="0"/>
        <v xml:space="preserve">  </v>
      </c>
      <c r="J18" s="341"/>
      <c r="K18" s="279" t="str">
        <f>+IFERROR(VLOOKUP($J18,'11 FORMULAS'!$B$57:$C$59,2,0),"")</f>
        <v/>
      </c>
      <c r="L18" s="279" t="str">
        <f>+IFERROR(VLOOKUP($J18,'11 FORMULAS'!$B$57:$D$59,3,0),"")</f>
        <v/>
      </c>
      <c r="M18" s="321"/>
      <c r="N18" s="322" t="str">
        <f>+IFERROR(VLOOKUP($M18,'11 FORMULAS'!$B$60:$C$61,2,0),"")</f>
        <v/>
      </c>
      <c r="O18" s="323"/>
      <c r="P18" s="323"/>
      <c r="Q18" s="323"/>
      <c r="R18" s="323"/>
      <c r="S18" s="279" t="str">
        <f t="shared" si="1"/>
        <v/>
      </c>
      <c r="T18" s="482">
        <f t="shared" si="4"/>
        <v>0.28799999999999998</v>
      </c>
      <c r="U18" s="482">
        <f t="shared" si="5"/>
        <v>0.8</v>
      </c>
      <c r="V18" s="713"/>
      <c r="W18" s="716"/>
      <c r="X18" s="36"/>
      <c r="Y18" s="275"/>
      <c r="Z18" s="276"/>
      <c r="AA18" s="276"/>
    </row>
    <row r="19" spans="1:27" ht="130.94999999999999" customHeight="1" thickBot="1">
      <c r="A19" s="697"/>
      <c r="B19" s="701"/>
      <c r="C19" s="710"/>
      <c r="D19" s="675"/>
      <c r="E19" s="324">
        <v>6</v>
      </c>
      <c r="F19" s="307"/>
      <c r="G19" s="339"/>
      <c r="H19" s="341"/>
      <c r="I19" s="370" t="str">
        <f t="shared" si="0"/>
        <v xml:space="preserve">  </v>
      </c>
      <c r="J19" s="341"/>
      <c r="K19" s="279" t="str">
        <f>+IFERROR(VLOOKUP($J19,'11 FORMULAS'!$B$57:$C$59,2,0),"")</f>
        <v/>
      </c>
      <c r="L19" s="279" t="str">
        <f>+IFERROR(VLOOKUP($J19,'11 FORMULAS'!$B$57:$D$59,3,0),"")</f>
        <v/>
      </c>
      <c r="M19" s="321"/>
      <c r="N19" s="322" t="str">
        <f>+IFERROR(VLOOKUP($M19,'11 FORMULAS'!$B$60:$C$61,2,0),"")</f>
        <v/>
      </c>
      <c r="O19" s="323"/>
      <c r="P19" s="323"/>
      <c r="Q19" s="323"/>
      <c r="R19" s="323"/>
      <c r="S19" s="279" t="str">
        <f t="shared" si="1"/>
        <v/>
      </c>
      <c r="T19" s="482">
        <f t="shared" si="4"/>
        <v>0.28799999999999998</v>
      </c>
      <c r="U19" s="482">
        <f t="shared" si="5"/>
        <v>0.8</v>
      </c>
      <c r="V19" s="714"/>
      <c r="W19" s="717"/>
      <c r="X19" s="36"/>
    </row>
    <row r="20" spans="1:27" ht="130.94999999999999" customHeight="1" thickBot="1">
      <c r="A20" s="694" t="str">
        <f>'2 CONTEXTO E IDENTIFICACIÓN'!A11</f>
        <v>R3</v>
      </c>
      <c r="B20" s="698" t="str">
        <f>+'2 CONTEXTO E IDENTIFICACIÓN'!K11</f>
        <v>Posibilidad de perdida de Disponibilidad, confidencialidad e integridad de la información por eliminación accidental de archivos,  fallas en el sistema o accesos no autorizados     a causa de deficiencias en copias de seguridad, controles de accesos o ausencia de politicas de preservación digital</v>
      </c>
      <c r="C20" s="670">
        <f>+'3 PROBABIL E IMPACTO INHERENTE'!E11</f>
        <v>0.8</v>
      </c>
      <c r="D20" s="673">
        <f>+'3 PROBABIL E IMPACTO INHERENTE'!M11</f>
        <v>0.8</v>
      </c>
      <c r="E20" s="325">
        <v>1</v>
      </c>
      <c r="F20" s="305" t="s">
        <v>771</v>
      </c>
      <c r="G20" s="339" t="s">
        <v>772</v>
      </c>
      <c r="H20" s="48" t="s">
        <v>773</v>
      </c>
      <c r="I20" s="370" t="str">
        <f t="shared" si="0"/>
        <v>El Secretario de Despacho trimestralmente  realizará verificación de accesos al drive  donde reposa el archivo digital de la secretaria de turismo.</v>
      </c>
      <c r="J20" s="341" t="s">
        <v>149</v>
      </c>
      <c r="K20" s="279">
        <f>+IFERROR(VLOOKUP($J20,'11 FORMULAS'!$B$57:$C$59,2,0),"")</f>
        <v>0.25</v>
      </c>
      <c r="L20" s="279" t="str">
        <f>+IFERROR(VLOOKUP($J20,'11 FORMULAS'!$B$57:$D$59,3,0),"")</f>
        <v>Probabilidad</v>
      </c>
      <c r="M20" s="321" t="s">
        <v>150</v>
      </c>
      <c r="N20" s="322">
        <f>+IFERROR(VLOOKUP($M20,'11 FORMULAS'!$B$60:$C$61,2,0),"")</f>
        <v>0.25</v>
      </c>
      <c r="O20" s="323" t="s">
        <v>172</v>
      </c>
      <c r="P20" s="323" t="s">
        <v>253</v>
      </c>
      <c r="Q20" s="323" t="s">
        <v>153</v>
      </c>
      <c r="R20" s="323" t="s">
        <v>154</v>
      </c>
      <c r="S20" s="279">
        <f t="shared" si="1"/>
        <v>0.5</v>
      </c>
      <c r="T20" s="322">
        <f>IF(OR(J20="Preventivo",J20="Detectivo"),C20-(C20*S20),C20)</f>
        <v>0.4</v>
      </c>
      <c r="U20" s="322">
        <f>IF(J20="CORRECTIVO",D20-(D20*S20),D20)</f>
        <v>0.8</v>
      </c>
      <c r="V20" s="712">
        <f>+IF(T25="","",T25)</f>
        <v>0.4</v>
      </c>
      <c r="W20" s="715">
        <f>+IF(U25="","",U25)</f>
        <v>0.52</v>
      </c>
      <c r="X20" s="36"/>
      <c r="Y20" s="275"/>
      <c r="Z20" s="276"/>
      <c r="AA20" s="276"/>
    </row>
    <row r="21" spans="1:27" ht="130.94999999999999" customHeight="1" thickBot="1">
      <c r="A21" s="696"/>
      <c r="B21" s="700"/>
      <c r="C21" s="671"/>
      <c r="D21" s="674"/>
      <c r="E21" s="320">
        <v>2</v>
      </c>
      <c r="F21" s="304" t="s">
        <v>768</v>
      </c>
      <c r="G21" s="339" t="s">
        <v>778</v>
      </c>
      <c r="H21" s="194" t="s">
        <v>779</v>
      </c>
      <c r="I21" s="370" t="str">
        <f t="shared" si="0"/>
        <v>El Secretario de Despacho, semestralmente solicitará restauración de archivos desde las copias de seguridad  si se llega a perder o borrar información del archivo digital.</v>
      </c>
      <c r="J21" s="341" t="s">
        <v>171</v>
      </c>
      <c r="K21" s="279">
        <f>+IFERROR(VLOOKUP($J21,'11 FORMULAS'!$B$57:$C$59,2,0),"")</f>
        <v>0.1</v>
      </c>
      <c r="L21" s="279" t="str">
        <f>+IFERROR(VLOOKUP($J21,'11 FORMULAS'!$B$57:$D$59,3,0),"")</f>
        <v>Impacto</v>
      </c>
      <c r="M21" s="321" t="s">
        <v>150</v>
      </c>
      <c r="N21" s="322">
        <f>+IFERROR(VLOOKUP($M21,'11 FORMULAS'!$B$60:$C$61,2,0),"")</f>
        <v>0.25</v>
      </c>
      <c r="O21" s="323" t="s">
        <v>151</v>
      </c>
      <c r="P21" s="323" t="s">
        <v>254</v>
      </c>
      <c r="Q21" s="323" t="s">
        <v>153</v>
      </c>
      <c r="R21" s="323" t="s">
        <v>154</v>
      </c>
      <c r="S21" s="279">
        <f t="shared" si="1"/>
        <v>0.35</v>
      </c>
      <c r="T21" s="482">
        <f>IF(OR(J21="preventivo",J21="detectivo"),T20-(T20*S21),T20)</f>
        <v>0.4</v>
      </c>
      <c r="U21" s="482">
        <f>IF(J21="correctivo",U20-(U20*S21),U20)</f>
        <v>0.52</v>
      </c>
      <c r="V21" s="713"/>
      <c r="W21" s="716"/>
      <c r="X21" s="36"/>
      <c r="Y21" s="275"/>
      <c r="Z21" s="276"/>
      <c r="AA21" s="276"/>
    </row>
    <row r="22" spans="1:27" ht="130.94999999999999" customHeight="1" thickBot="1">
      <c r="A22" s="696"/>
      <c r="B22" s="700"/>
      <c r="C22" s="671"/>
      <c r="D22" s="674"/>
      <c r="E22" s="320">
        <v>3</v>
      </c>
      <c r="F22" s="304"/>
      <c r="G22" s="339"/>
      <c r="H22" s="194"/>
      <c r="I22" s="370" t="str">
        <f t="shared" si="0"/>
        <v xml:space="preserve">  </v>
      </c>
      <c r="J22" s="341"/>
      <c r="K22" s="279" t="str">
        <f>+IFERROR(VLOOKUP($J22,'11 FORMULAS'!$B$57:$C$59,2,0),"")</f>
        <v/>
      </c>
      <c r="L22" s="279" t="str">
        <f>+IFERROR(VLOOKUP($J22,'11 FORMULAS'!$B$57:$D$59,3,0),"")</f>
        <v/>
      </c>
      <c r="M22" s="321"/>
      <c r="N22" s="322" t="str">
        <f>+IFERROR(VLOOKUP($M22,'11 FORMULAS'!$B$60:$C$61,2,0),"")</f>
        <v/>
      </c>
      <c r="O22" s="323"/>
      <c r="P22" s="323"/>
      <c r="Q22" s="323"/>
      <c r="R22" s="323"/>
      <c r="S22" s="279" t="str">
        <f t="shared" si="1"/>
        <v/>
      </c>
      <c r="T22" s="482">
        <f t="shared" ref="T22:T25" si="6">IF(OR(J22="preventivo",J22="detectivo"),T21-(T21*S22),T21)</f>
        <v>0.4</v>
      </c>
      <c r="U22" s="482">
        <f t="shared" ref="U22:U25" si="7">IF(J22="correctivo",U21-(U21*S22),U21)</f>
        <v>0.52</v>
      </c>
      <c r="V22" s="713"/>
      <c r="W22" s="716"/>
      <c r="X22" s="36"/>
      <c r="Y22" s="275"/>
      <c r="Z22" s="276"/>
      <c r="AA22" s="276"/>
    </row>
    <row r="23" spans="1:27" ht="130.94999999999999" customHeight="1" thickBot="1">
      <c r="A23" s="696"/>
      <c r="B23" s="700"/>
      <c r="C23" s="671"/>
      <c r="D23" s="674"/>
      <c r="E23" s="320">
        <v>4</v>
      </c>
      <c r="F23" s="304"/>
      <c r="G23" s="339"/>
      <c r="H23" s="194"/>
      <c r="I23" s="370" t="str">
        <f t="shared" si="0"/>
        <v xml:space="preserve">  </v>
      </c>
      <c r="J23" s="341"/>
      <c r="K23" s="279" t="str">
        <f>+IFERROR(VLOOKUP($J23,'11 FORMULAS'!$B$57:$C$59,2,0),"")</f>
        <v/>
      </c>
      <c r="L23" s="279" t="str">
        <f>+IFERROR(VLOOKUP($J23,'11 FORMULAS'!$B$57:$D$59,3,0),"")</f>
        <v/>
      </c>
      <c r="M23" s="321"/>
      <c r="N23" s="322" t="str">
        <f>+IFERROR(VLOOKUP($M23,'11 FORMULAS'!$B$60:$C$61,2,0),"")</f>
        <v/>
      </c>
      <c r="O23" s="323"/>
      <c r="P23" s="323"/>
      <c r="Q23" s="323"/>
      <c r="R23" s="323"/>
      <c r="S23" s="279" t="str">
        <f t="shared" si="1"/>
        <v/>
      </c>
      <c r="T23" s="482">
        <f t="shared" si="6"/>
        <v>0.4</v>
      </c>
      <c r="U23" s="482">
        <f t="shared" si="7"/>
        <v>0.52</v>
      </c>
      <c r="V23" s="713"/>
      <c r="W23" s="716"/>
      <c r="X23" s="36"/>
      <c r="Y23" s="275"/>
      <c r="Z23" s="276"/>
      <c r="AA23" s="276"/>
    </row>
    <row r="24" spans="1:27" ht="130.94999999999999" customHeight="1" thickBot="1">
      <c r="A24" s="696"/>
      <c r="B24" s="700"/>
      <c r="C24" s="671"/>
      <c r="D24" s="674"/>
      <c r="E24" s="320">
        <v>5</v>
      </c>
      <c r="F24" s="304"/>
      <c r="G24" s="339"/>
      <c r="H24" s="194"/>
      <c r="I24" s="370" t="str">
        <f t="shared" si="0"/>
        <v xml:space="preserve">  </v>
      </c>
      <c r="J24" s="341"/>
      <c r="K24" s="279" t="str">
        <f>+IFERROR(VLOOKUP($J24,'11 FORMULAS'!$B$57:$C$59,2,0),"")</f>
        <v/>
      </c>
      <c r="L24" s="279" t="str">
        <f>+IFERROR(VLOOKUP($J24,'11 FORMULAS'!$B$57:$D$59,3,0),"")</f>
        <v/>
      </c>
      <c r="M24" s="321"/>
      <c r="N24" s="322" t="str">
        <f>+IFERROR(VLOOKUP($M24,'11 FORMULAS'!$B$60:$C$61,2,0),"")</f>
        <v/>
      </c>
      <c r="O24" s="323"/>
      <c r="P24" s="323"/>
      <c r="Q24" s="323"/>
      <c r="R24" s="323"/>
      <c r="S24" s="279" t="str">
        <f t="shared" si="1"/>
        <v/>
      </c>
      <c r="T24" s="482">
        <f t="shared" si="6"/>
        <v>0.4</v>
      </c>
      <c r="U24" s="482">
        <f t="shared" si="7"/>
        <v>0.52</v>
      </c>
      <c r="V24" s="713"/>
      <c r="W24" s="716"/>
      <c r="X24" s="36"/>
      <c r="Y24" s="275"/>
      <c r="Z24" s="276"/>
      <c r="AA24" s="276"/>
    </row>
    <row r="25" spans="1:27" ht="130.94999999999999" customHeight="1" thickBot="1">
      <c r="A25" s="697"/>
      <c r="B25" s="701"/>
      <c r="C25" s="672"/>
      <c r="D25" s="675"/>
      <c r="E25" s="324">
        <v>6</v>
      </c>
      <c r="F25" s="307"/>
      <c r="G25" s="339"/>
      <c r="H25" s="195"/>
      <c r="I25" s="370" t="str">
        <f t="shared" si="0"/>
        <v xml:space="preserve">  </v>
      </c>
      <c r="J25" s="341"/>
      <c r="K25" s="279" t="str">
        <f>+IFERROR(VLOOKUP($J25,'11 FORMULAS'!$B$57:$C$59,2,0),"")</f>
        <v/>
      </c>
      <c r="L25" s="279" t="str">
        <f>+IFERROR(VLOOKUP($J25,'11 FORMULAS'!$B$57:$D$59,3,0),"")</f>
        <v/>
      </c>
      <c r="M25" s="321"/>
      <c r="N25" s="322" t="str">
        <f>+IFERROR(VLOOKUP($M25,'11 FORMULAS'!$B$60:$C$61,2,0),"")</f>
        <v/>
      </c>
      <c r="O25" s="323"/>
      <c r="P25" s="323"/>
      <c r="Q25" s="323"/>
      <c r="R25" s="323"/>
      <c r="S25" s="279" t="str">
        <f t="shared" si="1"/>
        <v/>
      </c>
      <c r="T25" s="482">
        <f t="shared" si="6"/>
        <v>0.4</v>
      </c>
      <c r="U25" s="482">
        <f t="shared" si="7"/>
        <v>0.52</v>
      </c>
      <c r="V25" s="714"/>
      <c r="W25" s="717"/>
      <c r="X25" s="36"/>
    </row>
    <row r="26" spans="1:27" ht="130.94999999999999" customHeight="1" thickBot="1">
      <c r="A26" s="694" t="str">
        <f>'2 CONTEXTO E IDENTIFICACIÓN'!A12</f>
        <v>R4</v>
      </c>
      <c r="B26" s="698" t="str">
        <f>+'2 CONTEXTO E IDENTIFICACIÓN'!K12</f>
        <v>Posibilidad de perdida de Disponibilidad, confidencialidad e integridad de la información por fallas tecnológicas y manipulación indebida de la información o interrupciones del servicio  debido a falta de actualización tecnólogica, vulnerabilidades en la administración de la plataforma o controles de seguridad avanzados</v>
      </c>
      <c r="C26" s="670">
        <f>+'3 PROBABIL E IMPACTO INHERENTE'!E12</f>
        <v>0.8</v>
      </c>
      <c r="D26" s="673">
        <f>+'3 PROBABIL E IMPACTO INHERENTE'!M12</f>
        <v>0.4</v>
      </c>
      <c r="E26" s="325">
        <v>1</v>
      </c>
      <c r="F26" s="338" t="s">
        <v>763</v>
      </c>
      <c r="G26" s="339" t="s">
        <v>774</v>
      </c>
      <c r="H26" s="339" t="s">
        <v>765</v>
      </c>
      <c r="I26" s="370" t="str">
        <f t="shared" si="0"/>
        <v>La auxiliar administrativa cada que se requiera asistirá a las jornadas de capacitaciones que realice el encargado de la plataforma para las actualizaciones a que haya lugar y debido uso.</v>
      </c>
      <c r="J26" s="341" t="s">
        <v>149</v>
      </c>
      <c r="K26" s="279">
        <f>+IFERROR(VLOOKUP($J26,'11 FORMULAS'!$B$57:$C$59,2,0),"")</f>
        <v>0.25</v>
      </c>
      <c r="L26" s="279" t="str">
        <f>+IFERROR(VLOOKUP($J26,'11 FORMULAS'!$B$57:$D$59,3,0),"")</f>
        <v>Probabilidad</v>
      </c>
      <c r="M26" s="321" t="s">
        <v>161</v>
      </c>
      <c r="N26" s="322">
        <f>+IFERROR(VLOOKUP($M26,'11 FORMULAS'!$B$60:$C$61,2,0),"")</f>
        <v>0.15</v>
      </c>
      <c r="O26" s="323" t="s">
        <v>172</v>
      </c>
      <c r="P26" s="323" t="s">
        <v>254</v>
      </c>
      <c r="Q26" s="323" t="s">
        <v>153</v>
      </c>
      <c r="R26" s="323" t="s">
        <v>259</v>
      </c>
      <c r="S26" s="279">
        <f t="shared" si="1"/>
        <v>0.4</v>
      </c>
      <c r="T26" s="322">
        <f>IF(OR(J26="Preventivo",J26="Detectivo"),C26-(C26*S26),C26)</f>
        <v>0.48</v>
      </c>
      <c r="U26" s="322">
        <f>IF(J26="CORRECTIVO",D26-(D26*S26),D26)</f>
        <v>0.4</v>
      </c>
      <c r="V26" s="712">
        <f>+IF(T31="","",T31)</f>
        <v>0.33599999999999997</v>
      </c>
      <c r="W26" s="715">
        <f>+IF(U31="","",U31)</f>
        <v>0.4</v>
      </c>
      <c r="X26" s="36"/>
      <c r="Y26" s="275"/>
      <c r="Z26" s="276"/>
      <c r="AA26" s="276"/>
    </row>
    <row r="27" spans="1:27" ht="130.94999999999999" customHeight="1" thickBot="1">
      <c r="A27" s="696"/>
      <c r="B27" s="700"/>
      <c r="C27" s="671"/>
      <c r="D27" s="674"/>
      <c r="E27" s="320">
        <v>2</v>
      </c>
      <c r="F27" s="340" t="s">
        <v>763</v>
      </c>
      <c r="G27" s="339" t="s">
        <v>766</v>
      </c>
      <c r="H27" s="341" t="s">
        <v>767</v>
      </c>
      <c r="I27" s="370" t="str">
        <f t="shared" si="0"/>
        <v>La auxiliar administrativa cada que se requiera solicitará apoyo cuando se genere una alerta por falla al area encargada del mantenimiento de la plataforma.</v>
      </c>
      <c r="J27" s="341" t="s">
        <v>160</v>
      </c>
      <c r="K27" s="279">
        <f>+IFERROR(VLOOKUP($J27,'11 FORMULAS'!$B$57:$C$59,2,0),"")</f>
        <v>0.15</v>
      </c>
      <c r="L27" s="279" t="str">
        <f>+IFERROR(VLOOKUP($J27,'11 FORMULAS'!$B$57:$D$59,3,0),"")</f>
        <v>Probabilidad</v>
      </c>
      <c r="M27" s="321" t="s">
        <v>161</v>
      </c>
      <c r="N27" s="322">
        <f>+IFERROR(VLOOKUP($M27,'11 FORMULAS'!$B$60:$C$61,2,0),"")</f>
        <v>0.15</v>
      </c>
      <c r="O27" s="323" t="s">
        <v>172</v>
      </c>
      <c r="P27" s="323" t="s">
        <v>254</v>
      </c>
      <c r="Q27" s="323" t="s">
        <v>153</v>
      </c>
      <c r="R27" s="323" t="s">
        <v>259</v>
      </c>
      <c r="S27" s="279">
        <f t="shared" si="1"/>
        <v>0.3</v>
      </c>
      <c r="T27" s="482">
        <f>IF(OR(J27="preventivo",J27="detectivo"),T26-(T26*S27),T26)</f>
        <v>0.33599999999999997</v>
      </c>
      <c r="U27" s="482">
        <f>IF(J27="correctivo",U26-(U26*S27),U26)</f>
        <v>0.4</v>
      </c>
      <c r="V27" s="713"/>
      <c r="W27" s="716"/>
      <c r="X27" s="36"/>
      <c r="Y27" s="275"/>
      <c r="Z27" s="276"/>
      <c r="AA27" s="276"/>
    </row>
    <row r="28" spans="1:27" ht="130.94999999999999" customHeight="1" thickBot="1">
      <c r="A28" s="696"/>
      <c r="B28" s="700"/>
      <c r="C28" s="671"/>
      <c r="D28" s="674"/>
      <c r="E28" s="320">
        <v>3</v>
      </c>
      <c r="F28" s="304"/>
      <c r="G28" s="339"/>
      <c r="H28" s="194"/>
      <c r="I28" s="370" t="str">
        <f t="shared" si="0"/>
        <v xml:space="preserve">  </v>
      </c>
      <c r="J28" s="341"/>
      <c r="K28" s="279" t="str">
        <f>+IFERROR(VLOOKUP($J28,'11 FORMULAS'!$B$57:$C$59,2,0),"")</f>
        <v/>
      </c>
      <c r="L28" s="279" t="str">
        <f>+IFERROR(VLOOKUP($J28,'11 FORMULAS'!$B$57:$D$59,3,0),"")</f>
        <v/>
      </c>
      <c r="M28" s="321"/>
      <c r="N28" s="322" t="str">
        <f>+IFERROR(VLOOKUP($M28,'11 FORMULAS'!$B$60:$C$61,2,0),"")</f>
        <v/>
      </c>
      <c r="O28" s="323"/>
      <c r="P28" s="323"/>
      <c r="Q28" s="323"/>
      <c r="R28" s="323"/>
      <c r="S28" s="279" t="str">
        <f t="shared" si="1"/>
        <v/>
      </c>
      <c r="T28" s="482">
        <f t="shared" ref="T28:T31" si="8">IF(OR(J28="preventivo",J28="detectivo"),T27-(T27*S28),T27)</f>
        <v>0.33599999999999997</v>
      </c>
      <c r="U28" s="482">
        <f t="shared" ref="U28:U31" si="9">IF(J28="correctivo",U27-(U27*S28),U27)</f>
        <v>0.4</v>
      </c>
      <c r="V28" s="713"/>
      <c r="W28" s="716"/>
      <c r="X28" s="36"/>
      <c r="Y28" s="275"/>
      <c r="Z28" s="276"/>
      <c r="AA28" s="276"/>
    </row>
    <row r="29" spans="1:27" ht="130.94999999999999" customHeight="1" thickBot="1">
      <c r="A29" s="696"/>
      <c r="B29" s="700"/>
      <c r="C29" s="671"/>
      <c r="D29" s="674"/>
      <c r="E29" s="320">
        <v>4</v>
      </c>
      <c r="F29" s="304"/>
      <c r="G29" s="339"/>
      <c r="H29" s="194"/>
      <c r="I29" s="370" t="str">
        <f t="shared" si="0"/>
        <v xml:space="preserve">  </v>
      </c>
      <c r="J29" s="341"/>
      <c r="K29" s="279" t="str">
        <f>+IFERROR(VLOOKUP($J29,'11 FORMULAS'!$B$57:$C$59,2,0),"")</f>
        <v/>
      </c>
      <c r="L29" s="279" t="str">
        <f>+IFERROR(VLOOKUP($J29,'11 FORMULAS'!$B$57:$D$59,3,0),"")</f>
        <v/>
      </c>
      <c r="M29" s="321"/>
      <c r="N29" s="322" t="str">
        <f>+IFERROR(VLOOKUP($M29,'11 FORMULAS'!$B$60:$C$61,2,0),"")</f>
        <v/>
      </c>
      <c r="O29" s="323"/>
      <c r="P29" s="323"/>
      <c r="Q29" s="323"/>
      <c r="R29" s="323"/>
      <c r="S29" s="279" t="str">
        <f t="shared" si="1"/>
        <v/>
      </c>
      <c r="T29" s="482">
        <f t="shared" si="8"/>
        <v>0.33599999999999997</v>
      </c>
      <c r="U29" s="482">
        <f t="shared" si="9"/>
        <v>0.4</v>
      </c>
      <c r="V29" s="713"/>
      <c r="W29" s="716"/>
      <c r="X29" s="36"/>
      <c r="Y29" s="275"/>
      <c r="Z29" s="276"/>
      <c r="AA29" s="276"/>
    </row>
    <row r="30" spans="1:27" ht="130.94999999999999" customHeight="1" thickBot="1">
      <c r="A30" s="696"/>
      <c r="B30" s="700"/>
      <c r="C30" s="671"/>
      <c r="D30" s="674"/>
      <c r="E30" s="320">
        <v>5</v>
      </c>
      <c r="F30" s="304"/>
      <c r="G30" s="339"/>
      <c r="H30" s="194"/>
      <c r="I30" s="370" t="str">
        <f t="shared" si="0"/>
        <v xml:space="preserve">  </v>
      </c>
      <c r="J30" s="341"/>
      <c r="K30" s="279" t="str">
        <f>+IFERROR(VLOOKUP($J30,'11 FORMULAS'!$B$57:$C$59,2,0),"")</f>
        <v/>
      </c>
      <c r="L30" s="279" t="str">
        <f>+IFERROR(VLOOKUP($J30,'11 FORMULAS'!$B$57:$D$59,3,0),"")</f>
        <v/>
      </c>
      <c r="M30" s="321"/>
      <c r="N30" s="322" t="str">
        <f>+IFERROR(VLOOKUP($M30,'11 FORMULAS'!$B$60:$C$61,2,0),"")</f>
        <v/>
      </c>
      <c r="O30" s="323"/>
      <c r="P30" s="323"/>
      <c r="Q30" s="323"/>
      <c r="R30" s="323"/>
      <c r="S30" s="279" t="str">
        <f t="shared" si="1"/>
        <v/>
      </c>
      <c r="T30" s="482">
        <f t="shared" si="8"/>
        <v>0.33599999999999997</v>
      </c>
      <c r="U30" s="482">
        <f t="shared" si="9"/>
        <v>0.4</v>
      </c>
      <c r="V30" s="713"/>
      <c r="W30" s="716"/>
      <c r="X30" s="36"/>
      <c r="Y30" s="275"/>
      <c r="Z30" s="276"/>
      <c r="AA30" s="276"/>
    </row>
    <row r="31" spans="1:27" ht="130.94999999999999" customHeight="1" thickBot="1">
      <c r="A31" s="697"/>
      <c r="B31" s="701"/>
      <c r="C31" s="672"/>
      <c r="D31" s="675"/>
      <c r="E31" s="324">
        <v>6</v>
      </c>
      <c r="F31" s="307"/>
      <c r="G31" s="339"/>
      <c r="H31" s="195"/>
      <c r="I31" s="370" t="str">
        <f t="shared" si="0"/>
        <v xml:space="preserve">  </v>
      </c>
      <c r="J31" s="341"/>
      <c r="K31" s="279" t="str">
        <f>+IFERROR(VLOOKUP($J31,'11 FORMULAS'!$B$57:$C$59,2,0),"")</f>
        <v/>
      </c>
      <c r="L31" s="279" t="str">
        <f>+IFERROR(VLOOKUP($J31,'11 FORMULAS'!$B$57:$D$59,3,0),"")</f>
        <v/>
      </c>
      <c r="M31" s="321"/>
      <c r="N31" s="322" t="str">
        <f>+IFERROR(VLOOKUP($M31,'11 FORMULAS'!$B$60:$C$61,2,0),"")</f>
        <v/>
      </c>
      <c r="O31" s="323"/>
      <c r="P31" s="323"/>
      <c r="Q31" s="323"/>
      <c r="R31" s="323"/>
      <c r="S31" s="279" t="str">
        <f t="shared" si="1"/>
        <v/>
      </c>
      <c r="T31" s="482">
        <f t="shared" si="8"/>
        <v>0.33599999999999997</v>
      </c>
      <c r="U31" s="482">
        <f t="shared" si="9"/>
        <v>0.4</v>
      </c>
      <c r="V31" s="714"/>
      <c r="W31" s="717"/>
      <c r="X31" s="36"/>
    </row>
    <row r="32" spans="1:27" ht="130.94999999999999" customHeight="1" thickBot="1">
      <c r="A32" s="694" t="str">
        <f>'2 CONTEXTO E IDENTIFICACIÓN'!A13</f>
        <v>R5</v>
      </c>
      <c r="B32" s="698" t="str">
        <f>+'2 CONTEXTO E IDENTIFICACIÓN'!K13</f>
        <v>Posibilidad de perdida de disponibilidad e integridad de la información por ataques cibernéticos, modificaciones no autorizadas o fallas del servidor   debido a ausencia de monitoreo permanente y mantenimiento de la plataforma o deficiencias en la implementación de controles de seguridad</v>
      </c>
      <c r="C32" s="670">
        <f>+'3 PROBABIL E IMPACTO INHERENTE'!E13</f>
        <v>0.6</v>
      </c>
      <c r="D32" s="673">
        <f>+'3 PROBABIL E IMPACTO INHERENTE'!M13</f>
        <v>0.6</v>
      </c>
      <c r="E32" s="325">
        <v>1</v>
      </c>
      <c r="F32" s="305" t="s">
        <v>775</v>
      </c>
      <c r="G32" s="339" t="s">
        <v>780</v>
      </c>
      <c r="H32" s="48" t="s">
        <v>781</v>
      </c>
      <c r="I32" s="370" t="str">
        <f t="shared" si="0"/>
        <v>El Secretario de Despacho, trimestralemente revisará que la información suministrada en el portal web no haya sido modificada ni alterada.</v>
      </c>
      <c r="J32" s="341" t="s">
        <v>149</v>
      </c>
      <c r="K32" s="279">
        <f>+IFERROR(VLOOKUP($J32,'11 FORMULAS'!$B$57:$C$59,2,0),"")</f>
        <v>0.25</v>
      </c>
      <c r="L32" s="279" t="str">
        <f>+IFERROR(VLOOKUP($J32,'11 FORMULAS'!$B$57:$D$59,3,0),"")</f>
        <v>Probabilidad</v>
      </c>
      <c r="M32" s="321" t="s">
        <v>161</v>
      </c>
      <c r="N32" s="322">
        <f>+IFERROR(VLOOKUP($M32,'11 FORMULAS'!$B$60:$C$61,2,0),"")</f>
        <v>0.15</v>
      </c>
      <c r="O32" s="323" t="s">
        <v>172</v>
      </c>
      <c r="P32" s="323" t="s">
        <v>253</v>
      </c>
      <c r="Q32" s="323" t="s">
        <v>153</v>
      </c>
      <c r="R32" s="323" t="s">
        <v>154</v>
      </c>
      <c r="S32" s="279">
        <f t="shared" si="1"/>
        <v>0.4</v>
      </c>
      <c r="T32" s="322">
        <f>IF(OR(J32="Preventivo",J32="Detectivo"),C32-(C32*S32),C32)</f>
        <v>0.36</v>
      </c>
      <c r="U32" s="322">
        <f>IF(J32="CORRECTIVO",D32-(D32*S32),D32)</f>
        <v>0.6</v>
      </c>
      <c r="V32" s="712">
        <f>+IF(T37="","",T37)</f>
        <v>0.36</v>
      </c>
      <c r="W32" s="715">
        <f>+IF(U37="","",U37)</f>
        <v>0.44999999999999996</v>
      </c>
      <c r="X32" s="36"/>
      <c r="Y32" s="275"/>
      <c r="Z32" s="276"/>
      <c r="AA32" s="276"/>
    </row>
    <row r="33" spans="1:27" ht="130.94999999999999" customHeight="1" thickBot="1">
      <c r="A33" s="695"/>
      <c r="B33" s="699"/>
      <c r="C33" s="702"/>
      <c r="D33" s="703"/>
      <c r="E33" s="320">
        <v>2</v>
      </c>
      <c r="F33" s="303" t="s">
        <v>768</v>
      </c>
      <c r="G33" s="339" t="s">
        <v>784</v>
      </c>
      <c r="H33" s="301" t="s">
        <v>785</v>
      </c>
      <c r="I33" s="370" t="str">
        <f t="shared" si="0"/>
        <v>El Secretario de Despacho, semestralmente reportará incidentes de seguridad de la información y realizará seguimiento hasta que  se brinde una solución por parte del área encargada.</v>
      </c>
      <c r="J33" s="341" t="s">
        <v>171</v>
      </c>
      <c r="K33" s="279">
        <f>+IFERROR(VLOOKUP($J33,'11 FORMULAS'!$B$57:$C$59,2,0),"")</f>
        <v>0.1</v>
      </c>
      <c r="L33" s="279" t="str">
        <f>+IFERROR(VLOOKUP($J33,'11 FORMULAS'!$B$57:$D$59,3,0),"")</f>
        <v>Impacto</v>
      </c>
      <c r="M33" s="321" t="s">
        <v>161</v>
      </c>
      <c r="N33" s="322">
        <f>+IFERROR(VLOOKUP($M33,'11 FORMULAS'!$B$60:$C$61,2,0),"")</f>
        <v>0.15</v>
      </c>
      <c r="O33" s="323" t="s">
        <v>172</v>
      </c>
      <c r="P33" s="323" t="s">
        <v>254</v>
      </c>
      <c r="Q33" s="323" t="s">
        <v>153</v>
      </c>
      <c r="R33" s="323" t="s">
        <v>154</v>
      </c>
      <c r="S33" s="279">
        <f t="shared" si="1"/>
        <v>0.25</v>
      </c>
      <c r="T33" s="482">
        <f>IF(OR(J33="preventivo",J33="detectivo"),T32-(T32*S33),T32)</f>
        <v>0.36</v>
      </c>
      <c r="U33" s="482">
        <f>IF(J33="correctivo",U32-(U32*S33),U32)</f>
        <v>0.44999999999999996</v>
      </c>
      <c r="V33" s="718"/>
      <c r="W33" s="719"/>
      <c r="X33" s="36"/>
      <c r="Y33" s="275"/>
      <c r="Z33" s="276"/>
      <c r="AA33" s="276"/>
    </row>
    <row r="34" spans="1:27" ht="130.94999999999999" customHeight="1" thickBot="1">
      <c r="A34" s="695"/>
      <c r="B34" s="699"/>
      <c r="C34" s="702"/>
      <c r="D34" s="703"/>
      <c r="E34" s="320">
        <v>3</v>
      </c>
      <c r="F34" s="303"/>
      <c r="G34" s="339"/>
      <c r="H34" s="301"/>
      <c r="I34" s="370" t="str">
        <f t="shared" si="0"/>
        <v xml:space="preserve">  </v>
      </c>
      <c r="J34" s="341"/>
      <c r="K34" s="279" t="str">
        <f>+IFERROR(VLOOKUP($J34,'11 FORMULAS'!$B$57:$C$59,2,0),"")</f>
        <v/>
      </c>
      <c r="L34" s="279" t="str">
        <f>+IFERROR(VLOOKUP($J34,'11 FORMULAS'!$B$57:$D$59,3,0),"")</f>
        <v/>
      </c>
      <c r="M34" s="321"/>
      <c r="N34" s="322" t="str">
        <f>+IFERROR(VLOOKUP($M34,'11 FORMULAS'!$B$60:$C$61,2,0),"")</f>
        <v/>
      </c>
      <c r="O34" s="323"/>
      <c r="P34" s="323"/>
      <c r="Q34" s="323"/>
      <c r="R34" s="323"/>
      <c r="S34" s="279" t="str">
        <f t="shared" si="1"/>
        <v/>
      </c>
      <c r="T34" s="482">
        <f t="shared" ref="T34:T37" si="10">IF(OR(J34="preventivo",J34="detectivo"),T33-(T33*S34),T33)</f>
        <v>0.36</v>
      </c>
      <c r="U34" s="482">
        <f t="shared" ref="U34:U37" si="11">IF(J34="correctivo",U33-(U33*S34),U33)</f>
        <v>0.44999999999999996</v>
      </c>
      <c r="V34" s="718"/>
      <c r="W34" s="719"/>
      <c r="X34" s="36"/>
      <c r="Y34" s="275"/>
      <c r="Z34" s="276"/>
      <c r="AA34" s="276"/>
    </row>
    <row r="35" spans="1:27" ht="130.94999999999999" customHeight="1" thickBot="1">
      <c r="A35" s="696"/>
      <c r="B35" s="700"/>
      <c r="C35" s="671"/>
      <c r="D35" s="674"/>
      <c r="E35" s="320">
        <v>4</v>
      </c>
      <c r="F35" s="304"/>
      <c r="G35" s="339"/>
      <c r="H35" s="194"/>
      <c r="I35" s="370" t="str">
        <f t="shared" si="0"/>
        <v xml:space="preserve">  </v>
      </c>
      <c r="J35" s="341"/>
      <c r="K35" s="279" t="str">
        <f>+IFERROR(VLOOKUP($J35,'11 FORMULAS'!$B$57:$C$59,2,0),"")</f>
        <v/>
      </c>
      <c r="L35" s="279" t="str">
        <f>+IFERROR(VLOOKUP($J35,'11 FORMULAS'!$B$57:$D$59,3,0),"")</f>
        <v/>
      </c>
      <c r="M35" s="321"/>
      <c r="N35" s="322" t="str">
        <f>+IFERROR(VLOOKUP($M35,'11 FORMULAS'!$B$60:$C$61,2,0),"")</f>
        <v/>
      </c>
      <c r="O35" s="323"/>
      <c r="P35" s="323"/>
      <c r="Q35" s="323"/>
      <c r="R35" s="323"/>
      <c r="S35" s="279" t="str">
        <f t="shared" si="1"/>
        <v/>
      </c>
      <c r="T35" s="482">
        <f t="shared" si="10"/>
        <v>0.36</v>
      </c>
      <c r="U35" s="482">
        <f t="shared" si="11"/>
        <v>0.44999999999999996</v>
      </c>
      <c r="V35" s="713"/>
      <c r="W35" s="716"/>
      <c r="X35" s="36"/>
      <c r="Y35" s="275"/>
      <c r="Z35" s="276"/>
      <c r="AA35" s="276"/>
    </row>
    <row r="36" spans="1:27" ht="130.94999999999999" customHeight="1" thickBot="1">
      <c r="A36" s="696"/>
      <c r="B36" s="700"/>
      <c r="C36" s="671"/>
      <c r="D36" s="674"/>
      <c r="E36" s="320">
        <v>5</v>
      </c>
      <c r="F36" s="304"/>
      <c r="G36" s="339"/>
      <c r="H36" s="194"/>
      <c r="I36" s="370" t="str">
        <f t="shared" si="0"/>
        <v xml:space="preserve">  </v>
      </c>
      <c r="J36" s="341"/>
      <c r="K36" s="279" t="str">
        <f>+IFERROR(VLOOKUP($J36,'11 FORMULAS'!$B$57:$C$59,2,0),"")</f>
        <v/>
      </c>
      <c r="L36" s="279" t="str">
        <f>+IFERROR(VLOOKUP($J36,'11 FORMULAS'!$B$57:$D$59,3,0),"")</f>
        <v/>
      </c>
      <c r="M36" s="321"/>
      <c r="N36" s="322" t="str">
        <f>+IFERROR(VLOOKUP($M36,'11 FORMULAS'!$B$60:$C$61,2,0),"")</f>
        <v/>
      </c>
      <c r="O36" s="323"/>
      <c r="P36" s="323"/>
      <c r="Q36" s="323"/>
      <c r="R36" s="323"/>
      <c r="S36" s="279" t="str">
        <f t="shared" si="1"/>
        <v/>
      </c>
      <c r="T36" s="482">
        <f t="shared" si="10"/>
        <v>0.36</v>
      </c>
      <c r="U36" s="482">
        <f t="shared" si="11"/>
        <v>0.44999999999999996</v>
      </c>
      <c r="V36" s="713"/>
      <c r="W36" s="716"/>
      <c r="X36" s="36"/>
      <c r="Y36" s="275"/>
      <c r="Z36" s="276"/>
      <c r="AA36" s="276"/>
    </row>
    <row r="37" spans="1:27" ht="130.94999999999999" customHeight="1" thickBot="1">
      <c r="A37" s="697"/>
      <c r="B37" s="701"/>
      <c r="C37" s="672"/>
      <c r="D37" s="675"/>
      <c r="E37" s="320">
        <v>6</v>
      </c>
      <c r="F37" s="307"/>
      <c r="G37" s="339"/>
      <c r="H37" s="195"/>
      <c r="I37" s="370" t="str">
        <f t="shared" si="0"/>
        <v xml:space="preserve">  </v>
      </c>
      <c r="J37" s="341"/>
      <c r="K37" s="279" t="str">
        <f>+IFERROR(VLOOKUP($J37,'11 FORMULAS'!$B$57:$C$59,2,0),"")</f>
        <v/>
      </c>
      <c r="L37" s="279" t="str">
        <f>+IFERROR(VLOOKUP($J37,'11 FORMULAS'!$B$57:$D$59,3,0),"")</f>
        <v/>
      </c>
      <c r="M37" s="321"/>
      <c r="N37" s="322" t="str">
        <f>+IFERROR(VLOOKUP($M37,'11 FORMULAS'!$B$60:$C$61,2,0),"")</f>
        <v/>
      </c>
      <c r="O37" s="323"/>
      <c r="P37" s="323"/>
      <c r="Q37" s="323"/>
      <c r="R37" s="323"/>
      <c r="S37" s="279" t="str">
        <f t="shared" si="1"/>
        <v/>
      </c>
      <c r="T37" s="482">
        <f t="shared" si="10"/>
        <v>0.36</v>
      </c>
      <c r="U37" s="482">
        <f t="shared" si="11"/>
        <v>0.44999999999999996</v>
      </c>
      <c r="V37" s="714"/>
      <c r="W37" s="717"/>
      <c r="X37" s="36"/>
    </row>
    <row r="38" spans="1:27" ht="130.94999999999999" customHeight="1" thickBot="1">
      <c r="A38" s="694" t="str">
        <f>'2 CONTEXTO E IDENTIFICACIÓN'!A14</f>
        <v>R6</v>
      </c>
      <c r="B38" s="698" t="str">
        <f>+'2 CONTEXTO E IDENTIFICACIÓN'!K14</f>
        <v xml:space="preserve">   </v>
      </c>
      <c r="C38" s="670" t="str">
        <f>+'3 PROBABIL E IMPACTO INHERENTE'!E14</f>
        <v/>
      </c>
      <c r="D38" s="673" t="str">
        <f>+'3 PROBABIL E IMPACTO INHERENTE'!M14</f>
        <v/>
      </c>
      <c r="E38" s="320">
        <v>1</v>
      </c>
      <c r="F38" s="305"/>
      <c r="G38" s="339"/>
      <c r="H38" s="48"/>
      <c r="I38" s="370" t="str">
        <f t="shared" si="0"/>
        <v xml:space="preserve">  </v>
      </c>
      <c r="J38" s="341"/>
      <c r="K38" s="279" t="str">
        <f>+IFERROR(VLOOKUP($J38,'11 FORMULAS'!$B$57:$C$59,2,0),"")</f>
        <v/>
      </c>
      <c r="L38" s="279" t="str">
        <f>+IFERROR(VLOOKUP($J38,'11 FORMULAS'!$B$57:$D$59,3,0),"")</f>
        <v/>
      </c>
      <c r="M38" s="321"/>
      <c r="N38" s="322" t="str">
        <f>+IFERROR(VLOOKUP($M38,'11 FORMULAS'!$B$60:$C$61,2,0),"")</f>
        <v/>
      </c>
      <c r="O38" s="323"/>
      <c r="P38" s="323"/>
      <c r="Q38" s="323"/>
      <c r="R38" s="323"/>
      <c r="S38" s="279" t="str">
        <f t="shared" si="1"/>
        <v/>
      </c>
      <c r="T38" s="279" t="str">
        <f>IF(OR(J38="Preventivo",J38="Detectivo"),C38-(C38*S38),C38)</f>
        <v/>
      </c>
      <c r="U38" s="279" t="str">
        <f>IF(J38="CORRECTIVO",D38-(D38*S38),D38)</f>
        <v/>
      </c>
      <c r="V38" s="712" t="str">
        <f>+IF(T43="","",T43)</f>
        <v/>
      </c>
      <c r="W38" s="715" t="str">
        <f>+IF(U43="","",U43)</f>
        <v/>
      </c>
      <c r="X38" s="36"/>
      <c r="Y38" s="275"/>
      <c r="Z38" s="276"/>
      <c r="AA38" s="276"/>
    </row>
    <row r="39" spans="1:27" ht="130.94999999999999" customHeight="1" thickBot="1">
      <c r="A39" s="695"/>
      <c r="B39" s="699"/>
      <c r="C39" s="702"/>
      <c r="D39" s="703"/>
      <c r="E39" s="320">
        <v>2</v>
      </c>
      <c r="F39" s="303"/>
      <c r="G39" s="339"/>
      <c r="H39" s="301"/>
      <c r="I39" s="370" t="str">
        <f t="shared" si="0"/>
        <v xml:space="preserve">  </v>
      </c>
      <c r="J39" s="341"/>
      <c r="K39" s="279" t="str">
        <f>+IFERROR(VLOOKUP($J39,'11 FORMULAS'!$B$57:$C$59,2,0),"")</f>
        <v/>
      </c>
      <c r="L39" s="279" t="str">
        <f>+IFERROR(VLOOKUP($J39,'11 FORMULAS'!$B$57:$D$59,3,0),"")</f>
        <v/>
      </c>
      <c r="M39" s="321"/>
      <c r="N39" s="322" t="str">
        <f>+IFERROR(VLOOKUP($M39,'11 FORMULAS'!$B$60:$C$61,2,0),"")</f>
        <v/>
      </c>
      <c r="O39" s="323"/>
      <c r="P39" s="323"/>
      <c r="Q39" s="323"/>
      <c r="R39" s="323"/>
      <c r="S39" s="279" t="str">
        <f t="shared" si="1"/>
        <v/>
      </c>
      <c r="T39" s="482" t="str">
        <f>IF(OR(J39="preventivo",J39="detectivo"),T38-(T38*S39),T38)</f>
        <v/>
      </c>
      <c r="U39" s="482" t="str">
        <f>IF(J39="correctivo",U38-(U38*S39),U38)</f>
        <v/>
      </c>
      <c r="V39" s="718"/>
      <c r="W39" s="719"/>
      <c r="X39" s="36"/>
      <c r="Y39" s="275"/>
      <c r="Z39" s="276"/>
      <c r="AA39" s="276"/>
    </row>
    <row r="40" spans="1:27" ht="130.94999999999999" customHeight="1" thickBot="1">
      <c r="A40" s="695"/>
      <c r="B40" s="699"/>
      <c r="C40" s="702"/>
      <c r="D40" s="703"/>
      <c r="E40" s="320">
        <v>3</v>
      </c>
      <c r="F40" s="303"/>
      <c r="G40" s="339"/>
      <c r="H40" s="301"/>
      <c r="I40" s="370" t="str">
        <f t="shared" si="0"/>
        <v xml:space="preserve">  </v>
      </c>
      <c r="J40" s="341"/>
      <c r="K40" s="279" t="str">
        <f>+IFERROR(VLOOKUP($J40,'11 FORMULAS'!$B$57:$C$59,2,0),"")</f>
        <v/>
      </c>
      <c r="L40" s="279" t="str">
        <f>+IFERROR(VLOOKUP($J40,'11 FORMULAS'!$B$57:$D$59,3,0),"")</f>
        <v/>
      </c>
      <c r="M40" s="321"/>
      <c r="N40" s="322" t="str">
        <f>+IFERROR(VLOOKUP($M40,'11 FORMULAS'!$B$60:$C$61,2,0),"")</f>
        <v/>
      </c>
      <c r="O40" s="323"/>
      <c r="P40" s="323"/>
      <c r="Q40" s="323"/>
      <c r="R40" s="323"/>
      <c r="S40" s="279" t="str">
        <f t="shared" si="1"/>
        <v/>
      </c>
      <c r="T40" s="482" t="str">
        <f t="shared" ref="T40:T43" si="12">IF(OR(J40="preventivo",J40="detectivo"),T39-(T39*S40),T39)</f>
        <v/>
      </c>
      <c r="U40" s="482" t="str">
        <f t="shared" ref="U40:U43" si="13">IF(J40="correctivo",U39-(U39*S40),U39)</f>
        <v/>
      </c>
      <c r="V40" s="718"/>
      <c r="W40" s="719"/>
      <c r="X40" s="36"/>
      <c r="Y40" s="275"/>
      <c r="Z40" s="276"/>
      <c r="AA40" s="276"/>
    </row>
    <row r="41" spans="1:27" ht="130.94999999999999" customHeight="1" thickBot="1">
      <c r="A41" s="696"/>
      <c r="B41" s="700"/>
      <c r="C41" s="671"/>
      <c r="D41" s="674"/>
      <c r="E41" s="320">
        <v>4</v>
      </c>
      <c r="F41" s="304"/>
      <c r="G41" s="339"/>
      <c r="H41" s="194"/>
      <c r="I41" s="370" t="str">
        <f t="shared" si="0"/>
        <v xml:space="preserve">  </v>
      </c>
      <c r="J41" s="341"/>
      <c r="K41" s="279" t="str">
        <f>+IFERROR(VLOOKUP($J41,'11 FORMULAS'!$B$57:$C$59,2,0),"")</f>
        <v/>
      </c>
      <c r="L41" s="279" t="str">
        <f>+IFERROR(VLOOKUP($J41,'11 FORMULAS'!$B$57:$D$59,3,0),"")</f>
        <v/>
      </c>
      <c r="M41" s="321"/>
      <c r="N41" s="322" t="str">
        <f>+IFERROR(VLOOKUP($M41,'11 FORMULAS'!$B$60:$C$61,2,0),"")</f>
        <v/>
      </c>
      <c r="O41" s="323"/>
      <c r="P41" s="323"/>
      <c r="Q41" s="323"/>
      <c r="R41" s="323"/>
      <c r="S41" s="279" t="str">
        <f t="shared" si="1"/>
        <v/>
      </c>
      <c r="T41" s="482" t="str">
        <f t="shared" si="12"/>
        <v/>
      </c>
      <c r="U41" s="482" t="str">
        <f t="shared" si="13"/>
        <v/>
      </c>
      <c r="V41" s="713"/>
      <c r="W41" s="716"/>
      <c r="X41" s="36"/>
      <c r="Y41" s="275"/>
      <c r="Z41" s="276"/>
      <c r="AA41" s="276"/>
    </row>
    <row r="42" spans="1:27" ht="130.94999999999999" customHeight="1" thickBot="1">
      <c r="A42" s="696"/>
      <c r="B42" s="700"/>
      <c r="C42" s="671"/>
      <c r="D42" s="674"/>
      <c r="E42" s="320">
        <v>5</v>
      </c>
      <c r="F42" s="304"/>
      <c r="G42" s="339"/>
      <c r="H42" s="194"/>
      <c r="I42" s="370" t="str">
        <f t="shared" si="0"/>
        <v xml:space="preserve">  </v>
      </c>
      <c r="J42" s="341"/>
      <c r="K42" s="279" t="str">
        <f>+IFERROR(VLOOKUP($J42,'11 FORMULAS'!$B$57:$C$59,2,0),"")</f>
        <v/>
      </c>
      <c r="L42" s="279" t="str">
        <f>+IFERROR(VLOOKUP($J42,'11 FORMULAS'!$B$57:$D$59,3,0),"")</f>
        <v/>
      </c>
      <c r="M42" s="321"/>
      <c r="N42" s="322" t="str">
        <f>+IFERROR(VLOOKUP($M42,'11 FORMULAS'!$B$60:$C$61,2,0),"")</f>
        <v/>
      </c>
      <c r="O42" s="323"/>
      <c r="P42" s="323"/>
      <c r="Q42" s="323"/>
      <c r="R42" s="323"/>
      <c r="S42" s="279" t="str">
        <f t="shared" si="1"/>
        <v/>
      </c>
      <c r="T42" s="482" t="str">
        <f t="shared" si="12"/>
        <v/>
      </c>
      <c r="U42" s="482" t="str">
        <f t="shared" si="13"/>
        <v/>
      </c>
      <c r="V42" s="713"/>
      <c r="W42" s="716"/>
      <c r="X42" s="36"/>
      <c r="Y42" s="275"/>
      <c r="Z42" s="276"/>
      <c r="AA42" s="276"/>
    </row>
    <row r="43" spans="1:27" ht="130.94999999999999" customHeight="1" thickBot="1">
      <c r="A43" s="697"/>
      <c r="B43" s="701"/>
      <c r="C43" s="672"/>
      <c r="D43" s="675"/>
      <c r="E43" s="324">
        <v>6</v>
      </c>
      <c r="F43" s="307"/>
      <c r="G43" s="339"/>
      <c r="H43" s="195"/>
      <c r="I43" s="370" t="str">
        <f t="shared" si="0"/>
        <v xml:space="preserve">  </v>
      </c>
      <c r="J43" s="341"/>
      <c r="K43" s="279" t="str">
        <f>+IFERROR(VLOOKUP($J43,'11 FORMULAS'!$B$57:$C$59,2,0),"")</f>
        <v/>
      </c>
      <c r="L43" s="279" t="str">
        <f>+IFERROR(VLOOKUP($J43,'11 FORMULAS'!$B$57:$D$59,3,0),"")</f>
        <v/>
      </c>
      <c r="M43" s="321"/>
      <c r="N43" s="322" t="str">
        <f>+IFERROR(VLOOKUP($M43,'11 FORMULAS'!$B$60:$C$61,2,0),"")</f>
        <v/>
      </c>
      <c r="O43" s="323"/>
      <c r="P43" s="323"/>
      <c r="Q43" s="323"/>
      <c r="R43" s="323"/>
      <c r="S43" s="279" t="str">
        <f t="shared" si="1"/>
        <v/>
      </c>
      <c r="T43" s="482" t="str">
        <f t="shared" si="12"/>
        <v/>
      </c>
      <c r="U43" s="482" t="str">
        <f t="shared" si="13"/>
        <v/>
      </c>
      <c r="V43" s="714"/>
      <c r="W43" s="717"/>
      <c r="X43" s="36"/>
    </row>
    <row r="44" spans="1:27" ht="130.94999999999999" customHeight="1" thickBot="1">
      <c r="A44" s="694" t="str">
        <f>'2 CONTEXTO E IDENTIFICACIÓN'!A15</f>
        <v>R7</v>
      </c>
      <c r="B44" s="698" t="str">
        <f>+'2 CONTEXTO E IDENTIFICACIÓN'!K15</f>
        <v xml:space="preserve">   </v>
      </c>
      <c r="C44" s="670" t="str">
        <f>+'3 PROBABIL E IMPACTO INHERENTE'!E15</f>
        <v/>
      </c>
      <c r="D44" s="673" t="str">
        <f>+'3 PROBABIL E IMPACTO INHERENTE'!M15</f>
        <v/>
      </c>
      <c r="E44" s="325">
        <v>1</v>
      </c>
      <c r="F44" s="305"/>
      <c r="G44" s="339"/>
      <c r="H44" s="48"/>
      <c r="I44" s="370" t="str">
        <f t="shared" si="0"/>
        <v xml:space="preserve">  </v>
      </c>
      <c r="J44" s="341"/>
      <c r="K44" s="279" t="str">
        <f>+IFERROR(VLOOKUP($J44,'11 FORMULAS'!$B$57:$C$59,2,0),"")</f>
        <v/>
      </c>
      <c r="L44" s="279" t="str">
        <f>+IFERROR(VLOOKUP($J44,'11 FORMULAS'!$B$57:$D$59,3,0),"")</f>
        <v/>
      </c>
      <c r="M44" s="321"/>
      <c r="N44" s="322" t="str">
        <f>+IFERROR(VLOOKUP($M44,'11 FORMULAS'!$B$60:$C$61,2,0),"")</f>
        <v/>
      </c>
      <c r="O44" s="323"/>
      <c r="P44" s="323"/>
      <c r="Q44" s="323"/>
      <c r="R44" s="323"/>
      <c r="S44" s="279" t="str">
        <f t="shared" si="1"/>
        <v/>
      </c>
      <c r="T44" s="279" t="str">
        <f>IF(OR(J44="Preventivo",J44="Detectivo"),C44-(C44*S44),C44)</f>
        <v/>
      </c>
      <c r="U44" s="279">
        <f>IF(J32="CORRECTIVO",D32-(D32*S32),D32)</f>
        <v>0.6</v>
      </c>
      <c r="V44" s="712" t="str">
        <f>+IF(T49="","",T49)</f>
        <v/>
      </c>
      <c r="W44" s="715">
        <f>+IF(U49="","",U49)</f>
        <v>0.6</v>
      </c>
      <c r="X44" s="36"/>
      <c r="Y44" s="275"/>
      <c r="Z44" s="276"/>
      <c r="AA44" s="276"/>
    </row>
    <row r="45" spans="1:27" ht="130.94999999999999" customHeight="1" thickBot="1">
      <c r="A45" s="696"/>
      <c r="B45" s="700"/>
      <c r="C45" s="671"/>
      <c r="D45" s="674"/>
      <c r="E45" s="320">
        <v>2</v>
      </c>
      <c r="F45" s="304"/>
      <c r="G45" s="339"/>
      <c r="H45" s="194"/>
      <c r="I45" s="370" t="str">
        <f t="shared" si="0"/>
        <v xml:space="preserve">  </v>
      </c>
      <c r="J45" s="341"/>
      <c r="K45" s="279" t="str">
        <f>+IFERROR(VLOOKUP($J45,'11 FORMULAS'!$B$57:$C$59,2,0),"")</f>
        <v/>
      </c>
      <c r="L45" s="279" t="str">
        <f>+IFERROR(VLOOKUP($J45,'11 FORMULAS'!$B$57:$D$59,3,0),"")</f>
        <v/>
      </c>
      <c r="M45" s="321"/>
      <c r="N45" s="322" t="str">
        <f>+IFERROR(VLOOKUP($M45,'11 FORMULAS'!$B$60:$C$61,2,0),"")</f>
        <v/>
      </c>
      <c r="O45" s="323"/>
      <c r="P45" s="323"/>
      <c r="Q45" s="323"/>
      <c r="R45" s="323"/>
      <c r="S45" s="279" t="str">
        <f t="shared" si="1"/>
        <v/>
      </c>
      <c r="T45" s="482" t="str">
        <f>IF(OR(J45="preventivo",J45="detectivo"),T44-(T44*S45),T44)</f>
        <v/>
      </c>
      <c r="U45" s="482">
        <f>IF(J45="correctivo",U44-(U44*S45),U44)</f>
        <v>0.6</v>
      </c>
      <c r="V45" s="713"/>
      <c r="W45" s="716"/>
      <c r="X45" s="36"/>
      <c r="Y45" s="275"/>
      <c r="Z45" s="276"/>
      <c r="AA45" s="276"/>
    </row>
    <row r="46" spans="1:27" ht="130.94999999999999" customHeight="1" thickBot="1">
      <c r="A46" s="696"/>
      <c r="B46" s="700"/>
      <c r="C46" s="671"/>
      <c r="D46" s="674"/>
      <c r="E46" s="320">
        <v>3</v>
      </c>
      <c r="F46" s="304"/>
      <c r="G46" s="339"/>
      <c r="H46" s="194"/>
      <c r="I46" s="370" t="str">
        <f t="shared" si="0"/>
        <v xml:space="preserve">  </v>
      </c>
      <c r="J46" s="341"/>
      <c r="K46" s="279" t="str">
        <f>+IFERROR(VLOOKUP($J46,'11 FORMULAS'!$B$57:$C$59,2,0),"")</f>
        <v/>
      </c>
      <c r="L46" s="279" t="str">
        <f>+IFERROR(VLOOKUP($J46,'11 FORMULAS'!$B$57:$D$59,3,0),"")</f>
        <v/>
      </c>
      <c r="M46" s="321"/>
      <c r="N46" s="322" t="str">
        <f>+IFERROR(VLOOKUP($M46,'11 FORMULAS'!$B$60:$C$61,2,0),"")</f>
        <v/>
      </c>
      <c r="O46" s="323"/>
      <c r="P46" s="323"/>
      <c r="Q46" s="323"/>
      <c r="R46" s="323"/>
      <c r="S46" s="279" t="str">
        <f t="shared" si="1"/>
        <v/>
      </c>
      <c r="T46" s="482" t="str">
        <f t="shared" ref="T46:T49" si="14">IF(OR(J46="preventivo",J46="detectivo"),T45-(T45*S46),T45)</f>
        <v/>
      </c>
      <c r="U46" s="482">
        <f t="shared" ref="U46:U49" si="15">IF(J46="correctivo",U45-(U45*S46),U45)</f>
        <v>0.6</v>
      </c>
      <c r="V46" s="713"/>
      <c r="W46" s="716"/>
      <c r="X46" s="36"/>
      <c r="Y46" s="275"/>
      <c r="Z46" s="276"/>
      <c r="AA46" s="276"/>
    </row>
    <row r="47" spans="1:27" ht="130.94999999999999" customHeight="1" thickBot="1">
      <c r="A47" s="696"/>
      <c r="B47" s="700"/>
      <c r="C47" s="671"/>
      <c r="D47" s="674"/>
      <c r="E47" s="320">
        <v>4</v>
      </c>
      <c r="F47" s="304"/>
      <c r="G47" s="339"/>
      <c r="H47" s="194"/>
      <c r="I47" s="370" t="str">
        <f t="shared" si="0"/>
        <v xml:space="preserve">  </v>
      </c>
      <c r="J47" s="341"/>
      <c r="K47" s="279" t="str">
        <f>+IFERROR(VLOOKUP($J47,'11 FORMULAS'!$B$57:$C$59,2,0),"")</f>
        <v/>
      </c>
      <c r="L47" s="279" t="str">
        <f>+IFERROR(VLOOKUP($J47,'11 FORMULAS'!$B$57:$D$59,3,0),"")</f>
        <v/>
      </c>
      <c r="M47" s="321"/>
      <c r="N47" s="322" t="str">
        <f>+IFERROR(VLOOKUP($M47,'11 FORMULAS'!$B$60:$C$61,2,0),"")</f>
        <v/>
      </c>
      <c r="O47" s="323"/>
      <c r="P47" s="323"/>
      <c r="Q47" s="323"/>
      <c r="R47" s="323"/>
      <c r="S47" s="279" t="str">
        <f t="shared" si="1"/>
        <v/>
      </c>
      <c r="T47" s="482" t="str">
        <f t="shared" si="14"/>
        <v/>
      </c>
      <c r="U47" s="482">
        <f t="shared" si="15"/>
        <v>0.6</v>
      </c>
      <c r="V47" s="713"/>
      <c r="W47" s="716"/>
      <c r="X47" s="36"/>
      <c r="Y47" s="275"/>
      <c r="Z47" s="276"/>
      <c r="AA47" s="276"/>
    </row>
    <row r="48" spans="1:27" ht="130.94999999999999" customHeight="1" thickBot="1">
      <c r="A48" s="696"/>
      <c r="B48" s="700"/>
      <c r="C48" s="671"/>
      <c r="D48" s="674"/>
      <c r="E48" s="320">
        <v>5</v>
      </c>
      <c r="F48" s="304"/>
      <c r="G48" s="339"/>
      <c r="H48" s="194"/>
      <c r="I48" s="370" t="str">
        <f t="shared" si="0"/>
        <v xml:space="preserve">  </v>
      </c>
      <c r="J48" s="341"/>
      <c r="K48" s="279" t="str">
        <f>+IFERROR(VLOOKUP($J48,'11 FORMULAS'!$B$57:$C$59,2,0),"")</f>
        <v/>
      </c>
      <c r="L48" s="279" t="str">
        <f>+IFERROR(VLOOKUP($J48,'11 FORMULAS'!$B$57:$D$59,3,0),"")</f>
        <v/>
      </c>
      <c r="M48" s="321"/>
      <c r="N48" s="322" t="str">
        <f>+IFERROR(VLOOKUP($M48,'11 FORMULAS'!$B$60:$C$61,2,0),"")</f>
        <v/>
      </c>
      <c r="O48" s="323"/>
      <c r="P48" s="323"/>
      <c r="Q48" s="323"/>
      <c r="R48" s="323"/>
      <c r="S48" s="279" t="str">
        <f t="shared" si="1"/>
        <v/>
      </c>
      <c r="T48" s="482" t="str">
        <f t="shared" si="14"/>
        <v/>
      </c>
      <c r="U48" s="482">
        <f t="shared" si="15"/>
        <v>0.6</v>
      </c>
      <c r="V48" s="713"/>
      <c r="W48" s="716"/>
      <c r="X48" s="36"/>
      <c r="Y48" s="275"/>
      <c r="Z48" s="276"/>
      <c r="AA48" s="276"/>
    </row>
    <row r="49" spans="1:27" ht="130.94999999999999" customHeight="1" thickBot="1">
      <c r="A49" s="697"/>
      <c r="B49" s="701"/>
      <c r="C49" s="672"/>
      <c r="D49" s="675"/>
      <c r="E49" s="324">
        <v>6</v>
      </c>
      <c r="F49" s="307"/>
      <c r="G49" s="339"/>
      <c r="H49" s="195"/>
      <c r="I49" s="370" t="str">
        <f t="shared" si="0"/>
        <v xml:space="preserve">  </v>
      </c>
      <c r="J49" s="341"/>
      <c r="K49" s="279" t="str">
        <f>+IFERROR(VLOOKUP($J49,'11 FORMULAS'!$B$57:$C$59,2,0),"")</f>
        <v/>
      </c>
      <c r="L49" s="279" t="str">
        <f>+IFERROR(VLOOKUP($J49,'11 FORMULAS'!$B$57:$D$59,3,0),"")</f>
        <v/>
      </c>
      <c r="M49" s="321"/>
      <c r="N49" s="322" t="str">
        <f>+IFERROR(VLOOKUP($M49,'11 FORMULAS'!$B$60:$C$61,2,0),"")</f>
        <v/>
      </c>
      <c r="O49" s="323"/>
      <c r="P49" s="323"/>
      <c r="Q49" s="323"/>
      <c r="R49" s="323"/>
      <c r="S49" s="279" t="str">
        <f t="shared" si="1"/>
        <v/>
      </c>
      <c r="T49" s="482" t="str">
        <f t="shared" si="14"/>
        <v/>
      </c>
      <c r="U49" s="482">
        <f t="shared" si="15"/>
        <v>0.6</v>
      </c>
      <c r="V49" s="714"/>
      <c r="W49" s="717"/>
      <c r="X49" s="36"/>
    </row>
    <row r="50" spans="1:27" ht="130.94999999999999" customHeight="1" thickBot="1">
      <c r="A50" s="694" t="str">
        <f>'2 CONTEXTO E IDENTIFICACIÓN'!A16</f>
        <v>R8</v>
      </c>
      <c r="B50" s="698" t="str">
        <f>+'2 CONTEXTO E IDENTIFICACIÓN'!K16</f>
        <v xml:space="preserve">   </v>
      </c>
      <c r="C50" s="670" t="str">
        <f>+'3 PROBABIL E IMPACTO INHERENTE'!E16</f>
        <v/>
      </c>
      <c r="D50" s="673" t="str">
        <f>+'3 PROBABIL E IMPACTO INHERENTE'!M16</f>
        <v/>
      </c>
      <c r="E50" s="325">
        <v>1</v>
      </c>
      <c r="F50" s="305"/>
      <c r="G50" s="339"/>
      <c r="H50" s="48"/>
      <c r="I50" s="370" t="str">
        <f t="shared" si="0"/>
        <v xml:space="preserve">  </v>
      </c>
      <c r="J50" s="341"/>
      <c r="K50" s="279" t="str">
        <f>+IFERROR(VLOOKUP($J50,'11 FORMULAS'!$B$57:$C$59,2,0),"")</f>
        <v/>
      </c>
      <c r="L50" s="279" t="str">
        <f>+IFERROR(VLOOKUP($J50,'11 FORMULAS'!$B$57:$D$59,3,0),"")</f>
        <v/>
      </c>
      <c r="M50" s="321"/>
      <c r="N50" s="322" t="str">
        <f>+IFERROR(VLOOKUP($M50,'11 FORMULAS'!$B$60:$C$61,2,0),"")</f>
        <v/>
      </c>
      <c r="O50" s="323"/>
      <c r="P50" s="323"/>
      <c r="Q50" s="323"/>
      <c r="R50" s="323"/>
      <c r="S50" s="279" t="str">
        <f t="shared" si="1"/>
        <v/>
      </c>
      <c r="T50" s="279" t="str">
        <f>IF(OR(J50="Preventivo",J50="Detectivo"),C50-(C50*S50),C50)</f>
        <v/>
      </c>
      <c r="U50" s="279">
        <f>IF(J32="CORRECTIVO",D32-(D32*S32),D32)</f>
        <v>0.6</v>
      </c>
      <c r="V50" s="712" t="str">
        <f>+IF(T55="","",T55)</f>
        <v/>
      </c>
      <c r="W50" s="715">
        <f>+IF(U55="","",U55)</f>
        <v>0.6</v>
      </c>
      <c r="X50" s="36"/>
      <c r="Y50" s="275"/>
      <c r="Z50" s="276"/>
      <c r="AA50" s="276"/>
    </row>
    <row r="51" spans="1:27" ht="130.94999999999999" customHeight="1" thickBot="1">
      <c r="A51" s="696"/>
      <c r="B51" s="700"/>
      <c r="C51" s="671"/>
      <c r="D51" s="674"/>
      <c r="E51" s="320">
        <v>2</v>
      </c>
      <c r="F51" s="304"/>
      <c r="G51" s="339"/>
      <c r="H51" s="194"/>
      <c r="I51" s="370" t="str">
        <f t="shared" si="0"/>
        <v xml:space="preserve">  </v>
      </c>
      <c r="J51" s="341"/>
      <c r="K51" s="279" t="str">
        <f>+IFERROR(VLOOKUP($J51,'11 FORMULAS'!$B$57:$C$59,2,0),"")</f>
        <v/>
      </c>
      <c r="L51" s="279" t="str">
        <f>+IFERROR(VLOOKUP($J51,'11 FORMULAS'!$B$57:$D$59,3,0),"")</f>
        <v/>
      </c>
      <c r="M51" s="321"/>
      <c r="N51" s="322" t="str">
        <f>+IFERROR(VLOOKUP($M51,'11 FORMULAS'!$B$60:$C$61,2,0),"")</f>
        <v/>
      </c>
      <c r="O51" s="323"/>
      <c r="P51" s="323"/>
      <c r="Q51" s="323"/>
      <c r="R51" s="323"/>
      <c r="S51" s="279" t="str">
        <f t="shared" si="1"/>
        <v/>
      </c>
      <c r="T51" s="482" t="str">
        <f>IF(OR(J51="preventivo",J51="detectivo"),T50-(T50*S51),T50)</f>
        <v/>
      </c>
      <c r="U51" s="482">
        <f>IF(J51="correctivo",U50-(U50*S51),U50)</f>
        <v>0.6</v>
      </c>
      <c r="V51" s="713"/>
      <c r="W51" s="716"/>
      <c r="X51" s="36"/>
      <c r="Y51" s="275"/>
      <c r="Z51" s="276"/>
      <c r="AA51" s="276"/>
    </row>
    <row r="52" spans="1:27" ht="130.94999999999999" customHeight="1" thickBot="1">
      <c r="A52" s="696"/>
      <c r="B52" s="700"/>
      <c r="C52" s="671"/>
      <c r="D52" s="674"/>
      <c r="E52" s="320">
        <v>3</v>
      </c>
      <c r="F52" s="304"/>
      <c r="G52" s="339"/>
      <c r="H52" s="194"/>
      <c r="I52" s="370" t="str">
        <f t="shared" si="0"/>
        <v xml:space="preserve">  </v>
      </c>
      <c r="J52" s="341"/>
      <c r="K52" s="279" t="str">
        <f>+IFERROR(VLOOKUP($J52,'11 FORMULAS'!$B$57:$C$59,2,0),"")</f>
        <v/>
      </c>
      <c r="L52" s="279" t="str">
        <f>+IFERROR(VLOOKUP($J52,'11 FORMULAS'!$B$57:$D$59,3,0),"")</f>
        <v/>
      </c>
      <c r="M52" s="321"/>
      <c r="N52" s="322" t="str">
        <f>+IFERROR(VLOOKUP($M52,'11 FORMULAS'!$B$60:$C$61,2,0),"")</f>
        <v/>
      </c>
      <c r="O52" s="323"/>
      <c r="P52" s="323"/>
      <c r="Q52" s="323"/>
      <c r="R52" s="323"/>
      <c r="S52" s="279" t="str">
        <f t="shared" si="1"/>
        <v/>
      </c>
      <c r="T52" s="482" t="str">
        <f t="shared" ref="T52:T55" si="16">IF(OR(J52="preventivo",J52="detectivo"),T51-(T51*S52),T51)</f>
        <v/>
      </c>
      <c r="U52" s="482">
        <f t="shared" ref="U52:U55" si="17">IF(J52="correctivo",U51-(U51*S52),U51)</f>
        <v>0.6</v>
      </c>
      <c r="V52" s="713"/>
      <c r="W52" s="716"/>
      <c r="X52" s="36"/>
      <c r="Y52" s="275"/>
      <c r="Z52" s="276"/>
      <c r="AA52" s="276"/>
    </row>
    <row r="53" spans="1:27" ht="130.94999999999999" customHeight="1" thickBot="1">
      <c r="A53" s="696"/>
      <c r="B53" s="700"/>
      <c r="C53" s="671"/>
      <c r="D53" s="674"/>
      <c r="E53" s="320">
        <v>4</v>
      </c>
      <c r="F53" s="304"/>
      <c r="G53" s="339"/>
      <c r="H53" s="194"/>
      <c r="I53" s="370" t="str">
        <f t="shared" si="0"/>
        <v xml:space="preserve">  </v>
      </c>
      <c r="J53" s="341"/>
      <c r="K53" s="279" t="str">
        <f>+IFERROR(VLOOKUP($J53,'11 FORMULAS'!$B$57:$C$59,2,0),"")</f>
        <v/>
      </c>
      <c r="L53" s="279" t="str">
        <f>+IFERROR(VLOOKUP($J53,'11 FORMULAS'!$B$57:$D$59,3,0),"")</f>
        <v/>
      </c>
      <c r="M53" s="321"/>
      <c r="N53" s="322" t="str">
        <f>+IFERROR(VLOOKUP($M53,'11 FORMULAS'!$B$60:$C$61,2,0),"")</f>
        <v/>
      </c>
      <c r="O53" s="323"/>
      <c r="P53" s="323"/>
      <c r="Q53" s="323"/>
      <c r="R53" s="323"/>
      <c r="S53" s="279" t="str">
        <f t="shared" si="1"/>
        <v/>
      </c>
      <c r="T53" s="482" t="str">
        <f t="shared" si="16"/>
        <v/>
      </c>
      <c r="U53" s="482">
        <f t="shared" si="17"/>
        <v>0.6</v>
      </c>
      <c r="V53" s="713"/>
      <c r="W53" s="716"/>
      <c r="X53" s="36"/>
      <c r="Y53" s="275"/>
      <c r="Z53" s="276"/>
      <c r="AA53" s="276"/>
    </row>
    <row r="54" spans="1:27" ht="130.94999999999999" customHeight="1" thickBot="1">
      <c r="A54" s="696"/>
      <c r="B54" s="700"/>
      <c r="C54" s="671"/>
      <c r="D54" s="674"/>
      <c r="E54" s="320">
        <v>5</v>
      </c>
      <c r="F54" s="304"/>
      <c r="G54" s="339"/>
      <c r="H54" s="194"/>
      <c r="I54" s="370" t="str">
        <f t="shared" si="0"/>
        <v xml:space="preserve">  </v>
      </c>
      <c r="J54" s="341"/>
      <c r="K54" s="279" t="str">
        <f>+IFERROR(VLOOKUP($J54,'11 FORMULAS'!$B$57:$C$59,2,0),"")</f>
        <v/>
      </c>
      <c r="L54" s="279" t="str">
        <f>+IFERROR(VLOOKUP($J54,'11 FORMULAS'!$B$57:$D$59,3,0),"")</f>
        <v/>
      </c>
      <c r="M54" s="321"/>
      <c r="N54" s="322" t="str">
        <f>+IFERROR(VLOOKUP($M54,'11 FORMULAS'!$B$60:$C$61,2,0),"")</f>
        <v/>
      </c>
      <c r="O54" s="323"/>
      <c r="P54" s="323"/>
      <c r="Q54" s="323"/>
      <c r="R54" s="323"/>
      <c r="S54" s="279" t="str">
        <f t="shared" si="1"/>
        <v/>
      </c>
      <c r="T54" s="482" t="str">
        <f t="shared" si="16"/>
        <v/>
      </c>
      <c r="U54" s="482">
        <f t="shared" si="17"/>
        <v>0.6</v>
      </c>
      <c r="V54" s="713"/>
      <c r="W54" s="716"/>
      <c r="X54" s="36"/>
      <c r="Y54" s="275"/>
      <c r="Z54" s="276"/>
      <c r="AA54" s="276"/>
    </row>
    <row r="55" spans="1:27" ht="130.94999999999999" customHeight="1" thickBot="1">
      <c r="A55" s="697"/>
      <c r="B55" s="701"/>
      <c r="C55" s="672"/>
      <c r="D55" s="675"/>
      <c r="E55" s="324">
        <v>6</v>
      </c>
      <c r="F55" s="307"/>
      <c r="G55" s="339"/>
      <c r="H55" s="195"/>
      <c r="I55" s="370" t="str">
        <f t="shared" si="0"/>
        <v xml:space="preserve">  </v>
      </c>
      <c r="J55" s="341"/>
      <c r="K55" s="279" t="str">
        <f>+IFERROR(VLOOKUP($J55,'11 FORMULAS'!$B$57:$C$59,2,0),"")</f>
        <v/>
      </c>
      <c r="L55" s="279" t="str">
        <f>+IFERROR(VLOOKUP($J55,'11 FORMULAS'!$B$57:$D$59,3,0),"")</f>
        <v/>
      </c>
      <c r="M55" s="321"/>
      <c r="N55" s="322" t="str">
        <f>+IFERROR(VLOOKUP($M55,'11 FORMULAS'!$B$60:$C$61,2,0),"")</f>
        <v/>
      </c>
      <c r="O55" s="323"/>
      <c r="P55" s="323"/>
      <c r="Q55" s="323"/>
      <c r="R55" s="323"/>
      <c r="S55" s="279" t="str">
        <f t="shared" si="1"/>
        <v/>
      </c>
      <c r="T55" s="482" t="str">
        <f t="shared" si="16"/>
        <v/>
      </c>
      <c r="U55" s="482">
        <f t="shared" si="17"/>
        <v>0.6</v>
      </c>
      <c r="V55" s="714"/>
      <c r="W55" s="717"/>
      <c r="X55" s="36"/>
    </row>
    <row r="56" spans="1:27" ht="130.94999999999999" customHeight="1" thickBot="1">
      <c r="A56" s="694" t="str">
        <f>'2 CONTEXTO E IDENTIFICACIÓN'!A17</f>
        <v>R9</v>
      </c>
      <c r="B56" s="698" t="str">
        <f>+'2 CONTEXTO E IDENTIFICACIÓN'!K17</f>
        <v xml:space="preserve">   </v>
      </c>
      <c r="C56" s="670" t="str">
        <f>+'3 PROBABIL E IMPACTO INHERENTE'!E17</f>
        <v/>
      </c>
      <c r="D56" s="673" t="str">
        <f>+'3 PROBABIL E IMPACTO INHERENTE'!M17</f>
        <v/>
      </c>
      <c r="E56" s="325">
        <v>1</v>
      </c>
      <c r="F56" s="305"/>
      <c r="G56" s="339"/>
      <c r="H56" s="48"/>
      <c r="I56" s="370" t="str">
        <f t="shared" si="0"/>
        <v xml:space="preserve">  </v>
      </c>
      <c r="J56" s="341"/>
      <c r="K56" s="279" t="str">
        <f>+IFERROR(VLOOKUP($J56,'11 FORMULAS'!$B$57:$C$59,2,0),"")</f>
        <v/>
      </c>
      <c r="L56" s="279" t="str">
        <f>+IFERROR(VLOOKUP($J56,'11 FORMULAS'!$B$57:$D$59,3,0),"")</f>
        <v/>
      </c>
      <c r="M56" s="321"/>
      <c r="N56" s="322" t="str">
        <f>+IFERROR(VLOOKUP($M56,'11 FORMULAS'!$B$60:$C$61,2,0),"")</f>
        <v/>
      </c>
      <c r="O56" s="323"/>
      <c r="P56" s="323"/>
      <c r="Q56" s="323"/>
      <c r="R56" s="323"/>
      <c r="S56" s="279" t="str">
        <f t="shared" si="1"/>
        <v/>
      </c>
      <c r="T56" s="279" t="str">
        <f>IF(OR(J56="Preventivo",J56="Detectivo"),C56-(C56*S56),C56)</f>
        <v/>
      </c>
      <c r="U56" s="279">
        <f>IF(J32="CORRECTIVO",D32-(D32*S32),D32)</f>
        <v>0.6</v>
      </c>
      <c r="V56" s="712" t="str">
        <f>+IF(T61="","",T61)</f>
        <v/>
      </c>
      <c r="W56" s="715">
        <f>+IF(U61="","",U61)</f>
        <v>0.6</v>
      </c>
      <c r="X56" s="36"/>
      <c r="Y56" s="275"/>
      <c r="Z56" s="276"/>
      <c r="AA56" s="276"/>
    </row>
    <row r="57" spans="1:27" ht="130.94999999999999" customHeight="1" thickBot="1">
      <c r="A57" s="696"/>
      <c r="B57" s="700"/>
      <c r="C57" s="671"/>
      <c r="D57" s="674"/>
      <c r="E57" s="320">
        <v>2</v>
      </c>
      <c r="F57" s="304"/>
      <c r="G57" s="339"/>
      <c r="H57" s="194"/>
      <c r="I57" s="370" t="str">
        <f t="shared" si="0"/>
        <v xml:space="preserve">  </v>
      </c>
      <c r="J57" s="341"/>
      <c r="K57" s="279" t="str">
        <f>+IFERROR(VLOOKUP($J57,'11 FORMULAS'!$B$57:$C$59,2,0),"")</f>
        <v/>
      </c>
      <c r="L57" s="279" t="str">
        <f>+IFERROR(VLOOKUP($J57,'11 FORMULAS'!$B$57:$D$59,3,0),"")</f>
        <v/>
      </c>
      <c r="M57" s="321"/>
      <c r="N57" s="322" t="str">
        <f>+IFERROR(VLOOKUP($M57,'11 FORMULAS'!$B$60:$C$61,2,0),"")</f>
        <v/>
      </c>
      <c r="O57" s="323"/>
      <c r="P57" s="323"/>
      <c r="Q57" s="323"/>
      <c r="R57" s="323"/>
      <c r="S57" s="279" t="str">
        <f t="shared" si="1"/>
        <v/>
      </c>
      <c r="T57" s="482" t="str">
        <f>IF(OR(J57="preventivo",J57="detectivo"),T56-(T56*S57),T56)</f>
        <v/>
      </c>
      <c r="U57" s="482">
        <f>IF(J57="correctivo",U56-(U56*S57),U56)</f>
        <v>0.6</v>
      </c>
      <c r="V57" s="713"/>
      <c r="W57" s="716"/>
      <c r="X57" s="36"/>
      <c r="Y57" s="275"/>
      <c r="Z57" s="276"/>
      <c r="AA57" s="276"/>
    </row>
    <row r="58" spans="1:27" ht="130.94999999999999" customHeight="1" thickBot="1">
      <c r="A58" s="696"/>
      <c r="B58" s="700"/>
      <c r="C58" s="671"/>
      <c r="D58" s="674"/>
      <c r="E58" s="320">
        <v>3</v>
      </c>
      <c r="F58" s="304"/>
      <c r="G58" s="339"/>
      <c r="H58" s="194"/>
      <c r="I58" s="370" t="str">
        <f t="shared" si="0"/>
        <v xml:space="preserve">  </v>
      </c>
      <c r="J58" s="341"/>
      <c r="K58" s="279" t="str">
        <f>+IFERROR(VLOOKUP($J58,'11 FORMULAS'!$B$57:$C$59,2,0),"")</f>
        <v/>
      </c>
      <c r="L58" s="279" t="str">
        <f>+IFERROR(VLOOKUP($J58,'11 FORMULAS'!$B$57:$D$59,3,0),"")</f>
        <v/>
      </c>
      <c r="M58" s="321"/>
      <c r="N58" s="322" t="str">
        <f>+IFERROR(VLOOKUP($M58,'11 FORMULAS'!$B$60:$C$61,2,0),"")</f>
        <v/>
      </c>
      <c r="O58" s="323"/>
      <c r="P58" s="323"/>
      <c r="Q58" s="323"/>
      <c r="R58" s="323"/>
      <c r="S58" s="279" t="str">
        <f t="shared" si="1"/>
        <v/>
      </c>
      <c r="T58" s="482" t="str">
        <f t="shared" ref="T58:T61" si="18">IF(OR(J58="preventivo",J58="detectivo"),T57-(T57*S58),T57)</f>
        <v/>
      </c>
      <c r="U58" s="482">
        <f t="shared" ref="U58:U61" si="19">IF(J58="correctivo",U57-(U57*S58),U57)</f>
        <v>0.6</v>
      </c>
      <c r="V58" s="713"/>
      <c r="W58" s="716"/>
      <c r="X58" s="36"/>
      <c r="Y58" s="275"/>
      <c r="Z58" s="276"/>
      <c r="AA58" s="276"/>
    </row>
    <row r="59" spans="1:27" ht="130.94999999999999" customHeight="1" thickBot="1">
      <c r="A59" s="696"/>
      <c r="B59" s="700"/>
      <c r="C59" s="671"/>
      <c r="D59" s="674"/>
      <c r="E59" s="320">
        <v>4</v>
      </c>
      <c r="F59" s="304"/>
      <c r="G59" s="339"/>
      <c r="H59" s="194"/>
      <c r="I59" s="370" t="str">
        <f t="shared" si="0"/>
        <v xml:space="preserve">  </v>
      </c>
      <c r="J59" s="341"/>
      <c r="K59" s="279" t="str">
        <f>+IFERROR(VLOOKUP($J59,'11 FORMULAS'!$B$57:$C$59,2,0),"")</f>
        <v/>
      </c>
      <c r="L59" s="279" t="str">
        <f>+IFERROR(VLOOKUP($J59,'11 FORMULAS'!$B$57:$D$59,3,0),"")</f>
        <v/>
      </c>
      <c r="M59" s="321"/>
      <c r="N59" s="322" t="str">
        <f>+IFERROR(VLOOKUP($M59,'11 FORMULAS'!$B$60:$C$61,2,0),"")</f>
        <v/>
      </c>
      <c r="O59" s="323"/>
      <c r="P59" s="323"/>
      <c r="Q59" s="323"/>
      <c r="R59" s="323"/>
      <c r="S59" s="279" t="str">
        <f t="shared" si="1"/>
        <v/>
      </c>
      <c r="T59" s="482" t="str">
        <f t="shared" si="18"/>
        <v/>
      </c>
      <c r="U59" s="482">
        <f t="shared" si="19"/>
        <v>0.6</v>
      </c>
      <c r="V59" s="713"/>
      <c r="W59" s="716"/>
      <c r="X59" s="36"/>
      <c r="Y59" s="275"/>
      <c r="Z59" s="276"/>
      <c r="AA59" s="276"/>
    </row>
    <row r="60" spans="1:27" ht="130.94999999999999" customHeight="1" thickBot="1">
      <c r="A60" s="696"/>
      <c r="B60" s="700"/>
      <c r="C60" s="671"/>
      <c r="D60" s="674"/>
      <c r="E60" s="320">
        <v>5</v>
      </c>
      <c r="F60" s="304"/>
      <c r="G60" s="339"/>
      <c r="H60" s="194"/>
      <c r="I60" s="370" t="str">
        <f t="shared" si="0"/>
        <v xml:space="preserve">  </v>
      </c>
      <c r="J60" s="341"/>
      <c r="K60" s="279" t="str">
        <f>+IFERROR(VLOOKUP($J60,'11 FORMULAS'!$B$57:$C$59,2,0),"")</f>
        <v/>
      </c>
      <c r="L60" s="279" t="str">
        <f>+IFERROR(VLOOKUP($J60,'11 FORMULAS'!$B$57:$D$59,3,0),"")</f>
        <v/>
      </c>
      <c r="M60" s="321"/>
      <c r="N60" s="322" t="str">
        <f>+IFERROR(VLOOKUP($M60,'11 FORMULAS'!$B$60:$C$61,2,0),"")</f>
        <v/>
      </c>
      <c r="O60" s="323"/>
      <c r="P60" s="323"/>
      <c r="Q60" s="323"/>
      <c r="R60" s="323"/>
      <c r="S60" s="279" t="str">
        <f t="shared" si="1"/>
        <v/>
      </c>
      <c r="T60" s="482" t="str">
        <f t="shared" si="18"/>
        <v/>
      </c>
      <c r="U60" s="482">
        <f t="shared" si="19"/>
        <v>0.6</v>
      </c>
      <c r="V60" s="713"/>
      <c r="W60" s="716"/>
      <c r="X60" s="36"/>
      <c r="Y60" s="275"/>
      <c r="Z60" s="276"/>
      <c r="AA60" s="276"/>
    </row>
    <row r="61" spans="1:27" ht="130.94999999999999" customHeight="1" thickBot="1">
      <c r="A61" s="697"/>
      <c r="B61" s="701"/>
      <c r="C61" s="672"/>
      <c r="D61" s="675"/>
      <c r="E61" s="324">
        <v>6</v>
      </c>
      <c r="F61" s="307"/>
      <c r="G61" s="339"/>
      <c r="H61" s="195"/>
      <c r="I61" s="370" t="str">
        <f t="shared" si="0"/>
        <v xml:space="preserve">  </v>
      </c>
      <c r="J61" s="341"/>
      <c r="K61" s="279" t="str">
        <f>+IFERROR(VLOOKUP($J61,'11 FORMULAS'!$B$57:$C$59,2,0),"")</f>
        <v/>
      </c>
      <c r="L61" s="279" t="str">
        <f>+IFERROR(VLOOKUP($J61,'11 FORMULAS'!$B$57:$D$59,3,0),"")</f>
        <v/>
      </c>
      <c r="M61" s="321"/>
      <c r="N61" s="322" t="str">
        <f>+IFERROR(VLOOKUP($M61,'11 FORMULAS'!$B$60:$C$61,2,0),"")</f>
        <v/>
      </c>
      <c r="O61" s="323"/>
      <c r="P61" s="323"/>
      <c r="Q61" s="323"/>
      <c r="R61" s="323"/>
      <c r="S61" s="279" t="str">
        <f t="shared" si="1"/>
        <v/>
      </c>
      <c r="T61" s="482" t="str">
        <f t="shared" si="18"/>
        <v/>
      </c>
      <c r="U61" s="482">
        <f t="shared" si="19"/>
        <v>0.6</v>
      </c>
      <c r="V61" s="714"/>
      <c r="W61" s="717"/>
      <c r="X61" s="36"/>
    </row>
    <row r="62" spans="1:27" ht="130.94999999999999" customHeight="1" thickBot="1">
      <c r="A62" s="694" t="str">
        <f>'2 CONTEXTO E IDENTIFICACIÓN'!A18</f>
        <v>R10</v>
      </c>
      <c r="B62" s="698" t="str">
        <f>+'2 CONTEXTO E IDENTIFICACIÓN'!K18</f>
        <v xml:space="preserve">   </v>
      </c>
      <c r="C62" s="670" t="str">
        <f>+'3 PROBABIL E IMPACTO INHERENTE'!E18</f>
        <v/>
      </c>
      <c r="D62" s="673" t="str">
        <f>+'3 PROBABIL E IMPACTO INHERENTE'!M18</f>
        <v/>
      </c>
      <c r="E62" s="325">
        <v>1</v>
      </c>
      <c r="F62" s="305"/>
      <c r="G62" s="339"/>
      <c r="H62" s="48"/>
      <c r="I62" s="370" t="str">
        <f t="shared" si="0"/>
        <v xml:space="preserve">  </v>
      </c>
      <c r="J62" s="341"/>
      <c r="K62" s="279" t="str">
        <f>+IFERROR(VLOOKUP($J62,'11 FORMULAS'!$B$57:$C$59,2,0),"")</f>
        <v/>
      </c>
      <c r="L62" s="279" t="str">
        <f>+IFERROR(VLOOKUP($J62,'11 FORMULAS'!$B$57:$D$59,3,0),"")</f>
        <v/>
      </c>
      <c r="M62" s="321"/>
      <c r="N62" s="322" t="str">
        <f>+IFERROR(VLOOKUP($M62,'11 FORMULAS'!$B$60:$C$61,2,0),"")</f>
        <v/>
      </c>
      <c r="O62" s="323"/>
      <c r="P62" s="323"/>
      <c r="Q62" s="323"/>
      <c r="R62" s="323"/>
      <c r="S62" s="279" t="str">
        <f t="shared" si="1"/>
        <v/>
      </c>
      <c r="T62" s="279" t="str">
        <f>IF(OR(J62="Preventivo",J62="Detectivo"),C62-(C62*S62),C62)</f>
        <v/>
      </c>
      <c r="U62" s="279">
        <f>IF(J32="CORRECTIVO",D32-(D32*S32),D32)</f>
        <v>0.6</v>
      </c>
      <c r="V62" s="712" t="str">
        <f>+IF(T67="","",T67)</f>
        <v/>
      </c>
      <c r="W62" s="715">
        <f>+IF(U67="","",U67)</f>
        <v>0.6</v>
      </c>
      <c r="X62" s="36"/>
      <c r="Y62" s="275"/>
      <c r="Z62" s="276"/>
      <c r="AA62" s="276"/>
    </row>
    <row r="63" spans="1:27" ht="130.94999999999999" customHeight="1" thickBot="1">
      <c r="A63" s="696"/>
      <c r="B63" s="700"/>
      <c r="C63" s="671"/>
      <c r="D63" s="674"/>
      <c r="E63" s="320">
        <v>2</v>
      </c>
      <c r="F63" s="304"/>
      <c r="G63" s="339"/>
      <c r="H63" s="194"/>
      <c r="I63" s="370" t="str">
        <f t="shared" si="0"/>
        <v xml:space="preserve">  </v>
      </c>
      <c r="J63" s="341"/>
      <c r="K63" s="279" t="str">
        <f>+IFERROR(VLOOKUP($J63,'11 FORMULAS'!$B$57:$C$59,2,0),"")</f>
        <v/>
      </c>
      <c r="L63" s="279" t="str">
        <f>+IFERROR(VLOOKUP($J63,'11 FORMULAS'!$B$57:$D$59,3,0),"")</f>
        <v/>
      </c>
      <c r="M63" s="321"/>
      <c r="N63" s="322" t="str">
        <f>+IFERROR(VLOOKUP($M63,'11 FORMULAS'!$B$60:$C$61,2,0),"")</f>
        <v/>
      </c>
      <c r="O63" s="323"/>
      <c r="P63" s="323"/>
      <c r="Q63" s="323"/>
      <c r="R63" s="323"/>
      <c r="S63" s="279" t="str">
        <f t="shared" si="1"/>
        <v/>
      </c>
      <c r="T63" s="482" t="str">
        <f>IF(OR(J63="preventivo",J63="detectivo"),T62-(T62*S63),T62)</f>
        <v/>
      </c>
      <c r="U63" s="482">
        <f>IF(J63="correctivo",U62-(U62*S63),U62)</f>
        <v>0.6</v>
      </c>
      <c r="V63" s="713"/>
      <c r="W63" s="716"/>
      <c r="X63" s="36"/>
      <c r="Y63" s="275"/>
      <c r="Z63" s="276"/>
      <c r="AA63" s="276"/>
    </row>
    <row r="64" spans="1:27" ht="130.94999999999999" customHeight="1" thickBot="1">
      <c r="A64" s="696"/>
      <c r="B64" s="700"/>
      <c r="C64" s="671"/>
      <c r="D64" s="674"/>
      <c r="E64" s="320">
        <v>3</v>
      </c>
      <c r="F64" s="304"/>
      <c r="G64" s="339"/>
      <c r="H64" s="194"/>
      <c r="I64" s="370" t="str">
        <f t="shared" si="0"/>
        <v xml:space="preserve">  </v>
      </c>
      <c r="J64" s="341"/>
      <c r="K64" s="279" t="str">
        <f>+IFERROR(VLOOKUP($J64,'11 FORMULAS'!$B$57:$C$59,2,0),"")</f>
        <v/>
      </c>
      <c r="L64" s="279" t="str">
        <f>+IFERROR(VLOOKUP($J64,'11 FORMULAS'!$B$57:$D$59,3,0),"")</f>
        <v/>
      </c>
      <c r="M64" s="321"/>
      <c r="N64" s="322" t="str">
        <f>+IFERROR(VLOOKUP($M64,'11 FORMULAS'!$B$60:$C$61,2,0),"")</f>
        <v/>
      </c>
      <c r="O64" s="323"/>
      <c r="P64" s="323"/>
      <c r="Q64" s="323"/>
      <c r="R64" s="323"/>
      <c r="S64" s="279" t="str">
        <f t="shared" si="1"/>
        <v/>
      </c>
      <c r="T64" s="482" t="str">
        <f t="shared" ref="T64:T67" si="20">IF(OR(J64="preventivo",J64="detectivo"),T63-(T63*S64),T63)</f>
        <v/>
      </c>
      <c r="U64" s="482">
        <f t="shared" ref="U64:U67" si="21">IF(J64="correctivo",U63-(U63*S64),U63)</f>
        <v>0.6</v>
      </c>
      <c r="V64" s="713"/>
      <c r="W64" s="716"/>
      <c r="X64" s="36"/>
      <c r="Y64" s="275"/>
      <c r="Z64" s="276"/>
      <c r="AA64" s="276"/>
    </row>
    <row r="65" spans="1:27" ht="130.94999999999999" customHeight="1" thickBot="1">
      <c r="A65" s="696"/>
      <c r="B65" s="700"/>
      <c r="C65" s="671"/>
      <c r="D65" s="674"/>
      <c r="E65" s="320">
        <v>4</v>
      </c>
      <c r="F65" s="304"/>
      <c r="G65" s="339"/>
      <c r="H65" s="194"/>
      <c r="I65" s="370" t="str">
        <f t="shared" si="0"/>
        <v xml:space="preserve">  </v>
      </c>
      <c r="J65" s="341"/>
      <c r="K65" s="279" t="str">
        <f>+IFERROR(VLOOKUP($J65,'11 FORMULAS'!$B$57:$C$59,2,0),"")</f>
        <v/>
      </c>
      <c r="L65" s="279" t="str">
        <f>+IFERROR(VLOOKUP($J65,'11 FORMULAS'!$B$57:$D$59,3,0),"")</f>
        <v/>
      </c>
      <c r="M65" s="321"/>
      <c r="N65" s="322" t="str">
        <f>+IFERROR(VLOOKUP($M65,'11 FORMULAS'!$B$60:$C$61,2,0),"")</f>
        <v/>
      </c>
      <c r="O65" s="323"/>
      <c r="P65" s="323"/>
      <c r="Q65" s="323"/>
      <c r="R65" s="323"/>
      <c r="S65" s="279" t="str">
        <f t="shared" si="1"/>
        <v/>
      </c>
      <c r="T65" s="482" t="str">
        <f t="shared" si="20"/>
        <v/>
      </c>
      <c r="U65" s="482">
        <f t="shared" si="21"/>
        <v>0.6</v>
      </c>
      <c r="V65" s="713"/>
      <c r="W65" s="716"/>
      <c r="X65" s="36"/>
      <c r="Y65" s="275"/>
      <c r="Z65" s="276"/>
      <c r="AA65" s="276"/>
    </row>
    <row r="66" spans="1:27" ht="130.94999999999999" customHeight="1" thickBot="1">
      <c r="A66" s="696"/>
      <c r="B66" s="700"/>
      <c r="C66" s="671"/>
      <c r="D66" s="674"/>
      <c r="E66" s="320">
        <v>5</v>
      </c>
      <c r="F66" s="304"/>
      <c r="G66" s="339"/>
      <c r="H66" s="194"/>
      <c r="I66" s="370" t="str">
        <f t="shared" si="0"/>
        <v xml:space="preserve">  </v>
      </c>
      <c r="J66" s="341"/>
      <c r="K66" s="279" t="str">
        <f>+IFERROR(VLOOKUP($J66,'11 FORMULAS'!$B$57:$C$59,2,0),"")</f>
        <v/>
      </c>
      <c r="L66" s="279" t="str">
        <f>+IFERROR(VLOOKUP($J66,'11 FORMULAS'!$B$57:$D$59,3,0),"")</f>
        <v/>
      </c>
      <c r="M66" s="321"/>
      <c r="N66" s="322" t="str">
        <f>+IFERROR(VLOOKUP($M66,'11 FORMULAS'!$B$60:$C$61,2,0),"")</f>
        <v/>
      </c>
      <c r="O66" s="323"/>
      <c r="P66" s="323"/>
      <c r="Q66" s="323"/>
      <c r="R66" s="323"/>
      <c r="S66" s="279" t="str">
        <f t="shared" si="1"/>
        <v/>
      </c>
      <c r="T66" s="482" t="str">
        <f t="shared" si="20"/>
        <v/>
      </c>
      <c r="U66" s="482">
        <f t="shared" si="21"/>
        <v>0.6</v>
      </c>
      <c r="V66" s="713"/>
      <c r="W66" s="716"/>
      <c r="X66" s="36"/>
      <c r="Y66" s="275"/>
      <c r="Z66" s="276"/>
      <c r="AA66" s="276"/>
    </row>
    <row r="67" spans="1:27" ht="130.94999999999999" customHeight="1" thickBot="1">
      <c r="A67" s="697"/>
      <c r="B67" s="701"/>
      <c r="C67" s="672"/>
      <c r="D67" s="675"/>
      <c r="E67" s="324">
        <v>6</v>
      </c>
      <c r="F67" s="307"/>
      <c r="G67" s="339"/>
      <c r="H67" s="195"/>
      <c r="I67" s="370" t="str">
        <f t="shared" si="0"/>
        <v xml:space="preserve">  </v>
      </c>
      <c r="J67" s="341"/>
      <c r="K67" s="279" t="str">
        <f>+IFERROR(VLOOKUP($J67,'11 FORMULAS'!$B$57:$C$59,2,0),"")</f>
        <v/>
      </c>
      <c r="L67" s="279" t="str">
        <f>+IFERROR(VLOOKUP($J67,'11 FORMULAS'!$B$57:$D$59,3,0),"")</f>
        <v/>
      </c>
      <c r="M67" s="321"/>
      <c r="N67" s="322" t="str">
        <f>+IFERROR(VLOOKUP($M67,'11 FORMULAS'!$B$60:$C$61,2,0),"")</f>
        <v/>
      </c>
      <c r="O67" s="323"/>
      <c r="P67" s="323"/>
      <c r="Q67" s="323"/>
      <c r="R67" s="323"/>
      <c r="S67" s="279" t="str">
        <f t="shared" si="1"/>
        <v/>
      </c>
      <c r="T67" s="482" t="str">
        <f t="shared" si="20"/>
        <v/>
      </c>
      <c r="U67" s="482">
        <f t="shared" si="21"/>
        <v>0.6</v>
      </c>
      <c r="V67" s="714"/>
      <c r="W67" s="717"/>
      <c r="X67" s="36"/>
    </row>
    <row r="68" spans="1:27" ht="130.94999999999999" customHeight="1" thickBot="1">
      <c r="A68" s="694" t="str">
        <f>'2 CONTEXTO E IDENTIFICACIÓN'!A19</f>
        <v>R11</v>
      </c>
      <c r="B68" s="698" t="str">
        <f>+'2 CONTEXTO E IDENTIFICACIÓN'!K19</f>
        <v xml:space="preserve">   </v>
      </c>
      <c r="C68" s="670" t="str">
        <f>+'3 PROBABIL E IMPACTO INHERENTE'!E19</f>
        <v/>
      </c>
      <c r="D68" s="673" t="str">
        <f>+'3 PROBABIL E IMPACTO INHERENTE'!M19</f>
        <v/>
      </c>
      <c r="E68" s="325">
        <v>1</v>
      </c>
      <c r="F68" s="305"/>
      <c r="G68" s="339"/>
      <c r="H68" s="48"/>
      <c r="I68" s="370" t="str">
        <f t="shared" si="0"/>
        <v xml:space="preserve">  </v>
      </c>
      <c r="J68" s="341"/>
      <c r="K68" s="279" t="str">
        <f>+IFERROR(VLOOKUP($J68,'11 FORMULAS'!$B$57:$C$59,2,0),"")</f>
        <v/>
      </c>
      <c r="L68" s="279" t="str">
        <f>+IFERROR(VLOOKUP($J68,'11 FORMULAS'!$B$57:$D$59,3,0),"")</f>
        <v/>
      </c>
      <c r="M68" s="321"/>
      <c r="N68" s="322" t="str">
        <f>+IFERROR(VLOOKUP($M68,'11 FORMULAS'!$B$60:$C$61,2,0),"")</f>
        <v/>
      </c>
      <c r="O68" s="323"/>
      <c r="P68" s="323"/>
      <c r="Q68" s="323"/>
      <c r="R68" s="323"/>
      <c r="S68" s="279" t="str">
        <f t="shared" si="1"/>
        <v/>
      </c>
      <c r="T68" s="279" t="str">
        <f>IF(OR(J68="Preventivo",J68="Detectivo"),C68-(C68*S68),C68)</f>
        <v/>
      </c>
      <c r="U68" s="279">
        <f>IF(J32="CORRECTIVO",D32-(D32*S32),D32)</f>
        <v>0.6</v>
      </c>
      <c r="V68" s="712" t="str">
        <f>+IF(T73="","",T73)</f>
        <v/>
      </c>
      <c r="W68" s="715">
        <f>+IF(U73="","",U73)</f>
        <v>0.6</v>
      </c>
      <c r="X68" s="36"/>
      <c r="Y68" s="275"/>
      <c r="Z68" s="276"/>
      <c r="AA68" s="276"/>
    </row>
    <row r="69" spans="1:27" ht="130.94999999999999" customHeight="1" thickBot="1">
      <c r="A69" s="695"/>
      <c r="B69" s="699"/>
      <c r="C69" s="702"/>
      <c r="D69" s="703"/>
      <c r="E69" s="320">
        <v>2</v>
      </c>
      <c r="F69" s="303"/>
      <c r="G69" s="339"/>
      <c r="H69" s="301"/>
      <c r="I69" s="370" t="str">
        <f t="shared" si="0"/>
        <v xml:space="preserve">  </v>
      </c>
      <c r="J69" s="341"/>
      <c r="K69" s="279" t="str">
        <f>+IFERROR(VLOOKUP($J69,'11 FORMULAS'!$B$57:$C$59,2,0),"")</f>
        <v/>
      </c>
      <c r="L69" s="279" t="str">
        <f>+IFERROR(VLOOKUP($J69,'11 FORMULAS'!$B$57:$D$59,3,0),"")</f>
        <v/>
      </c>
      <c r="M69" s="321"/>
      <c r="N69" s="322" t="str">
        <f>+IFERROR(VLOOKUP($M69,'11 FORMULAS'!$B$60:$C$61,2,0),"")</f>
        <v/>
      </c>
      <c r="O69" s="323"/>
      <c r="P69" s="323"/>
      <c r="Q69" s="323"/>
      <c r="R69" s="323"/>
      <c r="S69" s="279" t="str">
        <f t="shared" si="1"/>
        <v/>
      </c>
      <c r="T69" s="482" t="str">
        <f>IF(OR(J69="preventivo",J69="detectivo"),T68-(T68*S69),T68)</f>
        <v/>
      </c>
      <c r="U69" s="482">
        <f>IF(J69="correctivo",U68-(U68*S69),U68)</f>
        <v>0.6</v>
      </c>
      <c r="V69" s="718"/>
      <c r="W69" s="719"/>
      <c r="X69" s="36"/>
      <c r="Y69" s="275"/>
      <c r="Z69" s="276"/>
      <c r="AA69" s="276"/>
    </row>
    <row r="70" spans="1:27" ht="130.94999999999999" customHeight="1" thickBot="1">
      <c r="A70" s="695"/>
      <c r="B70" s="699"/>
      <c r="C70" s="702"/>
      <c r="D70" s="703"/>
      <c r="E70" s="320">
        <v>3</v>
      </c>
      <c r="F70" s="303"/>
      <c r="G70" s="339"/>
      <c r="H70" s="301"/>
      <c r="I70" s="370" t="str">
        <f t="shared" si="0"/>
        <v xml:space="preserve">  </v>
      </c>
      <c r="J70" s="341"/>
      <c r="K70" s="279" t="str">
        <f>+IFERROR(VLOOKUP($J70,'11 FORMULAS'!$B$57:$C$59,2,0),"")</f>
        <v/>
      </c>
      <c r="L70" s="279" t="str">
        <f>+IFERROR(VLOOKUP($J70,'11 FORMULAS'!$B$57:$D$59,3,0),"")</f>
        <v/>
      </c>
      <c r="M70" s="321"/>
      <c r="N70" s="322" t="str">
        <f>+IFERROR(VLOOKUP($M70,'11 FORMULAS'!$B$60:$C$61,2,0),"")</f>
        <v/>
      </c>
      <c r="O70" s="323"/>
      <c r="P70" s="323"/>
      <c r="Q70" s="323"/>
      <c r="R70" s="323"/>
      <c r="S70" s="279" t="str">
        <f t="shared" si="1"/>
        <v/>
      </c>
      <c r="T70" s="482" t="str">
        <f t="shared" ref="T70:T73" si="22">IF(OR(J70="preventivo",J70="detectivo"),T69-(T69*S70),T69)</f>
        <v/>
      </c>
      <c r="U70" s="482">
        <f t="shared" ref="U70:U73" si="23">IF(J70="correctivo",U69-(U69*S70),U69)</f>
        <v>0.6</v>
      </c>
      <c r="V70" s="718"/>
      <c r="W70" s="719"/>
      <c r="X70" s="36"/>
      <c r="Y70" s="275"/>
      <c r="Z70" s="276"/>
      <c r="AA70" s="276"/>
    </row>
    <row r="71" spans="1:27" ht="130.94999999999999" customHeight="1" thickBot="1">
      <c r="A71" s="696"/>
      <c r="B71" s="700"/>
      <c r="C71" s="671"/>
      <c r="D71" s="674"/>
      <c r="E71" s="320">
        <v>4</v>
      </c>
      <c r="F71" s="304"/>
      <c r="G71" s="339"/>
      <c r="H71" s="194"/>
      <c r="I71" s="370" t="str">
        <f t="shared" si="0"/>
        <v xml:space="preserve">  </v>
      </c>
      <c r="J71" s="341"/>
      <c r="K71" s="279" t="str">
        <f>+IFERROR(VLOOKUP($J71,'11 FORMULAS'!$B$57:$C$59,2,0),"")</f>
        <v/>
      </c>
      <c r="L71" s="279" t="str">
        <f>+IFERROR(VLOOKUP($J71,'11 FORMULAS'!$B$57:$D$59,3,0),"")</f>
        <v/>
      </c>
      <c r="M71" s="321"/>
      <c r="N71" s="322" t="str">
        <f>+IFERROR(VLOOKUP($M71,'11 FORMULAS'!$B$60:$C$61,2,0),"")</f>
        <v/>
      </c>
      <c r="O71" s="323"/>
      <c r="P71" s="323"/>
      <c r="Q71" s="323"/>
      <c r="R71" s="323"/>
      <c r="S71" s="279" t="str">
        <f t="shared" si="1"/>
        <v/>
      </c>
      <c r="T71" s="482" t="str">
        <f t="shared" si="22"/>
        <v/>
      </c>
      <c r="U71" s="482">
        <f t="shared" si="23"/>
        <v>0.6</v>
      </c>
      <c r="V71" s="713"/>
      <c r="W71" s="716"/>
      <c r="X71" s="36"/>
      <c r="Y71" s="275"/>
      <c r="Z71" s="276"/>
      <c r="AA71" s="276"/>
    </row>
    <row r="72" spans="1:27" ht="130.94999999999999" customHeight="1" thickBot="1">
      <c r="A72" s="696"/>
      <c r="B72" s="700"/>
      <c r="C72" s="671"/>
      <c r="D72" s="674"/>
      <c r="E72" s="320">
        <v>5</v>
      </c>
      <c r="F72" s="304"/>
      <c r="G72" s="339"/>
      <c r="H72" s="194"/>
      <c r="I72" s="370" t="str">
        <f t="shared" ref="I72:I127" si="24">+CONCATENATE(F72," ",G72," ",H72)</f>
        <v xml:space="preserve">  </v>
      </c>
      <c r="J72" s="341"/>
      <c r="K72" s="279" t="str">
        <f>+IFERROR(VLOOKUP($J72,'11 FORMULAS'!$B$57:$C$59,2,0),"")</f>
        <v/>
      </c>
      <c r="L72" s="279" t="str">
        <f>+IFERROR(VLOOKUP($J72,'11 FORMULAS'!$B$57:$D$59,3,0),"")</f>
        <v/>
      </c>
      <c r="M72" s="321"/>
      <c r="N72" s="322" t="str">
        <f>+IFERROR(VLOOKUP($M72,'11 FORMULAS'!$B$60:$C$61,2,0),"")</f>
        <v/>
      </c>
      <c r="O72" s="323"/>
      <c r="P72" s="323"/>
      <c r="Q72" s="323"/>
      <c r="R72" s="323"/>
      <c r="S72" s="279" t="str">
        <f t="shared" si="1"/>
        <v/>
      </c>
      <c r="T72" s="482" t="str">
        <f t="shared" si="22"/>
        <v/>
      </c>
      <c r="U72" s="482">
        <f t="shared" si="23"/>
        <v>0.6</v>
      </c>
      <c r="V72" s="713"/>
      <c r="W72" s="716"/>
      <c r="X72" s="36"/>
      <c r="Y72" s="275"/>
      <c r="Z72" s="276"/>
      <c r="AA72" s="276"/>
    </row>
    <row r="73" spans="1:27" ht="130.94999999999999" customHeight="1" thickBot="1">
      <c r="A73" s="697"/>
      <c r="B73" s="701"/>
      <c r="C73" s="672"/>
      <c r="D73" s="675"/>
      <c r="E73" s="324">
        <v>6</v>
      </c>
      <c r="F73" s="307"/>
      <c r="G73" s="339"/>
      <c r="H73" s="195"/>
      <c r="I73" s="370" t="str">
        <f t="shared" si="24"/>
        <v xml:space="preserve">  </v>
      </c>
      <c r="J73" s="341"/>
      <c r="K73" s="279" t="str">
        <f>+IFERROR(VLOOKUP($J73,'11 FORMULAS'!$B$57:$C$59,2,0),"")</f>
        <v/>
      </c>
      <c r="L73" s="279" t="str">
        <f>+IFERROR(VLOOKUP($J73,'11 FORMULAS'!$B$57:$D$59,3,0),"")</f>
        <v/>
      </c>
      <c r="M73" s="321"/>
      <c r="N73" s="322" t="str">
        <f>+IFERROR(VLOOKUP($M73,'11 FORMULAS'!$B$60:$C$61,2,0),"")</f>
        <v/>
      </c>
      <c r="O73" s="323"/>
      <c r="P73" s="323"/>
      <c r="Q73" s="323"/>
      <c r="R73" s="323"/>
      <c r="S73" s="279" t="str">
        <f t="shared" ref="S73:S127" si="25">+IFERROR($K73+$N73,"")</f>
        <v/>
      </c>
      <c r="T73" s="482" t="str">
        <f t="shared" si="22"/>
        <v/>
      </c>
      <c r="U73" s="482">
        <f t="shared" si="23"/>
        <v>0.6</v>
      </c>
      <c r="V73" s="714"/>
      <c r="W73" s="717"/>
      <c r="X73" s="36"/>
    </row>
    <row r="74" spans="1:27" ht="130.94999999999999" customHeight="1" thickBot="1">
      <c r="A74" s="694" t="str">
        <f>'2 CONTEXTO E IDENTIFICACIÓN'!A20</f>
        <v>R12</v>
      </c>
      <c r="B74" s="698" t="str">
        <f>+'2 CONTEXTO E IDENTIFICACIÓN'!K20</f>
        <v xml:space="preserve">   </v>
      </c>
      <c r="C74" s="670" t="str">
        <f>+'3 PROBABIL E IMPACTO INHERENTE'!E20</f>
        <v/>
      </c>
      <c r="D74" s="673" t="str">
        <f>+'3 PROBABIL E IMPACTO INHERENTE'!M20</f>
        <v/>
      </c>
      <c r="E74" s="325">
        <v>1</v>
      </c>
      <c r="F74" s="305"/>
      <c r="G74" s="339"/>
      <c r="H74" s="48"/>
      <c r="I74" s="370" t="str">
        <f t="shared" si="24"/>
        <v xml:space="preserve">  </v>
      </c>
      <c r="J74" s="341"/>
      <c r="K74" s="279" t="str">
        <f>+IFERROR(VLOOKUP($J74,'11 FORMULAS'!$B$57:$C$59,2,0),"")</f>
        <v/>
      </c>
      <c r="L74" s="279" t="str">
        <f>+IFERROR(VLOOKUP($J74,'11 FORMULAS'!$B$57:$D$59,3,0),"")</f>
        <v/>
      </c>
      <c r="M74" s="321"/>
      <c r="N74" s="322" t="str">
        <f>+IFERROR(VLOOKUP($M74,'11 FORMULAS'!$B$60:$C$61,2,0),"")</f>
        <v/>
      </c>
      <c r="O74" s="323"/>
      <c r="P74" s="323"/>
      <c r="Q74" s="323"/>
      <c r="R74" s="323"/>
      <c r="S74" s="279" t="str">
        <f t="shared" si="25"/>
        <v/>
      </c>
      <c r="T74" s="279" t="str">
        <f>IF(OR(J74="Preventivo",J74="Detectivo"),C74-(C74*S74),C74)</f>
        <v/>
      </c>
      <c r="U74" s="279">
        <f>IF(J32="CORRECTIVO",D32-(D32*S32),D32)</f>
        <v>0.6</v>
      </c>
      <c r="V74" s="712" t="str">
        <f>+IF(T79="","",T79)</f>
        <v/>
      </c>
      <c r="W74" s="715">
        <f>+IF(U79="","",U79)</f>
        <v>0.6</v>
      </c>
      <c r="X74" s="36"/>
      <c r="Y74" s="275"/>
      <c r="Z74" s="276"/>
      <c r="AA74" s="276"/>
    </row>
    <row r="75" spans="1:27" ht="130.94999999999999" customHeight="1" thickBot="1">
      <c r="A75" s="696"/>
      <c r="B75" s="700"/>
      <c r="C75" s="671"/>
      <c r="D75" s="674"/>
      <c r="E75" s="320">
        <v>2</v>
      </c>
      <c r="F75" s="304"/>
      <c r="G75" s="339"/>
      <c r="H75" s="194"/>
      <c r="I75" s="370" t="str">
        <f t="shared" si="24"/>
        <v xml:space="preserve">  </v>
      </c>
      <c r="J75" s="341"/>
      <c r="K75" s="279" t="str">
        <f>+IFERROR(VLOOKUP($J75,'11 FORMULAS'!$B$57:$C$59,2,0),"")</f>
        <v/>
      </c>
      <c r="L75" s="279" t="str">
        <f>+IFERROR(VLOOKUP($J75,'11 FORMULAS'!$B$57:$D$59,3,0),"")</f>
        <v/>
      </c>
      <c r="M75" s="321"/>
      <c r="N75" s="322" t="str">
        <f>+IFERROR(VLOOKUP($M75,'11 FORMULAS'!$B$60:$C$61,2,0),"")</f>
        <v/>
      </c>
      <c r="O75" s="323"/>
      <c r="P75" s="323"/>
      <c r="Q75" s="323"/>
      <c r="R75" s="323"/>
      <c r="S75" s="279" t="str">
        <f t="shared" si="25"/>
        <v/>
      </c>
      <c r="T75" s="482" t="str">
        <f>IF(OR(J75="preventivo",J75="detectivo"),T74-(T74*S75),T74)</f>
        <v/>
      </c>
      <c r="U75" s="482">
        <f>IF(J75="correctivo",U74-(U74*S75),U74)</f>
        <v>0.6</v>
      </c>
      <c r="V75" s="713"/>
      <c r="W75" s="716"/>
      <c r="X75" s="36"/>
      <c r="Y75" s="275"/>
      <c r="Z75" s="276"/>
      <c r="AA75" s="276"/>
    </row>
    <row r="76" spans="1:27" ht="130.94999999999999" customHeight="1" thickBot="1">
      <c r="A76" s="696"/>
      <c r="B76" s="700"/>
      <c r="C76" s="671"/>
      <c r="D76" s="674"/>
      <c r="E76" s="320">
        <v>3</v>
      </c>
      <c r="F76" s="304"/>
      <c r="G76" s="339"/>
      <c r="H76" s="194"/>
      <c r="I76" s="370" t="str">
        <f t="shared" si="24"/>
        <v xml:space="preserve">  </v>
      </c>
      <c r="J76" s="341"/>
      <c r="K76" s="279" t="str">
        <f>+IFERROR(VLOOKUP($J76,'11 FORMULAS'!$B$57:$C$59,2,0),"")</f>
        <v/>
      </c>
      <c r="L76" s="279" t="str">
        <f>+IFERROR(VLOOKUP($J76,'11 FORMULAS'!$B$57:$D$59,3,0),"")</f>
        <v/>
      </c>
      <c r="M76" s="321"/>
      <c r="N76" s="322" t="str">
        <f>+IFERROR(VLOOKUP($M76,'11 FORMULAS'!$B$60:$C$61,2,0),"")</f>
        <v/>
      </c>
      <c r="O76" s="323"/>
      <c r="P76" s="323"/>
      <c r="Q76" s="323"/>
      <c r="R76" s="323"/>
      <c r="S76" s="279" t="str">
        <f t="shared" si="25"/>
        <v/>
      </c>
      <c r="T76" s="482" t="str">
        <f t="shared" ref="T76:T79" si="26">IF(OR(J76="preventivo",J76="detectivo"),T75-(T75*S76),T75)</f>
        <v/>
      </c>
      <c r="U76" s="482">
        <f t="shared" ref="U76:U79" si="27">IF(J76="correctivo",U75-(U75*S76),U75)</f>
        <v>0.6</v>
      </c>
      <c r="V76" s="713"/>
      <c r="W76" s="716"/>
      <c r="X76" s="36"/>
      <c r="Y76" s="275"/>
      <c r="Z76" s="276"/>
      <c r="AA76" s="276"/>
    </row>
    <row r="77" spans="1:27" ht="130.94999999999999" customHeight="1" thickBot="1">
      <c r="A77" s="696"/>
      <c r="B77" s="700"/>
      <c r="C77" s="671"/>
      <c r="D77" s="674"/>
      <c r="E77" s="320">
        <v>4</v>
      </c>
      <c r="F77" s="304"/>
      <c r="G77" s="339"/>
      <c r="H77" s="194"/>
      <c r="I77" s="370" t="str">
        <f t="shared" si="24"/>
        <v xml:space="preserve">  </v>
      </c>
      <c r="J77" s="341"/>
      <c r="K77" s="279" t="str">
        <f>+IFERROR(VLOOKUP($J77,'11 FORMULAS'!$B$57:$C$59,2,0),"")</f>
        <v/>
      </c>
      <c r="L77" s="279" t="str">
        <f>+IFERROR(VLOOKUP($J77,'11 FORMULAS'!$B$57:$D$59,3,0),"")</f>
        <v/>
      </c>
      <c r="M77" s="321"/>
      <c r="N77" s="322" t="str">
        <f>+IFERROR(VLOOKUP($M77,'11 FORMULAS'!$B$60:$C$61,2,0),"")</f>
        <v/>
      </c>
      <c r="O77" s="323"/>
      <c r="P77" s="323"/>
      <c r="Q77" s="323"/>
      <c r="R77" s="323"/>
      <c r="S77" s="279" t="str">
        <f t="shared" si="25"/>
        <v/>
      </c>
      <c r="T77" s="482" t="str">
        <f t="shared" si="26"/>
        <v/>
      </c>
      <c r="U77" s="482">
        <f t="shared" si="27"/>
        <v>0.6</v>
      </c>
      <c r="V77" s="713"/>
      <c r="W77" s="716"/>
      <c r="X77" s="36"/>
      <c r="Y77" s="275"/>
      <c r="Z77" s="276"/>
      <c r="AA77" s="276"/>
    </row>
    <row r="78" spans="1:27" ht="130.94999999999999" customHeight="1" thickBot="1">
      <c r="A78" s="696"/>
      <c r="B78" s="700"/>
      <c r="C78" s="671"/>
      <c r="D78" s="674"/>
      <c r="E78" s="320">
        <v>5</v>
      </c>
      <c r="F78" s="304"/>
      <c r="G78" s="339"/>
      <c r="H78" s="194"/>
      <c r="I78" s="370" t="str">
        <f t="shared" si="24"/>
        <v xml:space="preserve">  </v>
      </c>
      <c r="J78" s="341"/>
      <c r="K78" s="279" t="str">
        <f>+IFERROR(VLOOKUP($J78,'11 FORMULAS'!$B$57:$C$59,2,0),"")</f>
        <v/>
      </c>
      <c r="L78" s="279" t="str">
        <f>+IFERROR(VLOOKUP($J78,'11 FORMULAS'!$B$57:$D$59,3,0),"")</f>
        <v/>
      </c>
      <c r="M78" s="321"/>
      <c r="N78" s="322" t="str">
        <f>+IFERROR(VLOOKUP($M78,'11 FORMULAS'!$B$60:$C$61,2,0),"")</f>
        <v/>
      </c>
      <c r="O78" s="323"/>
      <c r="P78" s="323"/>
      <c r="Q78" s="323"/>
      <c r="R78" s="323"/>
      <c r="S78" s="279" t="str">
        <f t="shared" si="25"/>
        <v/>
      </c>
      <c r="T78" s="482" t="str">
        <f t="shared" si="26"/>
        <v/>
      </c>
      <c r="U78" s="482">
        <f t="shared" si="27"/>
        <v>0.6</v>
      </c>
      <c r="V78" s="713"/>
      <c r="W78" s="716"/>
      <c r="X78" s="36"/>
      <c r="Y78" s="275"/>
      <c r="Z78" s="276"/>
      <c r="AA78" s="276"/>
    </row>
    <row r="79" spans="1:27" ht="130.94999999999999" customHeight="1" thickBot="1">
      <c r="A79" s="697"/>
      <c r="B79" s="701"/>
      <c r="C79" s="672"/>
      <c r="D79" s="675"/>
      <c r="E79" s="324">
        <v>6</v>
      </c>
      <c r="F79" s="307"/>
      <c r="G79" s="339"/>
      <c r="H79" s="195"/>
      <c r="I79" s="370" t="str">
        <f t="shared" si="24"/>
        <v xml:space="preserve">  </v>
      </c>
      <c r="J79" s="341"/>
      <c r="K79" s="279" t="str">
        <f>+IFERROR(VLOOKUP($J79,'11 FORMULAS'!$B$57:$C$59,2,0),"")</f>
        <v/>
      </c>
      <c r="L79" s="279" t="str">
        <f>+IFERROR(VLOOKUP($J79,'11 FORMULAS'!$B$57:$D$59,3,0),"")</f>
        <v/>
      </c>
      <c r="M79" s="321"/>
      <c r="N79" s="322" t="str">
        <f>+IFERROR(VLOOKUP($M79,'11 FORMULAS'!$B$60:$C$61,2,0),"")</f>
        <v/>
      </c>
      <c r="O79" s="323"/>
      <c r="P79" s="323"/>
      <c r="Q79" s="323"/>
      <c r="R79" s="323"/>
      <c r="S79" s="279" t="str">
        <f t="shared" si="25"/>
        <v/>
      </c>
      <c r="T79" s="482" t="str">
        <f t="shared" si="26"/>
        <v/>
      </c>
      <c r="U79" s="482">
        <f t="shared" si="27"/>
        <v>0.6</v>
      </c>
      <c r="V79" s="714"/>
      <c r="W79" s="717"/>
      <c r="X79" s="36"/>
    </row>
    <row r="80" spans="1:27" ht="130.94999999999999" customHeight="1" thickBot="1">
      <c r="A80" s="694" t="str">
        <f>'2 CONTEXTO E IDENTIFICACIÓN'!A21</f>
        <v>R13</v>
      </c>
      <c r="B80" s="698" t="str">
        <f>+'2 CONTEXTO E IDENTIFICACIÓN'!K21</f>
        <v xml:space="preserve">   </v>
      </c>
      <c r="C80" s="670" t="str">
        <f>+'3 PROBABIL E IMPACTO INHERENTE'!E21</f>
        <v/>
      </c>
      <c r="D80" s="673" t="str">
        <f>+'3 PROBABIL E IMPACTO INHERENTE'!M21</f>
        <v/>
      </c>
      <c r="E80" s="325">
        <v>1</v>
      </c>
      <c r="F80" s="305"/>
      <c r="G80" s="339"/>
      <c r="H80" s="48"/>
      <c r="I80" s="370" t="str">
        <f t="shared" si="24"/>
        <v xml:space="preserve">  </v>
      </c>
      <c r="J80" s="341"/>
      <c r="K80" s="279" t="str">
        <f>+IFERROR(VLOOKUP($J80,'11 FORMULAS'!$B$57:$C$59,2,0),"")</f>
        <v/>
      </c>
      <c r="L80" s="279" t="str">
        <f>+IFERROR(VLOOKUP($J80,'11 FORMULAS'!$B$57:$D$59,3,0),"")</f>
        <v/>
      </c>
      <c r="M80" s="321"/>
      <c r="N80" s="322" t="str">
        <f>+IFERROR(VLOOKUP($M80,'11 FORMULAS'!$B$60:$C$61,2,0),"")</f>
        <v/>
      </c>
      <c r="O80" s="323"/>
      <c r="P80" s="323"/>
      <c r="Q80" s="323"/>
      <c r="R80" s="323"/>
      <c r="S80" s="279" t="str">
        <f t="shared" si="25"/>
        <v/>
      </c>
      <c r="T80" s="279" t="str">
        <f>IF(OR(J80="Preventivo",J80="Detectivo"),C80-(C80*S80),C80)</f>
        <v/>
      </c>
      <c r="U80" s="279">
        <f>IF(J32="CORRECTIVO",D32-(D32*S32),D32)</f>
        <v>0.6</v>
      </c>
      <c r="V80" s="712" t="str">
        <f>+IF(T85="","",T85)</f>
        <v/>
      </c>
      <c r="W80" s="715">
        <f>+IF(U85="","",U85)</f>
        <v>0.6</v>
      </c>
      <c r="X80" s="36"/>
      <c r="Y80" s="275"/>
      <c r="Z80" s="276"/>
      <c r="AA80" s="276"/>
    </row>
    <row r="81" spans="1:27" ht="130.94999999999999" customHeight="1" thickBot="1">
      <c r="A81" s="696"/>
      <c r="B81" s="700"/>
      <c r="C81" s="671"/>
      <c r="D81" s="674"/>
      <c r="E81" s="320">
        <v>2</v>
      </c>
      <c r="F81" s="304"/>
      <c r="G81" s="339"/>
      <c r="H81" s="194"/>
      <c r="I81" s="370" t="str">
        <f t="shared" si="24"/>
        <v xml:space="preserve">  </v>
      </c>
      <c r="J81" s="341"/>
      <c r="K81" s="279" t="str">
        <f>+IFERROR(VLOOKUP($J81,'11 FORMULAS'!$B$57:$C$59,2,0),"")</f>
        <v/>
      </c>
      <c r="L81" s="279" t="str">
        <f>+IFERROR(VLOOKUP($J81,'11 FORMULAS'!$B$57:$D$59,3,0),"")</f>
        <v/>
      </c>
      <c r="M81" s="321"/>
      <c r="N81" s="322" t="str">
        <f>+IFERROR(VLOOKUP($M81,'11 FORMULAS'!$B$60:$C$61,2,0),"")</f>
        <v/>
      </c>
      <c r="O81" s="323"/>
      <c r="P81" s="323"/>
      <c r="Q81" s="323"/>
      <c r="R81" s="323"/>
      <c r="S81" s="279" t="str">
        <f t="shared" si="25"/>
        <v/>
      </c>
      <c r="T81" s="482" t="str">
        <f>IF(OR(J81="preventivo",J81="detectivo"),T80-(T80*S81),T80)</f>
        <v/>
      </c>
      <c r="U81" s="482">
        <f>IF(J81="correctivo",U80-(U80*S81),U80)</f>
        <v>0.6</v>
      </c>
      <c r="V81" s="713"/>
      <c r="W81" s="716"/>
      <c r="X81" s="36"/>
      <c r="Y81" s="275"/>
      <c r="Z81" s="276"/>
      <c r="AA81" s="276"/>
    </row>
    <row r="82" spans="1:27" ht="130.94999999999999" customHeight="1" thickBot="1">
      <c r="A82" s="696"/>
      <c r="B82" s="700"/>
      <c r="C82" s="671"/>
      <c r="D82" s="674"/>
      <c r="E82" s="320">
        <v>3</v>
      </c>
      <c r="F82" s="304"/>
      <c r="G82" s="339"/>
      <c r="H82" s="194"/>
      <c r="I82" s="370" t="str">
        <f t="shared" si="24"/>
        <v xml:space="preserve">  </v>
      </c>
      <c r="J82" s="341"/>
      <c r="K82" s="279" t="str">
        <f>+IFERROR(VLOOKUP($J82,'11 FORMULAS'!$B$57:$C$59,2,0),"")</f>
        <v/>
      </c>
      <c r="L82" s="279" t="str">
        <f>+IFERROR(VLOOKUP($J82,'11 FORMULAS'!$B$57:$D$59,3,0),"")</f>
        <v/>
      </c>
      <c r="M82" s="321"/>
      <c r="N82" s="322" t="str">
        <f>+IFERROR(VLOOKUP($M82,'11 FORMULAS'!$B$60:$C$61,2,0),"")</f>
        <v/>
      </c>
      <c r="O82" s="323"/>
      <c r="P82" s="323"/>
      <c r="Q82" s="323"/>
      <c r="R82" s="323"/>
      <c r="S82" s="279" t="str">
        <f t="shared" si="25"/>
        <v/>
      </c>
      <c r="T82" s="482" t="str">
        <f t="shared" ref="T82:T85" si="28">IF(OR(J82="preventivo",J82="detectivo"),T81-(T81*S82),T81)</f>
        <v/>
      </c>
      <c r="U82" s="482">
        <f t="shared" ref="U82:U85" si="29">IF(J82="correctivo",U81-(U81*S82),U81)</f>
        <v>0.6</v>
      </c>
      <c r="V82" s="713"/>
      <c r="W82" s="716"/>
      <c r="X82" s="36"/>
      <c r="Y82" s="275"/>
      <c r="Z82" s="276"/>
      <c r="AA82" s="276"/>
    </row>
    <row r="83" spans="1:27" ht="130.94999999999999" customHeight="1" thickBot="1">
      <c r="A83" s="696"/>
      <c r="B83" s="700"/>
      <c r="C83" s="671"/>
      <c r="D83" s="674"/>
      <c r="E83" s="320">
        <v>4</v>
      </c>
      <c r="F83" s="304"/>
      <c r="G83" s="339"/>
      <c r="H83" s="194"/>
      <c r="I83" s="370" t="str">
        <f t="shared" si="24"/>
        <v xml:space="preserve">  </v>
      </c>
      <c r="J83" s="341"/>
      <c r="K83" s="279" t="str">
        <f>+IFERROR(VLOOKUP($J83,'11 FORMULAS'!$B$57:$C$59,2,0),"")</f>
        <v/>
      </c>
      <c r="L83" s="279" t="str">
        <f>+IFERROR(VLOOKUP($J83,'11 FORMULAS'!$B$57:$D$59,3,0),"")</f>
        <v/>
      </c>
      <c r="M83" s="321"/>
      <c r="N83" s="322" t="str">
        <f>+IFERROR(VLOOKUP($M83,'11 FORMULAS'!$B$60:$C$61,2,0),"")</f>
        <v/>
      </c>
      <c r="O83" s="323"/>
      <c r="P83" s="323"/>
      <c r="Q83" s="323"/>
      <c r="R83" s="323"/>
      <c r="S83" s="279" t="str">
        <f t="shared" si="25"/>
        <v/>
      </c>
      <c r="T83" s="482" t="str">
        <f t="shared" si="28"/>
        <v/>
      </c>
      <c r="U83" s="482">
        <f t="shared" si="29"/>
        <v>0.6</v>
      </c>
      <c r="V83" s="713"/>
      <c r="W83" s="716"/>
      <c r="X83" s="36"/>
      <c r="Y83" s="275"/>
      <c r="Z83" s="276"/>
      <c r="AA83" s="276"/>
    </row>
    <row r="84" spans="1:27" ht="130.94999999999999" customHeight="1" thickBot="1">
      <c r="A84" s="696"/>
      <c r="B84" s="700"/>
      <c r="C84" s="671"/>
      <c r="D84" s="674"/>
      <c r="E84" s="320">
        <v>5</v>
      </c>
      <c r="F84" s="304"/>
      <c r="G84" s="339"/>
      <c r="H84" s="194"/>
      <c r="I84" s="370" t="str">
        <f t="shared" si="24"/>
        <v xml:space="preserve">  </v>
      </c>
      <c r="J84" s="341"/>
      <c r="K84" s="279" t="str">
        <f>+IFERROR(VLOOKUP($J84,'11 FORMULAS'!$B$57:$C$59,2,0),"")</f>
        <v/>
      </c>
      <c r="L84" s="279" t="str">
        <f>+IFERROR(VLOOKUP($J84,'11 FORMULAS'!$B$57:$D$59,3,0),"")</f>
        <v/>
      </c>
      <c r="M84" s="321"/>
      <c r="N84" s="322" t="str">
        <f>+IFERROR(VLOOKUP($M84,'11 FORMULAS'!$B$60:$C$61,2,0),"")</f>
        <v/>
      </c>
      <c r="O84" s="323"/>
      <c r="P84" s="323"/>
      <c r="Q84" s="323"/>
      <c r="R84" s="323"/>
      <c r="S84" s="279" t="str">
        <f t="shared" si="25"/>
        <v/>
      </c>
      <c r="T84" s="482" t="str">
        <f t="shared" si="28"/>
        <v/>
      </c>
      <c r="U84" s="482">
        <f t="shared" si="29"/>
        <v>0.6</v>
      </c>
      <c r="V84" s="713"/>
      <c r="W84" s="716"/>
      <c r="X84" s="36"/>
      <c r="Y84" s="275"/>
      <c r="Z84" s="276"/>
      <c r="AA84" s="276"/>
    </row>
    <row r="85" spans="1:27" ht="130.94999999999999" customHeight="1" thickBot="1">
      <c r="A85" s="697"/>
      <c r="B85" s="701"/>
      <c r="C85" s="672"/>
      <c r="D85" s="675"/>
      <c r="E85" s="324">
        <v>6</v>
      </c>
      <c r="F85" s="307"/>
      <c r="G85" s="339"/>
      <c r="H85" s="195"/>
      <c r="I85" s="370" t="str">
        <f t="shared" si="24"/>
        <v xml:space="preserve">  </v>
      </c>
      <c r="J85" s="341"/>
      <c r="K85" s="279" t="str">
        <f>+IFERROR(VLOOKUP($J85,'11 FORMULAS'!$B$57:$C$59,2,0),"")</f>
        <v/>
      </c>
      <c r="L85" s="279" t="str">
        <f>+IFERROR(VLOOKUP($J85,'11 FORMULAS'!$B$57:$D$59,3,0),"")</f>
        <v/>
      </c>
      <c r="M85" s="321"/>
      <c r="N85" s="322" t="str">
        <f>+IFERROR(VLOOKUP($M85,'11 FORMULAS'!$B$60:$C$61,2,0),"")</f>
        <v/>
      </c>
      <c r="O85" s="323"/>
      <c r="P85" s="323"/>
      <c r="Q85" s="323"/>
      <c r="R85" s="323"/>
      <c r="S85" s="279" t="str">
        <f t="shared" si="25"/>
        <v/>
      </c>
      <c r="T85" s="482" t="str">
        <f t="shared" si="28"/>
        <v/>
      </c>
      <c r="U85" s="482">
        <f t="shared" si="29"/>
        <v>0.6</v>
      </c>
      <c r="V85" s="714"/>
      <c r="W85" s="717"/>
      <c r="X85" s="36"/>
    </row>
    <row r="86" spans="1:27" ht="130.94999999999999" customHeight="1" thickBot="1">
      <c r="A86" s="694" t="str">
        <f>'2 CONTEXTO E IDENTIFICACIÓN'!A22</f>
        <v>R14</v>
      </c>
      <c r="B86" s="698" t="str">
        <f>+'2 CONTEXTO E IDENTIFICACIÓN'!K22</f>
        <v xml:space="preserve">   </v>
      </c>
      <c r="C86" s="670" t="str">
        <f>+'3 PROBABIL E IMPACTO INHERENTE'!E22</f>
        <v/>
      </c>
      <c r="D86" s="673" t="str">
        <f>+'3 PROBABIL E IMPACTO INHERENTE'!M22</f>
        <v/>
      </c>
      <c r="E86" s="325">
        <v>1</v>
      </c>
      <c r="F86" s="305"/>
      <c r="G86" s="339"/>
      <c r="H86" s="48"/>
      <c r="I86" s="370" t="str">
        <f t="shared" si="24"/>
        <v xml:space="preserve">  </v>
      </c>
      <c r="J86" s="341"/>
      <c r="K86" s="279" t="str">
        <f>+IFERROR(VLOOKUP($J86,'11 FORMULAS'!$B$57:$C$59,2,0),"")</f>
        <v/>
      </c>
      <c r="L86" s="279" t="str">
        <f>+IFERROR(VLOOKUP($J86,'11 FORMULAS'!$B$57:$D$59,3,0),"")</f>
        <v/>
      </c>
      <c r="M86" s="321"/>
      <c r="N86" s="322" t="str">
        <f>+IFERROR(VLOOKUP($M86,'11 FORMULAS'!$B$60:$C$61,2,0),"")</f>
        <v/>
      </c>
      <c r="O86" s="323"/>
      <c r="P86" s="323"/>
      <c r="Q86" s="323"/>
      <c r="R86" s="323"/>
      <c r="S86" s="279" t="str">
        <f t="shared" si="25"/>
        <v/>
      </c>
      <c r="T86" s="279" t="str">
        <f>IF(OR(J86="Preventivo",J86="Detectivo"),C86-(C86*S86),C86)</f>
        <v/>
      </c>
      <c r="U86" s="279">
        <f>IF(J32="CORRECTIVO",D32-(D32*S32),D32)</f>
        <v>0.6</v>
      </c>
      <c r="V86" s="712" t="str">
        <f>+IF(T91="","",T91)</f>
        <v/>
      </c>
      <c r="W86" s="715">
        <f>+IF(U91="","",U91)</f>
        <v>0.6</v>
      </c>
      <c r="X86" s="36"/>
      <c r="Y86" s="275"/>
      <c r="Z86" s="276"/>
      <c r="AA86" s="276"/>
    </row>
    <row r="87" spans="1:27" ht="130.94999999999999" customHeight="1" thickBot="1">
      <c r="A87" s="696"/>
      <c r="B87" s="700"/>
      <c r="C87" s="671"/>
      <c r="D87" s="674"/>
      <c r="E87" s="320">
        <v>2</v>
      </c>
      <c r="F87" s="304"/>
      <c r="G87" s="339"/>
      <c r="H87" s="194"/>
      <c r="I87" s="370" t="str">
        <f t="shared" si="24"/>
        <v xml:space="preserve">  </v>
      </c>
      <c r="J87" s="341"/>
      <c r="K87" s="279" t="str">
        <f>+IFERROR(VLOOKUP($J87,'11 FORMULAS'!$B$57:$C$59,2,0),"")</f>
        <v/>
      </c>
      <c r="L87" s="279" t="str">
        <f>+IFERROR(VLOOKUP($J87,'11 FORMULAS'!$B$57:$D$59,3,0),"")</f>
        <v/>
      </c>
      <c r="M87" s="321"/>
      <c r="N87" s="322" t="str">
        <f>+IFERROR(VLOOKUP($M87,'11 FORMULAS'!$B$60:$C$61,2,0),"")</f>
        <v/>
      </c>
      <c r="O87" s="323"/>
      <c r="P87" s="323"/>
      <c r="Q87" s="323"/>
      <c r="R87" s="323"/>
      <c r="S87" s="279" t="str">
        <f t="shared" si="25"/>
        <v/>
      </c>
      <c r="T87" s="482" t="str">
        <f>IF(OR(J87="preventivo",J87="detectivo"),T86-(T86*S87),T86)</f>
        <v/>
      </c>
      <c r="U87" s="482">
        <f>IF(J87="correctivo",U86-(U86*S87),U86)</f>
        <v>0.6</v>
      </c>
      <c r="V87" s="713"/>
      <c r="W87" s="716"/>
      <c r="X87" s="36"/>
      <c r="Y87" s="275"/>
      <c r="Z87" s="276"/>
      <c r="AA87" s="276"/>
    </row>
    <row r="88" spans="1:27" ht="130.94999999999999" customHeight="1" thickBot="1">
      <c r="A88" s="696"/>
      <c r="B88" s="700"/>
      <c r="C88" s="671"/>
      <c r="D88" s="674"/>
      <c r="E88" s="320">
        <v>3</v>
      </c>
      <c r="F88" s="304"/>
      <c r="G88" s="339"/>
      <c r="H88" s="194"/>
      <c r="I88" s="370" t="str">
        <f t="shared" si="24"/>
        <v xml:space="preserve">  </v>
      </c>
      <c r="J88" s="341"/>
      <c r="K88" s="279" t="str">
        <f>+IFERROR(VLOOKUP($J88,'11 FORMULAS'!$B$57:$C$59,2,0),"")</f>
        <v/>
      </c>
      <c r="L88" s="279" t="str">
        <f>+IFERROR(VLOOKUP($J88,'11 FORMULAS'!$B$57:$D$59,3,0),"")</f>
        <v/>
      </c>
      <c r="M88" s="321"/>
      <c r="N88" s="322" t="str">
        <f>+IFERROR(VLOOKUP($M88,'11 FORMULAS'!$B$60:$C$61,2,0),"")</f>
        <v/>
      </c>
      <c r="O88" s="323"/>
      <c r="P88" s="323"/>
      <c r="Q88" s="323"/>
      <c r="R88" s="323"/>
      <c r="S88" s="279" t="str">
        <f t="shared" si="25"/>
        <v/>
      </c>
      <c r="T88" s="482" t="str">
        <f t="shared" ref="T88:T91" si="30">IF(OR(J88="preventivo",J88="detectivo"),T87-(T87*S88),T87)</f>
        <v/>
      </c>
      <c r="U88" s="482">
        <f t="shared" ref="U88:U91" si="31">IF(J88="correctivo",U87-(U87*S88),U87)</f>
        <v>0.6</v>
      </c>
      <c r="V88" s="713"/>
      <c r="W88" s="716"/>
      <c r="X88" s="36"/>
      <c r="Y88" s="275"/>
      <c r="Z88" s="276"/>
      <c r="AA88" s="276"/>
    </row>
    <row r="89" spans="1:27" ht="130.94999999999999" customHeight="1" thickBot="1">
      <c r="A89" s="696"/>
      <c r="B89" s="700"/>
      <c r="C89" s="671"/>
      <c r="D89" s="674"/>
      <c r="E89" s="320">
        <v>4</v>
      </c>
      <c r="F89" s="304"/>
      <c r="G89" s="339"/>
      <c r="H89" s="194"/>
      <c r="I89" s="370" t="str">
        <f t="shared" si="24"/>
        <v xml:space="preserve">  </v>
      </c>
      <c r="J89" s="341"/>
      <c r="K89" s="279" t="str">
        <f>+IFERROR(VLOOKUP($J89,'11 FORMULAS'!$B$57:$C$59,2,0),"")</f>
        <v/>
      </c>
      <c r="L89" s="279" t="str">
        <f>+IFERROR(VLOOKUP($J89,'11 FORMULAS'!$B$57:$D$59,3,0),"")</f>
        <v/>
      </c>
      <c r="M89" s="321"/>
      <c r="N89" s="322" t="str">
        <f>+IFERROR(VLOOKUP($M89,'11 FORMULAS'!$B$60:$C$61,2,0),"")</f>
        <v/>
      </c>
      <c r="O89" s="323"/>
      <c r="P89" s="323"/>
      <c r="Q89" s="323"/>
      <c r="R89" s="323"/>
      <c r="S89" s="279" t="str">
        <f t="shared" si="25"/>
        <v/>
      </c>
      <c r="T89" s="482" t="str">
        <f t="shared" si="30"/>
        <v/>
      </c>
      <c r="U89" s="482">
        <f t="shared" si="31"/>
        <v>0.6</v>
      </c>
      <c r="V89" s="713"/>
      <c r="W89" s="716"/>
      <c r="X89" s="36"/>
      <c r="Y89" s="275"/>
      <c r="Z89" s="276"/>
      <c r="AA89" s="276"/>
    </row>
    <row r="90" spans="1:27" ht="130.94999999999999" customHeight="1" thickBot="1">
      <c r="A90" s="696"/>
      <c r="B90" s="700"/>
      <c r="C90" s="671"/>
      <c r="D90" s="674"/>
      <c r="E90" s="320">
        <v>5</v>
      </c>
      <c r="F90" s="304"/>
      <c r="G90" s="339"/>
      <c r="H90" s="194"/>
      <c r="I90" s="370" t="str">
        <f t="shared" si="24"/>
        <v xml:space="preserve">  </v>
      </c>
      <c r="J90" s="341"/>
      <c r="K90" s="279" t="str">
        <f>+IFERROR(VLOOKUP($J90,'11 FORMULAS'!$B$57:$C$59,2,0),"")</f>
        <v/>
      </c>
      <c r="L90" s="279" t="str">
        <f>+IFERROR(VLOOKUP($J90,'11 FORMULAS'!$B$57:$D$59,3,0),"")</f>
        <v/>
      </c>
      <c r="M90" s="321"/>
      <c r="N90" s="322" t="str">
        <f>+IFERROR(VLOOKUP($M90,'11 FORMULAS'!$B$60:$C$61,2,0),"")</f>
        <v/>
      </c>
      <c r="O90" s="323"/>
      <c r="P90" s="323"/>
      <c r="Q90" s="323"/>
      <c r="R90" s="323"/>
      <c r="S90" s="279" t="str">
        <f t="shared" si="25"/>
        <v/>
      </c>
      <c r="T90" s="482" t="str">
        <f t="shared" si="30"/>
        <v/>
      </c>
      <c r="U90" s="482">
        <f t="shared" si="31"/>
        <v>0.6</v>
      </c>
      <c r="V90" s="713"/>
      <c r="W90" s="716"/>
      <c r="X90" s="36"/>
      <c r="Y90" s="275"/>
      <c r="Z90" s="276"/>
      <c r="AA90" s="276"/>
    </row>
    <row r="91" spans="1:27" ht="130.94999999999999" customHeight="1" thickBot="1">
      <c r="A91" s="697"/>
      <c r="B91" s="701"/>
      <c r="C91" s="672"/>
      <c r="D91" s="675"/>
      <c r="E91" s="324">
        <v>6</v>
      </c>
      <c r="F91" s="307"/>
      <c r="G91" s="339"/>
      <c r="H91" s="195"/>
      <c r="I91" s="370" t="str">
        <f t="shared" si="24"/>
        <v xml:space="preserve">  </v>
      </c>
      <c r="J91" s="341"/>
      <c r="K91" s="279" t="str">
        <f>+IFERROR(VLOOKUP($J91,'11 FORMULAS'!$B$57:$C$59,2,0),"")</f>
        <v/>
      </c>
      <c r="L91" s="279" t="str">
        <f>+IFERROR(VLOOKUP($J91,'11 FORMULAS'!$B$57:$D$59,3,0),"")</f>
        <v/>
      </c>
      <c r="M91" s="321"/>
      <c r="N91" s="322" t="str">
        <f>+IFERROR(VLOOKUP($M91,'11 FORMULAS'!$B$60:$C$61,2,0),"")</f>
        <v/>
      </c>
      <c r="O91" s="323"/>
      <c r="P91" s="323"/>
      <c r="Q91" s="323"/>
      <c r="R91" s="323"/>
      <c r="S91" s="279" t="str">
        <f t="shared" si="25"/>
        <v/>
      </c>
      <c r="T91" s="482" t="str">
        <f t="shared" si="30"/>
        <v/>
      </c>
      <c r="U91" s="482">
        <f t="shared" si="31"/>
        <v>0.6</v>
      </c>
      <c r="V91" s="714"/>
      <c r="W91" s="717"/>
      <c r="X91" s="36"/>
    </row>
    <row r="92" spans="1:27" ht="130.94999999999999" customHeight="1" thickBot="1">
      <c r="A92" s="694" t="str">
        <f>'2 CONTEXTO E IDENTIFICACIÓN'!A23</f>
        <v>R15</v>
      </c>
      <c r="B92" s="698" t="str">
        <f>+'2 CONTEXTO E IDENTIFICACIÓN'!K23</f>
        <v xml:space="preserve">   </v>
      </c>
      <c r="C92" s="670" t="str">
        <f>+'3 PROBABIL E IMPACTO INHERENTE'!E23</f>
        <v/>
      </c>
      <c r="D92" s="673" t="str">
        <f>+'3 PROBABIL E IMPACTO INHERENTE'!M23</f>
        <v/>
      </c>
      <c r="E92" s="325">
        <v>1</v>
      </c>
      <c r="F92" s="305"/>
      <c r="G92" s="339"/>
      <c r="H92" s="48"/>
      <c r="I92" s="370" t="str">
        <f t="shared" si="24"/>
        <v xml:space="preserve">  </v>
      </c>
      <c r="J92" s="341"/>
      <c r="K92" s="279" t="str">
        <f>+IFERROR(VLOOKUP($J92,'11 FORMULAS'!$B$57:$C$59,2,0),"")</f>
        <v/>
      </c>
      <c r="L92" s="279" t="str">
        <f>+IFERROR(VLOOKUP($J92,'11 FORMULAS'!$B$57:$D$59,3,0),"")</f>
        <v/>
      </c>
      <c r="M92" s="321"/>
      <c r="N92" s="322" t="str">
        <f>+IFERROR(VLOOKUP($M92,'11 FORMULAS'!$B$60:$C$61,2,0),"")</f>
        <v/>
      </c>
      <c r="O92" s="323"/>
      <c r="P92" s="323"/>
      <c r="Q92" s="323"/>
      <c r="R92" s="323"/>
      <c r="S92" s="279" t="str">
        <f t="shared" si="25"/>
        <v/>
      </c>
      <c r="T92" s="279" t="str">
        <f>IF(OR(J92="Preventivo",J92="Detectivo"),C92-(C92*S92),C92)</f>
        <v/>
      </c>
      <c r="U92" s="308">
        <f>IF(J32="CORRECTIVO",D32-(D32*S32),D32)</f>
        <v>0.6</v>
      </c>
      <c r="V92" s="712" t="str">
        <f>+IF(T97="","",T97)</f>
        <v/>
      </c>
      <c r="W92" s="715">
        <f>+IF(U97="","",U97)</f>
        <v>0.6</v>
      </c>
      <c r="X92" s="36"/>
      <c r="Y92" s="275"/>
      <c r="Z92" s="276"/>
      <c r="AA92" s="276"/>
    </row>
    <row r="93" spans="1:27" ht="130.94999999999999" customHeight="1" thickBot="1">
      <c r="A93" s="696"/>
      <c r="B93" s="700"/>
      <c r="C93" s="671"/>
      <c r="D93" s="674"/>
      <c r="E93" s="320">
        <v>2</v>
      </c>
      <c r="F93" s="304"/>
      <c r="G93" s="339"/>
      <c r="H93" s="194"/>
      <c r="I93" s="370" t="str">
        <f t="shared" si="24"/>
        <v xml:space="preserve">  </v>
      </c>
      <c r="J93" s="341"/>
      <c r="K93" s="279" t="str">
        <f>+IFERROR(VLOOKUP($J93,'11 FORMULAS'!$B$57:$C$59,2,0),"")</f>
        <v/>
      </c>
      <c r="L93" s="279" t="str">
        <f>+IFERROR(VLOOKUP($J93,'11 FORMULAS'!$B$57:$D$59,3,0),"")</f>
        <v/>
      </c>
      <c r="M93" s="321"/>
      <c r="N93" s="322" t="str">
        <f>+IFERROR(VLOOKUP($M93,'11 FORMULAS'!$B$60:$C$61,2,0),"")</f>
        <v/>
      </c>
      <c r="O93" s="323"/>
      <c r="P93" s="323"/>
      <c r="Q93" s="323"/>
      <c r="R93" s="323"/>
      <c r="S93" s="279" t="str">
        <f t="shared" si="25"/>
        <v/>
      </c>
      <c r="T93" s="482" t="str">
        <f>IF(OR(J93="preventivo",J93="detectivo"),T92-(T92*S93),T92)</f>
        <v/>
      </c>
      <c r="U93" s="482">
        <f>IF(J93="correctivo",U92-(U92*S93),U92)</f>
        <v>0.6</v>
      </c>
      <c r="V93" s="713"/>
      <c r="W93" s="716"/>
      <c r="X93" s="36"/>
      <c r="Y93" s="275"/>
      <c r="Z93" s="276"/>
      <c r="AA93" s="276"/>
    </row>
    <row r="94" spans="1:27" ht="130.94999999999999" customHeight="1" thickBot="1">
      <c r="A94" s="696"/>
      <c r="B94" s="700"/>
      <c r="C94" s="671"/>
      <c r="D94" s="674"/>
      <c r="E94" s="320">
        <v>3</v>
      </c>
      <c r="F94" s="304"/>
      <c r="G94" s="339"/>
      <c r="H94" s="194"/>
      <c r="I94" s="370" t="str">
        <f t="shared" si="24"/>
        <v xml:space="preserve">  </v>
      </c>
      <c r="J94" s="341"/>
      <c r="K94" s="279" t="str">
        <f>+IFERROR(VLOOKUP($J94,'11 FORMULAS'!$B$57:$C$59,2,0),"")</f>
        <v/>
      </c>
      <c r="L94" s="279" t="str">
        <f>+IFERROR(VLOOKUP($J94,'11 FORMULAS'!$B$57:$D$59,3,0),"")</f>
        <v/>
      </c>
      <c r="M94" s="321"/>
      <c r="N94" s="322" t="str">
        <f>+IFERROR(VLOOKUP($M94,'11 FORMULAS'!$B$60:$C$61,2,0),"")</f>
        <v/>
      </c>
      <c r="O94" s="323"/>
      <c r="P94" s="323"/>
      <c r="Q94" s="323"/>
      <c r="R94" s="323"/>
      <c r="S94" s="279" t="str">
        <f t="shared" si="25"/>
        <v/>
      </c>
      <c r="T94" s="482" t="str">
        <f t="shared" ref="T94:T97" si="32">IF(OR(J94="preventivo",J94="detectivo"),T93-(T93*S94),T93)</f>
        <v/>
      </c>
      <c r="U94" s="482">
        <f t="shared" ref="U94:U97" si="33">IF(J94="correctivo",U93-(U93*S94),U93)</f>
        <v>0.6</v>
      </c>
      <c r="V94" s="713"/>
      <c r="W94" s="716"/>
      <c r="X94" s="36"/>
      <c r="Y94" s="275"/>
      <c r="Z94" s="276"/>
      <c r="AA94" s="276"/>
    </row>
    <row r="95" spans="1:27" ht="130.94999999999999" customHeight="1" thickBot="1">
      <c r="A95" s="696"/>
      <c r="B95" s="700"/>
      <c r="C95" s="671"/>
      <c r="D95" s="674"/>
      <c r="E95" s="320">
        <v>4</v>
      </c>
      <c r="F95" s="304"/>
      <c r="G95" s="339"/>
      <c r="H95" s="194"/>
      <c r="I95" s="370" t="str">
        <f t="shared" si="24"/>
        <v xml:space="preserve">  </v>
      </c>
      <c r="J95" s="341"/>
      <c r="K95" s="279" t="str">
        <f>+IFERROR(VLOOKUP($J95,'11 FORMULAS'!$B$57:$C$59,2,0),"")</f>
        <v/>
      </c>
      <c r="L95" s="279" t="str">
        <f>+IFERROR(VLOOKUP($J95,'11 FORMULAS'!$B$57:$D$59,3,0),"")</f>
        <v/>
      </c>
      <c r="M95" s="321"/>
      <c r="N95" s="322" t="str">
        <f>+IFERROR(VLOOKUP($M95,'11 FORMULAS'!$B$60:$C$61,2,0),"")</f>
        <v/>
      </c>
      <c r="O95" s="323"/>
      <c r="P95" s="323"/>
      <c r="Q95" s="323"/>
      <c r="R95" s="323"/>
      <c r="S95" s="279" t="str">
        <f t="shared" si="25"/>
        <v/>
      </c>
      <c r="T95" s="482" t="str">
        <f t="shared" si="32"/>
        <v/>
      </c>
      <c r="U95" s="482">
        <f t="shared" si="33"/>
        <v>0.6</v>
      </c>
      <c r="V95" s="713"/>
      <c r="W95" s="716"/>
      <c r="X95" s="36"/>
      <c r="Y95" s="275"/>
      <c r="Z95" s="276"/>
      <c r="AA95" s="276"/>
    </row>
    <row r="96" spans="1:27" ht="130.94999999999999" customHeight="1" thickBot="1">
      <c r="A96" s="696"/>
      <c r="B96" s="700"/>
      <c r="C96" s="671"/>
      <c r="D96" s="674"/>
      <c r="E96" s="320">
        <v>5</v>
      </c>
      <c r="F96" s="304"/>
      <c r="G96" s="339"/>
      <c r="H96" s="194"/>
      <c r="I96" s="370" t="str">
        <f t="shared" si="24"/>
        <v xml:space="preserve">  </v>
      </c>
      <c r="J96" s="341"/>
      <c r="K96" s="279" t="str">
        <f>+IFERROR(VLOOKUP($J96,'11 FORMULAS'!$B$57:$C$59,2,0),"")</f>
        <v/>
      </c>
      <c r="L96" s="279" t="str">
        <f>+IFERROR(VLOOKUP($J96,'11 FORMULAS'!$B$57:$D$59,3,0),"")</f>
        <v/>
      </c>
      <c r="M96" s="321"/>
      <c r="N96" s="322" t="str">
        <f>+IFERROR(VLOOKUP($M96,'11 FORMULAS'!$B$60:$C$61,2,0),"")</f>
        <v/>
      </c>
      <c r="O96" s="323"/>
      <c r="P96" s="323"/>
      <c r="Q96" s="323"/>
      <c r="R96" s="323"/>
      <c r="S96" s="279" t="str">
        <f t="shared" si="25"/>
        <v/>
      </c>
      <c r="T96" s="482" t="str">
        <f t="shared" si="32"/>
        <v/>
      </c>
      <c r="U96" s="482">
        <f t="shared" si="33"/>
        <v>0.6</v>
      </c>
      <c r="V96" s="713"/>
      <c r="W96" s="716"/>
      <c r="X96" s="36"/>
      <c r="Y96" s="275"/>
      <c r="Z96" s="276"/>
      <c r="AA96" s="276"/>
    </row>
    <row r="97" spans="1:27" ht="130.94999999999999" customHeight="1" thickBot="1">
      <c r="A97" s="697"/>
      <c r="B97" s="701"/>
      <c r="C97" s="672"/>
      <c r="D97" s="675"/>
      <c r="E97" s="324">
        <v>6</v>
      </c>
      <c r="F97" s="307"/>
      <c r="G97" s="339"/>
      <c r="H97" s="195"/>
      <c r="I97" s="370" t="str">
        <f t="shared" si="24"/>
        <v xml:space="preserve">  </v>
      </c>
      <c r="J97" s="341"/>
      <c r="K97" s="279" t="str">
        <f>+IFERROR(VLOOKUP($J97,'11 FORMULAS'!$B$57:$C$59,2,0),"")</f>
        <v/>
      </c>
      <c r="L97" s="279" t="str">
        <f>+IFERROR(VLOOKUP($J97,'11 FORMULAS'!$B$57:$D$59,3,0),"")</f>
        <v/>
      </c>
      <c r="M97" s="321"/>
      <c r="N97" s="322" t="str">
        <f>+IFERROR(VLOOKUP($M97,'11 FORMULAS'!$B$60:$C$61,2,0),"")</f>
        <v/>
      </c>
      <c r="O97" s="323"/>
      <c r="P97" s="323"/>
      <c r="Q97" s="323"/>
      <c r="R97" s="323"/>
      <c r="S97" s="279" t="str">
        <f t="shared" si="25"/>
        <v/>
      </c>
      <c r="T97" s="482" t="str">
        <f t="shared" si="32"/>
        <v/>
      </c>
      <c r="U97" s="482">
        <f t="shared" si="33"/>
        <v>0.6</v>
      </c>
      <c r="V97" s="714"/>
      <c r="W97" s="717"/>
      <c r="X97" s="36"/>
    </row>
    <row r="98" spans="1:27" ht="130.94999999999999" customHeight="1" thickBot="1">
      <c r="A98" s="694" t="str">
        <f>'2 CONTEXTO E IDENTIFICACIÓN'!A24</f>
        <v>R16</v>
      </c>
      <c r="B98" s="698" t="str">
        <f>+'2 CONTEXTO E IDENTIFICACIÓN'!K24</f>
        <v xml:space="preserve">   </v>
      </c>
      <c r="C98" s="670" t="str">
        <f>+'3 PROBABIL E IMPACTO INHERENTE'!E24</f>
        <v/>
      </c>
      <c r="D98" s="673" t="str">
        <f>+'3 PROBABIL E IMPACTO INHERENTE'!M24</f>
        <v/>
      </c>
      <c r="E98" s="325">
        <v>1</v>
      </c>
      <c r="F98" s="305"/>
      <c r="G98" s="339"/>
      <c r="H98" s="48"/>
      <c r="I98" s="370" t="str">
        <f t="shared" si="24"/>
        <v xml:space="preserve">  </v>
      </c>
      <c r="J98" s="341"/>
      <c r="K98" s="279" t="str">
        <f>+IFERROR(VLOOKUP($J98,'11 FORMULAS'!$B$57:$C$59,2,0),"")</f>
        <v/>
      </c>
      <c r="L98" s="279" t="str">
        <f>+IFERROR(VLOOKUP($J98,'11 FORMULAS'!$B$57:$D$59,3,0),"")</f>
        <v/>
      </c>
      <c r="M98" s="321"/>
      <c r="N98" s="322" t="str">
        <f>+IFERROR(VLOOKUP($M98,'11 FORMULAS'!$B$60:$C$61,2,0),"")</f>
        <v/>
      </c>
      <c r="O98" s="323"/>
      <c r="P98" s="323"/>
      <c r="Q98" s="323"/>
      <c r="R98" s="323"/>
      <c r="S98" s="279" t="str">
        <f t="shared" si="25"/>
        <v/>
      </c>
      <c r="T98" s="279" t="str">
        <f>IF(OR(J98="Preventivo",J98="Detectivo"),C98-(C98*S98),C98)</f>
        <v/>
      </c>
      <c r="U98" s="279">
        <f>IF(J32="CORRECTIVO",D32-(D32*S32),D32)</f>
        <v>0.6</v>
      </c>
      <c r="V98" s="712" t="str">
        <f>+IF(T103="","",T103)</f>
        <v/>
      </c>
      <c r="W98" s="715">
        <f>+IF(U103="","",U103)</f>
        <v>0.6</v>
      </c>
      <c r="X98" s="36"/>
      <c r="Y98" s="275"/>
      <c r="Z98" s="276"/>
      <c r="AA98" s="276"/>
    </row>
    <row r="99" spans="1:27" ht="130.94999999999999" customHeight="1" thickBot="1">
      <c r="A99" s="696"/>
      <c r="B99" s="700"/>
      <c r="C99" s="671"/>
      <c r="D99" s="674"/>
      <c r="E99" s="320">
        <v>2</v>
      </c>
      <c r="F99" s="304"/>
      <c r="G99" s="339"/>
      <c r="H99" s="194"/>
      <c r="I99" s="370" t="str">
        <f t="shared" si="24"/>
        <v xml:space="preserve">  </v>
      </c>
      <c r="J99" s="341"/>
      <c r="K99" s="279" t="str">
        <f>+IFERROR(VLOOKUP($J99,'11 FORMULAS'!$B$57:$C$59,2,0),"")</f>
        <v/>
      </c>
      <c r="L99" s="279" t="str">
        <f>+IFERROR(VLOOKUP($J99,'11 FORMULAS'!$B$57:$D$59,3,0),"")</f>
        <v/>
      </c>
      <c r="M99" s="321"/>
      <c r="N99" s="322" t="str">
        <f>+IFERROR(VLOOKUP($M99,'11 FORMULAS'!$B$60:$C$61,2,0),"")</f>
        <v/>
      </c>
      <c r="O99" s="323"/>
      <c r="P99" s="323"/>
      <c r="Q99" s="323"/>
      <c r="R99" s="323"/>
      <c r="S99" s="279" t="str">
        <f t="shared" si="25"/>
        <v/>
      </c>
      <c r="T99" s="482" t="str">
        <f>IF(OR(J99="preventivo",J99="detectivo"),T98-(T98*S99),T98)</f>
        <v/>
      </c>
      <c r="U99" s="482">
        <f>IF(J99="correctivo",U98-(U98*S99),U98)</f>
        <v>0.6</v>
      </c>
      <c r="V99" s="713"/>
      <c r="W99" s="716"/>
      <c r="X99" s="36"/>
      <c r="Y99" s="275"/>
      <c r="Z99" s="276"/>
      <c r="AA99" s="276"/>
    </row>
    <row r="100" spans="1:27" ht="130.94999999999999" customHeight="1" thickBot="1">
      <c r="A100" s="696"/>
      <c r="B100" s="700"/>
      <c r="C100" s="671"/>
      <c r="D100" s="674"/>
      <c r="E100" s="320">
        <v>3</v>
      </c>
      <c r="F100" s="304"/>
      <c r="G100" s="339"/>
      <c r="H100" s="194"/>
      <c r="I100" s="370" t="str">
        <f t="shared" si="24"/>
        <v xml:space="preserve">  </v>
      </c>
      <c r="J100" s="341"/>
      <c r="K100" s="279" t="str">
        <f>+IFERROR(VLOOKUP($J100,'11 FORMULAS'!$B$57:$C$59,2,0),"")</f>
        <v/>
      </c>
      <c r="L100" s="279" t="str">
        <f>+IFERROR(VLOOKUP($J100,'11 FORMULAS'!$B$57:$D$59,3,0),"")</f>
        <v/>
      </c>
      <c r="M100" s="321"/>
      <c r="N100" s="322" t="str">
        <f>+IFERROR(VLOOKUP($M100,'11 FORMULAS'!$B$60:$C$61,2,0),"")</f>
        <v/>
      </c>
      <c r="O100" s="323"/>
      <c r="P100" s="323"/>
      <c r="Q100" s="323"/>
      <c r="R100" s="323"/>
      <c r="S100" s="279" t="str">
        <f t="shared" si="25"/>
        <v/>
      </c>
      <c r="T100" s="482" t="str">
        <f t="shared" ref="T100:T103" si="34">IF(OR(J100="preventivo",J100="detectivo"),T99-(T99*S100),T99)</f>
        <v/>
      </c>
      <c r="U100" s="482">
        <f t="shared" ref="U100:U103" si="35">IF(J100="correctivo",U99-(U99*S100),U99)</f>
        <v>0.6</v>
      </c>
      <c r="V100" s="713"/>
      <c r="W100" s="716"/>
      <c r="X100" s="36"/>
      <c r="Y100" s="275"/>
      <c r="Z100" s="276"/>
      <c r="AA100" s="276"/>
    </row>
    <row r="101" spans="1:27" ht="130.94999999999999" customHeight="1" thickBot="1">
      <c r="A101" s="696"/>
      <c r="B101" s="700"/>
      <c r="C101" s="671"/>
      <c r="D101" s="674"/>
      <c r="E101" s="320">
        <v>4</v>
      </c>
      <c r="F101" s="304"/>
      <c r="G101" s="339"/>
      <c r="H101" s="194"/>
      <c r="I101" s="370" t="str">
        <f t="shared" si="24"/>
        <v xml:space="preserve">  </v>
      </c>
      <c r="J101" s="341"/>
      <c r="K101" s="279" t="str">
        <f>+IFERROR(VLOOKUP($J101,'11 FORMULAS'!$B$57:$C$59,2,0),"")</f>
        <v/>
      </c>
      <c r="L101" s="279" t="str">
        <f>+IFERROR(VLOOKUP($J101,'11 FORMULAS'!$B$57:$D$59,3,0),"")</f>
        <v/>
      </c>
      <c r="M101" s="321"/>
      <c r="N101" s="322" t="str">
        <f>+IFERROR(VLOOKUP($M101,'11 FORMULAS'!$B$60:$C$61,2,0),"")</f>
        <v/>
      </c>
      <c r="O101" s="323"/>
      <c r="P101" s="323"/>
      <c r="Q101" s="323"/>
      <c r="R101" s="323"/>
      <c r="S101" s="279" t="str">
        <f t="shared" si="25"/>
        <v/>
      </c>
      <c r="T101" s="482" t="str">
        <f t="shared" si="34"/>
        <v/>
      </c>
      <c r="U101" s="482">
        <f t="shared" si="35"/>
        <v>0.6</v>
      </c>
      <c r="V101" s="713"/>
      <c r="W101" s="716"/>
      <c r="X101" s="36"/>
      <c r="Y101" s="275"/>
      <c r="Z101" s="276"/>
      <c r="AA101" s="276"/>
    </row>
    <row r="102" spans="1:27" ht="130.94999999999999" customHeight="1" thickBot="1">
      <c r="A102" s="696"/>
      <c r="B102" s="700"/>
      <c r="C102" s="671"/>
      <c r="D102" s="674"/>
      <c r="E102" s="320">
        <v>5</v>
      </c>
      <c r="F102" s="304"/>
      <c r="G102" s="339"/>
      <c r="H102" s="194"/>
      <c r="I102" s="370" t="str">
        <f t="shared" si="24"/>
        <v xml:space="preserve">  </v>
      </c>
      <c r="J102" s="341"/>
      <c r="K102" s="279" t="str">
        <f>+IFERROR(VLOOKUP($J102,'11 FORMULAS'!$B$57:$C$59,2,0),"")</f>
        <v/>
      </c>
      <c r="L102" s="279" t="str">
        <f>+IFERROR(VLOOKUP($J102,'11 FORMULAS'!$B$57:$D$59,3,0),"")</f>
        <v/>
      </c>
      <c r="M102" s="321"/>
      <c r="N102" s="322" t="str">
        <f>+IFERROR(VLOOKUP($M102,'11 FORMULAS'!$B$60:$C$61,2,0),"")</f>
        <v/>
      </c>
      <c r="O102" s="323"/>
      <c r="P102" s="323"/>
      <c r="Q102" s="323"/>
      <c r="R102" s="323"/>
      <c r="S102" s="279" t="str">
        <f t="shared" si="25"/>
        <v/>
      </c>
      <c r="T102" s="482" t="str">
        <f t="shared" si="34"/>
        <v/>
      </c>
      <c r="U102" s="482">
        <f t="shared" si="35"/>
        <v>0.6</v>
      </c>
      <c r="V102" s="713"/>
      <c r="W102" s="716"/>
      <c r="X102" s="36"/>
      <c r="Y102" s="275"/>
      <c r="Z102" s="276"/>
      <c r="AA102" s="276"/>
    </row>
    <row r="103" spans="1:27" ht="130.94999999999999" customHeight="1" thickBot="1">
      <c r="A103" s="697"/>
      <c r="B103" s="701"/>
      <c r="C103" s="672"/>
      <c r="D103" s="675"/>
      <c r="E103" s="324">
        <v>6</v>
      </c>
      <c r="F103" s="307"/>
      <c r="G103" s="339"/>
      <c r="H103" s="195"/>
      <c r="I103" s="370" t="str">
        <f t="shared" si="24"/>
        <v xml:space="preserve">  </v>
      </c>
      <c r="J103" s="341"/>
      <c r="K103" s="279" t="str">
        <f>+IFERROR(VLOOKUP($J103,'11 FORMULAS'!$B$57:$C$59,2,0),"")</f>
        <v/>
      </c>
      <c r="L103" s="279" t="str">
        <f>+IFERROR(VLOOKUP($J103,'11 FORMULAS'!$B$57:$D$59,3,0),"")</f>
        <v/>
      </c>
      <c r="M103" s="321"/>
      <c r="N103" s="322" t="str">
        <f>+IFERROR(VLOOKUP($M103,'11 FORMULAS'!$B$60:$C$61,2,0),"")</f>
        <v/>
      </c>
      <c r="O103" s="323"/>
      <c r="P103" s="323"/>
      <c r="Q103" s="323"/>
      <c r="R103" s="323"/>
      <c r="S103" s="279" t="str">
        <f t="shared" si="25"/>
        <v/>
      </c>
      <c r="T103" s="482" t="str">
        <f t="shared" si="34"/>
        <v/>
      </c>
      <c r="U103" s="482">
        <f t="shared" si="35"/>
        <v>0.6</v>
      </c>
      <c r="V103" s="714"/>
      <c r="W103" s="717"/>
      <c r="X103" s="36"/>
    </row>
    <row r="104" spans="1:27" ht="130.94999999999999" customHeight="1" thickBot="1">
      <c r="A104" s="694" t="str">
        <f>'2 CONTEXTO E IDENTIFICACIÓN'!A25</f>
        <v>R17</v>
      </c>
      <c r="B104" s="698" t="str">
        <f>+'2 CONTEXTO E IDENTIFICACIÓN'!K25</f>
        <v xml:space="preserve">   </v>
      </c>
      <c r="C104" s="670" t="str">
        <f>+'3 PROBABIL E IMPACTO INHERENTE'!E25</f>
        <v/>
      </c>
      <c r="D104" s="673" t="str">
        <f>+'3 PROBABIL E IMPACTO INHERENTE'!M25</f>
        <v/>
      </c>
      <c r="E104" s="325">
        <v>1</v>
      </c>
      <c r="F104" s="305"/>
      <c r="G104" s="339"/>
      <c r="H104" s="48"/>
      <c r="I104" s="370" t="str">
        <f t="shared" si="24"/>
        <v xml:space="preserve">  </v>
      </c>
      <c r="J104" s="341"/>
      <c r="K104" s="279" t="str">
        <f>+IFERROR(VLOOKUP($J104,'11 FORMULAS'!$B$57:$C$59,2,0),"")</f>
        <v/>
      </c>
      <c r="L104" s="279" t="str">
        <f>+IFERROR(VLOOKUP($J104,'11 FORMULAS'!$B$57:$D$59,3,0),"")</f>
        <v/>
      </c>
      <c r="M104" s="321"/>
      <c r="N104" s="322" t="str">
        <f>+IFERROR(VLOOKUP($M104,'11 FORMULAS'!$B$60:$C$61,2,0),"")</f>
        <v/>
      </c>
      <c r="O104" s="323"/>
      <c r="P104" s="323"/>
      <c r="Q104" s="323"/>
      <c r="R104" s="323"/>
      <c r="S104" s="279" t="str">
        <f t="shared" si="25"/>
        <v/>
      </c>
      <c r="T104" s="279" t="str">
        <f>IF(OR(J104="Preventivo",J104="Detectivo"),C104-(C104*S104),C104)</f>
        <v/>
      </c>
      <c r="U104" s="279">
        <f>IF(J32="CORRECTIVO",D32-(D32*S32),D32)</f>
        <v>0.6</v>
      </c>
      <c r="V104" s="712" t="str">
        <f>+IF(T109="","",T109)</f>
        <v/>
      </c>
      <c r="W104" s="715">
        <f>+IF(U109="","",U109)</f>
        <v>0.6</v>
      </c>
      <c r="X104" s="36"/>
      <c r="Y104" s="275"/>
      <c r="Z104" s="276"/>
      <c r="AA104" s="276"/>
    </row>
    <row r="105" spans="1:27" ht="130.94999999999999" customHeight="1" thickBot="1">
      <c r="A105" s="695"/>
      <c r="B105" s="699"/>
      <c r="C105" s="702"/>
      <c r="D105" s="703"/>
      <c r="E105" s="320">
        <v>2</v>
      </c>
      <c r="F105" s="303"/>
      <c r="G105" s="339"/>
      <c r="H105" s="301"/>
      <c r="I105" s="370" t="str">
        <f t="shared" si="24"/>
        <v xml:space="preserve">  </v>
      </c>
      <c r="J105" s="341"/>
      <c r="K105" s="279" t="str">
        <f>+IFERROR(VLOOKUP($J105,'11 FORMULAS'!$B$57:$C$59,2,0),"")</f>
        <v/>
      </c>
      <c r="L105" s="279" t="str">
        <f>+IFERROR(VLOOKUP($J105,'11 FORMULAS'!$B$57:$D$59,3,0),"")</f>
        <v/>
      </c>
      <c r="M105" s="321"/>
      <c r="N105" s="322" t="str">
        <f>+IFERROR(VLOOKUP($M105,'11 FORMULAS'!$B$60:$C$61,2,0),"")</f>
        <v/>
      </c>
      <c r="O105" s="323"/>
      <c r="P105" s="323"/>
      <c r="Q105" s="323"/>
      <c r="R105" s="323"/>
      <c r="S105" s="279" t="str">
        <f t="shared" si="25"/>
        <v/>
      </c>
      <c r="T105" s="482" t="str">
        <f>IF(OR(J105="preventivo",J105="detectivo"),T104-(T104*S105),T104)</f>
        <v/>
      </c>
      <c r="U105" s="482">
        <f>IF(J105="correctivo",U104-(U104*S105),U104)</f>
        <v>0.6</v>
      </c>
      <c r="V105" s="718"/>
      <c r="W105" s="719"/>
      <c r="X105" s="36"/>
      <c r="Y105" s="275"/>
      <c r="Z105" s="276"/>
      <c r="AA105" s="276"/>
    </row>
    <row r="106" spans="1:27" ht="130.94999999999999" customHeight="1" thickBot="1">
      <c r="A106" s="695"/>
      <c r="B106" s="699"/>
      <c r="C106" s="702"/>
      <c r="D106" s="703"/>
      <c r="E106" s="320">
        <v>3</v>
      </c>
      <c r="F106" s="303"/>
      <c r="G106" s="339"/>
      <c r="H106" s="301"/>
      <c r="I106" s="370" t="str">
        <f t="shared" si="24"/>
        <v xml:space="preserve">  </v>
      </c>
      <c r="J106" s="341"/>
      <c r="K106" s="279" t="str">
        <f>+IFERROR(VLOOKUP($J106,'11 FORMULAS'!$B$57:$C$59,2,0),"")</f>
        <v/>
      </c>
      <c r="L106" s="279" t="str">
        <f>+IFERROR(VLOOKUP($J106,'11 FORMULAS'!$B$57:$D$59,3,0),"")</f>
        <v/>
      </c>
      <c r="M106" s="321"/>
      <c r="N106" s="322" t="str">
        <f>+IFERROR(VLOOKUP($M106,'11 FORMULAS'!$B$60:$C$61,2,0),"")</f>
        <v/>
      </c>
      <c r="O106" s="323"/>
      <c r="P106" s="323"/>
      <c r="Q106" s="323"/>
      <c r="R106" s="323"/>
      <c r="S106" s="279" t="str">
        <f t="shared" si="25"/>
        <v/>
      </c>
      <c r="T106" s="482" t="str">
        <f t="shared" ref="T106:T109" si="36">IF(OR(J106="preventivo",J106="detectivo"),T105-(T105*S106),T105)</f>
        <v/>
      </c>
      <c r="U106" s="482">
        <f t="shared" ref="U106:U109" si="37">IF(J106="correctivo",U105-(U105*S106),U105)</f>
        <v>0.6</v>
      </c>
      <c r="V106" s="718"/>
      <c r="W106" s="719"/>
      <c r="X106" s="36"/>
      <c r="Y106" s="275"/>
      <c r="Z106" s="276"/>
      <c r="AA106" s="276"/>
    </row>
    <row r="107" spans="1:27" ht="130.94999999999999" customHeight="1" thickBot="1">
      <c r="A107" s="696"/>
      <c r="B107" s="700"/>
      <c r="C107" s="671"/>
      <c r="D107" s="674"/>
      <c r="E107" s="320">
        <v>4</v>
      </c>
      <c r="F107" s="304"/>
      <c r="G107" s="339"/>
      <c r="H107" s="194"/>
      <c r="I107" s="370" t="str">
        <f t="shared" si="24"/>
        <v xml:space="preserve">  </v>
      </c>
      <c r="J107" s="341"/>
      <c r="K107" s="279" t="str">
        <f>+IFERROR(VLOOKUP($J107,'11 FORMULAS'!$B$57:$C$59,2,0),"")</f>
        <v/>
      </c>
      <c r="L107" s="279" t="str">
        <f>+IFERROR(VLOOKUP($J107,'11 FORMULAS'!$B$57:$D$59,3,0),"")</f>
        <v/>
      </c>
      <c r="M107" s="321"/>
      <c r="N107" s="322" t="str">
        <f>+IFERROR(VLOOKUP($M107,'11 FORMULAS'!$B$60:$C$61,2,0),"")</f>
        <v/>
      </c>
      <c r="O107" s="323"/>
      <c r="P107" s="323"/>
      <c r="Q107" s="323"/>
      <c r="R107" s="323"/>
      <c r="S107" s="279" t="str">
        <f t="shared" si="25"/>
        <v/>
      </c>
      <c r="T107" s="482" t="str">
        <f t="shared" si="36"/>
        <v/>
      </c>
      <c r="U107" s="482">
        <f t="shared" si="37"/>
        <v>0.6</v>
      </c>
      <c r="V107" s="713"/>
      <c r="W107" s="716"/>
      <c r="X107" s="36"/>
      <c r="Y107" s="275"/>
      <c r="Z107" s="276"/>
      <c r="AA107" s="276"/>
    </row>
    <row r="108" spans="1:27" ht="130.94999999999999" customHeight="1" thickBot="1">
      <c r="A108" s="696"/>
      <c r="B108" s="700"/>
      <c r="C108" s="671"/>
      <c r="D108" s="674"/>
      <c r="E108" s="320">
        <v>5</v>
      </c>
      <c r="F108" s="304"/>
      <c r="G108" s="339"/>
      <c r="H108" s="194"/>
      <c r="I108" s="370" t="str">
        <f t="shared" si="24"/>
        <v xml:space="preserve">  </v>
      </c>
      <c r="J108" s="341"/>
      <c r="K108" s="279" t="str">
        <f>+IFERROR(VLOOKUP($J108,'11 FORMULAS'!$B$57:$C$59,2,0),"")</f>
        <v/>
      </c>
      <c r="L108" s="279" t="str">
        <f>+IFERROR(VLOOKUP($J108,'11 FORMULAS'!$B$57:$D$59,3,0),"")</f>
        <v/>
      </c>
      <c r="M108" s="321"/>
      <c r="N108" s="322" t="str">
        <f>+IFERROR(VLOOKUP($M108,'11 FORMULAS'!$B$60:$C$61,2,0),"")</f>
        <v/>
      </c>
      <c r="O108" s="323"/>
      <c r="P108" s="323"/>
      <c r="Q108" s="323"/>
      <c r="R108" s="323"/>
      <c r="S108" s="279" t="str">
        <f t="shared" si="25"/>
        <v/>
      </c>
      <c r="T108" s="482" t="str">
        <f t="shared" si="36"/>
        <v/>
      </c>
      <c r="U108" s="482">
        <f t="shared" si="37"/>
        <v>0.6</v>
      </c>
      <c r="V108" s="713"/>
      <c r="W108" s="716"/>
      <c r="X108" s="36"/>
      <c r="Y108" s="275"/>
      <c r="Z108" s="276"/>
      <c r="AA108" s="276"/>
    </row>
    <row r="109" spans="1:27" ht="130.94999999999999" customHeight="1" thickBot="1">
      <c r="A109" s="697"/>
      <c r="B109" s="701"/>
      <c r="C109" s="672"/>
      <c r="D109" s="675"/>
      <c r="E109" s="324">
        <v>6</v>
      </c>
      <c r="F109" s="307"/>
      <c r="G109" s="339"/>
      <c r="H109" s="195"/>
      <c r="I109" s="370" t="str">
        <f t="shared" si="24"/>
        <v xml:space="preserve">  </v>
      </c>
      <c r="J109" s="341"/>
      <c r="K109" s="279" t="str">
        <f>+IFERROR(VLOOKUP($J109,'11 FORMULAS'!$B$57:$C$59,2,0),"")</f>
        <v/>
      </c>
      <c r="L109" s="279" t="str">
        <f>+IFERROR(VLOOKUP($J109,'11 FORMULAS'!$B$57:$D$59,3,0),"")</f>
        <v/>
      </c>
      <c r="M109" s="321"/>
      <c r="N109" s="322" t="str">
        <f>+IFERROR(VLOOKUP($M109,'11 FORMULAS'!$B$60:$C$61,2,0),"")</f>
        <v/>
      </c>
      <c r="O109" s="323"/>
      <c r="P109" s="323"/>
      <c r="Q109" s="323"/>
      <c r="R109" s="323"/>
      <c r="S109" s="279" t="str">
        <f t="shared" si="25"/>
        <v/>
      </c>
      <c r="T109" s="482" t="str">
        <f t="shared" si="36"/>
        <v/>
      </c>
      <c r="U109" s="482">
        <f t="shared" si="37"/>
        <v>0.6</v>
      </c>
      <c r="V109" s="714"/>
      <c r="W109" s="717"/>
      <c r="X109" s="36"/>
    </row>
    <row r="110" spans="1:27" ht="130.94999999999999" customHeight="1" thickBot="1">
      <c r="A110" s="694" t="str">
        <f>'2 CONTEXTO E IDENTIFICACIÓN'!A26</f>
        <v>R18</v>
      </c>
      <c r="B110" s="698" t="str">
        <f>+'2 CONTEXTO E IDENTIFICACIÓN'!K26</f>
        <v xml:space="preserve">   </v>
      </c>
      <c r="C110" s="670" t="str">
        <f>+'3 PROBABIL E IMPACTO INHERENTE'!E26</f>
        <v/>
      </c>
      <c r="D110" s="673" t="str">
        <f>+'3 PROBABIL E IMPACTO INHERENTE'!M26</f>
        <v/>
      </c>
      <c r="E110" s="325">
        <v>1</v>
      </c>
      <c r="F110" s="305"/>
      <c r="G110" s="339"/>
      <c r="H110" s="48"/>
      <c r="I110" s="370" t="str">
        <f t="shared" si="24"/>
        <v xml:space="preserve">  </v>
      </c>
      <c r="J110" s="341"/>
      <c r="K110" s="279" t="str">
        <f>+IFERROR(VLOOKUP($J110,'11 FORMULAS'!$B$57:$C$59,2,0),"")</f>
        <v/>
      </c>
      <c r="L110" s="279" t="str">
        <f>+IFERROR(VLOOKUP($J110,'11 FORMULAS'!$B$57:$D$59,3,0),"")</f>
        <v/>
      </c>
      <c r="M110" s="321"/>
      <c r="N110" s="322" t="str">
        <f>+IFERROR(VLOOKUP($M110,'11 FORMULAS'!$B$60:$C$61,2,0),"")</f>
        <v/>
      </c>
      <c r="O110" s="323"/>
      <c r="P110" s="323"/>
      <c r="Q110" s="323"/>
      <c r="R110" s="323"/>
      <c r="S110" s="279" t="str">
        <f t="shared" si="25"/>
        <v/>
      </c>
      <c r="T110" s="279" t="str">
        <f>IF(OR(J110="Preventivo",J110="Detectivo"),C110-(C110*S110),C110)</f>
        <v/>
      </c>
      <c r="U110" s="279">
        <f>IF(J32="CORRECTIVO",D32-(D32*S32),D32)</f>
        <v>0.6</v>
      </c>
      <c r="V110" s="712" t="str">
        <f>+IF(T115="","",T115)</f>
        <v/>
      </c>
      <c r="W110" s="715">
        <f>+IF(U115="","",U115)</f>
        <v>0.6</v>
      </c>
      <c r="X110" s="36"/>
      <c r="Y110" s="275"/>
      <c r="Z110" s="276"/>
      <c r="AA110" s="276"/>
    </row>
    <row r="111" spans="1:27" ht="130.94999999999999" customHeight="1" thickBot="1">
      <c r="A111" s="695"/>
      <c r="B111" s="699"/>
      <c r="C111" s="702"/>
      <c r="D111" s="703"/>
      <c r="E111" s="320">
        <v>2</v>
      </c>
      <c r="F111" s="303"/>
      <c r="G111" s="339"/>
      <c r="H111" s="301"/>
      <c r="I111" s="370" t="str">
        <f t="shared" si="24"/>
        <v xml:space="preserve">  </v>
      </c>
      <c r="J111" s="341"/>
      <c r="K111" s="279" t="str">
        <f>+IFERROR(VLOOKUP($J111,'11 FORMULAS'!$B$57:$C$59,2,0),"")</f>
        <v/>
      </c>
      <c r="L111" s="279" t="str">
        <f>+IFERROR(VLOOKUP($J111,'11 FORMULAS'!$B$57:$D$59,3,0),"")</f>
        <v/>
      </c>
      <c r="M111" s="321"/>
      <c r="N111" s="322" t="str">
        <f>+IFERROR(VLOOKUP($M111,'11 FORMULAS'!$B$60:$C$61,2,0),"")</f>
        <v/>
      </c>
      <c r="O111" s="323"/>
      <c r="P111" s="323"/>
      <c r="Q111" s="323"/>
      <c r="R111" s="323"/>
      <c r="S111" s="279" t="str">
        <f t="shared" si="25"/>
        <v/>
      </c>
      <c r="T111" s="482" t="str">
        <f>IF(OR(J111="preventivo",J111="detectivo"),T110-(T110*S111),T110)</f>
        <v/>
      </c>
      <c r="U111" s="482">
        <f>IF(J111="correctivo",U110-(U110*S111),U110)</f>
        <v>0.6</v>
      </c>
      <c r="V111" s="718"/>
      <c r="W111" s="719"/>
      <c r="X111" s="36"/>
      <c r="Y111" s="275"/>
      <c r="Z111" s="276"/>
      <c r="AA111" s="276"/>
    </row>
    <row r="112" spans="1:27" ht="130.94999999999999" customHeight="1" thickBot="1">
      <c r="A112" s="695"/>
      <c r="B112" s="699"/>
      <c r="C112" s="702"/>
      <c r="D112" s="703"/>
      <c r="E112" s="320">
        <v>3</v>
      </c>
      <c r="F112" s="303"/>
      <c r="G112" s="339"/>
      <c r="H112" s="301"/>
      <c r="I112" s="370" t="str">
        <f t="shared" si="24"/>
        <v xml:space="preserve">  </v>
      </c>
      <c r="J112" s="341"/>
      <c r="K112" s="279" t="str">
        <f>+IFERROR(VLOOKUP($J112,'11 FORMULAS'!$B$57:$C$59,2,0),"")</f>
        <v/>
      </c>
      <c r="L112" s="279" t="str">
        <f>+IFERROR(VLOOKUP($J112,'11 FORMULAS'!$B$57:$D$59,3,0),"")</f>
        <v/>
      </c>
      <c r="M112" s="321"/>
      <c r="N112" s="322" t="str">
        <f>+IFERROR(VLOOKUP($M112,'11 FORMULAS'!$B$60:$C$61,2,0),"")</f>
        <v/>
      </c>
      <c r="O112" s="323"/>
      <c r="P112" s="323"/>
      <c r="Q112" s="323"/>
      <c r="R112" s="323"/>
      <c r="S112" s="279" t="str">
        <f t="shared" si="25"/>
        <v/>
      </c>
      <c r="T112" s="482" t="str">
        <f t="shared" ref="T112:T115" si="38">IF(OR(J112="preventivo",J112="detectivo"),T111-(T111*S112),T111)</f>
        <v/>
      </c>
      <c r="U112" s="482">
        <f t="shared" ref="U112:U115" si="39">IF(J112="correctivo",U111-(U111*S112),U111)</f>
        <v>0.6</v>
      </c>
      <c r="V112" s="718"/>
      <c r="W112" s="719"/>
      <c r="X112" s="36"/>
      <c r="Y112" s="275"/>
      <c r="Z112" s="276"/>
      <c r="AA112" s="276"/>
    </row>
    <row r="113" spans="1:27" ht="130.94999999999999" customHeight="1" thickBot="1">
      <c r="A113" s="696"/>
      <c r="B113" s="700"/>
      <c r="C113" s="671"/>
      <c r="D113" s="674"/>
      <c r="E113" s="320">
        <v>4</v>
      </c>
      <c r="F113" s="304"/>
      <c r="G113" s="339"/>
      <c r="H113" s="194"/>
      <c r="I113" s="370" t="str">
        <f t="shared" si="24"/>
        <v xml:space="preserve">  </v>
      </c>
      <c r="J113" s="341"/>
      <c r="K113" s="279" t="str">
        <f>+IFERROR(VLOOKUP($J113,'11 FORMULAS'!$B$57:$C$59,2,0),"")</f>
        <v/>
      </c>
      <c r="L113" s="279" t="str">
        <f>+IFERROR(VLOOKUP($J113,'11 FORMULAS'!$B$57:$D$59,3,0),"")</f>
        <v/>
      </c>
      <c r="M113" s="321"/>
      <c r="N113" s="322" t="str">
        <f>+IFERROR(VLOOKUP($M113,'11 FORMULAS'!$B$60:$C$61,2,0),"")</f>
        <v/>
      </c>
      <c r="O113" s="323"/>
      <c r="P113" s="323"/>
      <c r="Q113" s="323"/>
      <c r="R113" s="323"/>
      <c r="S113" s="279" t="str">
        <f t="shared" si="25"/>
        <v/>
      </c>
      <c r="T113" s="482" t="str">
        <f t="shared" si="38"/>
        <v/>
      </c>
      <c r="U113" s="482">
        <f t="shared" si="39"/>
        <v>0.6</v>
      </c>
      <c r="V113" s="713"/>
      <c r="W113" s="716"/>
      <c r="X113" s="36"/>
      <c r="Y113" s="275"/>
      <c r="Z113" s="276"/>
      <c r="AA113" s="276"/>
    </row>
    <row r="114" spans="1:27" ht="130.94999999999999" customHeight="1" thickBot="1">
      <c r="A114" s="696"/>
      <c r="B114" s="700"/>
      <c r="C114" s="671"/>
      <c r="D114" s="674"/>
      <c r="E114" s="320">
        <v>5</v>
      </c>
      <c r="F114" s="304"/>
      <c r="G114" s="339"/>
      <c r="H114" s="194"/>
      <c r="I114" s="370" t="str">
        <f t="shared" si="24"/>
        <v xml:space="preserve">  </v>
      </c>
      <c r="J114" s="341"/>
      <c r="K114" s="279" t="str">
        <f>+IFERROR(VLOOKUP($J114,'11 FORMULAS'!$B$57:$C$59,2,0),"")</f>
        <v/>
      </c>
      <c r="L114" s="279" t="str">
        <f>+IFERROR(VLOOKUP($J114,'11 FORMULAS'!$B$57:$D$59,3,0),"")</f>
        <v/>
      </c>
      <c r="M114" s="321"/>
      <c r="N114" s="322" t="str">
        <f>+IFERROR(VLOOKUP($M114,'11 FORMULAS'!$B$60:$C$61,2,0),"")</f>
        <v/>
      </c>
      <c r="O114" s="323"/>
      <c r="P114" s="323"/>
      <c r="Q114" s="323"/>
      <c r="R114" s="323"/>
      <c r="S114" s="279" t="str">
        <f t="shared" si="25"/>
        <v/>
      </c>
      <c r="T114" s="482" t="str">
        <f t="shared" si="38"/>
        <v/>
      </c>
      <c r="U114" s="482">
        <f t="shared" si="39"/>
        <v>0.6</v>
      </c>
      <c r="V114" s="713"/>
      <c r="W114" s="716"/>
      <c r="X114" s="36"/>
      <c r="Y114" s="275"/>
      <c r="Z114" s="276"/>
      <c r="AA114" s="276"/>
    </row>
    <row r="115" spans="1:27" ht="130.94999999999999" customHeight="1" thickBot="1">
      <c r="A115" s="697"/>
      <c r="B115" s="701"/>
      <c r="C115" s="672"/>
      <c r="D115" s="675"/>
      <c r="E115" s="324">
        <v>6</v>
      </c>
      <c r="F115" s="307"/>
      <c r="G115" s="339"/>
      <c r="H115" s="195"/>
      <c r="I115" s="370" t="str">
        <f t="shared" si="24"/>
        <v xml:space="preserve">  </v>
      </c>
      <c r="J115" s="341"/>
      <c r="K115" s="279" t="str">
        <f>+IFERROR(VLOOKUP($J115,'11 FORMULAS'!$B$57:$C$59,2,0),"")</f>
        <v/>
      </c>
      <c r="L115" s="279" t="str">
        <f>+IFERROR(VLOOKUP($J115,'11 FORMULAS'!$B$57:$D$59,3,0),"")</f>
        <v/>
      </c>
      <c r="M115" s="321"/>
      <c r="N115" s="322" t="str">
        <f>+IFERROR(VLOOKUP($M115,'11 FORMULAS'!$B$60:$C$61,2,0),"")</f>
        <v/>
      </c>
      <c r="O115" s="323"/>
      <c r="P115" s="323"/>
      <c r="Q115" s="323"/>
      <c r="R115" s="323"/>
      <c r="S115" s="279" t="str">
        <f t="shared" si="25"/>
        <v/>
      </c>
      <c r="T115" s="482" t="str">
        <f t="shared" si="38"/>
        <v/>
      </c>
      <c r="U115" s="482">
        <f t="shared" si="39"/>
        <v>0.6</v>
      </c>
      <c r="V115" s="714"/>
      <c r="W115" s="717"/>
      <c r="X115" s="36"/>
    </row>
    <row r="116" spans="1:27" ht="130.94999999999999" customHeight="1" thickBot="1">
      <c r="A116" s="694" t="str">
        <f>'2 CONTEXTO E IDENTIFICACIÓN'!A27</f>
        <v>R19</v>
      </c>
      <c r="B116" s="698" t="str">
        <f>+'2 CONTEXTO E IDENTIFICACIÓN'!K27</f>
        <v xml:space="preserve">   </v>
      </c>
      <c r="C116" s="670" t="str">
        <f>+'3 PROBABIL E IMPACTO INHERENTE'!E27</f>
        <v/>
      </c>
      <c r="D116" s="673" t="str">
        <f>+'3 PROBABIL E IMPACTO INHERENTE'!M27</f>
        <v/>
      </c>
      <c r="E116" s="325">
        <v>1</v>
      </c>
      <c r="F116" s="305"/>
      <c r="G116" s="339"/>
      <c r="H116" s="48"/>
      <c r="I116" s="370" t="str">
        <f t="shared" si="24"/>
        <v xml:space="preserve">  </v>
      </c>
      <c r="J116" s="341"/>
      <c r="K116" s="279" t="str">
        <f>+IFERROR(VLOOKUP($J116,'11 FORMULAS'!$B$57:$C$59,2,0),"")</f>
        <v/>
      </c>
      <c r="L116" s="279" t="str">
        <f>+IFERROR(VLOOKUP($J116,'11 FORMULAS'!$B$57:$D$59,3,0),"")</f>
        <v/>
      </c>
      <c r="M116" s="321"/>
      <c r="N116" s="322" t="str">
        <f>+IFERROR(VLOOKUP($M116,'11 FORMULAS'!$B$60:$C$61,2,0),"")</f>
        <v/>
      </c>
      <c r="O116" s="323"/>
      <c r="P116" s="323"/>
      <c r="Q116" s="323"/>
      <c r="R116" s="323"/>
      <c r="S116" s="279" t="str">
        <f t="shared" si="25"/>
        <v/>
      </c>
      <c r="T116" s="279" t="str">
        <f>IF(OR(J116="Preventivo",J116="Detectivo"),C116-(C116*S116),C116)</f>
        <v/>
      </c>
      <c r="U116" s="279">
        <f>IF(J32="CORRECTIVO",D32-(D32*S32),D32)</f>
        <v>0.6</v>
      </c>
      <c r="V116" s="712" t="str">
        <f>+IF(T121="","",T121)</f>
        <v/>
      </c>
      <c r="W116" s="715">
        <f>+IF(U121="","",U121)</f>
        <v>0.6</v>
      </c>
      <c r="X116" s="36"/>
      <c r="Y116" s="275"/>
      <c r="Z116" s="276"/>
      <c r="AA116" s="276"/>
    </row>
    <row r="117" spans="1:27" ht="130.94999999999999" customHeight="1" thickBot="1">
      <c r="A117" s="695"/>
      <c r="B117" s="699"/>
      <c r="C117" s="702"/>
      <c r="D117" s="703"/>
      <c r="E117" s="320">
        <v>2</v>
      </c>
      <c r="F117" s="303"/>
      <c r="G117" s="339"/>
      <c r="H117" s="301"/>
      <c r="I117" s="370" t="str">
        <f t="shared" si="24"/>
        <v xml:space="preserve">  </v>
      </c>
      <c r="J117" s="341"/>
      <c r="K117" s="279" t="str">
        <f>+IFERROR(VLOOKUP($J117,'11 FORMULAS'!$B$57:$C$59,2,0),"")</f>
        <v/>
      </c>
      <c r="L117" s="279" t="str">
        <f>+IFERROR(VLOOKUP($J117,'11 FORMULAS'!$B$57:$D$59,3,0),"")</f>
        <v/>
      </c>
      <c r="M117" s="321"/>
      <c r="N117" s="322" t="str">
        <f>+IFERROR(VLOOKUP($M117,'11 FORMULAS'!$B$60:$C$61,2,0),"")</f>
        <v/>
      </c>
      <c r="O117" s="323"/>
      <c r="P117" s="323"/>
      <c r="Q117" s="323"/>
      <c r="R117" s="323"/>
      <c r="S117" s="279" t="str">
        <f t="shared" si="25"/>
        <v/>
      </c>
      <c r="T117" s="482" t="str">
        <f>IF(OR(J117="preventivo",J117="detectivo"),T116-(T116*S117),T116)</f>
        <v/>
      </c>
      <c r="U117" s="482">
        <f>IF(J117="correctivo",U116-(U116*S117),U116)</f>
        <v>0.6</v>
      </c>
      <c r="V117" s="718"/>
      <c r="W117" s="719"/>
      <c r="X117" s="36"/>
      <c r="Y117" s="275"/>
      <c r="Z117" s="276"/>
      <c r="AA117" s="276"/>
    </row>
    <row r="118" spans="1:27" ht="130.94999999999999" customHeight="1" thickBot="1">
      <c r="A118" s="695"/>
      <c r="B118" s="699"/>
      <c r="C118" s="702"/>
      <c r="D118" s="703"/>
      <c r="E118" s="320">
        <v>3</v>
      </c>
      <c r="F118" s="303"/>
      <c r="G118" s="339"/>
      <c r="H118" s="301"/>
      <c r="I118" s="370" t="str">
        <f t="shared" si="24"/>
        <v xml:space="preserve">  </v>
      </c>
      <c r="J118" s="341"/>
      <c r="K118" s="279" t="str">
        <f>+IFERROR(VLOOKUP($J118,'11 FORMULAS'!$B$57:$C$59,2,0),"")</f>
        <v/>
      </c>
      <c r="L118" s="279" t="str">
        <f>+IFERROR(VLOOKUP($J118,'11 FORMULAS'!$B$57:$D$59,3,0),"")</f>
        <v/>
      </c>
      <c r="M118" s="321"/>
      <c r="N118" s="322" t="str">
        <f>+IFERROR(VLOOKUP($M118,'11 FORMULAS'!$B$60:$C$61,2,0),"")</f>
        <v/>
      </c>
      <c r="O118" s="323"/>
      <c r="P118" s="323"/>
      <c r="Q118" s="323"/>
      <c r="R118" s="323"/>
      <c r="S118" s="279" t="str">
        <f t="shared" si="25"/>
        <v/>
      </c>
      <c r="T118" s="482" t="str">
        <f t="shared" ref="T118:T121" si="40">IF(OR(J118="preventivo",J118="detectivo"),T117-(T117*S118),T117)</f>
        <v/>
      </c>
      <c r="U118" s="482">
        <f t="shared" ref="U118:U121" si="41">IF(J118="correctivo",U117-(U117*S118),U117)</f>
        <v>0.6</v>
      </c>
      <c r="V118" s="718"/>
      <c r="W118" s="719"/>
      <c r="X118" s="36"/>
      <c r="Y118" s="275"/>
      <c r="Z118" s="276"/>
      <c r="AA118" s="276"/>
    </row>
    <row r="119" spans="1:27" ht="130.94999999999999" customHeight="1" thickBot="1">
      <c r="A119" s="696"/>
      <c r="B119" s="700"/>
      <c r="C119" s="671"/>
      <c r="D119" s="674"/>
      <c r="E119" s="320">
        <v>4</v>
      </c>
      <c r="F119" s="304"/>
      <c r="G119" s="339"/>
      <c r="H119" s="194"/>
      <c r="I119" s="370" t="str">
        <f t="shared" si="24"/>
        <v xml:space="preserve">  </v>
      </c>
      <c r="J119" s="341"/>
      <c r="K119" s="279" t="str">
        <f>+IFERROR(VLOOKUP($J119,'11 FORMULAS'!$B$57:$C$59,2,0),"")</f>
        <v/>
      </c>
      <c r="L119" s="279" t="str">
        <f>+IFERROR(VLOOKUP($J119,'11 FORMULAS'!$B$57:$D$59,3,0),"")</f>
        <v/>
      </c>
      <c r="M119" s="321"/>
      <c r="N119" s="322" t="str">
        <f>+IFERROR(VLOOKUP($M119,'11 FORMULAS'!$B$60:$C$61,2,0),"")</f>
        <v/>
      </c>
      <c r="O119" s="323"/>
      <c r="P119" s="323"/>
      <c r="Q119" s="323"/>
      <c r="R119" s="323"/>
      <c r="S119" s="279" t="str">
        <f t="shared" si="25"/>
        <v/>
      </c>
      <c r="T119" s="482" t="str">
        <f t="shared" si="40"/>
        <v/>
      </c>
      <c r="U119" s="482">
        <f t="shared" si="41"/>
        <v>0.6</v>
      </c>
      <c r="V119" s="713"/>
      <c r="W119" s="716"/>
      <c r="X119" s="36"/>
      <c r="Y119" s="275"/>
      <c r="Z119" s="276"/>
      <c r="AA119" s="276"/>
    </row>
    <row r="120" spans="1:27" ht="130.94999999999999" customHeight="1" thickBot="1">
      <c r="A120" s="696"/>
      <c r="B120" s="700"/>
      <c r="C120" s="671"/>
      <c r="D120" s="674"/>
      <c r="E120" s="320">
        <v>5</v>
      </c>
      <c r="F120" s="304"/>
      <c r="G120" s="339"/>
      <c r="H120" s="194"/>
      <c r="I120" s="370" t="str">
        <f t="shared" si="24"/>
        <v xml:space="preserve">  </v>
      </c>
      <c r="J120" s="341"/>
      <c r="K120" s="279" t="str">
        <f>+IFERROR(VLOOKUP($J120,'11 FORMULAS'!$B$57:$C$59,2,0),"")</f>
        <v/>
      </c>
      <c r="L120" s="279" t="str">
        <f>+IFERROR(VLOOKUP($J120,'11 FORMULAS'!$B$57:$D$59,3,0),"")</f>
        <v/>
      </c>
      <c r="M120" s="321"/>
      <c r="N120" s="322" t="str">
        <f>+IFERROR(VLOOKUP($M120,'11 FORMULAS'!$B$60:$C$61,2,0),"")</f>
        <v/>
      </c>
      <c r="O120" s="323"/>
      <c r="P120" s="323"/>
      <c r="Q120" s="323"/>
      <c r="R120" s="323"/>
      <c r="S120" s="279" t="str">
        <f t="shared" si="25"/>
        <v/>
      </c>
      <c r="T120" s="482" t="str">
        <f t="shared" si="40"/>
        <v/>
      </c>
      <c r="U120" s="482">
        <f t="shared" si="41"/>
        <v>0.6</v>
      </c>
      <c r="V120" s="713"/>
      <c r="W120" s="716"/>
      <c r="X120" s="36"/>
      <c r="Y120" s="275"/>
      <c r="Z120" s="276"/>
      <c r="AA120" s="276"/>
    </row>
    <row r="121" spans="1:27" ht="130.94999999999999" customHeight="1" thickBot="1">
      <c r="A121" s="697"/>
      <c r="B121" s="701"/>
      <c r="C121" s="672"/>
      <c r="D121" s="675"/>
      <c r="E121" s="324">
        <v>6</v>
      </c>
      <c r="F121" s="307"/>
      <c r="G121" s="339"/>
      <c r="H121" s="195"/>
      <c r="I121" s="370" t="str">
        <f t="shared" si="24"/>
        <v xml:space="preserve">  </v>
      </c>
      <c r="J121" s="341"/>
      <c r="K121" s="279" t="str">
        <f>+IFERROR(VLOOKUP($J121,'11 FORMULAS'!$B$57:$C$59,2,0),"")</f>
        <v/>
      </c>
      <c r="L121" s="279" t="str">
        <f>+IFERROR(VLOOKUP($J121,'11 FORMULAS'!$B$57:$D$59,3,0),"")</f>
        <v/>
      </c>
      <c r="M121" s="321"/>
      <c r="N121" s="322" t="str">
        <f>+IFERROR(VLOOKUP($M121,'11 FORMULAS'!$B$60:$C$61,2,0),"")</f>
        <v/>
      </c>
      <c r="O121" s="323"/>
      <c r="P121" s="323"/>
      <c r="Q121" s="323"/>
      <c r="R121" s="323"/>
      <c r="S121" s="279" t="str">
        <f t="shared" si="25"/>
        <v/>
      </c>
      <c r="T121" s="482" t="str">
        <f t="shared" si="40"/>
        <v/>
      </c>
      <c r="U121" s="482">
        <f t="shared" si="41"/>
        <v>0.6</v>
      </c>
      <c r="V121" s="714"/>
      <c r="W121" s="717"/>
      <c r="X121" s="36"/>
    </row>
    <row r="122" spans="1:27" ht="130.94999999999999" customHeight="1" thickBot="1">
      <c r="A122" s="694" t="str">
        <f>'2 CONTEXTO E IDENTIFICACIÓN'!A28</f>
        <v>R20</v>
      </c>
      <c r="B122" s="698" t="str">
        <f>+'2 CONTEXTO E IDENTIFICACIÓN'!K28</f>
        <v xml:space="preserve">   </v>
      </c>
      <c r="C122" s="670" t="str">
        <f>+'3 PROBABIL E IMPACTO INHERENTE'!E28</f>
        <v/>
      </c>
      <c r="D122" s="673" t="str">
        <f>+'3 PROBABIL E IMPACTO INHERENTE'!M28</f>
        <v/>
      </c>
      <c r="E122" s="325">
        <v>1</v>
      </c>
      <c r="F122" s="305"/>
      <c r="G122" s="339"/>
      <c r="H122" s="48"/>
      <c r="I122" s="370" t="str">
        <f t="shared" si="24"/>
        <v xml:space="preserve">  </v>
      </c>
      <c r="J122" s="341"/>
      <c r="K122" s="279" t="str">
        <f>+IFERROR(VLOOKUP($J122,'11 FORMULAS'!$B$57:$C$59,2,0),"")</f>
        <v/>
      </c>
      <c r="L122" s="279" t="str">
        <f>+IFERROR(VLOOKUP($J122,'11 FORMULAS'!$B$57:$D$59,3,0),"")</f>
        <v/>
      </c>
      <c r="M122" s="321"/>
      <c r="N122" s="322" t="str">
        <f>+IFERROR(VLOOKUP($M122,'11 FORMULAS'!$B$60:$C$61,2,0),"")</f>
        <v/>
      </c>
      <c r="O122" s="323"/>
      <c r="P122" s="323"/>
      <c r="Q122" s="323"/>
      <c r="R122" s="323"/>
      <c r="S122" s="279" t="str">
        <f t="shared" si="25"/>
        <v/>
      </c>
      <c r="T122" s="279" t="str">
        <f>IF(OR(J122="Preventivo",J122="Detectivo"),C122-(C122*S122),C122)</f>
        <v/>
      </c>
      <c r="U122" s="279">
        <f>IF(J32="CORRECTIVO",D32-(D32*S32),D32)</f>
        <v>0.6</v>
      </c>
      <c r="V122" s="712" t="str">
        <f>+IF(T127="","",T127)</f>
        <v/>
      </c>
      <c r="W122" s="715">
        <f>+IF(U127="","",U127)</f>
        <v>0.6</v>
      </c>
      <c r="X122" s="36"/>
      <c r="Y122" s="275"/>
      <c r="Z122" s="276"/>
      <c r="AA122" s="276"/>
    </row>
    <row r="123" spans="1:27" ht="130.94999999999999" customHeight="1" thickBot="1">
      <c r="A123" s="695"/>
      <c r="B123" s="699"/>
      <c r="C123" s="702"/>
      <c r="D123" s="703"/>
      <c r="E123" s="320">
        <v>2</v>
      </c>
      <c r="F123" s="303"/>
      <c r="G123" s="339"/>
      <c r="H123" s="301"/>
      <c r="I123" s="370" t="str">
        <f t="shared" si="24"/>
        <v xml:space="preserve">  </v>
      </c>
      <c r="J123" s="341"/>
      <c r="K123" s="279" t="str">
        <f>+IFERROR(VLOOKUP($J123,'11 FORMULAS'!$B$57:$C$59,2,0),"")</f>
        <v/>
      </c>
      <c r="L123" s="279" t="str">
        <f>+IFERROR(VLOOKUP($J123,'11 FORMULAS'!$B$57:$D$59,3,0),"")</f>
        <v/>
      </c>
      <c r="M123" s="321"/>
      <c r="N123" s="322" t="str">
        <f>+IFERROR(VLOOKUP($M123,'11 FORMULAS'!$B$60:$C$61,2,0),"")</f>
        <v/>
      </c>
      <c r="O123" s="323"/>
      <c r="P123" s="323"/>
      <c r="Q123" s="323"/>
      <c r="R123" s="323"/>
      <c r="S123" s="279" t="str">
        <f t="shared" si="25"/>
        <v/>
      </c>
      <c r="T123" s="482" t="str">
        <f>IF(OR(J123="preventivo",J123="detectivo"),T122-(T122*S123),T122)</f>
        <v/>
      </c>
      <c r="U123" s="482">
        <f>IF(J123="correctivo",U122-(U122*S123),U122)</f>
        <v>0.6</v>
      </c>
      <c r="V123" s="718"/>
      <c r="W123" s="719"/>
      <c r="X123" s="36"/>
      <c r="Y123" s="275"/>
      <c r="Z123" s="276"/>
      <c r="AA123" s="276"/>
    </row>
    <row r="124" spans="1:27" ht="130.94999999999999" customHeight="1" thickBot="1">
      <c r="A124" s="695"/>
      <c r="B124" s="699"/>
      <c r="C124" s="702"/>
      <c r="D124" s="703"/>
      <c r="E124" s="320">
        <v>3</v>
      </c>
      <c r="F124" s="303"/>
      <c r="G124" s="339"/>
      <c r="H124" s="301"/>
      <c r="I124" s="370" t="str">
        <f t="shared" si="24"/>
        <v xml:space="preserve">  </v>
      </c>
      <c r="J124" s="341"/>
      <c r="K124" s="279" t="str">
        <f>+IFERROR(VLOOKUP($J124,'11 FORMULAS'!$B$57:$C$59,2,0),"")</f>
        <v/>
      </c>
      <c r="L124" s="279" t="str">
        <f>+IFERROR(VLOOKUP($J124,'11 FORMULAS'!$B$57:$D$59,3,0),"")</f>
        <v/>
      </c>
      <c r="M124" s="321"/>
      <c r="N124" s="322" t="str">
        <f>+IFERROR(VLOOKUP($M124,'11 FORMULAS'!$B$60:$C$61,2,0),"")</f>
        <v/>
      </c>
      <c r="O124" s="323"/>
      <c r="P124" s="323"/>
      <c r="Q124" s="323"/>
      <c r="R124" s="323"/>
      <c r="S124" s="279" t="str">
        <f t="shared" si="25"/>
        <v/>
      </c>
      <c r="T124" s="482" t="str">
        <f t="shared" ref="T124:T127" si="42">IF(OR(J124="preventivo",J124="detectivo"),T123-(T123*S124),T123)</f>
        <v/>
      </c>
      <c r="U124" s="482">
        <f t="shared" ref="U124:U127" si="43">IF(J124="correctivo",U123-(U123*S124),U123)</f>
        <v>0.6</v>
      </c>
      <c r="V124" s="718"/>
      <c r="W124" s="719"/>
      <c r="X124" s="36"/>
      <c r="Y124" s="275"/>
      <c r="Z124" s="276"/>
      <c r="AA124" s="276"/>
    </row>
    <row r="125" spans="1:27" ht="130.94999999999999" customHeight="1" thickBot="1">
      <c r="A125" s="696"/>
      <c r="B125" s="700"/>
      <c r="C125" s="671"/>
      <c r="D125" s="674"/>
      <c r="E125" s="320">
        <v>4</v>
      </c>
      <c r="F125" s="304"/>
      <c r="G125" s="339"/>
      <c r="H125" s="194"/>
      <c r="I125" s="370" t="str">
        <f t="shared" si="24"/>
        <v xml:space="preserve">  </v>
      </c>
      <c r="J125" s="341"/>
      <c r="K125" s="279" t="str">
        <f>+IFERROR(VLOOKUP($J125,'11 FORMULAS'!$B$57:$C$59,2,0),"")</f>
        <v/>
      </c>
      <c r="L125" s="279" t="str">
        <f>+IFERROR(VLOOKUP($J125,'11 FORMULAS'!$B$57:$D$59,3,0),"")</f>
        <v/>
      </c>
      <c r="M125" s="321"/>
      <c r="N125" s="322" t="str">
        <f>+IFERROR(VLOOKUP($M125,'11 FORMULAS'!$B$60:$C$61,2,0),"")</f>
        <v/>
      </c>
      <c r="O125" s="323"/>
      <c r="P125" s="323"/>
      <c r="Q125" s="323"/>
      <c r="R125" s="323"/>
      <c r="S125" s="279" t="str">
        <f t="shared" si="25"/>
        <v/>
      </c>
      <c r="T125" s="482" t="str">
        <f t="shared" si="42"/>
        <v/>
      </c>
      <c r="U125" s="482">
        <f t="shared" si="43"/>
        <v>0.6</v>
      </c>
      <c r="V125" s="713"/>
      <c r="W125" s="716"/>
      <c r="X125" s="36"/>
      <c r="Y125" s="275"/>
      <c r="Z125" s="276"/>
      <c r="AA125" s="276"/>
    </row>
    <row r="126" spans="1:27" ht="130.94999999999999" customHeight="1" thickBot="1">
      <c r="A126" s="696"/>
      <c r="B126" s="700"/>
      <c r="C126" s="671"/>
      <c r="D126" s="674"/>
      <c r="E126" s="320">
        <v>5</v>
      </c>
      <c r="F126" s="304"/>
      <c r="G126" s="339"/>
      <c r="H126" s="194"/>
      <c r="I126" s="370" t="str">
        <f t="shared" si="24"/>
        <v xml:space="preserve">  </v>
      </c>
      <c r="J126" s="341"/>
      <c r="K126" s="279" t="str">
        <f>+IFERROR(VLOOKUP($J126,'11 FORMULAS'!$B$57:$C$59,2,0),"")</f>
        <v/>
      </c>
      <c r="L126" s="279" t="str">
        <f>+IFERROR(VLOOKUP($J126,'11 FORMULAS'!$B$57:$D$59,3,0),"")</f>
        <v/>
      </c>
      <c r="M126" s="321"/>
      <c r="N126" s="322" t="str">
        <f>+IFERROR(VLOOKUP($M126,'11 FORMULAS'!$B$60:$C$61,2,0),"")</f>
        <v/>
      </c>
      <c r="O126" s="323"/>
      <c r="P126" s="323"/>
      <c r="Q126" s="323"/>
      <c r="R126" s="323"/>
      <c r="S126" s="279" t="str">
        <f t="shared" si="25"/>
        <v/>
      </c>
      <c r="T126" s="482" t="str">
        <f t="shared" si="42"/>
        <v/>
      </c>
      <c r="U126" s="482">
        <f t="shared" si="43"/>
        <v>0.6</v>
      </c>
      <c r="V126" s="713"/>
      <c r="W126" s="716"/>
      <c r="X126" s="36"/>
      <c r="Y126" s="275"/>
      <c r="Z126" s="276"/>
      <c r="AA126" s="276"/>
    </row>
    <row r="127" spans="1:27" ht="130.94999999999999" customHeight="1" thickBot="1">
      <c r="A127" s="697"/>
      <c r="B127" s="701"/>
      <c r="C127" s="672"/>
      <c r="D127" s="675"/>
      <c r="E127" s="324">
        <v>6</v>
      </c>
      <c r="F127" s="307"/>
      <c r="G127" s="339"/>
      <c r="H127" s="195"/>
      <c r="I127" s="370" t="str">
        <f t="shared" si="24"/>
        <v xml:space="preserve">  </v>
      </c>
      <c r="J127" s="341"/>
      <c r="K127" s="279" t="str">
        <f>+IFERROR(VLOOKUP($J127,'11 FORMULAS'!$B$57:$C$59,2,0),"")</f>
        <v/>
      </c>
      <c r="L127" s="279" t="str">
        <f>+IFERROR(VLOOKUP($J127,'11 FORMULAS'!$B$57:$D$59,3,0),"")</f>
        <v/>
      </c>
      <c r="M127" s="321"/>
      <c r="N127" s="322" t="str">
        <f>+IFERROR(VLOOKUP($M127,'11 FORMULAS'!$B$60:$C$61,2,0),"")</f>
        <v/>
      </c>
      <c r="O127" s="323"/>
      <c r="P127" s="323"/>
      <c r="Q127" s="323"/>
      <c r="R127" s="323"/>
      <c r="S127" s="279" t="str">
        <f t="shared" si="25"/>
        <v/>
      </c>
      <c r="T127" s="482" t="str">
        <f t="shared" si="42"/>
        <v/>
      </c>
      <c r="U127" s="482">
        <f t="shared" si="43"/>
        <v>0.6</v>
      </c>
      <c r="V127" s="714"/>
      <c r="W127" s="717"/>
      <c r="X127" s="36"/>
    </row>
  </sheetData>
  <sheetProtection sheet="1" objects="1" scenarios="1"/>
  <autoFilter ref="A7:X127"/>
  <dataConsolidate/>
  <mergeCells count="138">
    <mergeCell ref="V122:V127"/>
    <mergeCell ref="W122:W127"/>
    <mergeCell ref="B3:D3"/>
    <mergeCell ref="B4:D4"/>
    <mergeCell ref="V104:V109"/>
    <mergeCell ref="W104:W109"/>
    <mergeCell ref="V110:V115"/>
    <mergeCell ref="W110:W115"/>
    <mergeCell ref="V116:V121"/>
    <mergeCell ref="W116:W121"/>
    <mergeCell ref="V86:V91"/>
    <mergeCell ref="W86:W91"/>
    <mergeCell ref="V92:V97"/>
    <mergeCell ref="W92:W97"/>
    <mergeCell ref="V98:V103"/>
    <mergeCell ref="W98:W103"/>
    <mergeCell ref="V68:V73"/>
    <mergeCell ref="W68:W73"/>
    <mergeCell ref="V74:V79"/>
    <mergeCell ref="W74:W79"/>
    <mergeCell ref="V80:V85"/>
    <mergeCell ref="W80:W85"/>
    <mergeCell ref="V50:V55"/>
    <mergeCell ref="W50:W55"/>
    <mergeCell ref="V56:V61"/>
    <mergeCell ref="W56:W61"/>
    <mergeCell ref="V62:V67"/>
    <mergeCell ref="W62:W67"/>
    <mergeCell ref="V32:V37"/>
    <mergeCell ref="W32:W37"/>
    <mergeCell ref="V38:V43"/>
    <mergeCell ref="W38:W43"/>
    <mergeCell ref="V44:V49"/>
    <mergeCell ref="W44:W49"/>
    <mergeCell ref="Y4:AA4"/>
    <mergeCell ref="V20:V25"/>
    <mergeCell ref="W20:W25"/>
    <mergeCell ref="V26:V31"/>
    <mergeCell ref="W26:W31"/>
    <mergeCell ref="V8:V13"/>
    <mergeCell ref="W8:W13"/>
    <mergeCell ref="V14:V19"/>
    <mergeCell ref="W14:W19"/>
    <mergeCell ref="A92:A97"/>
    <mergeCell ref="B92:B97"/>
    <mergeCell ref="C92:C97"/>
    <mergeCell ref="D92:D97"/>
    <mergeCell ref="A98:A103"/>
    <mergeCell ref="B98:B103"/>
    <mergeCell ref="C98:C103"/>
    <mergeCell ref="D98:D103"/>
    <mergeCell ref="A122:A127"/>
    <mergeCell ref="B122:B127"/>
    <mergeCell ref="C122:C127"/>
    <mergeCell ref="D122:D127"/>
    <mergeCell ref="A104:A109"/>
    <mergeCell ref="B104:B109"/>
    <mergeCell ref="C104:C109"/>
    <mergeCell ref="D104:D109"/>
    <mergeCell ref="A110:A115"/>
    <mergeCell ref="B110:B115"/>
    <mergeCell ref="C110:C115"/>
    <mergeCell ref="D110:D115"/>
    <mergeCell ref="A116:A121"/>
    <mergeCell ref="B116:B121"/>
    <mergeCell ref="C116:C121"/>
    <mergeCell ref="D116:D121"/>
    <mergeCell ref="D80:D85"/>
    <mergeCell ref="A86:A91"/>
    <mergeCell ref="B86:B91"/>
    <mergeCell ref="C86:C91"/>
    <mergeCell ref="D86:D91"/>
    <mergeCell ref="A80:A85"/>
    <mergeCell ref="B80:B85"/>
    <mergeCell ref="C80:C85"/>
    <mergeCell ref="A68:A73"/>
    <mergeCell ref="B68:B73"/>
    <mergeCell ref="C68:C73"/>
    <mergeCell ref="D68:D73"/>
    <mergeCell ref="A74:A79"/>
    <mergeCell ref="B74:B79"/>
    <mergeCell ref="C74:C79"/>
    <mergeCell ref="D74:D79"/>
    <mergeCell ref="A56:A61"/>
    <mergeCell ref="B56:B61"/>
    <mergeCell ref="C56:C61"/>
    <mergeCell ref="D56:D61"/>
    <mergeCell ref="A62:A67"/>
    <mergeCell ref="B62:B67"/>
    <mergeCell ref="C62:C67"/>
    <mergeCell ref="D62:D67"/>
    <mergeCell ref="A44:A49"/>
    <mergeCell ref="B44:B49"/>
    <mergeCell ref="C44:C49"/>
    <mergeCell ref="D44:D49"/>
    <mergeCell ref="A50:A55"/>
    <mergeCell ref="B50:B55"/>
    <mergeCell ref="C50:C55"/>
    <mergeCell ref="D50:D55"/>
    <mergeCell ref="A38:A43"/>
    <mergeCell ref="B38:B43"/>
    <mergeCell ref="C38:C43"/>
    <mergeCell ref="D38:D43"/>
    <mergeCell ref="A32:A37"/>
    <mergeCell ref="B32:B37"/>
    <mergeCell ref="C32:C37"/>
    <mergeCell ref="D32:D37"/>
    <mergeCell ref="A8:A13"/>
    <mergeCell ref="B8:B13"/>
    <mergeCell ref="A26:A31"/>
    <mergeCell ref="B26:B31"/>
    <mergeCell ref="C26:C31"/>
    <mergeCell ref="D26:D31"/>
    <mergeCell ref="A14:A19"/>
    <mergeCell ref="B14:B19"/>
    <mergeCell ref="C14:C19"/>
    <mergeCell ref="D14:D19"/>
    <mergeCell ref="A20:A25"/>
    <mergeCell ref="B20:B25"/>
    <mergeCell ref="C20:C25"/>
    <mergeCell ref="D20:D25"/>
    <mergeCell ref="C6:C7"/>
    <mergeCell ref="C8:C13"/>
    <mergeCell ref="D6:D7"/>
    <mergeCell ref="D8:D13"/>
    <mergeCell ref="S4:S6"/>
    <mergeCell ref="T4:T6"/>
    <mergeCell ref="U4:U6"/>
    <mergeCell ref="A1:A2"/>
    <mergeCell ref="B1:B2"/>
    <mergeCell ref="A6:A7"/>
    <mergeCell ref="B6:B7"/>
    <mergeCell ref="E6:E7"/>
    <mergeCell ref="J6:N6"/>
    <mergeCell ref="F6:H6"/>
    <mergeCell ref="O6:R6"/>
    <mergeCell ref="J5:R5"/>
    <mergeCell ref="C1:D1"/>
  </mergeCells>
  <phoneticPr fontId="0" type="noConversion"/>
  <conditionalFormatting sqref="C8:D8 V8:W8 C14:D14 V14:W14 C20:D20 V20:W20 C26:D26 V26:W26 C32:D34 V32:W34 C38:D40 V38:W40 C44:D44 V44:W44 C50:D50 V50:W50 C56:D56 V56:W56 C62:D62 V62:W62 C68:D70 V68:W70 C74:D74 V74:W74 C80:D80 V80:W80 C86:D86 V86:W86 C92:D92 V92:W92 C98:D98 V98:W98 C104:D106 V104:W106 C110:D112 V110:W112 C116:D118 V116:W118 C122:D124 V122:W124">
    <cfRule type="cellIs" dxfId="84" priority="313" operator="between">
      <formula>$Z$6</formula>
      <formula>$AA$6</formula>
    </cfRule>
    <cfRule type="cellIs" dxfId="83" priority="314" operator="between">
      <formula>$Z$7</formula>
      <formula>$AA$7</formula>
    </cfRule>
    <cfRule type="cellIs" dxfId="82" priority="315" operator="between">
      <formula>$Z$8</formula>
      <formula>$AA$8</formula>
    </cfRule>
    <cfRule type="cellIs" dxfId="81" priority="316" operator="between">
      <formula>$Z$9</formula>
      <formula>$AA$9</formula>
    </cfRule>
    <cfRule type="cellIs" dxfId="80" priority="317" operator="between">
      <formula>$Z$10</formula>
      <formula>$AA$10</formula>
    </cfRule>
  </conditionalFormatting>
  <conditionalFormatting sqref="T9:U13">
    <cfRule type="expression" dxfId="79" priority="40">
      <formula>J9=""</formula>
    </cfRule>
  </conditionalFormatting>
  <conditionalFormatting sqref="T15:U19">
    <cfRule type="expression" dxfId="78" priority="38">
      <formula>J15=""</formula>
    </cfRule>
  </conditionalFormatting>
  <conditionalFormatting sqref="T21:U25">
    <cfRule type="expression" dxfId="77" priority="35">
      <formula>J21=""</formula>
    </cfRule>
  </conditionalFormatting>
  <conditionalFormatting sqref="T27:U31">
    <cfRule type="expression" dxfId="76" priority="33">
      <formula>J27=""</formula>
    </cfRule>
  </conditionalFormatting>
  <conditionalFormatting sqref="T33:U37">
    <cfRule type="expression" dxfId="75" priority="31">
      <formula>J33=""</formula>
    </cfRule>
  </conditionalFormatting>
  <conditionalFormatting sqref="T39:U43">
    <cfRule type="expression" dxfId="74" priority="29">
      <formula>J39=""</formula>
    </cfRule>
  </conditionalFormatting>
  <conditionalFormatting sqref="T45:U49">
    <cfRule type="expression" dxfId="73" priority="27">
      <formula>J45=""</formula>
    </cfRule>
  </conditionalFormatting>
  <conditionalFormatting sqref="T51:U55">
    <cfRule type="expression" dxfId="72" priority="13">
      <formula>J51=""</formula>
    </cfRule>
  </conditionalFormatting>
  <conditionalFormatting sqref="T57:U61">
    <cfRule type="expression" dxfId="71" priority="12">
      <formula>J57=""</formula>
    </cfRule>
  </conditionalFormatting>
  <conditionalFormatting sqref="T63:U67">
    <cfRule type="expression" dxfId="70" priority="11">
      <formula>J63=""</formula>
    </cfRule>
  </conditionalFormatting>
  <conditionalFormatting sqref="T69:U73">
    <cfRule type="expression" dxfId="69" priority="10">
      <formula>J69=""</formula>
    </cfRule>
  </conditionalFormatting>
  <conditionalFormatting sqref="T75:U79">
    <cfRule type="expression" dxfId="68" priority="9">
      <formula>J75=""</formula>
    </cfRule>
  </conditionalFormatting>
  <conditionalFormatting sqref="T81:U85">
    <cfRule type="expression" dxfId="67" priority="8">
      <formula>J81=""</formula>
    </cfRule>
  </conditionalFormatting>
  <conditionalFormatting sqref="T87:U91">
    <cfRule type="expression" dxfId="66" priority="7">
      <formula>J87=""</formula>
    </cfRule>
  </conditionalFormatting>
  <conditionalFormatting sqref="T93:U97">
    <cfRule type="expression" dxfId="65" priority="6">
      <formula>J93=""</formula>
    </cfRule>
  </conditionalFormatting>
  <conditionalFormatting sqref="T99:U103">
    <cfRule type="expression" dxfId="64" priority="5">
      <formula>J99=""</formula>
    </cfRule>
  </conditionalFormatting>
  <conditionalFormatting sqref="T105:U109">
    <cfRule type="expression" dxfId="63" priority="4">
      <formula>J105=""</formula>
    </cfRule>
  </conditionalFormatting>
  <conditionalFormatting sqref="T111:U115">
    <cfRule type="expression" dxfId="62" priority="3">
      <formula>J111=""</formula>
    </cfRule>
  </conditionalFormatting>
  <conditionalFormatting sqref="T117:U121">
    <cfRule type="expression" dxfId="61" priority="1">
      <formula>J117=""</formula>
    </cfRule>
  </conditionalFormatting>
  <conditionalFormatting sqref="T123:U127">
    <cfRule type="expression" dxfId="60" priority="2">
      <formula>J123=""</formula>
    </cfRule>
  </conditionalFormatting>
  <printOptions horizontalCentered="1" verticalCentered="1"/>
  <pageMargins left="0.23622047244094491" right="0.23622047244094491" top="0.74803149606299213" bottom="0.74803149606299213" header="0.31496062992125984" footer="0.31496062992125984"/>
  <pageSetup scale="31" orientation="landscape" r:id="rId1"/>
  <headerFooter alignWithMargins="0"/>
  <rowBreaks count="2" manualBreakCount="2">
    <brk id="37" max="16383" man="1"/>
    <brk id="75" max="26" man="1"/>
  </rowBreaks>
  <colBreaks count="1" manualBreakCount="1">
    <brk id="9" max="92" man="1"/>
  </colBreaks>
  <drawing r:id="rId2"/>
  <extLst>
    <ext xmlns:x14="http://schemas.microsoft.com/office/spreadsheetml/2009/9/main" uri="{CCE6A557-97BC-4b89-ADB6-D9C93CAAB3DF}">
      <x14:dataValidations xmlns:xm="http://schemas.microsoft.com/office/excel/2006/main" xWindow="712" yWindow="776" count="6">
        <x14:dataValidation type="list" allowBlank="1" showInputMessage="1" showErrorMessage="1">
          <x14:formula1>
            <xm:f>'11 FORMULAS'!$B$57:$B$59</xm:f>
          </x14:formula1>
          <xm:sqref>J8:J127</xm:sqref>
        </x14:dataValidation>
        <x14:dataValidation type="list" allowBlank="1" showInputMessage="1" showErrorMessage="1">
          <x14:formula1>
            <xm:f>'11 FORMULAS'!$B$60:$B$61</xm:f>
          </x14:formula1>
          <xm:sqref>M8:M127</xm:sqref>
        </x14:dataValidation>
        <x14:dataValidation type="list" allowBlank="1" showInputMessage="1" showErrorMessage="1">
          <x14:formula1>
            <xm:f>'11 FORMULAS'!$B$66:$B$68</xm:f>
          </x14:formula1>
          <xm:sqref>O8:O127</xm:sqref>
        </x14:dataValidation>
        <x14:dataValidation type="list" allowBlank="1" showInputMessage="1" showErrorMessage="1">
          <x14:formula1>
            <xm:f>'11 FORMULAS'!$B$74:$B$75</xm:f>
          </x14:formula1>
          <xm:sqref>Q8:Q127</xm:sqref>
        </x14:dataValidation>
        <x14:dataValidation type="list" allowBlank="1" showInputMessage="1" showErrorMessage="1">
          <x14:formula1>
            <xm:f>'11 FORMULAS'!$B$76:$B$78</xm:f>
          </x14:formula1>
          <xm:sqref>R8:R127</xm:sqref>
        </x14:dataValidation>
        <x14:dataValidation type="list" allowBlank="1" showInputMessage="1" showErrorMessage="1">
          <x14:formula1>
            <xm:f>'11 FORMULAS'!$B$69:$B$73</xm:f>
          </x14:formula1>
          <xm:sqref>P8:P127</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H35"/>
  <sheetViews>
    <sheetView showGridLines="0" zoomScale="92" zoomScaleNormal="92" workbookViewId="0">
      <pane xSplit="1" ySplit="8" topLeftCell="B9" activePane="bottomRight" state="frozen"/>
      <selection pane="topRight" activeCell="B1" sqref="B1"/>
      <selection pane="bottomLeft" activeCell="A7" sqref="A7"/>
      <selection pane="bottomRight" activeCell="V14" sqref="V14"/>
    </sheetView>
  </sheetViews>
  <sheetFormatPr baseColWidth="10" defaultColWidth="0" defaultRowHeight="13.2" zeroHeight="1"/>
  <cols>
    <col min="1" max="1" width="11.44140625" style="63" customWidth="1"/>
    <col min="2" max="2" width="30.44140625" style="68" customWidth="1"/>
    <col min="3" max="3" width="13.44140625" style="68" customWidth="1"/>
    <col min="4" max="4" width="13" style="68" customWidth="1"/>
    <col min="5" max="5" width="16.44140625" style="113" customWidth="1"/>
    <col min="6" max="6" width="11.33203125" style="113" customWidth="1"/>
    <col min="7" max="7" width="15.44140625" style="68" customWidth="1"/>
    <col min="8" max="8" width="10.109375" style="68" bestFit="1" customWidth="1"/>
    <col min="9" max="9" width="7.44140625" style="68" customWidth="1"/>
    <col min="10" max="10" width="14" style="68" customWidth="1"/>
    <col min="11" max="15" width="12.44140625" style="68" customWidth="1"/>
    <col min="16" max="16" width="3.77734375" style="68" customWidth="1"/>
    <col min="17" max="17" width="4.77734375" style="63" customWidth="1"/>
    <col min="18" max="18" width="5.77734375" style="63" bestFit="1" customWidth="1"/>
    <col min="19" max="24" width="14" style="63" customWidth="1"/>
    <col min="25" max="25" width="11.44140625" style="63" customWidth="1"/>
    <col min="26" max="29" width="11.44140625" style="63" hidden="1" customWidth="1"/>
    <col min="30" max="30" width="5.44140625" style="63" hidden="1" customWidth="1"/>
    <col min="31" max="31" width="26.77734375" style="63" hidden="1" customWidth="1"/>
    <col min="32" max="36" width="22.77734375" style="68" hidden="1" customWidth="1"/>
    <col min="37" max="37" width="23.44140625" style="63" hidden="1" customWidth="1"/>
    <col min="38" max="265" width="11.44140625" style="63" hidden="1" customWidth="1"/>
    <col min="266" max="266" width="12.44140625" style="63" hidden="1" customWidth="1"/>
    <col min="267" max="267" width="47" style="63" hidden="1" customWidth="1"/>
    <col min="268" max="268" width="35" style="63" hidden="1" customWidth="1"/>
    <col min="269" max="16384" width="14.44140625" style="63" hidden="1"/>
  </cols>
  <sheetData>
    <row r="1" spans="1:38" s="51" customFormat="1" ht="36" customHeight="1">
      <c r="A1" s="653"/>
      <c r="B1" s="659" t="str">
        <f>+'2 CONTEXTO E IDENTIFICACIÓN'!A1</f>
        <v>MAPA DE RIESGOS</v>
      </c>
      <c r="C1" s="649"/>
      <c r="D1" s="650"/>
      <c r="E1" s="108"/>
      <c r="F1" s="2"/>
      <c r="G1" s="204" t="str">
        <f>+'2 CONTEXTO E IDENTIFICACIÓN'!$J$4</f>
        <v>Elaboración o Actualización:</v>
      </c>
      <c r="H1" s="215">
        <f>'2 CONTEXTO E IDENTIFICACIÓN'!K4</f>
        <v>45991</v>
      </c>
      <c r="I1" s="11"/>
      <c r="J1" s="11"/>
      <c r="AF1" s="52"/>
      <c r="AG1" s="52"/>
      <c r="AH1" s="52"/>
      <c r="AI1" s="52"/>
      <c r="AJ1" s="52"/>
    </row>
    <row r="2" spans="1:38" s="51" customFormat="1" ht="36" customHeight="1">
      <c r="A2" s="653"/>
      <c r="B2" s="659"/>
      <c r="C2" s="37" t="str">
        <f>+'2 CONTEXTO E IDENTIFICACIÓN'!A2</f>
        <v>VERSIÓN:</v>
      </c>
      <c r="D2" s="107">
        <f>'2 CONTEXTO E IDENTIFICACIÓN'!B2</f>
        <v>1</v>
      </c>
      <c r="E2" s="108"/>
      <c r="G2" s="207" t="str">
        <f>+'2 CONTEXTO E IDENTIFICACIÓN'!$E$5</f>
        <v xml:space="preserve">Vigencia: </v>
      </c>
      <c r="H2" s="205">
        <f>'2 CONTEXTO E IDENTIFICACIÓN'!H5</f>
        <v>46023</v>
      </c>
      <c r="I2" s="206" t="s">
        <v>99</v>
      </c>
      <c r="J2" s="203">
        <f>'2 CONTEXTO E IDENTIFICACIÓN'!K5</f>
        <v>46387</v>
      </c>
      <c r="K2" s="54"/>
      <c r="L2" s="54"/>
      <c r="M2" s="54"/>
      <c r="N2" s="54"/>
      <c r="O2" s="54"/>
      <c r="P2" s="53"/>
      <c r="AF2" s="52"/>
      <c r="AG2" s="52"/>
      <c r="AH2" s="52"/>
      <c r="AI2" s="52"/>
      <c r="AJ2" s="52"/>
    </row>
    <row r="3" spans="1:38" s="51" customFormat="1">
      <c r="A3" s="55"/>
      <c r="B3" s="53"/>
      <c r="C3" s="208"/>
      <c r="D3" s="208"/>
      <c r="E3" s="108"/>
      <c r="F3" s="218"/>
      <c r="G3" s="218"/>
      <c r="H3" s="219"/>
      <c r="I3" s="220"/>
      <c r="J3" s="201"/>
      <c r="K3" s="54"/>
      <c r="L3" s="54"/>
      <c r="M3" s="54"/>
      <c r="N3" s="54"/>
      <c r="O3" s="54"/>
      <c r="P3" s="53"/>
      <c r="AF3" s="52"/>
      <c r="AG3" s="52"/>
      <c r="AH3" s="52"/>
      <c r="AI3" s="52"/>
      <c r="AJ3" s="52"/>
    </row>
    <row r="4" spans="1:38" s="51" customFormat="1" ht="13.8">
      <c r="A4" s="10" t="s">
        <v>95</v>
      </c>
      <c r="B4" s="666">
        <f>'2 CONTEXTO E IDENTIFICACIÓN'!B4</f>
        <v>0</v>
      </c>
      <c r="C4" s="666"/>
      <c r="D4" s="666"/>
      <c r="E4" s="50"/>
      <c r="F4" s="109"/>
      <c r="AF4" s="52"/>
      <c r="AG4" s="52"/>
      <c r="AH4" s="52"/>
      <c r="AI4" s="52"/>
      <c r="AJ4" s="52"/>
    </row>
    <row r="5" spans="1:38" s="51" customFormat="1" ht="28.2" thickBot="1">
      <c r="A5" s="10" t="s">
        <v>96</v>
      </c>
      <c r="B5" s="666">
        <f>'2 CONTEXTO E IDENTIFICACIÓN'!F4</f>
        <v>0</v>
      </c>
      <c r="C5" s="667"/>
      <c r="D5" s="667"/>
      <c r="E5" s="50"/>
      <c r="F5" s="109"/>
      <c r="AF5" s="52"/>
      <c r="AG5" s="52"/>
      <c r="AH5" s="52"/>
      <c r="AI5" s="52"/>
      <c r="AJ5" s="52"/>
    </row>
    <row r="6" spans="1:38" s="51" customFormat="1" ht="13.8" thickBot="1">
      <c r="D6" s="53"/>
      <c r="E6" s="39"/>
      <c r="F6" s="109"/>
      <c r="I6" s="660" t="s">
        <v>332</v>
      </c>
      <c r="J6" s="661"/>
      <c r="K6" s="661"/>
      <c r="L6" s="661"/>
      <c r="M6" s="661"/>
      <c r="N6" s="661"/>
      <c r="O6" s="662"/>
      <c r="R6" s="56"/>
      <c r="S6" s="57"/>
      <c r="T6" s="651" t="s">
        <v>174</v>
      </c>
      <c r="U6" s="651"/>
      <c r="V6" s="651"/>
      <c r="W6" s="651"/>
      <c r="X6" s="652"/>
      <c r="AF6" s="52"/>
      <c r="AG6" s="52"/>
      <c r="AH6" s="52"/>
      <c r="AI6" s="52"/>
      <c r="AJ6" s="52"/>
    </row>
    <row r="7" spans="1:38">
      <c r="A7" s="110"/>
      <c r="B7" s="110"/>
      <c r="C7" s="60"/>
      <c r="D7" s="110"/>
      <c r="E7" s="654" t="s">
        <v>333</v>
      </c>
      <c r="F7" s="654"/>
      <c r="G7" s="654"/>
      <c r="H7" s="60"/>
      <c r="I7" s="61"/>
      <c r="J7" s="62"/>
      <c r="K7" s="651" t="s">
        <v>174</v>
      </c>
      <c r="L7" s="651"/>
      <c r="M7" s="651"/>
      <c r="N7" s="651"/>
      <c r="O7" s="652"/>
      <c r="P7" s="60"/>
      <c r="R7" s="64"/>
      <c r="T7" s="65">
        <v>0.2</v>
      </c>
      <c r="U7" s="65">
        <v>0.4</v>
      </c>
      <c r="V7" s="65">
        <v>0.6</v>
      </c>
      <c r="W7" s="65">
        <v>0.8</v>
      </c>
      <c r="X7" s="66">
        <v>1</v>
      </c>
      <c r="Y7" s="67"/>
      <c r="Z7" s="67"/>
      <c r="AA7" s="67"/>
      <c r="AB7" s="67"/>
      <c r="AC7" s="67"/>
      <c r="AD7" s="67"/>
      <c r="AE7" s="67"/>
    </row>
    <row r="8" spans="1:38" ht="40.049999999999997" customHeight="1">
      <c r="A8" s="71" t="s">
        <v>267</v>
      </c>
      <c r="B8" s="71" t="s">
        <v>309</v>
      </c>
      <c r="C8" s="71" t="s">
        <v>334</v>
      </c>
      <c r="D8" s="71" t="s">
        <v>334</v>
      </c>
      <c r="E8" s="71" t="s">
        <v>155</v>
      </c>
      <c r="F8" s="71" t="s">
        <v>174</v>
      </c>
      <c r="G8" s="71" t="s">
        <v>335</v>
      </c>
      <c r="H8" s="60"/>
      <c r="I8" s="64"/>
      <c r="J8" s="73"/>
      <c r="K8" s="74" t="s">
        <v>284</v>
      </c>
      <c r="L8" s="74" t="s">
        <v>288</v>
      </c>
      <c r="M8" s="74" t="s">
        <v>292</v>
      </c>
      <c r="N8" s="74" t="s">
        <v>297</v>
      </c>
      <c r="O8" s="75" t="s">
        <v>302</v>
      </c>
      <c r="P8" s="60"/>
      <c r="R8" s="64"/>
      <c r="S8" s="76"/>
      <c r="T8" s="77" t="s">
        <v>284</v>
      </c>
      <c r="U8" s="77" t="s">
        <v>288</v>
      </c>
      <c r="V8" s="77" t="s">
        <v>292</v>
      </c>
      <c r="W8" s="77" t="s">
        <v>297</v>
      </c>
      <c r="X8" s="78" t="s">
        <v>302</v>
      </c>
      <c r="AA8" s="67"/>
      <c r="AB8" s="67"/>
      <c r="AC8" s="79"/>
      <c r="AD8" s="79"/>
      <c r="AE8" s="79"/>
      <c r="AF8" s="79"/>
      <c r="AG8" s="79"/>
      <c r="AH8" s="79"/>
      <c r="AI8" s="79"/>
      <c r="AJ8" s="79"/>
      <c r="AK8" s="79"/>
      <c r="AL8" s="79"/>
    </row>
    <row r="9" spans="1:38" ht="93" customHeight="1">
      <c r="A9" s="80" t="str">
        <f>'2 CONTEXTO E IDENTIFICACIÓN'!A9</f>
        <v>R1</v>
      </c>
      <c r="B9" s="81" t="str">
        <f>+'2 CONTEXTO E IDENTIFICACIÓN'!K9</f>
        <v>Posibilidad de perdida de Disponibilidad, confidencialidad e integridad de la información por fallas en el sistema  debido a deficiencias en la infraestructura tecnológica, ausencia o insuficiencia de mantenimiento preventivo y correctivo</v>
      </c>
      <c r="C9" s="111">
        <f>+'5 VALORACIÓN DEL CONTROL'!T13</f>
        <v>0.33599999999999997</v>
      </c>
      <c r="D9" s="82">
        <f>+'5 VALORACIÓN DEL CONTROL'!U13</f>
        <v>0.4</v>
      </c>
      <c r="E9" s="112" t="str">
        <f>+IF(C9=0,"",IF(C9&lt;=$R$13,$S$13,IF(C9&lt;=$R$12,$S$12,IF(C9&lt;=$R$11,$S$11,IF(C9&lt;=$R$10,$S$10,IF(C9&lt;=$R$9,$S$9,""))))))</f>
        <v>Baja</v>
      </c>
      <c r="F9" s="112" t="str">
        <f>+IF(D9=0,"",IF(D9&lt;=$T$7,$T$8,IF(D9&lt;=$U$7,$U$8,IF(D9&lt;=$V$7,$V$8,IF(D9&lt;=$W$7,$W$8,IF(D9&lt;=$X$7,$X$8,""))))))</f>
        <v>Menor</v>
      </c>
      <c r="G9" s="81" t="str">
        <f>+IF(E9=$S$9,IF(F9=$T$8,$T$9,IF(F9=$U$8,$U$9,IF(F9=$V$8,$V$9,IF(F9=$W$8,$W$9,IF(F9=$X$8,$X$9))))),IF(E9=$S$10,IF(F9=$T$8,$T$10,IF(F9=$U$8,$U$10,IF(F9=$V$8,$V$10,IF(F9=$W$8,$W$10,IF(F9=$X$8,$X$10))))),IF(E9=$S$11,IF(F9=$T$8,$T$11,IF(F9=$U$8,$U$11,IF(F9=$V$8,$V$11,IF(F9=$W$8,$W$11,IF(F9=$X$8,$X$11))))),IF(E9=$S$12,IF(F9=$T$8,$T$12,IF(F9=$U$8,$U$12,IF(F9=$V$8,$V$12,IF(F9=$W$8,$W$12,IF(F9=$X$8,$X$12))))),IF(E9=$S$13,IF(F9=$T$8,$T$13,IF(F9=$U$8,$U$13,IF(F9=$V$8,$V$13,IF(F9=$W$8,$W$13,IF(F9=$X$8,$X$13))))),"")))))</f>
        <v>Moderado</v>
      </c>
      <c r="H9" s="83"/>
      <c r="I9" s="657" t="s">
        <v>155</v>
      </c>
      <c r="J9" s="74" t="s">
        <v>300</v>
      </c>
      <c r="K9" s="84" t="str">
        <f>+IF(AND(E9=$S$9,F9=$T$8),A9,"")&amp;" "&amp;IF(AND(E10=$S$9,F10=$T$8),A10,"")&amp;" "&amp;IF(AND(E11=$S$9,F11=$T$8),A11,"")&amp;" "&amp;IF(AND(E12=$S$9,F12=$T$8),A12,"")&amp;" "&amp;IF(AND(E13=$S$9,F13=$T$8),A13,"")&amp;" "&amp;IF(AND(E14=$S$9,F14=$T$8),A14,"")&amp;" "&amp;IF(AND(E15=$S$9,F15=$T$8),A15,"")&amp;" "&amp;IF(AND(E16=$S$9,F16=$T$8),A16,"")&amp;" "&amp;IF(AND(E17=$S$9,F17=$T$8),A17,"")&amp;" "&amp;IF(AND(E18=$S$9,F18=$T$8),A18,"")&amp;" "&amp;IF(AND(E19=$S$9,F19=$T$8),A19,"")&amp;" "&amp;IF(AND(E20=$S$9,F20=$T$8),A20,"")&amp;" "&amp;IF(AND(E21=$S$9,F21=$T$8),A21,"")&amp;" "&amp;IF(AND(E22=$S$9,F22=$T$8),A22,"")&amp;" "&amp;IF(AND(E23=$S$9,F23=$T$8),A23,"")&amp;" "&amp;IF(AND(E24=$S$9,F24=$T$8),A24,"")&amp;" "&amp;IF(AND(E25=$S$9,F25=$T$8),A25,"")&amp;" "&amp;IF(AND(E26=$S$9,F26=$T$8),A26,"")&amp;" "&amp;IF(AND(E27=$S$9,F27=$T$8),A27,"")&amp;" "&amp;IF(AND(E28=$S$9,F28=$T$8),A28,"")</f>
        <v xml:space="preserve">                   </v>
      </c>
      <c r="L9" s="84" t="str">
        <f>+IF(AND(E9=$S$9,F9=$U$8),A9,"")&amp;" "&amp;IF(AND(E10=$S$9,F10=$U$8),A10,"")&amp;" "&amp;IF(AND(E11=$S$9,F11=$U$8),A11,"")&amp;" "&amp;IF(AND(E12=$S$9,F12=$U$8),A12,"")&amp;" "&amp;IF(AND(E13=$S$9,F13=$U$8),A13,"")&amp;" "&amp;IF(AND(E14=$S$9,F14=$U$8),A14,"")&amp;" "&amp;IF(AND(E15=$S$9,F15=$U$8),A15,"")&amp;" "&amp;IF(AND(E16=$S$9,F16=$U$8),A16,"")&amp;" "&amp;IF(AND(E17=$S$9,F17=$U$8),A17,"")&amp;" "&amp;IF(AND(E18=$S$9,F18=$U$8),A18,"")&amp;" "&amp;IF(AND(E19=$S$9,F19=$U$8),A19,"")&amp;" "&amp;IF(AND(E20=$S$9,F20=$U$8),A20,"")&amp;" "&amp;IF(AND(E21=$S$9,F21=$U$8),A21,"")&amp;" "&amp;IF(AND(E22=$S$9,F22=$U$8),A22,"")&amp;" "&amp;IF(AND(E23=$S$9,F23=$U$8),A23,"")&amp;" "&amp;IF(AND(E24=$S$9,F24=$U$8),A24,"")&amp;" "&amp;IF(AND(E25=$S$9,F25=$U$8),A25,"")&amp;" "&amp;IF(AND(E26=$S$9,F26=$U$8),A26,"")&amp;" "&amp;IF(AND(E27=$S$9,F27=$U$8),A27,"")&amp;" "&amp;IF(AND(E28=$S$9,F28=$U$8),A28,"")</f>
        <v xml:space="preserve">                   </v>
      </c>
      <c r="M9" s="84" t="str">
        <f>+IF(AND(E9=$S$9,F9=$V$8),A9,"")&amp;" "&amp;IF(AND(E10=$S$9,F10=$V$8),A10,"")&amp;" "&amp;IF(AND(E11=$S$9,F11=$V$8),A11,"")&amp;" "&amp;IF(AND(E12=$S$9,F12=$V$8),A12,"")&amp;" "&amp;IF(AND(E13=$S$9,F13=$V$8),A13,"")&amp;" "&amp;IF(AND(E14=$S$9,F14=$V$8),A14,"")&amp;" "&amp;IF(AND(E15=$S$9,F15=$V$8),A15,"")&amp;" "&amp;IF(AND(E16=$S$9,F16=$V$8),A16,"")&amp;" "&amp;IF(AND(E17=$S$9,F17=$V$8),A17,"")&amp;" "&amp;IF(AND(E18=$S$9,F18=$V$8),A18,"")&amp;" "&amp;IF(AND(E19=$S$9,F19=$V$8),A19,"")&amp;" "&amp;IF(AND(E20=$S$9,F20=$V$8),A20,"")&amp;" "&amp;IF(AND(E21=$S$9,F21=$V$8),A21,"")&amp;" "&amp;IF(AND(E22=$S$9,F22=$V$8),A22,"")&amp;" "&amp;IF(AND(E23=$S$9,F23=$V$8),A23,"")&amp;" "&amp;IF(AND(E24=$S$9,F24=$V$8),A24,"")&amp;" "&amp;IF(AND(E25=$S$9,F25=$V$8),A25,"")&amp;" "&amp;IF(AND(E26=$S$9,F26=$V$8),A26,"")&amp;" "&amp;IF(AND(E27=$S$9,F27=$V$8),A27,"")&amp;" "&amp;IF(AND(E28=$S$9,F28=$V$8),A28,"")</f>
        <v xml:space="preserve">                   </v>
      </c>
      <c r="N9" s="84" t="str">
        <f>+IF(AND(E9=$S$9,F9=$W$8),A9,"")&amp;" "&amp;IF(AND(E10=$S$9,F10=$W$8),A10,"")&amp;" "&amp;IF(AND(E11=$S$9,F11=$W$8),A11,"")&amp;" "&amp;IF(AND(E12=$S$9,F12=$W$8),A12,"")&amp;" "&amp;IF(AND(E13=$S$9,F13=$W$8),A13,"")&amp;" "&amp;IF(AND(E14=$S$9,F14=$W$8),A14,"")&amp;" "&amp;IF(AND(E15=$S$9,F15=$W$8),A15,"")&amp;" "&amp;IF(AND(E16=$S$9,F16=$W$8),A16,"")&amp;" "&amp;IF(AND(E17=$S$9,F17=$W$8),A17,"")&amp;" "&amp;IF(AND(E18=$S$9,F18=$W$8),A18,"")&amp;" "&amp;IF(AND(E19=$S$9,F19=$W$8),A19,"")&amp;" "&amp;IF(AND(E20=$S$9,F20=$W$8),A20,"")&amp;" "&amp;IF(AND(E21=$S$9,F21=$W$8),A21,"")&amp;" "&amp;IF(AND(E22=$S$9,F22=$W$8),A22,"")&amp;" "&amp;IF(AND(E23=$S$9,F23=$W$8),A23,"")&amp;" "&amp;IF(AND(E24=$S$9,F24=$W$8),A24,"")&amp;" "&amp;IF(AND(E25=$S$9,F25=$W$8),A25,"")&amp;" "&amp;IF(AND(E26=$S$9,F26=$W$8),A26,"")&amp;" "&amp;IF(AND(E27=$S$9,F27=$W$8),A27,"")&amp;" "&amp;IF(AND(E28=$S$9,F28=$W$8),A28,"")</f>
        <v xml:space="preserve">                   </v>
      </c>
      <c r="O9" s="85" t="str">
        <f>+IF(AND(E9=$S$9,F9=$X$8),A9,"")&amp;" "&amp;IF(AND(E10=$S$9,F10=$X$8),A10,"")&amp;" "&amp;IF(AND(E11=$S$9,F11=$X$8),A11,"")&amp;" "&amp;IF(AND(E12=$S$9,F12=$X$8),A12,"")&amp;" "&amp;IF(AND(E13=$S$9,F13=$X$8),A13,"")&amp;" "&amp;IF(AND(E14=$S$9,F14=$X$8),A14,"")&amp;" "&amp;IF(AND(E15=$S$9,F15=$X$8),A15,"")&amp;" "&amp;IF(AND(E16=$S$9,F16=$X$8),A16,"")&amp;" "&amp;IF(AND(E17=$S$9,F17=$X$8),A17,"")&amp;" "&amp;IF(AND(E18=$S$9,F18=$X$8),A18,"")&amp;" "&amp;IF(AND(E19=$S$9,F19=$X$8),A19,"")&amp;" "&amp;IF(AND(E20=$S$9,F20=$X$8),A20,"")&amp;" "&amp;IF(AND(E21=$S$9,F21=$X$8),A21,"")&amp;" "&amp;IF(AND(E22=$S$9,F22=$X$8),A22,"")&amp;" "&amp;IF(AND(E23=$S$9,F23=$X$8),A23,"")&amp;" "&amp;IF(AND(E24=$S$9,F24=$X$8),A24,"")&amp;" "&amp;IF(AND(E25=$S$9,F25=$X$8),A25,"")&amp;" "&amp;IF(AND(E26=$S$9,F26=$X$8),A26,"")&amp;" "&amp;IF(AND(E27=$S$9,F27=$X$8),A27,"")&amp;" "&amp;IF(AND(E28=$S$9,F28=$X$8),A28,"")</f>
        <v xml:space="preserve">                   </v>
      </c>
      <c r="P9" s="83"/>
      <c r="Q9" s="720" t="s">
        <v>155</v>
      </c>
      <c r="R9" s="86">
        <v>1</v>
      </c>
      <c r="S9" s="77" t="s">
        <v>300</v>
      </c>
      <c r="T9" s="84" t="s">
        <v>310</v>
      </c>
      <c r="U9" s="84" t="s">
        <v>310</v>
      </c>
      <c r="V9" s="84" t="s">
        <v>310</v>
      </c>
      <c r="W9" s="84" t="s">
        <v>310</v>
      </c>
      <c r="X9" s="85" t="s">
        <v>311</v>
      </c>
      <c r="AA9" s="67"/>
      <c r="AB9" s="67"/>
      <c r="AC9" s="79"/>
      <c r="AD9" s="79"/>
      <c r="AE9" s="79"/>
      <c r="AF9" s="87"/>
      <c r="AG9" s="87"/>
      <c r="AH9" s="87"/>
      <c r="AI9" s="87"/>
      <c r="AJ9" s="87"/>
      <c r="AK9" s="79"/>
      <c r="AL9" s="79"/>
    </row>
    <row r="10" spans="1:38" ht="93" customHeight="1">
      <c r="A10" s="80" t="str">
        <f>'2 CONTEXTO E IDENTIFICACIÓN'!A10</f>
        <v>R2</v>
      </c>
      <c r="B10" s="81" t="str">
        <f>+'2 CONTEXTO E IDENTIFICACIÓN'!K10</f>
        <v>Posibilidad de perdida de Disponibilidad, confidencialidad e integridad de la información por accesos no autorizados, hackeos o fallas en el servicio  debido a controles de seguridad y autenticación de usuarios, falta de actualización o  monitoreo de la plataforma</v>
      </c>
      <c r="C10" s="111">
        <f>+'5 VALORACIÓN DEL CONTROL'!T19</f>
        <v>0.28799999999999998</v>
      </c>
      <c r="D10" s="82">
        <f>+'5 VALORACIÓN DEL CONTROL'!U19</f>
        <v>0.8</v>
      </c>
      <c r="E10" s="112" t="str">
        <f t="shared" ref="E10:E28" si="0">+IF(C10=0,"",IF(C10&lt;=$R$13,$S$13,IF(C10&lt;=$R$12,$S$12,IF(C10&lt;=$R$11,$S$11,IF(C10&lt;=$R$10,$S$10,IF(C10&lt;=$R$9,$S$9,""))))))</f>
        <v>Baja</v>
      </c>
      <c r="F10" s="112" t="str">
        <f t="shared" ref="F10:F28" si="1">+IF(D10=0,"",IF(D10&lt;=$T$7,$T$8,IF(D10&lt;=$U$7,$U$8,IF(D10&lt;=$V$7,$V$8,IF(D10&lt;=$W$7,$W$8,IF(D10&lt;=$X$7,$X$8,""))))))</f>
        <v>Mayor</v>
      </c>
      <c r="G10" s="81" t="str">
        <f>+IF(E10=$S$9,IF(F10=$T$8,$T$9,IF(F10=$U$8,$U$9,IF(F10=$V$8,$V$9,IF(F10=$W$8,$W$9,IF(F10=$X$8,$X$9))))),IF(E10=$S$10,IF(F10=$T$8,$T$10,IF(F10=$U$8,$U$10,IF(F10=$V$8,$V$10,IF(F10=$W$8,$W$10,IF(F10=$X$8,$X$10))))),IF(E10=$S$11,IF(F10=$T$8,$T$11,IF(F10=$U$8,$U$11,IF(F10=$V$8,$V$11,IF(F10=$W$8,$W$11,IF(F10=$X$8,$X$11))))),IF(E10=$S$12,IF(F10=$T$8,$T$12,IF(F10=$U$8,$U$12,IF(F10=$V$8,$V$12,IF(F10=$W$8,$W$12,IF(F10=$X$8,$X$12))))),IF(E10=$S$13,IF(F10=$T$8,$T$13,IF(F10=$U$8,$U$13,IF(F10=$V$8,$V$13,IF(F10=$W$8,$W$13,IF(F10=$X$8,$X$13))))),"")))))</f>
        <v>Alto</v>
      </c>
      <c r="H10" s="83"/>
      <c r="I10" s="657"/>
      <c r="J10" s="74" t="s">
        <v>295</v>
      </c>
      <c r="K10" s="88" t="str">
        <f>+IF(AND(E9=$S$10,F9=$T$8),A9,"")&amp;" "&amp;IF(AND(E10=$S$10,F10=$T$8),A10,"")&amp;" "&amp;IF(AND(E11=$S$10,F11=$T$8),A11,"")&amp;" "&amp;IF(AND(E12=$S$10,F12=$T$8),A12,"")&amp;" "&amp;IF(AND(E13=$S$10,F13=$T$8),A13,"")&amp;" "&amp;IF(AND(E14=$S$10,F14=$T$8),A14,"")&amp;" "&amp;IF(AND(E15=$S$10,F15=$T$8),A15,"")&amp;" "&amp;IF(AND(E16=$S$10,F16=$T$8),A16,"")&amp;" "&amp;IF(AND(E17=$S$10,F17=$T$8),A17,"")&amp;" "&amp;IF(AND(E18=$S$10,F18=$T$8),A18,"")&amp;" "&amp;IF(AND(E19=$S$10,F19=$T$8),A19,"")&amp;" "&amp;IF(AND(E20=$S$10,F20=$T$8),A20,"")&amp;" "&amp;IF(AND(E21=$S$10,F21=$T$8),A21,"")&amp;" "&amp;IF(AND(E22=$S$10,F22=$T$8),A22,"")&amp;" "&amp;IF(AND(E23=$S$10,F23=$T$8),A23,"")&amp;" "&amp;IF(AND(E24=$S$10,F24=$T$8),A24,"")&amp;" "&amp;IF(AND(E25=$S$10,F25=$T$8),A25,"")&amp;" "&amp;IF(AND(E26=$S$10,F26=$T$8),A26,"")&amp;" "&amp;IF(AND(E27=$S$10,F27=$T$8),A27,"")&amp;" "&amp;IF(AND(E28=$S$10,F28=$T$8),A28,"")</f>
        <v xml:space="preserve">                   </v>
      </c>
      <c r="L10" s="88" t="str">
        <f>+IF(AND(E9=$S$10,F9=$U$8),A9,"")&amp;" "&amp;IF(AND(E10=$S$10,F10=$U$8),A10,"")&amp;" "&amp;IF(AND(E11=$S$10,F11=$U$8),A11,"")&amp;" "&amp;IF(AND(E12=$S$10,F12=$U$8),A12,"")&amp;" "&amp;IF(AND(E13=$S$10,F13=$U$8),A13,"")&amp;" "&amp;IF(AND(E14=$S$10,F14=$U$8),A14,"")&amp;" "&amp;IF(AND(E15=$S$10,F15=$U$8),A15,"")&amp;" "&amp;IF(AND(E16=$S$10,F16=$U$8),A16,"")&amp;" "&amp;IF(AND(E17=$S$10,F17=$U$8),A17,"")&amp;" "&amp;IF(AND(E18=$S$10,F18=$U$8),A18,"")&amp;" "&amp;IF(AND(E19=$S$10,F19=$U$8),A19,"")&amp;" "&amp;IF(AND(E20=$S$10,F20=$U$8),A20,"")&amp;" "&amp;IF(AND(E21=$S$10,F21=$U$8),A21,"")&amp;" "&amp;IF(AND(E22=$S$10,F22=$U$8),A22,"")&amp;" "&amp;IF(AND(E23=$S$10,F23=$U$8),A23,"")&amp;" "&amp;IF(AND(E24=$S$10,F24=$U$8),A24,"")&amp;" "&amp;IF(AND(E25=$S$10,F25=$U$8),A25,"")&amp;" "&amp;IF(AND(E26=$S$10,F26=$U$8),A26,"")&amp;" "&amp;IF(AND(E27=$S$10,F27=$U$8),A27,"")&amp;" "&amp;IF(AND(E28=$S$10,F28=$U$8),A28,"")</f>
        <v xml:space="preserve">                   </v>
      </c>
      <c r="M10" s="84" t="str">
        <f>+IF(AND(E9=$S$10,F9=$V$8),A9,"")&amp;" "&amp;IF(AND(E10=$S$10,F10=$V$8),A10,"")&amp;" "&amp;IF(AND(E11=$S$10,F11=$V$8),A11,"")&amp;" "&amp;IF(AND(E12=$S$10,F12=$V$8),A12,"")&amp;" "&amp;IF(AND(E13=$S$10,F13=$V$8),A13,"")&amp;" "&amp;IF(AND(E14=$S$10,F14=$V$8),A14,"")&amp;" "&amp;IF(AND(E15=$S$10,F15=$V$8),A15,"")&amp;" "&amp;IF(AND(E16=$S$10,F16=$V$8),A16,"")&amp;" "&amp;IF(AND(E17=$S$10,F17=$V$8),A17,"")&amp;" "&amp;IF(AND(E18=$S$10,F18=$V$8),A18,"")&amp;" "&amp;IF(AND(E19=$S$10,F19=$V$8),A19,"")&amp;" "&amp;IF(AND(E20=$S$10,F20=$V$8),A20,"")&amp;" "&amp;IF(AND(E21=$S$10,F21=$V$8),A21,"")&amp;" "&amp;IF(AND(E22=$S$10,F22=$V$8),A22,"")&amp;" "&amp;IF(AND(E23=$S$10,F23=$V$8),A23,"")&amp;" "&amp;IF(AND(E24=$S$10,F24=$V$8),A24,"")&amp;" "&amp;IF(AND(E25=$S$10,F25=$V$8),A25,"")&amp;" "&amp;IF(AND(E26=$S$10,F26=$V$8),A26,"")&amp;" "&amp;IF(AND(E27=$S$10,F27=$V$8),A27,"")&amp;" "&amp;IF(AND(E28=$S$10,F28=$V$8),A28,"")</f>
        <v xml:space="preserve">                   </v>
      </c>
      <c r="N10" s="84" t="str">
        <f>+IF(AND(E9=$S$10,F9=$W$8),A9,"")&amp;" "&amp;IF(AND(E10=$S$10,F10=$W$8),A10,"")&amp;" "&amp;IF(AND(E11=$S$10,F11=$W$8),A11,"")&amp;" "&amp;IF(AND(E12=$S$10,F12=$W$8),A12,"")&amp;" "&amp;IF(AND(E13=$S$10,F13=$W$8),A13,"")&amp;" "&amp;IF(AND(E14=$S$10,F14=$W$8),A14,"")&amp;" "&amp;IF(AND(E15=$S$10,F15=$W$8),A15,"")&amp;" "&amp;IF(AND(E16=$S$10,F16=$W$8),A16,"")&amp;" "&amp;IF(AND(E17=$S$10,F17=$W$8),A17,"")&amp;" "&amp;IF(AND(E18=$S$10,F18=$W$8),A18,"")&amp;" "&amp;IF(AND(E19=$S$10,F19=$W$8),A19,"")&amp;" "&amp;IF(AND(E20=$S$10,F20=$W$8),A20,"")&amp;" "&amp;IF(AND(E21=$S$10,F21=$W$8),A21,"")&amp;" "&amp;IF(AND(E22=$S$10,F22=$W$8),A22,"")&amp;" "&amp;IF(AND(E23=$S$10,F23=$W$8),A23,"")&amp;" "&amp;IF(AND(E24=$S$10,F24=$W$8),A24,"")&amp;" "&amp;IF(AND(E25=$S$10,F25=$W$8),A25,"")&amp;" "&amp;IF(AND(E26=$S$10,F26=$W$8),A26,"")&amp;" "&amp;IF(AND(E27=$S$10,F27=$W$8),A27,"")&amp;" "&amp;IF(AND(E28=$S$10,F28=$W$8),A28,"")</f>
        <v xml:space="preserve">                   </v>
      </c>
      <c r="O10" s="85" t="str">
        <f>+IF(AND(E9=$S$10,F9=$X$8),A9,"")&amp;" "&amp;IF(AND(E10=$S$10,F10=$X$8),A10,"")&amp;" "&amp;IF(AND(E11=$S$10,F11=$X$8),A11,"")&amp;" "&amp;IF(AND(E12=$S$10,F12=$X$8),A12,"")&amp;" "&amp;IF(AND(E13=$S$10,F13=$X$8),A13,"")&amp;" "&amp;IF(AND(E14=$S$10,F14=$X$8),A14,"")&amp;" "&amp;IF(AND(E15=$S$10,F15=$X$8),A15,"")&amp;" "&amp;IF(AND(E16=$S$10,F16=$X$8),A16,"")&amp;" "&amp;IF(AND(E17=$S$10,F17=$X$8),A17,"")&amp;" "&amp;IF(AND(E18=$S$10,F18=$X$8),A18,"")&amp;" "&amp;IF(AND(E19=$S$10,F19=$X$8),A19,"")&amp;" "&amp;IF(AND(E20=$S$10,F20=$X$8),A20,"")&amp;" "&amp;IF(AND(E21=$S$10,F21=$X$8),A21,"")&amp;" "&amp;IF(AND(E22=$S$10,F22=$X$8),A22,"")&amp;" "&amp;IF(AND(E23=$S$10,F23=$X$8),A23,"")&amp;" "&amp;IF(AND(E24=$S$10,F24=$X$8),A24,"")&amp;" "&amp;IF(AND(E25=$S$10,F25=$X$8),A25,"")&amp;" "&amp;IF(AND(E26=$S$10,F26=$X$8),A26,"")&amp;" "&amp;IF(AND(E27=$S$10,F27=$X$8),A27,"")&amp;" "&amp;IF(AND(E28=$S$10,F28=$X$8),A28,"")</f>
        <v xml:space="preserve">                   </v>
      </c>
      <c r="P10" s="83"/>
      <c r="Q10" s="720"/>
      <c r="R10" s="86">
        <v>0.8</v>
      </c>
      <c r="S10" s="77" t="s">
        <v>295</v>
      </c>
      <c r="T10" s="88" t="s">
        <v>292</v>
      </c>
      <c r="U10" s="88" t="s">
        <v>292</v>
      </c>
      <c r="V10" s="84" t="s">
        <v>310</v>
      </c>
      <c r="W10" s="84" t="s">
        <v>310</v>
      </c>
      <c r="X10" s="85" t="s">
        <v>311</v>
      </c>
      <c r="AA10" s="67"/>
      <c r="AB10" s="67"/>
      <c r="AC10" s="79"/>
      <c r="AD10" s="89"/>
      <c r="AE10" s="90"/>
      <c r="AF10" s="87"/>
      <c r="AG10" s="87"/>
      <c r="AH10" s="87"/>
      <c r="AI10" s="87"/>
      <c r="AJ10" s="87"/>
      <c r="AK10" s="79"/>
      <c r="AL10" s="79"/>
    </row>
    <row r="11" spans="1:38" ht="93" customHeight="1">
      <c r="A11" s="80" t="str">
        <f>'2 CONTEXTO E IDENTIFICACIÓN'!A11</f>
        <v>R3</v>
      </c>
      <c r="B11" s="81" t="str">
        <f>+'2 CONTEXTO E IDENTIFICACIÓN'!K11</f>
        <v>Posibilidad de perdida de Disponibilidad, confidencialidad e integridad de la información por eliminación accidental de archivos,  fallas en el sistema o accesos no autorizados     a causa de deficiencias en copias de seguridad, controles de accesos o ausencia de politicas de preservación digital</v>
      </c>
      <c r="C11" s="111">
        <f>+'5 VALORACIÓN DEL CONTROL'!T25</f>
        <v>0.4</v>
      </c>
      <c r="D11" s="82">
        <f>+'5 VALORACIÓN DEL CONTROL'!U25</f>
        <v>0.52</v>
      </c>
      <c r="E11" s="112" t="str">
        <f t="shared" si="0"/>
        <v>Baja</v>
      </c>
      <c r="F11" s="112" t="str">
        <f t="shared" si="1"/>
        <v>Moderado</v>
      </c>
      <c r="G11" s="81" t="str">
        <f>+IF(E11=$S$9,IF(F11=$T$8,$T$9,IF(F11=$U$8,$U$9,IF(F11=$V$8,$V$9,IF(F11=$W$8,$W$9,IF(F11=$X$8,$X$9))))),IF(E11=$S$10,IF(F11=$T$8,$T$10,IF(F11=$U$8,$U$10,IF(F11=$V$8,$V$10,IF(F11=$W$8,$W$10,IF(F11=$X$8,$X$10))))),IF(E11=$S$11,IF(F11=$T$8,$T$11,IF(F11=$U$8,$U$11,IF(F11=$V$8,$V$11,IF(F11=$W$8,$W$11,IF(F11=$X$8,$X$11))))),IF(E11=$S$12,IF(F11=$T$8,$T$12,IF(F11=$U$8,$U$12,IF(F11=$V$8,$V$12,IF(F11=$W$8,$W$12,IF(F11=$X$8,$X$12))))),IF(E11=$S$13,IF(F11=$T$8,$T$13,IF(F11=$U$8,$U$13,IF(F11=$V$8,$V$13,IF(F11=$W$8,$W$13,IF(F11=$X$8,$X$13))))),"")))))</f>
        <v>Moderado</v>
      </c>
      <c r="H11" s="83"/>
      <c r="I11" s="657"/>
      <c r="J11" s="74" t="s">
        <v>290</v>
      </c>
      <c r="K11" s="88" t="str">
        <f>+IF(AND(E9=$S$11,F9=$T$8),A9,"")&amp;" "&amp;IF(AND(E10=$S$11,F10=$T$8),A10,"")&amp;" "&amp;IF(AND(E11=$S$11,F11=$T$8),A11,"")&amp;" "&amp;IF(AND(E12=$S$11,F12=$T$8),A12,"")&amp;" "&amp;IF(AND(E13=$S$11,F13=$T$8),A13,"")&amp;" "&amp;IF(AND(E14=$S$11,F14=$T$8),A14,"")&amp;" "&amp;IF(AND(E15=$S$11,F15=$T$8),A15,"")&amp;" "&amp;IF(AND(E16=$S$11,F16=$T$8),A16,"")&amp;" "&amp;IF(AND(E17=$S$11,F17=$T$8),A17,"")&amp;" "&amp;IF(AND(E18=$S$11,F18=$T$8),A18,"")&amp;" "&amp;IF(AND(E19=$S$11,F19=$T$8),A19,"")&amp;" "&amp;IF(AND(E20=$S$11,F20=$T$8),A20,"")&amp;" "&amp;IF(AND(E21=$S$11,F21=$T$8),A21,"")&amp;" "&amp;IF(AND(E22=$S$11,F22=$T$8),A22,"")&amp;" "&amp;IF(AND(E23=$S$11,F23=$T$8),A23,"")&amp;" "&amp;IF(AND(E24=$S$11,F24=$T$8),A24,"")&amp;" "&amp;IF(AND(E25=$S$11,F25=$T$8),A25,"")&amp;" "&amp;IF(AND(E26=$S$11,F26=$T$8),A26,"")&amp;" "&amp;IF(AND(E27=$S$11,F27=$T$8),A27,"")&amp;" "&amp;IF(AND(E28=$S$11,F28=$T$8),A28,"")</f>
        <v xml:space="preserve">                   </v>
      </c>
      <c r="L11" s="88" t="str">
        <f>+IF(AND(E9=$S$11,F9=$U$8),A9,"")&amp;" "&amp;IF(AND(E10=$S$11,F10=$U$8),A10,"")&amp;" "&amp;IF(AND(E11=$S$11,F11=$U$8),A11,"")&amp;" "&amp;IF(AND(E12=$S$11,F12=$U$8),A12,"")&amp;" "&amp;IF(AND(E13=$S$11,F13=$U$8),A13,"")&amp;" "&amp;IF(AND(E14=$S$11,F14=$U$8),A14,"")&amp;" "&amp;IF(AND(E15=$S$11,F15=$U$8),A15,"")&amp;" "&amp;IF(AND(E16=$S$11,F16=$U$8),A16,"")&amp;" "&amp;IF(AND(E17=$S$11,F17=$U$8),A17,"")&amp;" "&amp;IF(AND(E18=$S$11,F18=$U$8),A18,"")&amp;" "&amp;IF(AND(E19=$S$11,F19=$U$8),A19,"")&amp;" "&amp;IF(AND(E20=$S$11,F20=$U$8),A20,"")&amp;" "&amp;IF(AND(E21=$S$11,F21=$U$8),A21,"")&amp;" "&amp;IF(AND(E22=$S$11,F22=$U$8),A22,"")&amp;" "&amp;IF(AND(E23=$S$11,F23=$U$8),A23,"")&amp;" "&amp;IF(AND(E24=$S$11,F24=$U$8),A24,"")&amp;" "&amp;IF(AND(E25=$S$11,F25=$U$8),A25,"")&amp;" "&amp;IF(AND(E26=$S$11,F26=$U$8),A26,"")&amp;" "&amp;IF(AND(E27=$S$11,F27=$U$8),A27,"")&amp;" "&amp;IF(AND(E28=$S$11,F28=$U$8),A28,"")</f>
        <v xml:space="preserve">                   </v>
      </c>
      <c r="M11" s="88" t="str">
        <f>+IF(AND(E9=$S$11,F9=$V$8),A9,"")&amp;" "&amp;IF(AND(E10=$S$11,F10=$V$8),A10,"")&amp;" "&amp;IF(AND(E11=$S$11,F11=$V$8),A11,"")&amp;" "&amp;IF(AND(E12=$S$11,F12=$V$8),A12,"")&amp;" "&amp;IF(AND(E13=$S$11,F13=$V$8),A13,"")&amp;" "&amp;IF(AND(E14=$S$11,F14=$V$8),A14,"")&amp;" "&amp;IF(AND(E15=$S$11,F15=$V$8),A15,"")&amp;" "&amp;IF(AND(E16=$S$11,F16=$V$8),A16,"")&amp;" "&amp;IF(AND(E17=$S$11,F17=$V$8),A17,"")&amp;" "&amp;IF(AND(E18=$S$11,F18=$V$8),A18,"")&amp;" "&amp;IF(AND(E19=$S$11,F19=$V$8),A19,"")&amp;" "&amp;IF(AND(E20=$S$11,F20=$V$8),A20,"")&amp;" "&amp;IF(AND(E21=$S$11,F21=$V$8),A21,"")&amp;" "&amp;IF(AND(E22=$S$11,F22=$V$8),A22,"")&amp;" "&amp;IF(AND(E23=$S$11,F23=$V$8),A23,"")&amp;" "&amp;IF(AND(E24=$S$11,F24=$V$8),A24,"")&amp;" "&amp;IF(AND(E25=$S$11,F25=$V$8),A25,"")&amp;" "&amp;IF(AND(E26=$S$11,F26=$V$8),A26,"")&amp;" "&amp;IF(AND(E27=$S$11,F27=$V$8),A27,"")&amp;" "&amp;IF(AND(E28=$S$11,F28=$V$8),A28,"")</f>
        <v xml:space="preserve">                   </v>
      </c>
      <c r="N11" s="84" t="str">
        <f>+IF(AND(E9=$S$11,F9=$W$8),A9,"")&amp;" "&amp;IF(AND(E10=$S$11,F10=$W$8),A10,"")&amp;" "&amp;IF(AND(E11=$S$11,F11=$W$8),A11,"")&amp;" "&amp;IF(AND(E12=$S$11,F12=$W$8),A12,"")&amp;" "&amp;IF(AND(E13=$S$11,F13=$W$8),A13,"")&amp;" "&amp;IF(AND(E14=$S$11,F14=$W$8),A14,"")&amp;" "&amp;IF(AND(E15=$S$11,F15=$W$8),A15,"")&amp;" "&amp;IF(AND(E16=$S$11,F16=$W$8),A16,"")&amp;" "&amp;IF(AND(E17=$S$11,F17=$W$8),A17,"")&amp;" "&amp;IF(AND(E18=$S$11,F18=$W$8),A18,"")&amp;" "&amp;IF(AND(E19=$S$11,F19=$W$8),A19,"")&amp;" "&amp;IF(AND(E20=$S$11,F20=$W$8),A20,"")&amp;" "&amp;IF(AND(E21=$S$11,F21=$W$8),A21,"")&amp;" "&amp;IF(AND(E22=$S$11,F22=$W$8),A22,"")&amp;" "&amp;IF(AND(E23=$S$11,F23=$W$8),A23,"")&amp;" "&amp;IF(AND(E24=$S$11,F24=$W$8),A24,"")&amp;" "&amp;IF(AND(E25=$S$11,F25=$W$8),A25,"")&amp;" "&amp;IF(AND(E26=$S$11,F26=$W$8),A26,"")&amp;" "&amp;IF(AND(E27=$S$11,F27=$W$8),A27,"")&amp;" "&amp;IF(AND(E28=$S$11,F28=$W$8),A28,"")</f>
        <v xml:space="preserve">                   </v>
      </c>
      <c r="O11" s="85" t="str">
        <f>+IF(AND(E9=$S$11,F9=$X$8),A9,"")&amp;" "&amp;IF(AND(E10=$S$11,F10=$X$8),A10,"")&amp;" "&amp;IF(AND(E11=$S$11,F11=$X$8),A11,"")&amp;" "&amp;IF(AND(E12=$S$11,F12=$X$8),A12,"")&amp;" "&amp;IF(AND(E13=$S$11,F13=$X$8),A13,"")&amp;" "&amp;IF(AND(E14=$S$11,F14=$X$8),A14,"")&amp;" "&amp;IF(AND(E15=$S$11,F15=$X$8),A15,"")&amp;" "&amp;IF(AND(E16=$S$11,F16=$X$8),A16,"")&amp;" "&amp;IF(AND(E17=$S$11,F17=$X$8),A17,"")&amp;" "&amp;IF(AND(E18=$S$11,F18=$X$8),A18,"")&amp;" "&amp;IF(AND(E19=$S$11,F19=$X$8),A19,"")&amp;" "&amp;IF(AND(E20=$S$11,F20=$X$8),A20,"")&amp;" "&amp;IF(AND(E21=$S$11,F21=$X$8),A21,"")&amp;" "&amp;IF(AND(E22=$S$11,F22=$X$8),A22,"")&amp;" "&amp;IF(AND(E23=$S$11,F23=$X$8),A23,"")&amp;" "&amp;IF(AND(E24=$S$11,F24=$X$8),A24,"")&amp;" "&amp;IF(AND(E25=$S$11,F25=$X$8),A25,"")&amp;" "&amp;IF(AND(E26=$S$11,F26=$X$8),A26,"")&amp;" "&amp;IF(AND(E27=$S$11,F27=$X$8),A27,"")&amp;" "&amp;IF(AND(E28=$S$11,F28=$X$8),A28,"")</f>
        <v xml:space="preserve">                   </v>
      </c>
      <c r="P11" s="83"/>
      <c r="Q11" s="720"/>
      <c r="R11" s="86">
        <v>0.6</v>
      </c>
      <c r="S11" s="77" t="s">
        <v>290</v>
      </c>
      <c r="T11" s="88" t="s">
        <v>292</v>
      </c>
      <c r="U11" s="88" t="s">
        <v>292</v>
      </c>
      <c r="V11" s="88" t="s">
        <v>292</v>
      </c>
      <c r="W11" s="84" t="s">
        <v>310</v>
      </c>
      <c r="X11" s="85" t="s">
        <v>311</v>
      </c>
      <c r="AA11" s="67"/>
      <c r="AB11" s="67"/>
      <c r="AC11" s="79"/>
      <c r="AD11" s="89"/>
      <c r="AE11" s="90"/>
      <c r="AF11" s="87"/>
      <c r="AG11" s="87"/>
      <c r="AH11" s="87"/>
      <c r="AI11" s="87"/>
      <c r="AJ11" s="91"/>
      <c r="AK11" s="79"/>
      <c r="AL11" s="79"/>
    </row>
    <row r="12" spans="1:38" ht="93" customHeight="1">
      <c r="A12" s="80" t="str">
        <f>'2 CONTEXTO E IDENTIFICACIÓN'!A12</f>
        <v>R4</v>
      </c>
      <c r="B12" s="81" t="str">
        <f>+'2 CONTEXTO E IDENTIFICACIÓN'!K12</f>
        <v>Posibilidad de perdida de Disponibilidad, confidencialidad e integridad de la información por fallas tecnológicas y manipulación indebida de la información o interrupciones del servicio  debido a falta de actualización tecnólogica, vulnerabilidades en la administración de la plataforma o controles de seguridad avanzados</v>
      </c>
      <c r="C12" s="111">
        <f>+'5 VALORACIÓN DEL CONTROL'!T31</f>
        <v>0.33599999999999997</v>
      </c>
      <c r="D12" s="82">
        <f>+'5 VALORACIÓN DEL CONTROL'!U31</f>
        <v>0.4</v>
      </c>
      <c r="E12" s="112" t="str">
        <f t="shared" si="0"/>
        <v>Baja</v>
      </c>
      <c r="F12" s="112" t="str">
        <f t="shared" si="1"/>
        <v>Menor</v>
      </c>
      <c r="G12" s="81" t="str">
        <f t="shared" ref="G12:G28" si="2">+IF(E12=$S$9,IF(F12=$T$8,$T$9,IF(F12=$U$8,$U$9,IF(F12=$V$8,$V$9,IF(F12=$W$8,$W$9,IF(F12=$X$8,$X$9))))),IF(E12=$S$10,IF(F12=$T$8,$T$10,IF(F12=$U$8,$U$10,IF(F12=$V$8,$V$10,IF(F12=$W$8,$W$10,IF(F12=$X$8,$X$10))))),IF(E12=$S$11,IF(F12=$T$8,$T$11,IF(F12=$U$8,$U$11,IF(F12=$V$8,$V$11,IF(F12=$W$8,$W$11,IF(F12=$X$8,$X$11))))),IF(E12=$S$12,IF(F12=$T$8,$T$12,IF(F12=$U$8,$U$12,IF(F12=$V$8,$V$12,IF(F12=$W$8,$W$12,IF(F12=$X$8,$X$12))))),IF(E12=$S$13,IF(F12=$T$8,$T$13,IF(F12=$U$8,$U$13,IF(F12=$V$8,$V$13,IF(F12=$W$8,$W$13,IF(F12=$X$8,$X$13))))),"")))))</f>
        <v>Moderado</v>
      </c>
      <c r="H12" s="83"/>
      <c r="I12" s="657"/>
      <c r="J12" s="74" t="s">
        <v>286</v>
      </c>
      <c r="K12" s="92" t="str">
        <f>+IF(AND(E9=$S$12,F9=$T$8),A9,"")&amp;" "&amp;IF(AND(E10=$S$12,F10=$T$8),A10,"")&amp;" "&amp;IF(AND(E11=$S$12,F11=$T$8),A11,"")&amp;" "&amp;IF(AND(E12=$S$12,F12=$T$8),A12,"")&amp;" "&amp;IF(AND(E13=$S$12,F13=$T$8),A13,"")&amp;" "&amp;IF(AND(E14=$S$12,F14=$T$8),A14,"")&amp;" "&amp;IF(AND(E15=$S$12,F15=$T$8),A15,"")&amp;" "&amp;IF(AND(E16=$S$12,F16=$T$8),A16,"")&amp;" "&amp;IF(AND(E17=$S$12,F17=$T$8),A17,"")&amp;" "&amp;IF(AND(E18=$S$12,F18=$T$8),A18,"")&amp;" "&amp;IF(AND(E19=$S$12,F19=$T$8),A19,"")&amp;" "&amp;IF(AND(E20=$S$12,F20=$T$8),A20,"")&amp;" "&amp;IF(AND(E21=$S$12,F21=$T$8),A21,"")&amp;" "&amp;IF(AND(E22=$S$12,F22=$T$8),A22,"")&amp;" "&amp;IF(AND(E23=$S$12,F23=$T$8),A23,"")&amp;" "&amp;IF(AND(E24=$S$12,F24=$T$8),A24,"")&amp;" "&amp;IF(AND(E25=$S$12,F25=$T$8),A25,"")&amp;" "&amp;IF(AND(E26=$S$12,F26=$T$8),A26,"")&amp;" "&amp;IF(AND(E27=$S$12,F27=$T$8),A27,"")&amp;" "&amp;IF(AND(E28=$S$12,F28=$T$8),A28,"")</f>
        <v xml:space="preserve">                   </v>
      </c>
      <c r="L12" s="88" t="str">
        <f>+IF(AND(E9=$S$12,F9=$U$8),A9,"")&amp;" "&amp;IF(AND(E10=$S$12,F10=$U$8),A10,"")&amp;" "&amp;IF(AND(E11=$S$12,F11=$U$8),A11,"")&amp;" "&amp;IF(AND(E12=$S$12,F12=$U$8),A12,"")&amp;" "&amp;IF(AND(E13=$S$12,F13=$U$8),A13,"")&amp;" "&amp;IF(AND(E14=$S$12,F14=$U$8),A14,"")&amp;" "&amp;IF(AND(E15=$S$12,F15=$U$8),A15,"")&amp;" "&amp;IF(AND(E16=$S$12,F16=$U$8),A16,"")&amp;" "&amp;IF(AND(E17=$S$12,F17=$U$8),A17,"")&amp;" "&amp;IF(AND(E18=$S$12,F18=$U$8),A18,"")&amp;" "&amp;IF(AND(E19=$S$12,F19=$U$8),A19,"")&amp;" "&amp;IF(AND(E20=$S$12,F20=$U$8),A20,"")&amp;" "&amp;IF(AND(E21=$S$12,F21=$U$8),A21,"")&amp;" "&amp;IF(AND(E22=$S$12,F22=$U$8),A22,"")&amp;" "&amp;IF(AND(E23=$S$12,F23=$U$8),A23,"")&amp;" "&amp;IF(AND(E24=$S$12,F24=$U$8),A24,"")&amp;" "&amp;IF(AND(E25=$S$12,F25=$U$8),A25,"")&amp;" "&amp;IF(AND(E26=$S$12,F26=$U$8),A26,"")&amp;" "&amp;IF(AND(E27=$S$12,F27=$U$8),A27,"")&amp;" "&amp;IF(AND(E28=$S$12,F28=$U$8),A28,"")</f>
        <v xml:space="preserve">R1   R4                </v>
      </c>
      <c r="M12" s="88" t="str">
        <f>+IF(AND(E9=$S$12,F9=$V$8),A9,"")&amp;" "&amp;IF(AND(E10=$S$12,F10=$V$8),A10,"")&amp;" "&amp;IF(AND(E11=$S$12,F11=$V$8),A11,"")&amp;" "&amp;IF(AND(E12=$S$12,F12=$V$8),A12,"")&amp;" "&amp;IF(AND(E13=$S$12,F13=$V$8),A13,"")&amp;" "&amp;IF(AND(E14=$S$12,F14=$V$8),A14,"")&amp;" "&amp;IF(AND(E15=$S$12,F15=$V$8),A15,"")&amp;" "&amp;IF(AND(E16=$S$12,F16=$V$8),A16,"")&amp;" "&amp;IF(AND(E17=$S$12,F17=$V$8),A17,"")&amp;" "&amp;IF(AND(E18=$S$12,F18=$V$8),A18,"")&amp;" "&amp;IF(AND(E19=$S$12,F19=$V$8),A19,"")&amp;" "&amp;IF(AND(E20=$S$12,F20=$V$8),A20,"")&amp;" "&amp;IF(AND(E21=$S$12,F21=$V$8),A21,"")&amp;" "&amp;IF(AND(E22=$S$12,F22=$V$8),A22,"")&amp;" "&amp;IF(AND(E23=$S$12,F23=$V$8),A23,"")&amp;" "&amp;IF(AND(E24=$S$12,F24=$V$8),A24,"")&amp;" "&amp;IF(AND(E25=$S$12,F25=$V$8),A25,"")&amp;" "&amp;IF(AND(E26=$S$12,F26=$V$8),A26,"")&amp;" "&amp;IF(AND(E27=$S$12,F27=$V$8),A27,"")&amp;" "&amp;IF(AND(E28=$S$12,F28=$V$8),A28,"")</f>
        <v xml:space="preserve">  R3  R5               </v>
      </c>
      <c r="N12" s="84" t="str">
        <f>+IF(AND(E9=$S$12,F9=$W$8),A9,"")&amp;" "&amp;IF(AND(E10=$S$12,F10=$W$8),A10,"")&amp;" "&amp;IF(AND(E11=$S$12,F11=$W$8),A11,"")&amp;" "&amp;IF(AND(E12=$S$12,F12=$W$8),A12,"")&amp;" "&amp;IF(AND(E13=$S$12,F13=$W$8),A13,"")&amp;" "&amp;IF(AND(E14=$S$12,F14=$W$8),A14,"")&amp;" "&amp;IF(AND(E15=$S$12,F15=$W$8),A15,"")&amp;" "&amp;IF(AND(E16=$S$12,F16=$W$8),A16,"")&amp;" "&amp;IF(AND(E17=$S$12,F17=$W$8),A17,"")&amp;" "&amp;IF(AND(E18=$S$12,F18=$W$8),A18,"")&amp;" "&amp;IF(AND(E19=$S$12,F19=$W$8),A19,"")&amp;" "&amp;IF(AND(E20=$S$12,F20=$W$8),A20,"")&amp;" "&amp;IF(AND(E21=$S$12,F21=$W$8),A21,"")&amp;" "&amp;IF(AND(E22=$S$12,F22=$W$8),A22,"")&amp;" "&amp;IF(AND(E23=$S$12,F23=$W$8),A23,"")&amp;" "&amp;IF(AND(E24=$S$12,F24=$W$8),A24,"")&amp;" "&amp;IF(AND(E25=$S$12,F25=$W$8),A25,"")&amp;" "&amp;IF(AND(E26=$S$12,F26=$W$8),A26,"")&amp;" "&amp;IF(AND(E27=$S$12,F27=$W$8),A27,"")&amp;" "&amp;IF(AND(E28=$S$12,F28=$W$8),A28,"")</f>
        <v xml:space="preserve"> R2                  </v>
      </c>
      <c r="O12" s="85" t="str">
        <f>+IF(AND(E9=$S$12,F9=$X$8),A9,"")&amp;" "&amp;IF(AND(E10=$S$12,F10=$X$8),A10,"")&amp;" "&amp;IF(AND(E11=$S$12,F11=$X$8),A11,"")&amp;" "&amp;IF(AND(E12=$S$12,F12=$X$8),A12,"")&amp;" "&amp;IF(AND(E13=$S$12,F13=$X$8),A13,"")&amp;" "&amp;IF(AND(E14=$S$12,F14=$X$8),A14,"")&amp;" "&amp;IF(AND(E15=$S$12,F15=$X$8),A15,"")&amp;" "&amp;IF(AND(E16=$S$12,F16=$X$8),A16,"")&amp;" "&amp;IF(AND(E17=$S$12,F17=$X$8),A17,"")&amp;" "&amp;IF(AND(E18=$S$12,F18=$X$8),A18,"")&amp;" "&amp;IF(AND(E19=$S$12,F19=$X$8),A19,"")&amp;" "&amp;IF(AND(E20=$S$12,F20=$X$8),A20,"")&amp;" "&amp;IF(AND(E21=$S$12,F21=$X$8),A21,"")&amp;" "&amp;IF(AND(E22=$S$12,F22=$X$8),A22,"")&amp;" "&amp;IF(AND(E23=$S$12,F23=$X$8),A23,"")&amp;" "&amp;IF(AND(E24=$S$12,F24=$X$8),A24,"")&amp;" "&amp;IF(AND(E25=$S$12,F25=$X$8),A25,"")&amp;" "&amp;IF(AND(E26=$S$12,F26=$X$8),A26,"")&amp;" "&amp;IF(AND(E27=$S$12,F27=$X$8),A27,"")&amp;" "&amp;IF(AND(E28=$S$12,F28=$X$8),A28,"")</f>
        <v xml:space="preserve">                   </v>
      </c>
      <c r="P12" s="83"/>
      <c r="Q12" s="720"/>
      <c r="R12" s="86">
        <v>0.4</v>
      </c>
      <c r="S12" s="77" t="s">
        <v>286</v>
      </c>
      <c r="T12" s="92" t="s">
        <v>312</v>
      </c>
      <c r="U12" s="88" t="s">
        <v>292</v>
      </c>
      <c r="V12" s="88" t="s">
        <v>292</v>
      </c>
      <c r="W12" s="84" t="s">
        <v>310</v>
      </c>
      <c r="X12" s="85" t="s">
        <v>311</v>
      </c>
      <c r="AA12" s="67"/>
      <c r="AB12" s="67"/>
      <c r="AC12" s="79"/>
      <c r="AD12" s="89"/>
      <c r="AE12" s="90"/>
      <c r="AF12" s="87"/>
      <c r="AG12" s="87"/>
      <c r="AH12" s="87"/>
      <c r="AI12" s="91"/>
      <c r="AJ12" s="87"/>
      <c r="AK12" s="79"/>
      <c r="AL12" s="79"/>
    </row>
    <row r="13" spans="1:38" ht="93" customHeight="1" thickBot="1">
      <c r="A13" s="80" t="str">
        <f>'2 CONTEXTO E IDENTIFICACIÓN'!A13</f>
        <v>R5</v>
      </c>
      <c r="B13" s="81" t="str">
        <f>+'2 CONTEXTO E IDENTIFICACIÓN'!K13</f>
        <v>Posibilidad de perdida de disponibilidad e integridad de la información por ataques cibernéticos, modificaciones no autorizadas o fallas del servidor   debido a ausencia de monitoreo permanente y mantenimiento de la plataforma o deficiencias en la implementación de controles de seguridad</v>
      </c>
      <c r="C13" s="111">
        <f>+'5 VALORACIÓN DEL CONTROL'!T37</f>
        <v>0.36</v>
      </c>
      <c r="D13" s="82">
        <f>+'5 VALORACIÓN DEL CONTROL'!U37</f>
        <v>0.44999999999999996</v>
      </c>
      <c r="E13" s="112" t="str">
        <f t="shared" si="0"/>
        <v>Baja</v>
      </c>
      <c r="F13" s="112" t="str">
        <f t="shared" si="1"/>
        <v>Moderado</v>
      </c>
      <c r="G13" s="81" t="str">
        <f t="shared" si="2"/>
        <v>Moderado</v>
      </c>
      <c r="H13" s="83"/>
      <c r="I13" s="658"/>
      <c r="J13" s="93" t="s">
        <v>282</v>
      </c>
      <c r="K13" s="94" t="str">
        <f>+IF(AND(E9=$S$13,F9=$T$8),A9,"")&amp;" "&amp;IF(AND(E10=$S$13,F10=$T$8),A10,"")&amp;" "&amp;IF(AND(E11=$S$13,F11=$T$8),A11,"")&amp;" "&amp;IF(AND(E12=$S$13,F12=$T$8),A12,"")&amp;" "&amp;IF(AND(E13=$S$13,F13=$T$8),A13,"")&amp;" "&amp;IF(AND(E14=$S$13,F14=$T$8),A14,"")&amp;" "&amp;IF(AND(E15=$S$13,F15=$T$8),A15,"")&amp;" "&amp;IF(AND(E16=$S$13,F16=$T$8),A16,"")&amp;" "&amp;IF(AND(E17=$S$13,F17=$T$8),A17,"")&amp;" "&amp;IF(AND(E18=$S$13,F18=$T$8),A18,"")&amp;" "&amp;IF(AND(E19=$S$13,F19=$T$8),A19,"")&amp;" "&amp;IF(AND(E20=$S$13,F20=$T$8),A20,"")&amp;" "&amp;IF(AND(E21=$S$13,F21=$T$8),A21,"")&amp;" "&amp;IF(AND(E22=$S$13,F22=$T$8),A22,"")&amp;" "&amp;IF(AND(E23=$S$13,F23=$T$8),A23,"")&amp;" "&amp;IF(AND(E24=$S$13,F24=$T$8),A24,"")&amp;" "&amp;IF(AND(E25=$S$13,F25=$T$8),A25,"")&amp;" "&amp;IF(AND(E26=$S$13,F26=$T$8),A26,"")&amp;" "&amp;IF(AND(E27=$S$13,F27=$T$8),A27,"")&amp;" "&amp;IF(AND(E28=$S$13,F28=$T$8),A28,"")</f>
        <v xml:space="preserve">                   </v>
      </c>
      <c r="L13" s="94" t="str">
        <f>+IF(AND(E9=$S$13,F9=$U$8),A9,"")&amp;" "&amp;IF(AND(E10=$S$13,F10=$U$8),A10,"")&amp;" "&amp;IF(AND(E11=$S$13,F11=$U$8),A11,"")&amp;" "&amp;IF(AND(E12=$S$13,F12=$U$8),A12,"")&amp;" "&amp;IF(AND(E13=$S$13,F13=$U$8),A13,"")&amp;" "&amp;IF(AND(E14=$S$13,F14=$U$8),A14,"")&amp;" "&amp;IF(AND(E15=$S$13,F15=$U$8),A15,"")&amp;" "&amp;IF(AND(E16=$S$13,F16=$U$8),A16,"")&amp;" "&amp;IF(AND(E17=$S$13,F17=$U$8),A17,"")&amp;" "&amp;IF(AND(E18=$S$13,F18=$U$8),A18,"")&amp;" "&amp;IF(AND(E19=$S$13,F19=$U$8),A19,"")&amp;" "&amp;IF(AND(E20=$S$13,F20=$U$8),A20,"")&amp;" "&amp;IF(AND(E21=$S$13,F21=$U$8),A21,"")&amp;" "&amp;IF(AND(E22=$S$13,F22=$U$8),A22,"")&amp;" "&amp;IF(AND(E23=$S$13,F23=$U$8),A23,"")&amp;" "&amp;IF(AND(E24=$S$13,F24=$U$8),A24,"")&amp;" "&amp;IF(AND(E25=$S$13,F25=$U$8),A25,"")&amp;" "&amp;IF(AND(E26=$S$13,F26=$U$8),A26,"")&amp;" "&amp;IF(AND(E27=$S$13,F27=$U$8),A27,"")&amp;" "&amp;IF(AND(E28=$S$13,F28=$U$8),A28,"")</f>
        <v xml:space="preserve">                   </v>
      </c>
      <c r="M13" s="95" t="str">
        <f>+IF(AND(E9=$S$13,F9=$V$8),A9,"")&amp;" "&amp;IF(AND(E10=$S$13,F10=$V$8),A10,"")&amp;" "&amp;IF(AND(E11=$S$13,F11=$V$8),A11,"")&amp;" "&amp;IF(AND(E12=$S$13,F12=$V$8),A12,"")&amp;" "&amp;IF(AND(E13=$S$13,F13=$V$8),A13,"")&amp;" "&amp;IF(AND(E14=$S$13,F14=$V$8),A14,"")&amp;" "&amp;IF(AND(E15=$S$13,F15=$V$8),A15,"")&amp;" "&amp;IF(AND(E16=$S$13,F16=$V$8),A16,"")&amp;" "&amp;IF(AND(E17=$S$13,F17=$V$8),A17,"")&amp;" "&amp;IF(AND(E18=$S$13,F18=$V$8),A18,"")&amp;" "&amp;IF(AND(E19=$S$13,F19=$V$8),A19,"")&amp;" "&amp;IF(AND(E20=$S$13,F20=$V$8),A20,"")&amp;" "&amp;IF(AND(E21=$S$13,F21=$V$8),A21,"")&amp;" "&amp;IF(AND(E22=$S$13,F22=$V$8),A22,"")&amp;" "&amp;IF(AND(E23=$S$13,F23=$V$8),A23,"")&amp;" "&amp;IF(AND(E24=$S$13,F24=$V$8),A24,"")&amp;" "&amp;IF(AND(E25=$S$13,F25=$V$8),A25,"")&amp;" "&amp;IF(AND(E26=$S$13,F26=$V$8),A26,"")&amp;" "&amp;IF(AND(E27=$S$13,F27=$V$8),A27,"")&amp;" "&amp;IF(AND(E28=$S$13,F28=$V$8),A28,"")</f>
        <v xml:space="preserve">                   </v>
      </c>
      <c r="N13" s="96" t="str">
        <f>+IF(AND(E9=$S$13,F9=$W$8),A9,"")&amp;" "&amp;IF(AND(E10=$S$13,F10=$W$8),A10,"")&amp;" "&amp;IF(AND(E11=$S$13,F11=$W$8),A11,"")&amp;" "&amp;IF(AND(E12=$S$13,F12=$W$8),A12,"")&amp;" "&amp;IF(AND(E13=$S$13,F13=$W$8),A13,"")&amp;" "&amp;IF(AND(E14=$S$13,F14=$W$8),A14,"")&amp;" "&amp;IF(AND(E15=$S$13,F15=$W$8),A15,"")&amp;" "&amp;IF(AND(E16=$S$13,F16=$W$8),A16,"")&amp;" "&amp;IF(AND(E17=$S$13,F17=$W$8),A17,"")&amp;" "&amp;IF(AND(E18=$S$13,F18=$W$8),A18,"")&amp;" "&amp;IF(AND(E19=$S$13,F19=$W$8),A19,"")&amp;" "&amp;IF(AND(E20=$S$13,F20=$W$8),A20,"")&amp;" "&amp;IF(AND(E21=$S$13,F21=$W$8),A21,"")&amp;" "&amp;IF(AND(E22=$S$13,F22=$W$8),A22,"")&amp;" "&amp;IF(AND(E23=$S$13,F23=$W$8),A23,"")&amp;" "&amp;IF(AND(E24=$S$13,F24=$W$8),A24,"")&amp;" "&amp;IF(AND(E25=$S$13,F25=$W$8),A25,"")&amp;" "&amp;IF(AND(E26=$S$13,F26=$W$8),A26,"")&amp;" "&amp;IF(AND(E27=$S$13,F27=$W$8),A27,"")&amp;" "&amp;IF(AND(E28=$S$13,F28=$W$8),A28,"")</f>
        <v xml:space="preserve">                   </v>
      </c>
      <c r="O13" s="97" t="str">
        <f>+IF(AND(E9=$S$13,F9=$X$8),A9,"")&amp;" "&amp;IF(AND(E10=$S$13,F10=$X$8),A10,"")&amp;" "&amp;IF(AND(E11=$S$13,F11=$X$8),A11,"")&amp;" "&amp;IF(AND(E12=$S$13,F12=$X$8),A12,"")&amp;" "&amp;IF(AND(E13=$S$13,F13=$X$8),A13,"")&amp;" "&amp;IF(AND(E14=$S$13,F14=$X$8),A14,"")&amp;" "&amp;IF(AND(E15=$S$13,F15=$X$8),A15,"")&amp;" "&amp;IF(AND(E16=$S$13,F16=$X$8),A16,"")&amp;" "&amp;IF(AND(E17=$S$13,F17=$X$8),A17,"")&amp;" "&amp;IF(AND(E18=$S$13,F18=$X$8),A18,"")&amp;" "&amp;IF(AND(E19=$S$13,F19=$X$8),A19,"")&amp;" "&amp;IF(AND(E20=$S$13,F20=$X$8),A20,"")&amp;" "&amp;IF(AND(E21=$S$13,F21=$X$8),A21,"")&amp;" "&amp;IF(AND(E22=$S$13,F22=$X$8),A22,"")&amp;" "&amp;IF(AND(E23=$S$13,F23=$X$8),A23,"")&amp;" "&amp;IF(AND(E24=$S$13,F24=$X$8),A24,"")&amp;" "&amp;IF(AND(E25=$S$13,F25=$X$8),A25,"")&amp;" "&amp;IF(AND(E26=$S$13,F26=$X$8),A26,"")&amp;" "&amp;IF(AND(E27=$S$13,F27=$X$8),A27,"")&amp;" "&amp;IF(AND(E28=$S$13,F28=$X$8),A28,"")</f>
        <v xml:space="preserve">                   </v>
      </c>
      <c r="P13" s="83"/>
      <c r="Q13" s="720"/>
      <c r="R13" s="98">
        <v>0.2</v>
      </c>
      <c r="S13" s="99" t="s">
        <v>282</v>
      </c>
      <c r="T13" s="94" t="s">
        <v>312</v>
      </c>
      <c r="U13" s="94" t="s">
        <v>312</v>
      </c>
      <c r="V13" s="95" t="s">
        <v>292</v>
      </c>
      <c r="W13" s="96" t="s">
        <v>310</v>
      </c>
      <c r="X13" s="97" t="s">
        <v>311</v>
      </c>
      <c r="AA13" s="67"/>
      <c r="AB13" s="67"/>
      <c r="AC13" s="79"/>
      <c r="AD13" s="89"/>
      <c r="AE13" s="90"/>
      <c r="AF13" s="87"/>
      <c r="AG13" s="87"/>
      <c r="AH13" s="87"/>
      <c r="AI13" s="100"/>
      <c r="AJ13" s="87"/>
      <c r="AK13" s="79"/>
      <c r="AL13" s="79"/>
    </row>
    <row r="14" spans="1:38" ht="93" customHeight="1">
      <c r="A14" s="80" t="str">
        <f>'2 CONTEXTO E IDENTIFICACIÓN'!A14</f>
        <v>R6</v>
      </c>
      <c r="B14" s="81" t="str">
        <f>+'2 CONTEXTO E IDENTIFICACIÓN'!K14</f>
        <v xml:space="preserve">   </v>
      </c>
      <c r="C14" s="111" t="str">
        <f>+'5 VALORACIÓN DEL CONTROL'!T43</f>
        <v/>
      </c>
      <c r="D14" s="82" t="str">
        <f>+'5 VALORACIÓN DEL CONTROL'!U43</f>
        <v/>
      </c>
      <c r="E14" s="112" t="str">
        <f>+IF(C14=0,"",IF(C14&lt;=$R$13,$S$13,IF(C14&lt;=$R$12,$S$12,IF(C14&lt;=$R$11,$S$11,IF(C14&lt;=$R$10,$S$10,IF(C14&lt;=$R$9,$S$9,""))))))</f>
        <v/>
      </c>
      <c r="F14" s="112" t="str">
        <f t="shared" si="1"/>
        <v/>
      </c>
      <c r="G14" s="81" t="str">
        <f t="shared" si="2"/>
        <v/>
      </c>
      <c r="H14" s="83"/>
      <c r="I14" s="83"/>
      <c r="J14" s="83"/>
      <c r="K14" s="83"/>
      <c r="L14" s="83"/>
      <c r="M14" s="83"/>
      <c r="N14" s="83"/>
      <c r="O14" s="83"/>
      <c r="P14" s="83"/>
      <c r="AA14" s="67"/>
      <c r="AB14" s="67"/>
      <c r="AC14" s="79"/>
      <c r="AD14" s="89"/>
      <c r="AE14" s="90"/>
      <c r="AF14" s="87"/>
      <c r="AG14" s="87"/>
      <c r="AH14" s="87"/>
      <c r="AI14" s="87"/>
      <c r="AJ14" s="87"/>
      <c r="AK14" s="79"/>
      <c r="AL14" s="79"/>
    </row>
    <row r="15" spans="1:38" ht="93" customHeight="1">
      <c r="A15" s="80" t="str">
        <f>'2 CONTEXTO E IDENTIFICACIÓN'!A15</f>
        <v>R7</v>
      </c>
      <c r="B15" s="81" t="str">
        <f>+'2 CONTEXTO E IDENTIFICACIÓN'!K15</f>
        <v xml:space="preserve">   </v>
      </c>
      <c r="C15" s="111" t="str">
        <f>+'5 VALORACIÓN DEL CONTROL'!T49</f>
        <v/>
      </c>
      <c r="D15" s="82">
        <f>+'5 VALORACIÓN DEL CONTROL'!U49</f>
        <v>0.6</v>
      </c>
      <c r="E15" s="112" t="str">
        <f t="shared" si="0"/>
        <v/>
      </c>
      <c r="F15" s="112" t="str">
        <f t="shared" si="1"/>
        <v>Moderado</v>
      </c>
      <c r="G15" s="81" t="str">
        <f t="shared" si="2"/>
        <v/>
      </c>
      <c r="H15" s="83"/>
      <c r="I15" s="83"/>
      <c r="J15" s="83"/>
      <c r="K15" s="83"/>
      <c r="L15" s="83"/>
      <c r="M15" s="83"/>
      <c r="N15" s="83"/>
      <c r="O15" s="83"/>
      <c r="P15" s="83"/>
      <c r="T15" s="71" t="s">
        <v>313</v>
      </c>
      <c r="V15" s="67"/>
      <c r="W15" s="67"/>
      <c r="X15" s="67"/>
      <c r="Y15" s="67"/>
      <c r="Z15" s="67"/>
      <c r="AA15" s="67"/>
      <c r="AB15" s="67"/>
      <c r="AC15" s="79"/>
      <c r="AD15" s="89"/>
      <c r="AE15" s="79"/>
      <c r="AF15" s="90"/>
      <c r="AG15" s="90"/>
      <c r="AH15" s="90"/>
      <c r="AI15" s="90"/>
      <c r="AJ15" s="90"/>
      <c r="AK15" s="79"/>
      <c r="AL15" s="79"/>
    </row>
    <row r="16" spans="1:38" ht="93" customHeight="1">
      <c r="A16" s="80" t="str">
        <f>'2 CONTEXTO E IDENTIFICACIÓN'!A16</f>
        <v>R8</v>
      </c>
      <c r="B16" s="81" t="str">
        <f>+'2 CONTEXTO E IDENTIFICACIÓN'!K16</f>
        <v xml:space="preserve">   </v>
      </c>
      <c r="C16" s="111" t="str">
        <f>+'5 VALORACIÓN DEL CONTROL'!T55</f>
        <v/>
      </c>
      <c r="D16" s="82">
        <f>+'5 VALORACIÓN DEL CONTROL'!U55</f>
        <v>0.6</v>
      </c>
      <c r="E16" s="112" t="str">
        <f t="shared" si="0"/>
        <v/>
      </c>
      <c r="F16" s="112" t="str">
        <f t="shared" si="1"/>
        <v>Moderado</v>
      </c>
      <c r="G16" s="81" t="str">
        <f t="shared" si="2"/>
        <v/>
      </c>
      <c r="H16" s="83"/>
      <c r="I16" s="83"/>
      <c r="J16" s="83"/>
      <c r="K16" s="83"/>
      <c r="L16" s="83"/>
      <c r="M16" s="83"/>
      <c r="N16" s="83"/>
      <c r="O16" s="83"/>
      <c r="P16" s="83"/>
      <c r="T16" s="101" t="s">
        <v>311</v>
      </c>
      <c r="V16" s="67"/>
      <c r="W16" s="67"/>
      <c r="X16" s="67"/>
      <c r="Y16" s="67"/>
      <c r="Z16" s="67"/>
      <c r="AA16" s="67"/>
      <c r="AB16" s="67"/>
      <c r="AC16" s="79"/>
      <c r="AD16" s="79"/>
      <c r="AE16" s="79"/>
      <c r="AF16" s="87"/>
      <c r="AG16" s="87"/>
      <c r="AH16" s="87"/>
      <c r="AI16" s="87"/>
      <c r="AJ16" s="87"/>
      <c r="AK16" s="79"/>
      <c r="AL16" s="79"/>
    </row>
    <row r="17" spans="1:38" ht="93" customHeight="1">
      <c r="A17" s="80" t="str">
        <f>'2 CONTEXTO E IDENTIFICACIÓN'!A17</f>
        <v>R9</v>
      </c>
      <c r="B17" s="81" t="str">
        <f>+'2 CONTEXTO E IDENTIFICACIÓN'!K17</f>
        <v xml:space="preserve">   </v>
      </c>
      <c r="C17" s="111" t="str">
        <f>+'5 VALORACIÓN DEL CONTROL'!T61</f>
        <v/>
      </c>
      <c r="D17" s="82">
        <f>+'5 VALORACIÓN DEL CONTROL'!U61</f>
        <v>0.6</v>
      </c>
      <c r="E17" s="112" t="str">
        <f t="shared" si="0"/>
        <v/>
      </c>
      <c r="F17" s="112" t="str">
        <f t="shared" si="1"/>
        <v>Moderado</v>
      </c>
      <c r="G17" s="81" t="str">
        <f t="shared" si="2"/>
        <v/>
      </c>
      <c r="H17" s="83"/>
      <c r="I17" s="83"/>
      <c r="J17" s="83"/>
      <c r="K17" s="83"/>
      <c r="L17" s="83"/>
      <c r="M17" s="83"/>
      <c r="N17" s="83"/>
      <c r="O17" s="83"/>
      <c r="P17" s="83"/>
      <c r="T17" s="84" t="s">
        <v>310</v>
      </c>
      <c r="U17" s="67"/>
      <c r="V17" s="67"/>
      <c r="W17" s="67"/>
      <c r="X17" s="67"/>
      <c r="Y17" s="67"/>
      <c r="Z17" s="67"/>
      <c r="AA17" s="67"/>
      <c r="AB17" s="67"/>
      <c r="AC17" s="79"/>
      <c r="AD17" s="79"/>
      <c r="AE17" s="79"/>
      <c r="AF17" s="87"/>
      <c r="AG17" s="87"/>
      <c r="AH17" s="87"/>
      <c r="AI17" s="87"/>
      <c r="AJ17" s="87"/>
      <c r="AK17" s="79"/>
      <c r="AL17" s="79"/>
    </row>
    <row r="18" spans="1:38" ht="93" customHeight="1">
      <c r="A18" s="80" t="str">
        <f>'2 CONTEXTO E IDENTIFICACIÓN'!A18</f>
        <v>R10</v>
      </c>
      <c r="B18" s="81" t="str">
        <f>+'2 CONTEXTO E IDENTIFICACIÓN'!K18</f>
        <v xml:space="preserve">   </v>
      </c>
      <c r="C18" s="111" t="str">
        <f>+'5 VALORACIÓN DEL CONTROL'!T67</f>
        <v/>
      </c>
      <c r="D18" s="82">
        <f>+'5 VALORACIÓN DEL CONTROL'!U67</f>
        <v>0.6</v>
      </c>
      <c r="E18" s="112" t="str">
        <f t="shared" si="0"/>
        <v/>
      </c>
      <c r="F18" s="112" t="str">
        <f t="shared" si="1"/>
        <v>Moderado</v>
      </c>
      <c r="G18" s="81" t="str">
        <f t="shared" si="2"/>
        <v/>
      </c>
      <c r="H18" s="83"/>
      <c r="I18" s="83"/>
      <c r="J18" s="83"/>
      <c r="K18" s="83"/>
      <c r="L18" s="83"/>
      <c r="M18" s="83"/>
      <c r="N18" s="83"/>
      <c r="O18" s="83"/>
      <c r="P18" s="83"/>
      <c r="S18" s="102"/>
      <c r="T18" s="88" t="s">
        <v>292</v>
      </c>
      <c r="U18" s="102"/>
      <c r="V18" s="102"/>
      <c r="W18" s="102"/>
      <c r="X18" s="102"/>
      <c r="Y18" s="102"/>
      <c r="Z18" s="102"/>
      <c r="AA18" s="102"/>
      <c r="AB18" s="102"/>
      <c r="AC18" s="79"/>
      <c r="AD18" s="79"/>
      <c r="AE18" s="103"/>
      <c r="AF18" s="103"/>
      <c r="AG18" s="103"/>
      <c r="AH18" s="103"/>
      <c r="AI18" s="103"/>
      <c r="AJ18" s="103"/>
      <c r="AK18" s="79"/>
      <c r="AL18" s="79"/>
    </row>
    <row r="19" spans="1:38" ht="93" customHeight="1">
      <c r="A19" s="80" t="str">
        <f>'2 CONTEXTO E IDENTIFICACIÓN'!A19</f>
        <v>R11</v>
      </c>
      <c r="B19" s="81" t="str">
        <f>+'2 CONTEXTO E IDENTIFICACIÓN'!K19</f>
        <v xml:space="preserve">   </v>
      </c>
      <c r="C19" s="111" t="str">
        <f>+'5 VALORACIÓN DEL CONTROL'!T73</f>
        <v/>
      </c>
      <c r="D19" s="82">
        <f>+'5 VALORACIÓN DEL CONTROL'!U73</f>
        <v>0.6</v>
      </c>
      <c r="E19" s="112" t="str">
        <f t="shared" si="0"/>
        <v/>
      </c>
      <c r="F19" s="112" t="str">
        <f t="shared" si="1"/>
        <v>Moderado</v>
      </c>
      <c r="G19" s="81" t="str">
        <f t="shared" si="2"/>
        <v/>
      </c>
      <c r="H19" s="83"/>
      <c r="I19" s="83"/>
      <c r="J19" s="83"/>
      <c r="K19" s="83"/>
      <c r="L19" s="83"/>
      <c r="M19" s="83"/>
      <c r="N19" s="83"/>
      <c r="O19" s="83"/>
      <c r="P19" s="83"/>
      <c r="S19" s="102"/>
      <c r="T19" s="92" t="s">
        <v>312</v>
      </c>
      <c r="AA19" s="102"/>
      <c r="AB19" s="102"/>
      <c r="AC19" s="79"/>
      <c r="AD19" s="79"/>
      <c r="AE19" s="79"/>
      <c r="AF19" s="87"/>
      <c r="AG19" s="87"/>
      <c r="AH19" s="87"/>
      <c r="AI19" s="87"/>
      <c r="AJ19" s="87"/>
      <c r="AK19" s="79"/>
      <c r="AL19" s="79"/>
    </row>
    <row r="20" spans="1:38" ht="93" customHeight="1">
      <c r="A20" s="80" t="str">
        <f>'2 CONTEXTO E IDENTIFICACIÓN'!A20</f>
        <v>R12</v>
      </c>
      <c r="B20" s="81" t="str">
        <f>+'2 CONTEXTO E IDENTIFICACIÓN'!K20</f>
        <v xml:space="preserve">   </v>
      </c>
      <c r="C20" s="111" t="str">
        <f>+'5 VALORACIÓN DEL CONTROL'!T79</f>
        <v/>
      </c>
      <c r="D20" s="82">
        <f>+'5 VALORACIÓN DEL CONTROL'!U79</f>
        <v>0.6</v>
      </c>
      <c r="E20" s="112" t="str">
        <f t="shared" si="0"/>
        <v/>
      </c>
      <c r="F20" s="112" t="str">
        <f t="shared" si="1"/>
        <v>Moderado</v>
      </c>
      <c r="G20" s="81" t="str">
        <f t="shared" si="2"/>
        <v/>
      </c>
      <c r="H20" s="83"/>
      <c r="I20" s="83"/>
      <c r="J20" s="83"/>
      <c r="K20" s="83"/>
      <c r="L20" s="83"/>
      <c r="M20" s="83"/>
      <c r="N20" s="83"/>
      <c r="O20" s="83"/>
      <c r="P20" s="83"/>
      <c r="Q20" s="104"/>
      <c r="R20" s="104"/>
      <c r="S20" s="102"/>
      <c r="AA20" s="102"/>
      <c r="AB20" s="102"/>
      <c r="AC20" s="79"/>
      <c r="AD20" s="79"/>
      <c r="AE20" s="79"/>
      <c r="AF20" s="87"/>
      <c r="AG20" s="87"/>
      <c r="AH20" s="87"/>
      <c r="AI20" s="87"/>
      <c r="AJ20" s="87"/>
      <c r="AK20" s="79"/>
      <c r="AL20" s="79"/>
    </row>
    <row r="21" spans="1:38" ht="93" customHeight="1">
      <c r="A21" s="80" t="str">
        <f>'2 CONTEXTO E IDENTIFICACIÓN'!A21</f>
        <v>R13</v>
      </c>
      <c r="B21" s="81" t="str">
        <f>+'2 CONTEXTO E IDENTIFICACIÓN'!K21</f>
        <v xml:space="preserve">   </v>
      </c>
      <c r="C21" s="111" t="str">
        <f>+'5 VALORACIÓN DEL CONTROL'!T85</f>
        <v/>
      </c>
      <c r="D21" s="82">
        <f>+'5 VALORACIÓN DEL CONTROL'!U85</f>
        <v>0.6</v>
      </c>
      <c r="E21" s="112" t="str">
        <f t="shared" si="0"/>
        <v/>
      </c>
      <c r="F21" s="112" t="str">
        <f t="shared" si="1"/>
        <v>Moderado</v>
      </c>
      <c r="G21" s="81" t="str">
        <f t="shared" si="2"/>
        <v/>
      </c>
      <c r="H21" s="83"/>
      <c r="I21" s="83"/>
      <c r="J21" s="83"/>
      <c r="K21" s="83"/>
      <c r="L21" s="83"/>
      <c r="M21" s="83"/>
      <c r="N21" s="83"/>
      <c r="O21" s="83"/>
      <c r="P21" s="83"/>
      <c r="Q21" s="104"/>
      <c r="R21" s="104"/>
      <c r="S21" s="105"/>
      <c r="AA21" s="102"/>
      <c r="AB21" s="102"/>
      <c r="AC21" s="79"/>
      <c r="AD21" s="100"/>
      <c r="AE21" s="100"/>
      <c r="AF21" s="100"/>
      <c r="AG21" s="100"/>
      <c r="AH21" s="100"/>
      <c r="AI21" s="100"/>
      <c r="AJ21" s="87"/>
      <c r="AK21" s="79"/>
      <c r="AL21" s="79"/>
    </row>
    <row r="22" spans="1:38" ht="93" customHeight="1">
      <c r="A22" s="80" t="str">
        <f>'2 CONTEXTO E IDENTIFICACIÓN'!A22</f>
        <v>R14</v>
      </c>
      <c r="B22" s="81" t="str">
        <f>+'2 CONTEXTO E IDENTIFICACIÓN'!K22</f>
        <v xml:space="preserve">   </v>
      </c>
      <c r="C22" s="111" t="str">
        <f>+'5 VALORACIÓN DEL CONTROL'!T91</f>
        <v/>
      </c>
      <c r="D22" s="82">
        <f>+'5 VALORACIÓN DEL CONTROL'!U91</f>
        <v>0.6</v>
      </c>
      <c r="E22" s="112" t="str">
        <f t="shared" si="0"/>
        <v/>
      </c>
      <c r="F22" s="112" t="str">
        <f t="shared" si="1"/>
        <v>Moderado</v>
      </c>
      <c r="G22" s="81" t="str">
        <f t="shared" si="2"/>
        <v/>
      </c>
      <c r="H22" s="83"/>
      <c r="I22" s="83"/>
      <c r="J22" s="83"/>
      <c r="K22" s="83"/>
      <c r="L22" s="83"/>
      <c r="M22" s="83"/>
      <c r="N22" s="83"/>
      <c r="O22" s="83"/>
      <c r="P22" s="83"/>
      <c r="Q22" s="104"/>
      <c r="R22" s="104"/>
      <c r="AC22" s="79"/>
      <c r="AD22" s="106"/>
      <c r="AE22" s="106"/>
      <c r="AF22" s="106"/>
      <c r="AG22" s="106"/>
      <c r="AH22" s="106"/>
      <c r="AI22" s="106"/>
      <c r="AJ22" s="87"/>
      <c r="AK22" s="79"/>
      <c r="AL22" s="79"/>
    </row>
    <row r="23" spans="1:38" ht="93" customHeight="1">
      <c r="A23" s="80" t="str">
        <f>'2 CONTEXTO E IDENTIFICACIÓN'!A23</f>
        <v>R15</v>
      </c>
      <c r="B23" s="81" t="str">
        <f>+'2 CONTEXTO E IDENTIFICACIÓN'!K23</f>
        <v xml:space="preserve">   </v>
      </c>
      <c r="C23" s="111" t="str">
        <f>+'5 VALORACIÓN DEL CONTROL'!T97</f>
        <v/>
      </c>
      <c r="D23" s="82">
        <f>+'5 VALORACIÓN DEL CONTROL'!U97</f>
        <v>0.6</v>
      </c>
      <c r="E23" s="112" t="str">
        <f t="shared" si="0"/>
        <v/>
      </c>
      <c r="F23" s="112" t="str">
        <f t="shared" si="1"/>
        <v>Moderado</v>
      </c>
      <c r="G23" s="81" t="str">
        <f t="shared" si="2"/>
        <v/>
      </c>
      <c r="H23" s="83"/>
      <c r="I23" s="83"/>
      <c r="J23" s="83"/>
      <c r="K23" s="83"/>
      <c r="L23" s="83"/>
      <c r="M23" s="83"/>
      <c r="N23" s="83"/>
      <c r="O23" s="83"/>
      <c r="P23" s="83"/>
      <c r="Q23" s="104"/>
      <c r="R23" s="104"/>
      <c r="AC23" s="79"/>
      <c r="AD23" s="100"/>
      <c r="AE23" s="100"/>
      <c r="AF23" s="100"/>
      <c r="AG23" s="100"/>
      <c r="AH23" s="100"/>
      <c r="AI23" s="100"/>
      <c r="AJ23" s="87"/>
      <c r="AK23" s="79"/>
      <c r="AL23" s="79"/>
    </row>
    <row r="24" spans="1:38" ht="93" customHeight="1">
      <c r="A24" s="80" t="str">
        <f>'2 CONTEXTO E IDENTIFICACIÓN'!A24</f>
        <v>R16</v>
      </c>
      <c r="B24" s="81" t="str">
        <f>+'2 CONTEXTO E IDENTIFICACIÓN'!K24</f>
        <v xml:space="preserve">   </v>
      </c>
      <c r="C24" s="111" t="str">
        <f>+'5 VALORACIÓN DEL CONTROL'!T103</f>
        <v/>
      </c>
      <c r="D24" s="82">
        <f>+'5 VALORACIÓN DEL CONTROL'!U103</f>
        <v>0.6</v>
      </c>
      <c r="E24" s="112" t="str">
        <f t="shared" si="0"/>
        <v/>
      </c>
      <c r="F24" s="112" t="str">
        <f t="shared" si="1"/>
        <v>Moderado</v>
      </c>
      <c r="G24" s="81" t="str">
        <f t="shared" si="2"/>
        <v/>
      </c>
      <c r="H24" s="83"/>
      <c r="I24" s="83"/>
      <c r="J24" s="83"/>
      <c r="K24" s="83"/>
      <c r="L24" s="83"/>
      <c r="M24" s="83"/>
      <c r="N24" s="83"/>
      <c r="O24" s="83"/>
      <c r="P24" s="83"/>
      <c r="AC24" s="79"/>
      <c r="AD24" s="100"/>
      <c r="AE24" s="100"/>
      <c r="AF24" s="100"/>
      <c r="AG24" s="100"/>
      <c r="AH24" s="100"/>
      <c r="AI24" s="100"/>
      <c r="AJ24" s="87"/>
      <c r="AK24" s="79"/>
      <c r="AL24" s="79"/>
    </row>
    <row r="25" spans="1:38" ht="93" customHeight="1">
      <c r="A25" s="80" t="str">
        <f>'2 CONTEXTO E IDENTIFICACIÓN'!A25</f>
        <v>R17</v>
      </c>
      <c r="B25" s="81" t="str">
        <f>+'2 CONTEXTO E IDENTIFICACIÓN'!K25</f>
        <v xml:space="preserve">   </v>
      </c>
      <c r="C25" s="111" t="str">
        <f>+'5 VALORACIÓN DEL CONTROL'!T109</f>
        <v/>
      </c>
      <c r="D25" s="82">
        <f>+'5 VALORACIÓN DEL CONTROL'!U109</f>
        <v>0.6</v>
      </c>
      <c r="E25" s="112" t="str">
        <f t="shared" si="0"/>
        <v/>
      </c>
      <c r="F25" s="112" t="str">
        <f t="shared" si="1"/>
        <v>Moderado</v>
      </c>
      <c r="G25" s="81" t="str">
        <f t="shared" si="2"/>
        <v/>
      </c>
      <c r="H25" s="83"/>
      <c r="I25" s="83"/>
      <c r="J25" s="83"/>
      <c r="K25" s="83"/>
      <c r="L25" s="83"/>
      <c r="M25" s="83"/>
      <c r="N25" s="83"/>
      <c r="O25" s="83"/>
      <c r="P25" s="83"/>
    </row>
    <row r="26" spans="1:38" ht="93" customHeight="1">
      <c r="A26" s="80" t="str">
        <f>'2 CONTEXTO E IDENTIFICACIÓN'!A26</f>
        <v>R18</v>
      </c>
      <c r="B26" s="81" t="str">
        <f>+'2 CONTEXTO E IDENTIFICACIÓN'!K26</f>
        <v xml:space="preserve">   </v>
      </c>
      <c r="C26" s="111" t="str">
        <f>+'5 VALORACIÓN DEL CONTROL'!T115</f>
        <v/>
      </c>
      <c r="D26" s="82">
        <f>+'5 VALORACIÓN DEL CONTROL'!U115</f>
        <v>0.6</v>
      </c>
      <c r="E26" s="112" t="str">
        <f t="shared" si="0"/>
        <v/>
      </c>
      <c r="F26" s="112" t="str">
        <f t="shared" si="1"/>
        <v>Moderado</v>
      </c>
      <c r="G26" s="81" t="str">
        <f t="shared" si="2"/>
        <v/>
      </c>
      <c r="H26" s="83"/>
      <c r="I26" s="83"/>
      <c r="J26" s="83"/>
      <c r="K26" s="83"/>
      <c r="L26" s="83"/>
      <c r="M26" s="83"/>
      <c r="N26" s="83"/>
      <c r="O26" s="83"/>
      <c r="P26" s="83"/>
    </row>
    <row r="27" spans="1:38" ht="93" customHeight="1">
      <c r="A27" s="80" t="str">
        <f>'2 CONTEXTO E IDENTIFICACIÓN'!A27</f>
        <v>R19</v>
      </c>
      <c r="B27" s="81" t="str">
        <f>+'2 CONTEXTO E IDENTIFICACIÓN'!K27</f>
        <v xml:space="preserve">   </v>
      </c>
      <c r="C27" s="111" t="str">
        <f>+'5 VALORACIÓN DEL CONTROL'!T121</f>
        <v/>
      </c>
      <c r="D27" s="82">
        <f>+'5 VALORACIÓN DEL CONTROL'!U121</f>
        <v>0.6</v>
      </c>
      <c r="E27" s="112" t="str">
        <f t="shared" si="0"/>
        <v/>
      </c>
      <c r="F27" s="112" t="str">
        <f t="shared" si="1"/>
        <v>Moderado</v>
      </c>
      <c r="G27" s="81" t="str">
        <f t="shared" si="2"/>
        <v/>
      </c>
      <c r="H27" s="83"/>
      <c r="I27" s="83"/>
      <c r="J27" s="83"/>
      <c r="K27" s="83"/>
      <c r="L27" s="83"/>
      <c r="M27" s="83"/>
      <c r="N27" s="83"/>
      <c r="O27" s="83"/>
      <c r="P27" s="83"/>
    </row>
    <row r="28" spans="1:38" ht="93" customHeight="1">
      <c r="A28" s="80" t="str">
        <f>'2 CONTEXTO E IDENTIFICACIÓN'!A28</f>
        <v>R20</v>
      </c>
      <c r="B28" s="81" t="str">
        <f>+'2 CONTEXTO E IDENTIFICACIÓN'!K28</f>
        <v xml:space="preserve">   </v>
      </c>
      <c r="C28" s="111" t="str">
        <f>+'5 VALORACIÓN DEL CONTROL'!T127</f>
        <v/>
      </c>
      <c r="D28" s="82">
        <f>+'5 VALORACIÓN DEL CONTROL'!U127</f>
        <v>0.6</v>
      </c>
      <c r="E28" s="112" t="str">
        <f t="shared" si="0"/>
        <v/>
      </c>
      <c r="F28" s="112" t="str">
        <f t="shared" si="1"/>
        <v>Moderado</v>
      </c>
      <c r="G28" s="81" t="str">
        <f t="shared" si="2"/>
        <v/>
      </c>
      <c r="H28" s="83"/>
      <c r="I28" s="83"/>
      <c r="J28" s="83"/>
      <c r="K28" s="83"/>
      <c r="L28" s="83"/>
      <c r="M28" s="83"/>
      <c r="N28" s="83"/>
      <c r="O28" s="83"/>
      <c r="P28" s="83"/>
    </row>
    <row r="29" spans="1:38" ht="14.55" customHeight="1">
      <c r="B29" s="63"/>
      <c r="D29" s="63"/>
      <c r="G29" s="63"/>
      <c r="H29" s="63"/>
      <c r="I29" s="63"/>
      <c r="J29" s="63"/>
      <c r="K29" s="63"/>
      <c r="L29" s="63"/>
      <c r="M29" s="63"/>
      <c r="N29" s="63"/>
      <c r="O29" s="63"/>
      <c r="P29" s="63"/>
      <c r="AA29" s="68"/>
      <c r="AB29" s="68"/>
      <c r="AC29" s="68"/>
      <c r="AD29" s="68"/>
      <c r="AE29" s="68"/>
      <c r="AF29" s="63"/>
      <c r="AG29" s="63"/>
      <c r="AH29" s="63"/>
      <c r="AI29" s="63"/>
      <c r="AJ29" s="63"/>
    </row>
    <row r="30" spans="1:38" ht="39" hidden="1" customHeight="1">
      <c r="B30" s="63"/>
      <c r="D30" s="63"/>
      <c r="G30" s="63"/>
      <c r="H30" s="63"/>
      <c r="I30" s="63"/>
      <c r="J30" s="63"/>
      <c r="K30" s="63"/>
      <c r="L30" s="63"/>
      <c r="M30" s="63"/>
      <c r="N30" s="63"/>
      <c r="O30" s="63"/>
      <c r="P30" s="63"/>
      <c r="AA30" s="68"/>
      <c r="AB30" s="68"/>
      <c r="AC30" s="68"/>
      <c r="AD30" s="68"/>
      <c r="AE30" s="68"/>
      <c r="AF30" s="63"/>
      <c r="AG30" s="63"/>
      <c r="AH30" s="63"/>
      <c r="AI30" s="63"/>
      <c r="AJ30" s="63"/>
    </row>
    <row r="31" spans="1:38" ht="19.5" hidden="1" customHeight="1">
      <c r="B31" s="63"/>
      <c r="D31" s="63"/>
      <c r="G31" s="63"/>
      <c r="H31" s="63"/>
      <c r="I31" s="63"/>
      <c r="J31" s="63"/>
      <c r="K31" s="63"/>
      <c r="L31" s="63"/>
      <c r="M31" s="63"/>
      <c r="N31" s="63"/>
      <c r="O31" s="63"/>
      <c r="P31" s="63"/>
      <c r="AA31" s="68"/>
      <c r="AB31" s="68"/>
      <c r="AC31" s="68"/>
      <c r="AD31" s="68"/>
      <c r="AE31" s="68"/>
      <c r="AF31" s="63"/>
      <c r="AG31" s="63"/>
      <c r="AH31" s="63"/>
      <c r="AI31" s="63"/>
      <c r="AJ31" s="63"/>
    </row>
    <row r="32" spans="1:38" ht="19.5" hidden="1" customHeight="1">
      <c r="B32" s="63"/>
      <c r="D32" s="63"/>
      <c r="G32" s="63"/>
      <c r="H32" s="63"/>
      <c r="I32" s="63"/>
      <c r="J32" s="63"/>
      <c r="K32" s="63"/>
      <c r="L32" s="63"/>
      <c r="M32" s="63"/>
      <c r="N32" s="63"/>
      <c r="O32" s="63"/>
      <c r="P32" s="63"/>
      <c r="AA32" s="68"/>
      <c r="AB32" s="68"/>
      <c r="AC32" s="68"/>
      <c r="AD32" s="68"/>
      <c r="AE32" s="68"/>
      <c r="AF32" s="63"/>
      <c r="AG32" s="63"/>
      <c r="AH32" s="63"/>
      <c r="AI32" s="63"/>
      <c r="AJ32" s="63"/>
    </row>
    <row r="33" spans="3:31" s="63" customFormat="1" ht="19.5" hidden="1" customHeight="1">
      <c r="C33" s="68"/>
      <c r="E33" s="113"/>
      <c r="F33" s="113"/>
      <c r="AA33" s="68"/>
      <c r="AB33" s="68"/>
      <c r="AC33" s="68"/>
      <c r="AD33" s="68"/>
      <c r="AE33" s="68"/>
    </row>
    <row r="34" spans="3:31" s="63" customFormat="1" ht="19.5" hidden="1" customHeight="1">
      <c r="C34" s="68"/>
      <c r="E34" s="113"/>
      <c r="F34" s="113"/>
      <c r="AA34" s="68"/>
      <c r="AB34" s="68"/>
      <c r="AC34" s="68"/>
      <c r="AD34" s="68"/>
      <c r="AE34" s="68"/>
    </row>
    <row r="35" spans="3:31" s="63" customFormat="1" ht="19.5" hidden="1" customHeight="1">
      <c r="C35" s="68"/>
      <c r="E35" s="113"/>
      <c r="F35" s="113"/>
      <c r="AA35" s="68"/>
      <c r="AB35" s="68"/>
      <c r="AC35" s="68"/>
      <c r="AD35" s="68"/>
      <c r="AE35" s="68"/>
    </row>
  </sheetData>
  <sheetProtection sheet="1" objects="1" scenarios="1"/>
  <dataConsolidate/>
  <mergeCells count="11">
    <mergeCell ref="A1:A2"/>
    <mergeCell ref="B1:B2"/>
    <mergeCell ref="I6:O6"/>
    <mergeCell ref="B4:D4"/>
    <mergeCell ref="B5:D5"/>
    <mergeCell ref="C1:D1"/>
    <mergeCell ref="T6:X6"/>
    <mergeCell ref="E7:G7"/>
    <mergeCell ref="K7:O7"/>
    <mergeCell ref="I9:I13"/>
    <mergeCell ref="Q9:Q13"/>
  </mergeCells>
  <conditionalFormatting sqref="D9:E28">
    <cfRule type="cellIs" dxfId="59" priority="1" operator="equal">
      <formula>$S$13</formula>
    </cfRule>
    <cfRule type="cellIs" dxfId="58" priority="2" operator="equal">
      <formula>$S$12</formula>
    </cfRule>
    <cfRule type="cellIs" dxfId="57" priority="3" operator="equal">
      <formula>$S$11</formula>
    </cfRule>
    <cfRule type="cellIs" dxfId="56" priority="4" operator="equal">
      <formula>$S$10</formula>
    </cfRule>
    <cfRule type="cellIs" dxfId="55" priority="5" operator="equal">
      <formula>$S$9</formula>
    </cfRule>
  </conditionalFormatting>
  <conditionalFormatting sqref="F9:F28">
    <cfRule type="cellIs" dxfId="54" priority="6" operator="equal">
      <formula>$T$8</formula>
    </cfRule>
    <cfRule type="cellIs" dxfId="53" priority="7" operator="equal">
      <formula>$U$8</formula>
    </cfRule>
    <cfRule type="cellIs" dxfId="52" priority="8" operator="equal">
      <formula>$V$8</formula>
    </cfRule>
    <cfRule type="cellIs" dxfId="51" priority="9" operator="equal">
      <formula>$W$8</formula>
    </cfRule>
    <cfRule type="cellIs" dxfId="50" priority="10" operator="equal">
      <formula>$X$8</formula>
    </cfRule>
  </conditionalFormatting>
  <conditionalFormatting sqref="G9:G28">
    <cfRule type="cellIs" dxfId="49" priority="16" operator="equal">
      <formula>$T$16</formula>
    </cfRule>
    <cfRule type="cellIs" dxfId="48" priority="17" operator="equal">
      <formula>$T$17</formula>
    </cfRule>
    <cfRule type="cellIs" dxfId="47" priority="18" operator="equal">
      <formula>$T$18</formula>
    </cfRule>
    <cfRule type="cellIs" dxfId="46" priority="19" operator="equal">
      <formula>$T$19</formula>
    </cfRule>
  </conditionalFormatting>
  <dataValidations disablePrompts="1" count="3">
    <dataValidation allowBlank="1" showInputMessage="1" showErrorMessage="1" prompt="Es la materialización del riesgo y las consecuencias de su aparición. Su escala es: 5 bajo impacto, 10 medio, 20 alto impacto._x000a_" sqref="JD8:JJ8"/>
    <dataValidation allowBlank="1" showInputMessage="1" showErrorMessage="1" prompt="La probabilidad se encuentra determinada por una escala de 1 a 3, siendo 1 la menor probabilidad de ocurrencia del riesgo y 3 la mayor probabilidad de  ocurrencia." sqref="JC8"/>
    <dataValidation type="list" allowBlank="1" showInputMessage="1" showErrorMessage="1" sqref="JD9:JJ16">
      <formula1>#REF!</formula1>
    </dataValidation>
  </dataValidations>
  <printOptions horizontalCentered="1" verticalCentered="1"/>
  <pageMargins left="0.31496062992125984" right="0.27559055118110237" top="0.23622047244094491" bottom="0.15748031496062992" header="0" footer="0"/>
  <pageSetup paperSize="5" scale="65" orientation="landscape" r:id="rId1"/>
  <headerFooter alignWithMargins="0"/>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H72"/>
  <sheetViews>
    <sheetView showGridLines="0" tabSelected="1" zoomScale="95" zoomScaleNormal="95" workbookViewId="0">
      <pane xSplit="1" ySplit="9" topLeftCell="B10" activePane="bottomRight" state="frozen"/>
      <selection pane="topRight" activeCell="B1" sqref="B1"/>
      <selection pane="bottomLeft" activeCell="A7" sqref="A7"/>
      <selection pane="bottomRight" activeCell="A10" sqref="A10:A14"/>
    </sheetView>
  </sheetViews>
  <sheetFormatPr baseColWidth="10" defaultColWidth="0" defaultRowHeight="13.2" zeroHeight="1"/>
  <cols>
    <col min="1" max="1" width="11.44140625" style="63" customWidth="1"/>
    <col min="2" max="2" width="9.109375" style="68" bestFit="1" customWidth="1"/>
    <col min="3" max="4" width="15.44140625" style="68" customWidth="1"/>
    <col min="5" max="6" width="15.44140625" style="113" customWidth="1"/>
    <col min="7" max="7" width="15.44140625" style="68" customWidth="1"/>
    <col min="8" max="8" width="3.77734375" style="68" customWidth="1"/>
    <col min="9" max="9" width="7.44140625" style="68" customWidth="1"/>
    <col min="10" max="10" width="14" style="68" customWidth="1"/>
    <col min="11" max="15" width="12.44140625" style="68" customWidth="1"/>
    <col min="16" max="16" width="3.77734375" style="68" customWidth="1"/>
    <col min="17" max="17" width="4.77734375" style="63" hidden="1" customWidth="1"/>
    <col min="18" max="18" width="6.109375" style="63" hidden="1" customWidth="1"/>
    <col min="19" max="24" width="14" style="63" hidden="1" customWidth="1"/>
    <col min="25" max="29" width="11.44140625" style="63" customWidth="1"/>
    <col min="30" max="30" width="5.44140625" style="63" bestFit="1" customWidth="1"/>
    <col min="31" max="31" width="26.77734375" style="63" customWidth="1"/>
    <col min="32" max="32" width="22.77734375" style="68" customWidth="1"/>
    <col min="33" max="36" width="22.77734375" style="68" hidden="1" customWidth="1"/>
    <col min="37" max="37" width="23.44140625" style="63" hidden="1" customWidth="1"/>
    <col min="38" max="265" width="11.44140625" style="63" hidden="1" customWidth="1"/>
    <col min="266" max="266" width="12.44140625" style="63" hidden="1" customWidth="1"/>
    <col min="267" max="267" width="47" style="63" hidden="1" customWidth="1"/>
    <col min="268" max="268" width="35" style="63" hidden="1" customWidth="1"/>
    <col min="269" max="16384" width="14.44140625" style="63" hidden="1"/>
  </cols>
  <sheetData>
    <row r="1" spans="1:38" s="51" customFormat="1" ht="36" customHeight="1">
      <c r="A1" s="653"/>
      <c r="B1" s="659" t="str">
        <f>+'2 CONTEXTO E IDENTIFICACIÓN'!A1</f>
        <v>MAPA DE RIESGOS</v>
      </c>
      <c r="C1" s="659"/>
      <c r="D1" s="659"/>
      <c r="E1" s="649"/>
      <c r="F1" s="650"/>
      <c r="J1" s="204" t="str">
        <f>+'2 CONTEXTO E IDENTIFICACIÓN'!$J$4</f>
        <v>Elaboración o Actualización:</v>
      </c>
      <c r="K1" s="215">
        <f>'2 CONTEXTO E IDENTIFICACIÓN'!K4</f>
        <v>45991</v>
      </c>
      <c r="L1" s="11"/>
      <c r="M1" s="11"/>
      <c r="AF1" s="52"/>
      <c r="AG1" s="52"/>
      <c r="AH1" s="52"/>
      <c r="AI1" s="52"/>
      <c r="AJ1" s="52"/>
    </row>
    <row r="2" spans="1:38" s="51" customFormat="1" ht="36" customHeight="1">
      <c r="A2" s="653"/>
      <c r="B2" s="659"/>
      <c r="C2" s="659"/>
      <c r="D2" s="659"/>
      <c r="E2" s="37" t="str">
        <f>+'2 CONTEXTO E IDENTIFICACIÓN'!A2</f>
        <v>VERSIÓN:</v>
      </c>
      <c r="F2" s="107">
        <f>'2 CONTEXTO E IDENTIFICACIÓN'!B2</f>
        <v>1</v>
      </c>
      <c r="G2" s="53"/>
      <c r="H2" s="53"/>
      <c r="J2" s="207" t="str">
        <f>+'2 CONTEXTO E IDENTIFICACIÓN'!$E$5</f>
        <v xml:space="preserve">Vigencia: </v>
      </c>
      <c r="K2" s="205">
        <f>'2 CONTEXTO E IDENTIFICACIÓN'!H5</f>
        <v>46023</v>
      </c>
      <c r="L2" s="206" t="s">
        <v>99</v>
      </c>
      <c r="M2" s="203">
        <f>'2 CONTEXTO E IDENTIFICACIÓN'!K5</f>
        <v>46387</v>
      </c>
      <c r="N2" s="54"/>
      <c r="O2" s="54"/>
      <c r="P2" s="53"/>
      <c r="AF2" s="52"/>
      <c r="AG2" s="52"/>
      <c r="AH2" s="52"/>
      <c r="AI2" s="52"/>
      <c r="AJ2" s="52"/>
    </row>
    <row r="3" spans="1:38" s="51" customFormat="1">
      <c r="A3" s="55"/>
      <c r="B3" s="53"/>
      <c r="C3" s="53"/>
      <c r="D3" s="53"/>
      <c r="E3" s="208"/>
      <c r="F3" s="208"/>
      <c r="G3" s="53"/>
      <c r="H3" s="53"/>
      <c r="N3" s="54"/>
      <c r="O3" s="54"/>
      <c r="P3" s="53"/>
      <c r="AF3" s="52"/>
      <c r="AG3" s="52"/>
      <c r="AH3" s="52"/>
      <c r="AI3" s="52"/>
      <c r="AJ3" s="52"/>
    </row>
    <row r="4" spans="1:38" s="51" customFormat="1" ht="17.55" customHeight="1">
      <c r="A4" s="10" t="s">
        <v>95</v>
      </c>
      <c r="B4" s="666">
        <f>'2 CONTEXTO E IDENTIFICACIÓN'!B4</f>
        <v>0</v>
      </c>
      <c r="C4" s="666"/>
      <c r="D4" s="666"/>
      <c r="E4" s="50"/>
      <c r="F4" s="208"/>
      <c r="G4" s="53"/>
      <c r="H4" s="53"/>
      <c r="I4" s="209"/>
      <c r="J4" s="209"/>
      <c r="K4" s="210"/>
      <c r="L4" s="210"/>
      <c r="M4" s="210"/>
      <c r="N4" s="54"/>
      <c r="O4" s="54"/>
      <c r="P4" s="53"/>
      <c r="AF4" s="52"/>
      <c r="AG4" s="52"/>
      <c r="AH4" s="52"/>
      <c r="AI4" s="52"/>
      <c r="AJ4" s="52"/>
    </row>
    <row r="5" spans="1:38" s="51" customFormat="1" ht="33" customHeight="1">
      <c r="A5" s="10" t="s">
        <v>96</v>
      </c>
      <c r="B5" s="666">
        <f>'2 CONTEXTO E IDENTIFICACIÓN'!F4</f>
        <v>0</v>
      </c>
      <c r="C5" s="667"/>
      <c r="D5" s="667"/>
      <c r="E5" s="50"/>
      <c r="F5" s="208"/>
      <c r="G5" s="53"/>
      <c r="H5" s="53"/>
      <c r="I5" s="209"/>
      <c r="J5" s="209"/>
      <c r="K5" s="210"/>
      <c r="L5" s="210"/>
      <c r="M5" s="210"/>
      <c r="N5" s="54"/>
      <c r="O5" s="54"/>
      <c r="P5" s="53"/>
      <c r="AF5" s="52"/>
      <c r="AG5" s="52"/>
      <c r="AH5" s="52"/>
      <c r="AI5" s="52"/>
      <c r="AJ5" s="52"/>
    </row>
    <row r="6" spans="1:38" s="51" customFormat="1" ht="14.4" thickBot="1">
      <c r="D6" s="50"/>
      <c r="E6" s="50"/>
      <c r="F6" s="109"/>
      <c r="AF6" s="52"/>
      <c r="AG6" s="52"/>
      <c r="AH6" s="52"/>
      <c r="AI6" s="52"/>
      <c r="AJ6" s="52"/>
    </row>
    <row r="7" spans="1:38" s="51" customFormat="1" ht="13.8" thickBot="1">
      <c r="A7" s="721" t="s">
        <v>306</v>
      </c>
      <c r="B7" s="722"/>
      <c r="C7" s="722"/>
      <c r="D7" s="722"/>
      <c r="E7" s="722"/>
      <c r="F7" s="722"/>
      <c r="G7" s="723"/>
      <c r="I7" s="721" t="s">
        <v>332</v>
      </c>
      <c r="J7" s="722"/>
      <c r="K7" s="722"/>
      <c r="L7" s="722"/>
      <c r="M7" s="722"/>
      <c r="N7" s="722"/>
      <c r="O7" s="723"/>
      <c r="R7" s="56"/>
      <c r="S7" s="57"/>
      <c r="T7" s="651" t="s">
        <v>174</v>
      </c>
      <c r="U7" s="651"/>
      <c r="V7" s="651"/>
      <c r="W7" s="651"/>
      <c r="X7" s="652"/>
      <c r="AF7" s="52"/>
      <c r="AG7" s="52"/>
      <c r="AH7" s="52"/>
      <c r="AI7" s="52"/>
      <c r="AJ7" s="52"/>
    </row>
    <row r="8" spans="1:38">
      <c r="A8" s="61"/>
      <c r="B8" s="62"/>
      <c r="C8" s="651" t="s">
        <v>174</v>
      </c>
      <c r="D8" s="651"/>
      <c r="E8" s="651"/>
      <c r="F8" s="651"/>
      <c r="G8" s="652"/>
      <c r="H8" s="60"/>
      <c r="I8" s="61"/>
      <c r="J8" s="62"/>
      <c r="K8" s="651" t="s">
        <v>174</v>
      </c>
      <c r="L8" s="651"/>
      <c r="M8" s="651"/>
      <c r="N8" s="651"/>
      <c r="O8" s="652"/>
      <c r="P8" s="60"/>
      <c r="R8" s="64"/>
      <c r="T8" s="65">
        <v>0.2</v>
      </c>
      <c r="U8" s="65">
        <v>0.4</v>
      </c>
      <c r="V8" s="65">
        <v>0.6</v>
      </c>
      <c r="W8" s="65">
        <v>0.8</v>
      </c>
      <c r="X8" s="66">
        <v>1</v>
      </c>
      <c r="Y8" s="67"/>
      <c r="Z8" s="67"/>
      <c r="AA8" s="67"/>
      <c r="AB8" s="67"/>
      <c r="AC8" s="67"/>
      <c r="AD8" s="67"/>
      <c r="AE8" s="67"/>
    </row>
    <row r="9" spans="1:38">
      <c r="A9" s="64"/>
      <c r="B9" s="73"/>
      <c r="C9" s="74" t="s">
        <v>284</v>
      </c>
      <c r="D9" s="74" t="s">
        <v>288</v>
      </c>
      <c r="E9" s="74" t="s">
        <v>292</v>
      </c>
      <c r="F9" s="74" t="s">
        <v>297</v>
      </c>
      <c r="G9" s="75" t="s">
        <v>302</v>
      </c>
      <c r="H9" s="60"/>
      <c r="I9" s="64"/>
      <c r="J9" s="73"/>
      <c r="K9" s="74" t="s">
        <v>284</v>
      </c>
      <c r="L9" s="74" t="s">
        <v>288</v>
      </c>
      <c r="M9" s="74" t="s">
        <v>292</v>
      </c>
      <c r="N9" s="74" t="s">
        <v>297</v>
      </c>
      <c r="O9" s="75" t="s">
        <v>302</v>
      </c>
      <c r="P9" s="60"/>
      <c r="R9" s="64"/>
      <c r="S9" s="76"/>
      <c r="T9" s="77" t="s">
        <v>284</v>
      </c>
      <c r="U9" s="77" t="s">
        <v>288</v>
      </c>
      <c r="V9" s="77" t="s">
        <v>292</v>
      </c>
      <c r="W9" s="77" t="s">
        <v>297</v>
      </c>
      <c r="X9" s="78" t="s">
        <v>302</v>
      </c>
      <c r="AA9" s="67"/>
      <c r="AB9" s="67"/>
      <c r="AC9" s="79"/>
      <c r="AD9" s="79"/>
      <c r="AE9" s="79"/>
      <c r="AF9" s="79"/>
      <c r="AG9" s="79"/>
      <c r="AH9" s="79"/>
      <c r="AI9" s="79"/>
      <c r="AJ9" s="79"/>
      <c r="AK9" s="79"/>
      <c r="AL9" s="79"/>
    </row>
    <row r="10" spans="1:38" ht="55.5" customHeight="1">
      <c r="A10" s="657" t="s">
        <v>155</v>
      </c>
      <c r="B10" s="74" t="s">
        <v>300</v>
      </c>
      <c r="C10" s="84" t="str">
        <f>+'4 MAPA CALOR INHERENTE'!I9</f>
        <v xml:space="preserve">                   </v>
      </c>
      <c r="D10" s="84" t="str">
        <f>+'4 MAPA CALOR INHERENTE'!J9</f>
        <v xml:space="preserve">                   </v>
      </c>
      <c r="E10" s="84" t="str">
        <f>+'4 MAPA CALOR INHERENTE'!K9</f>
        <v xml:space="preserve">                   </v>
      </c>
      <c r="F10" s="84" t="str">
        <f>+'4 MAPA CALOR INHERENTE'!L9</f>
        <v xml:space="preserve">                   </v>
      </c>
      <c r="G10" s="85" t="str">
        <f>+'4 MAPA CALOR INHERENTE'!M9</f>
        <v xml:space="preserve">                   </v>
      </c>
      <c r="H10" s="83"/>
      <c r="I10" s="657" t="s">
        <v>155</v>
      </c>
      <c r="J10" s="74" t="s">
        <v>300</v>
      </c>
      <c r="K10" s="84" t="str">
        <f>+'6 MAPA CALOR RESIDUAL'!K9</f>
        <v xml:space="preserve">                   </v>
      </c>
      <c r="L10" s="84" t="str">
        <f>+'6 MAPA CALOR RESIDUAL'!L9</f>
        <v xml:space="preserve">                   </v>
      </c>
      <c r="M10" s="84" t="str">
        <f>+'6 MAPA CALOR RESIDUAL'!M9</f>
        <v xml:space="preserve">                   </v>
      </c>
      <c r="N10" s="84" t="str">
        <f>+'6 MAPA CALOR RESIDUAL'!N9</f>
        <v xml:space="preserve">                   </v>
      </c>
      <c r="O10" s="85" t="str">
        <f>+'6 MAPA CALOR RESIDUAL'!O9</f>
        <v xml:space="preserve">                   </v>
      </c>
      <c r="P10" s="83"/>
      <c r="Q10" s="720" t="s">
        <v>155</v>
      </c>
      <c r="R10" s="86">
        <v>1</v>
      </c>
      <c r="S10" s="77" t="s">
        <v>300</v>
      </c>
      <c r="T10" s="84" t="s">
        <v>310</v>
      </c>
      <c r="U10" s="84" t="s">
        <v>310</v>
      </c>
      <c r="V10" s="84" t="s">
        <v>310</v>
      </c>
      <c r="W10" s="84" t="s">
        <v>310</v>
      </c>
      <c r="X10" s="85" t="s">
        <v>311</v>
      </c>
      <c r="AA10" s="67"/>
      <c r="AB10" s="67"/>
      <c r="AC10" s="79"/>
      <c r="AD10" s="79"/>
      <c r="AE10" s="79"/>
      <c r="AF10" s="87"/>
      <c r="AG10" s="87"/>
      <c r="AH10" s="87"/>
      <c r="AI10" s="87"/>
      <c r="AJ10" s="87"/>
      <c r="AK10" s="79"/>
      <c r="AL10" s="79"/>
    </row>
    <row r="11" spans="1:38" ht="55.5" customHeight="1">
      <c r="A11" s="657"/>
      <c r="B11" s="74" t="s">
        <v>295</v>
      </c>
      <c r="C11" s="88" t="str">
        <f>+'4 MAPA CALOR INHERENTE'!I10</f>
        <v xml:space="preserve">                   </v>
      </c>
      <c r="D11" s="88" t="str">
        <f>+'4 MAPA CALOR INHERENTE'!J10</f>
        <v xml:space="preserve">R1   R4                </v>
      </c>
      <c r="E11" s="84" t="str">
        <f>+'4 MAPA CALOR INHERENTE'!K10</f>
        <v xml:space="preserve">                   </v>
      </c>
      <c r="F11" s="84" t="str">
        <f>+'4 MAPA CALOR INHERENTE'!L10</f>
        <v xml:space="preserve"> R2 R3                 </v>
      </c>
      <c r="G11" s="85" t="str">
        <f>+'4 MAPA CALOR INHERENTE'!M10</f>
        <v xml:space="preserve">                   </v>
      </c>
      <c r="H11" s="83"/>
      <c r="I11" s="657"/>
      <c r="J11" s="74" t="s">
        <v>295</v>
      </c>
      <c r="K11" s="88" t="str">
        <f>+'6 MAPA CALOR RESIDUAL'!K10</f>
        <v xml:space="preserve">                   </v>
      </c>
      <c r="L11" s="88" t="str">
        <f>+'6 MAPA CALOR RESIDUAL'!L10</f>
        <v xml:space="preserve">                   </v>
      </c>
      <c r="M11" s="84" t="str">
        <f>+'6 MAPA CALOR RESIDUAL'!M10</f>
        <v xml:space="preserve">                   </v>
      </c>
      <c r="N11" s="84" t="str">
        <f>+'6 MAPA CALOR RESIDUAL'!N10</f>
        <v xml:space="preserve">                   </v>
      </c>
      <c r="O11" s="85" t="str">
        <f>+'6 MAPA CALOR RESIDUAL'!O10</f>
        <v xml:space="preserve">                   </v>
      </c>
      <c r="P11" s="83"/>
      <c r="Q11" s="720"/>
      <c r="R11" s="86">
        <v>0.8</v>
      </c>
      <c r="S11" s="77" t="s">
        <v>295</v>
      </c>
      <c r="T11" s="88" t="s">
        <v>292</v>
      </c>
      <c r="U11" s="88" t="s">
        <v>292</v>
      </c>
      <c r="V11" s="84" t="s">
        <v>310</v>
      </c>
      <c r="W11" s="84" t="s">
        <v>310</v>
      </c>
      <c r="X11" s="85" t="s">
        <v>311</v>
      </c>
      <c r="AA11" s="67"/>
      <c r="AB11" s="67"/>
      <c r="AC11" s="79"/>
      <c r="AD11" s="89"/>
      <c r="AE11" s="90"/>
      <c r="AF11" s="87"/>
      <c r="AG11" s="87"/>
      <c r="AH11" s="87"/>
      <c r="AI11" s="87"/>
      <c r="AJ11" s="87"/>
      <c r="AK11" s="79"/>
      <c r="AL11" s="79"/>
    </row>
    <row r="12" spans="1:38" ht="55.5" customHeight="1">
      <c r="A12" s="657"/>
      <c r="B12" s="74" t="s">
        <v>290</v>
      </c>
      <c r="C12" s="88" t="str">
        <f>+'4 MAPA CALOR INHERENTE'!I11</f>
        <v xml:space="preserve">                   </v>
      </c>
      <c r="D12" s="88" t="str">
        <f>+'4 MAPA CALOR INHERENTE'!J11</f>
        <v xml:space="preserve">                   </v>
      </c>
      <c r="E12" s="88" t="str">
        <f>+'4 MAPA CALOR INHERENTE'!K11</f>
        <v xml:space="preserve">    R5               </v>
      </c>
      <c r="F12" s="84" t="str">
        <f>+'4 MAPA CALOR INHERENTE'!L11</f>
        <v xml:space="preserve">                   </v>
      </c>
      <c r="G12" s="85" t="str">
        <f>+'4 MAPA CALOR INHERENTE'!M11</f>
        <v xml:space="preserve">                   </v>
      </c>
      <c r="H12" s="83"/>
      <c r="I12" s="657"/>
      <c r="J12" s="74" t="s">
        <v>290</v>
      </c>
      <c r="K12" s="88" t="str">
        <f>+'6 MAPA CALOR RESIDUAL'!K11</f>
        <v xml:space="preserve">                   </v>
      </c>
      <c r="L12" s="88" t="str">
        <f>+'6 MAPA CALOR RESIDUAL'!L11</f>
        <v xml:space="preserve">                   </v>
      </c>
      <c r="M12" s="88" t="str">
        <f>+'6 MAPA CALOR RESIDUAL'!M11</f>
        <v xml:space="preserve">                   </v>
      </c>
      <c r="N12" s="84" t="str">
        <f>+'6 MAPA CALOR RESIDUAL'!N11</f>
        <v xml:space="preserve">                   </v>
      </c>
      <c r="O12" s="85" t="str">
        <f>+'6 MAPA CALOR RESIDUAL'!O11</f>
        <v xml:space="preserve">                   </v>
      </c>
      <c r="P12" s="83"/>
      <c r="Q12" s="720"/>
      <c r="R12" s="86">
        <v>0.6</v>
      </c>
      <c r="S12" s="77" t="s">
        <v>290</v>
      </c>
      <c r="T12" s="88" t="s">
        <v>292</v>
      </c>
      <c r="U12" s="88" t="s">
        <v>292</v>
      </c>
      <c r="V12" s="88" t="s">
        <v>292</v>
      </c>
      <c r="W12" s="84" t="s">
        <v>310</v>
      </c>
      <c r="X12" s="85" t="s">
        <v>311</v>
      </c>
      <c r="AA12" s="67"/>
      <c r="AB12" s="67"/>
      <c r="AC12" s="79"/>
      <c r="AD12" s="89"/>
      <c r="AE12" s="90"/>
      <c r="AF12" s="87"/>
      <c r="AG12" s="87"/>
      <c r="AH12" s="87"/>
      <c r="AI12" s="87"/>
      <c r="AJ12" s="91"/>
      <c r="AK12" s="79"/>
      <c r="AL12" s="79"/>
    </row>
    <row r="13" spans="1:38" ht="55.5" customHeight="1">
      <c r="A13" s="657"/>
      <c r="B13" s="74" t="s">
        <v>286</v>
      </c>
      <c r="C13" s="92" t="str">
        <f>+'4 MAPA CALOR INHERENTE'!I12</f>
        <v xml:space="preserve">                   </v>
      </c>
      <c r="D13" s="88" t="str">
        <f>+'4 MAPA CALOR INHERENTE'!J12</f>
        <v xml:space="preserve">                   </v>
      </c>
      <c r="E13" s="88" t="str">
        <f>+'4 MAPA CALOR INHERENTE'!K12</f>
        <v xml:space="preserve">                   </v>
      </c>
      <c r="F13" s="84" t="str">
        <f>+'4 MAPA CALOR INHERENTE'!L12</f>
        <v xml:space="preserve">                   </v>
      </c>
      <c r="G13" s="85" t="str">
        <f>+'4 MAPA CALOR INHERENTE'!M12</f>
        <v xml:space="preserve">                   </v>
      </c>
      <c r="H13" s="83"/>
      <c r="I13" s="657"/>
      <c r="J13" s="74" t="s">
        <v>286</v>
      </c>
      <c r="K13" s="92" t="str">
        <f>+'6 MAPA CALOR RESIDUAL'!K12</f>
        <v xml:space="preserve">                   </v>
      </c>
      <c r="L13" s="88" t="str">
        <f>+'6 MAPA CALOR RESIDUAL'!L12</f>
        <v xml:space="preserve">R1   R4                </v>
      </c>
      <c r="M13" s="88" t="str">
        <f>+'6 MAPA CALOR RESIDUAL'!M12</f>
        <v xml:space="preserve">  R3  R5               </v>
      </c>
      <c r="N13" s="84" t="str">
        <f>+'6 MAPA CALOR RESIDUAL'!N12</f>
        <v xml:space="preserve"> R2                  </v>
      </c>
      <c r="O13" s="85" t="str">
        <f>+'6 MAPA CALOR RESIDUAL'!O12</f>
        <v xml:space="preserve">                   </v>
      </c>
      <c r="P13" s="83"/>
      <c r="Q13" s="720"/>
      <c r="R13" s="86">
        <v>0.4</v>
      </c>
      <c r="S13" s="77" t="s">
        <v>286</v>
      </c>
      <c r="T13" s="92" t="s">
        <v>312</v>
      </c>
      <c r="U13" s="88" t="s">
        <v>292</v>
      </c>
      <c r="V13" s="88" t="s">
        <v>292</v>
      </c>
      <c r="W13" s="84" t="s">
        <v>310</v>
      </c>
      <c r="X13" s="85" t="s">
        <v>311</v>
      </c>
      <c r="AA13" s="67"/>
      <c r="AB13" s="67"/>
      <c r="AC13" s="79"/>
      <c r="AD13" s="89"/>
      <c r="AE13" s="90"/>
      <c r="AF13" s="87"/>
      <c r="AG13" s="87"/>
      <c r="AH13" s="87"/>
      <c r="AI13" s="91"/>
      <c r="AJ13" s="87"/>
      <c r="AK13" s="79"/>
      <c r="AL13" s="79"/>
    </row>
    <row r="14" spans="1:38" ht="55.5" customHeight="1" thickBot="1">
      <c r="A14" s="658"/>
      <c r="B14" s="93" t="s">
        <v>282</v>
      </c>
      <c r="C14" s="94" t="str">
        <f>+'4 MAPA CALOR INHERENTE'!I13</f>
        <v xml:space="preserve">                   </v>
      </c>
      <c r="D14" s="94" t="str">
        <f>+'4 MAPA CALOR INHERENTE'!J13</f>
        <v xml:space="preserve">                   </v>
      </c>
      <c r="E14" s="95" t="str">
        <f>+'4 MAPA CALOR INHERENTE'!K13</f>
        <v xml:space="preserve">                   </v>
      </c>
      <c r="F14" s="96" t="str">
        <f>+'4 MAPA CALOR INHERENTE'!L13</f>
        <v xml:space="preserve">                   </v>
      </c>
      <c r="G14" s="97" t="str">
        <f>+'4 MAPA CALOR INHERENTE'!M13</f>
        <v xml:space="preserve">                   </v>
      </c>
      <c r="H14" s="83"/>
      <c r="I14" s="658"/>
      <c r="J14" s="93" t="s">
        <v>282</v>
      </c>
      <c r="K14" s="94" t="str">
        <f>+'6 MAPA CALOR RESIDUAL'!K13</f>
        <v xml:space="preserve">                   </v>
      </c>
      <c r="L14" s="94" t="str">
        <f>+'6 MAPA CALOR RESIDUAL'!L13</f>
        <v xml:space="preserve">                   </v>
      </c>
      <c r="M14" s="95" t="str">
        <f>+'6 MAPA CALOR RESIDUAL'!M13</f>
        <v xml:space="preserve">                   </v>
      </c>
      <c r="N14" s="96" t="str">
        <f>+'6 MAPA CALOR RESIDUAL'!N13</f>
        <v xml:space="preserve">                   </v>
      </c>
      <c r="O14" s="97" t="str">
        <f>+'6 MAPA CALOR RESIDUAL'!O13</f>
        <v xml:space="preserve">                   </v>
      </c>
      <c r="P14" s="83"/>
      <c r="Q14" s="720"/>
      <c r="R14" s="98">
        <v>0.2</v>
      </c>
      <c r="S14" s="99" t="s">
        <v>282</v>
      </c>
      <c r="T14" s="94" t="s">
        <v>312</v>
      </c>
      <c r="U14" s="94" t="s">
        <v>312</v>
      </c>
      <c r="V14" s="95" t="s">
        <v>292</v>
      </c>
      <c r="W14" s="96" t="s">
        <v>310</v>
      </c>
      <c r="X14" s="97" t="s">
        <v>311</v>
      </c>
      <c r="AA14" s="67"/>
      <c r="AB14" s="67"/>
      <c r="AC14" s="79"/>
      <c r="AD14" s="89"/>
      <c r="AE14" s="90"/>
      <c r="AF14" s="87"/>
      <c r="AG14" s="87"/>
      <c r="AH14" s="87"/>
      <c r="AI14" s="100"/>
      <c r="AJ14" s="87"/>
      <c r="AK14" s="79"/>
      <c r="AL14" s="79"/>
    </row>
    <row r="15" spans="1:38">
      <c r="A15" s="68"/>
      <c r="B15" s="83"/>
      <c r="C15" s="177"/>
      <c r="D15" s="178"/>
      <c r="E15" s="179"/>
      <c r="F15" s="179"/>
      <c r="G15" s="83"/>
      <c r="H15" s="83"/>
      <c r="I15" s="83"/>
      <c r="J15" s="83"/>
      <c r="K15" s="83"/>
      <c r="L15" s="83"/>
      <c r="M15" s="83"/>
      <c r="N15" s="83"/>
      <c r="O15" s="83"/>
      <c r="P15" s="83"/>
      <c r="AA15" s="67"/>
      <c r="AB15" s="67"/>
      <c r="AC15" s="79"/>
      <c r="AD15" s="89"/>
      <c r="AE15" s="90"/>
      <c r="AF15" s="87"/>
      <c r="AG15" s="87"/>
      <c r="AH15" s="87"/>
      <c r="AI15" s="87"/>
      <c r="AJ15" s="87"/>
      <c r="AK15" s="79"/>
      <c r="AL15" s="79"/>
    </row>
    <row r="16" spans="1:38" ht="26.4">
      <c r="A16" s="68"/>
      <c r="B16" s="83"/>
      <c r="C16" s="177"/>
      <c r="D16" s="178"/>
      <c r="E16" s="179"/>
      <c r="F16" s="179"/>
      <c r="G16" s="83"/>
      <c r="H16" s="83"/>
      <c r="I16" s="83"/>
      <c r="J16" s="83"/>
      <c r="K16" s="83"/>
      <c r="L16" s="83"/>
      <c r="M16" s="83"/>
      <c r="N16" s="83"/>
      <c r="O16" s="83"/>
      <c r="P16" s="83"/>
      <c r="T16" s="71" t="s">
        <v>313</v>
      </c>
      <c r="V16" s="67"/>
      <c r="W16" s="67"/>
      <c r="X16" s="67"/>
      <c r="Y16" s="67"/>
      <c r="Z16" s="67"/>
      <c r="AA16" s="67"/>
      <c r="AB16" s="67"/>
      <c r="AC16" s="79"/>
      <c r="AD16" s="89"/>
      <c r="AE16" s="79"/>
      <c r="AF16" s="90"/>
      <c r="AG16" s="90"/>
      <c r="AH16" s="90"/>
      <c r="AI16" s="90"/>
      <c r="AJ16" s="90"/>
      <c r="AK16" s="79"/>
      <c r="AL16" s="79"/>
    </row>
    <row r="17" spans="1:38">
      <c r="A17" s="68"/>
      <c r="B17" s="83"/>
      <c r="C17" s="177"/>
      <c r="D17" s="178"/>
      <c r="E17" s="179"/>
      <c r="F17" s="179"/>
      <c r="G17" s="83"/>
      <c r="H17" s="83"/>
      <c r="I17" s="83"/>
      <c r="J17" s="83"/>
      <c r="K17" s="83"/>
      <c r="L17" s="83"/>
      <c r="M17" s="83"/>
      <c r="N17" s="83"/>
      <c r="O17" s="83"/>
      <c r="P17" s="83"/>
      <c r="T17" s="101" t="s">
        <v>311</v>
      </c>
      <c r="V17" s="67"/>
      <c r="W17" s="67"/>
      <c r="X17" s="67"/>
      <c r="Y17" s="67"/>
      <c r="Z17" s="67"/>
      <c r="AA17" s="67"/>
      <c r="AB17" s="67"/>
      <c r="AC17" s="79"/>
      <c r="AD17" s="79"/>
      <c r="AE17" s="79"/>
      <c r="AF17" s="87"/>
      <c r="AG17" s="87"/>
      <c r="AH17" s="87"/>
      <c r="AI17" s="87"/>
      <c r="AJ17" s="87"/>
      <c r="AK17" s="79"/>
      <c r="AL17" s="79"/>
    </row>
    <row r="18" spans="1:38">
      <c r="A18" s="68"/>
      <c r="B18" s="83"/>
      <c r="C18" s="177"/>
      <c r="D18" s="178"/>
      <c r="E18" s="179"/>
      <c r="F18" s="179"/>
      <c r="G18" s="83"/>
      <c r="H18" s="83"/>
      <c r="I18" s="83"/>
      <c r="J18" s="83"/>
      <c r="K18" s="83"/>
      <c r="L18" s="83"/>
      <c r="M18" s="83"/>
      <c r="N18" s="83"/>
      <c r="O18" s="83"/>
      <c r="P18" s="83"/>
      <c r="T18" s="84" t="s">
        <v>310</v>
      </c>
      <c r="U18" s="67"/>
      <c r="V18" s="67"/>
      <c r="W18" s="67"/>
      <c r="X18" s="67"/>
      <c r="Y18" s="67"/>
      <c r="Z18" s="67"/>
      <c r="AA18" s="67"/>
      <c r="AB18" s="67"/>
      <c r="AC18" s="79"/>
      <c r="AD18" s="79"/>
      <c r="AE18" s="79"/>
      <c r="AF18" s="87"/>
      <c r="AG18" s="87"/>
      <c r="AH18" s="87"/>
      <c r="AI18" s="87"/>
      <c r="AJ18" s="87"/>
      <c r="AK18" s="79"/>
      <c r="AL18" s="79"/>
    </row>
    <row r="19" spans="1:38">
      <c r="A19" s="68"/>
      <c r="B19" s="83"/>
      <c r="C19" s="177"/>
      <c r="D19" s="178"/>
      <c r="E19" s="179"/>
      <c r="F19" s="179"/>
      <c r="G19" s="83"/>
      <c r="H19" s="83"/>
      <c r="I19" s="83"/>
      <c r="J19" s="83"/>
      <c r="K19" s="83"/>
      <c r="L19" s="83"/>
      <c r="M19" s="83"/>
      <c r="N19" s="83"/>
      <c r="O19" s="83"/>
      <c r="P19" s="83"/>
      <c r="S19" s="102"/>
      <c r="T19" s="88" t="s">
        <v>292</v>
      </c>
      <c r="U19" s="102"/>
      <c r="V19" s="102"/>
      <c r="W19" s="102"/>
      <c r="X19" s="102"/>
      <c r="Y19" s="102"/>
      <c r="Z19" s="102"/>
      <c r="AA19" s="102"/>
      <c r="AB19" s="102"/>
      <c r="AC19" s="79"/>
      <c r="AD19" s="79"/>
      <c r="AE19" s="103"/>
      <c r="AF19" s="103"/>
      <c r="AG19" s="103"/>
      <c r="AH19" s="103"/>
      <c r="AI19" s="103"/>
      <c r="AJ19" s="103"/>
      <c r="AK19" s="79"/>
      <c r="AL19" s="79"/>
    </row>
    <row r="20" spans="1:38">
      <c r="A20" s="68"/>
      <c r="B20" s="83"/>
      <c r="C20" s="177"/>
      <c r="D20" s="178"/>
      <c r="E20" s="179"/>
      <c r="F20" s="179"/>
      <c r="G20" s="83"/>
      <c r="H20" s="83"/>
      <c r="I20" s="83"/>
      <c r="J20" s="83"/>
      <c r="K20" s="83"/>
      <c r="L20" s="83"/>
      <c r="M20" s="83"/>
      <c r="N20" s="83"/>
      <c r="O20" s="83"/>
      <c r="P20" s="83"/>
      <c r="S20" s="102"/>
      <c r="T20" s="92" t="s">
        <v>312</v>
      </c>
      <c r="AA20" s="102"/>
      <c r="AB20" s="102"/>
      <c r="AC20" s="79"/>
      <c r="AD20" s="79"/>
      <c r="AE20" s="79"/>
      <c r="AF20" s="87"/>
      <c r="AG20" s="87"/>
      <c r="AH20" s="87"/>
      <c r="AI20" s="87"/>
      <c r="AJ20" s="87"/>
      <c r="AK20" s="79"/>
      <c r="AL20" s="79"/>
    </row>
    <row r="21" spans="1:38">
      <c r="A21" s="68"/>
      <c r="B21" s="83"/>
      <c r="C21" s="177"/>
      <c r="D21" s="178"/>
      <c r="E21" s="179"/>
      <c r="F21" s="179"/>
      <c r="G21" s="83"/>
      <c r="H21" s="83"/>
      <c r="I21" s="83"/>
      <c r="J21" s="83"/>
      <c r="K21" s="83"/>
      <c r="L21" s="83"/>
      <c r="M21" s="83"/>
      <c r="N21" s="83"/>
      <c r="O21" s="83"/>
      <c r="P21" s="83"/>
      <c r="Q21" s="104"/>
      <c r="R21" s="104"/>
      <c r="S21" s="102"/>
      <c r="AA21" s="102"/>
      <c r="AB21" s="102"/>
      <c r="AC21" s="79"/>
      <c r="AD21" s="79"/>
      <c r="AE21" s="79"/>
      <c r="AF21" s="87"/>
      <c r="AG21" s="87"/>
      <c r="AH21" s="87"/>
      <c r="AI21" s="87"/>
      <c r="AJ21" s="87"/>
      <c r="AK21" s="79"/>
      <c r="AL21" s="79"/>
    </row>
    <row r="22" spans="1:38">
      <c r="A22" s="68"/>
      <c r="B22" s="83"/>
      <c r="C22" s="177"/>
      <c r="D22" s="178"/>
      <c r="E22" s="179"/>
      <c r="F22" s="179"/>
      <c r="G22" s="83"/>
      <c r="H22" s="83"/>
      <c r="I22" s="83"/>
      <c r="J22" s="83"/>
      <c r="K22" s="83"/>
      <c r="L22" s="83"/>
      <c r="M22" s="83"/>
      <c r="N22" s="83"/>
      <c r="O22" s="83"/>
      <c r="P22" s="83"/>
      <c r="Q22" s="104"/>
      <c r="R22" s="104"/>
      <c r="S22" s="105"/>
      <c r="AA22" s="102"/>
      <c r="AB22" s="102"/>
      <c r="AC22" s="79"/>
      <c r="AD22" s="100"/>
      <c r="AE22" s="100"/>
      <c r="AF22" s="100"/>
      <c r="AG22" s="100"/>
      <c r="AH22" s="100"/>
      <c r="AI22" s="100"/>
      <c r="AJ22" s="87"/>
      <c r="AK22" s="79"/>
      <c r="AL22" s="79"/>
    </row>
    <row r="23" spans="1:38">
      <c r="A23" s="68"/>
      <c r="B23" s="83"/>
      <c r="C23" s="177"/>
      <c r="D23" s="178"/>
      <c r="E23" s="179"/>
      <c r="F23" s="179"/>
      <c r="G23" s="83"/>
      <c r="H23" s="83"/>
      <c r="I23" s="83"/>
      <c r="J23" s="83"/>
      <c r="K23" s="83"/>
      <c r="L23" s="83"/>
      <c r="M23" s="83"/>
      <c r="N23" s="83"/>
      <c r="O23" s="83"/>
      <c r="P23" s="83"/>
      <c r="Q23" s="104"/>
      <c r="R23" s="104"/>
      <c r="AC23" s="79"/>
      <c r="AD23" s="106"/>
      <c r="AE23" s="106"/>
      <c r="AF23" s="106"/>
      <c r="AG23" s="106"/>
      <c r="AH23" s="106"/>
      <c r="AI23" s="106"/>
      <c r="AJ23" s="87"/>
      <c r="AK23" s="79"/>
      <c r="AL23" s="79"/>
    </row>
    <row r="24" spans="1:38">
      <c r="A24" s="68"/>
      <c r="B24" s="83"/>
      <c r="C24" s="177"/>
      <c r="D24" s="178"/>
      <c r="E24" s="179"/>
      <c r="F24" s="179"/>
      <c r="G24" s="83"/>
      <c r="H24" s="83"/>
      <c r="I24" s="83"/>
      <c r="J24" s="83"/>
      <c r="K24" s="83"/>
      <c r="L24" s="83"/>
      <c r="M24" s="83"/>
      <c r="N24" s="83"/>
      <c r="O24" s="83"/>
      <c r="P24" s="83"/>
      <c r="Q24" s="104"/>
      <c r="R24" s="104"/>
      <c r="AC24" s="79"/>
      <c r="AD24" s="100"/>
      <c r="AE24" s="100"/>
      <c r="AF24" s="100"/>
      <c r="AG24" s="100"/>
      <c r="AH24" s="100"/>
      <c r="AI24" s="100"/>
      <c r="AJ24" s="87"/>
      <c r="AK24" s="79"/>
      <c r="AL24" s="79"/>
    </row>
    <row r="25" spans="1:38">
      <c r="A25" s="68"/>
      <c r="B25" s="83"/>
      <c r="C25" s="177"/>
      <c r="D25" s="178"/>
      <c r="E25" s="179"/>
      <c r="F25" s="179"/>
      <c r="G25" s="83"/>
      <c r="H25" s="83"/>
      <c r="I25" s="83"/>
      <c r="J25" s="83"/>
      <c r="K25" s="83"/>
      <c r="L25" s="83"/>
      <c r="M25" s="83"/>
      <c r="N25" s="83"/>
      <c r="O25" s="83"/>
      <c r="P25" s="83"/>
      <c r="AC25" s="79"/>
      <c r="AD25" s="100"/>
      <c r="AE25" s="100"/>
      <c r="AF25" s="100"/>
      <c r="AG25" s="100"/>
      <c r="AH25" s="100"/>
      <c r="AI25" s="100"/>
      <c r="AJ25" s="87"/>
      <c r="AK25" s="79"/>
      <c r="AL25" s="79"/>
    </row>
    <row r="26" spans="1:38">
      <c r="A26" s="68"/>
      <c r="B26" s="83"/>
      <c r="C26" s="177"/>
      <c r="D26" s="178"/>
      <c r="E26" s="179"/>
      <c r="F26" s="179"/>
      <c r="G26" s="83"/>
      <c r="H26" s="83"/>
      <c r="I26" s="83"/>
      <c r="J26" s="83"/>
      <c r="K26" s="83"/>
      <c r="L26" s="83"/>
      <c r="M26" s="83"/>
      <c r="N26" s="83"/>
      <c r="O26" s="83"/>
      <c r="P26" s="83"/>
    </row>
    <row r="27" spans="1:38">
      <c r="A27" s="68"/>
      <c r="B27" s="83"/>
      <c r="C27" s="177"/>
      <c r="D27" s="178"/>
      <c r="E27" s="179"/>
      <c r="F27" s="179"/>
      <c r="G27" s="83"/>
      <c r="H27" s="83"/>
      <c r="I27" s="83"/>
      <c r="J27" s="83"/>
      <c r="K27" s="83"/>
      <c r="L27" s="83"/>
      <c r="M27" s="83"/>
      <c r="N27" s="83"/>
      <c r="O27" s="83"/>
      <c r="P27" s="83"/>
    </row>
    <row r="28" spans="1:38">
      <c r="A28" s="68"/>
      <c r="B28" s="83"/>
      <c r="C28" s="177"/>
      <c r="D28" s="178"/>
      <c r="E28" s="179"/>
      <c r="F28" s="179"/>
      <c r="G28" s="83"/>
      <c r="H28" s="83"/>
      <c r="I28" s="83"/>
      <c r="J28" s="83"/>
      <c r="K28" s="83"/>
      <c r="L28" s="83"/>
      <c r="M28" s="83"/>
      <c r="N28" s="83"/>
      <c r="O28" s="83"/>
      <c r="P28" s="83"/>
    </row>
    <row r="29" spans="1:38">
      <c r="A29" s="68"/>
      <c r="B29" s="83"/>
      <c r="C29" s="177"/>
      <c r="D29" s="178"/>
      <c r="E29" s="179"/>
      <c r="F29" s="179"/>
      <c r="G29" s="83"/>
      <c r="H29" s="83"/>
      <c r="I29" s="83"/>
      <c r="J29" s="83"/>
      <c r="K29" s="83"/>
      <c r="L29" s="83"/>
      <c r="M29" s="83"/>
      <c r="N29" s="83"/>
      <c r="O29" s="83"/>
      <c r="P29" s="83"/>
    </row>
    <row r="30" spans="1:38" ht="14.55" customHeight="1">
      <c r="B30" s="63"/>
      <c r="D30" s="63"/>
      <c r="G30" s="63"/>
      <c r="H30" s="63"/>
      <c r="I30" s="63"/>
      <c r="J30" s="63"/>
      <c r="K30" s="63"/>
      <c r="L30" s="63"/>
      <c r="M30" s="63"/>
      <c r="N30" s="63"/>
      <c r="O30" s="63"/>
      <c r="P30" s="63"/>
      <c r="AA30" s="68"/>
      <c r="AB30" s="68"/>
      <c r="AC30" s="68"/>
      <c r="AD30" s="68"/>
      <c r="AE30" s="68"/>
      <c r="AF30" s="63"/>
      <c r="AG30" s="63"/>
      <c r="AH30" s="63"/>
      <c r="AI30" s="63"/>
      <c r="AJ30" s="63"/>
    </row>
    <row r="31" spans="1:38" ht="39" customHeight="1">
      <c r="B31" s="63"/>
      <c r="D31" s="63"/>
      <c r="G31" s="63"/>
      <c r="H31" s="63"/>
      <c r="I31" s="63"/>
      <c r="J31" s="63"/>
      <c r="K31" s="63"/>
      <c r="L31" s="63"/>
      <c r="M31" s="63"/>
      <c r="N31" s="63"/>
      <c r="O31" s="63"/>
      <c r="P31" s="63"/>
      <c r="AA31" s="68"/>
      <c r="AB31" s="68"/>
      <c r="AC31" s="68"/>
      <c r="AD31" s="68"/>
      <c r="AE31" s="68"/>
      <c r="AF31" s="63"/>
      <c r="AG31" s="63"/>
      <c r="AH31" s="63"/>
      <c r="AI31" s="63"/>
      <c r="AJ31" s="63"/>
    </row>
    <row r="32" spans="1:38" ht="19.5" customHeight="1">
      <c r="B32" s="63"/>
      <c r="D32" s="63"/>
      <c r="G32" s="63"/>
      <c r="H32" s="63"/>
      <c r="I32" s="63"/>
      <c r="J32" s="63"/>
      <c r="K32" s="63"/>
      <c r="L32" s="63"/>
      <c r="M32" s="63"/>
      <c r="N32" s="63"/>
      <c r="O32" s="63"/>
      <c r="P32" s="63"/>
      <c r="AA32" s="68"/>
      <c r="AB32" s="68"/>
      <c r="AC32" s="68"/>
      <c r="AD32" s="68"/>
      <c r="AE32" s="68"/>
      <c r="AF32" s="63"/>
      <c r="AG32" s="63"/>
      <c r="AH32" s="63"/>
      <c r="AI32" s="63"/>
      <c r="AJ32" s="63"/>
    </row>
    <row r="33" spans="2:36" ht="19.5" customHeight="1">
      <c r="B33" s="63"/>
      <c r="D33" s="63"/>
      <c r="G33" s="63"/>
      <c r="H33" s="63"/>
      <c r="I33" s="63"/>
      <c r="J33" s="63"/>
      <c r="K33" s="63"/>
      <c r="L33" s="63"/>
      <c r="M33" s="63"/>
      <c r="N33" s="63"/>
      <c r="O33" s="63"/>
      <c r="P33" s="63"/>
      <c r="AA33" s="68"/>
      <c r="AB33" s="68"/>
      <c r="AC33" s="68"/>
      <c r="AD33" s="68"/>
      <c r="AE33" s="68"/>
      <c r="AF33" s="63"/>
      <c r="AG33" s="63"/>
      <c r="AH33" s="63"/>
      <c r="AI33" s="63"/>
      <c r="AJ33" s="63"/>
    </row>
    <row r="34" spans="2:36" ht="19.5" customHeight="1">
      <c r="B34" s="63"/>
      <c r="D34" s="63"/>
      <c r="G34" s="63"/>
      <c r="H34" s="63"/>
      <c r="I34" s="63"/>
      <c r="J34" s="63"/>
      <c r="K34" s="63"/>
      <c r="L34" s="63"/>
      <c r="M34" s="63"/>
      <c r="N34" s="63"/>
      <c r="O34" s="63"/>
      <c r="P34" s="63"/>
      <c r="AA34" s="68"/>
      <c r="AB34" s="68"/>
      <c r="AC34" s="68"/>
      <c r="AD34" s="68"/>
      <c r="AE34" s="68"/>
      <c r="AF34" s="63"/>
      <c r="AG34" s="63"/>
      <c r="AH34" s="63"/>
      <c r="AI34" s="63"/>
      <c r="AJ34" s="63"/>
    </row>
    <row r="35" spans="2:36" ht="19.5" customHeight="1">
      <c r="B35" s="63"/>
      <c r="D35" s="63"/>
      <c r="G35" s="63"/>
      <c r="H35" s="63"/>
      <c r="I35" s="63"/>
      <c r="J35" s="63"/>
      <c r="K35" s="63"/>
      <c r="L35" s="63"/>
      <c r="M35" s="63"/>
      <c r="N35" s="63"/>
      <c r="O35" s="63"/>
      <c r="P35" s="63"/>
      <c r="AA35" s="68"/>
      <c r="AB35" s="68"/>
      <c r="AC35" s="68"/>
      <c r="AD35" s="68"/>
      <c r="AE35" s="68"/>
      <c r="AF35" s="63"/>
      <c r="AG35" s="63"/>
      <c r="AH35" s="63"/>
      <c r="AI35" s="63"/>
      <c r="AJ35" s="63"/>
    </row>
    <row r="36" spans="2:36" ht="19.5" customHeight="1">
      <c r="B36" s="63"/>
      <c r="D36" s="63"/>
      <c r="G36" s="63"/>
      <c r="H36" s="63"/>
      <c r="I36" s="63"/>
      <c r="J36" s="63"/>
      <c r="K36" s="63"/>
      <c r="L36" s="63"/>
      <c r="M36" s="63"/>
      <c r="N36" s="63"/>
      <c r="O36" s="63"/>
      <c r="P36" s="63"/>
      <c r="AA36" s="68"/>
      <c r="AB36" s="68"/>
      <c r="AC36" s="68"/>
      <c r="AD36" s="68"/>
      <c r="AE36" s="68"/>
      <c r="AF36" s="63"/>
      <c r="AG36" s="63"/>
      <c r="AH36" s="63"/>
      <c r="AI36" s="63"/>
      <c r="AJ36" s="63"/>
    </row>
    <row r="37" spans="2:36"/>
    <row r="38" spans="2:36"/>
    <row r="39" spans="2:36"/>
    <row r="40" spans="2:36"/>
    <row r="41" spans="2:36"/>
    <row r="42" spans="2:36"/>
    <row r="43" spans="2:36"/>
    <row r="44" spans="2:36"/>
    <row r="45" spans="2:36"/>
    <row r="46" spans="2:36"/>
    <row r="47" spans="2:36"/>
    <row r="48" spans="2:36"/>
    <row r="49"/>
    <row r="50"/>
    <row r="51"/>
    <row r="52"/>
    <row r="53"/>
    <row r="54"/>
    <row r="55"/>
    <row r="56"/>
    <row r="57"/>
    <row r="58"/>
    <row r="59"/>
    <row r="60"/>
    <row r="61"/>
    <row r="62"/>
    <row r="63"/>
    <row r="64"/>
    <row r="65"/>
    <row r="66"/>
    <row r="67"/>
    <row r="68"/>
    <row r="69"/>
    <row r="70"/>
    <row r="71"/>
    <row r="72"/>
  </sheetData>
  <sheetProtection sheet="1" objects="1" scenarios="1"/>
  <dataConsolidate/>
  <mergeCells count="13">
    <mergeCell ref="B1:D2"/>
    <mergeCell ref="A1:A2"/>
    <mergeCell ref="I7:O7"/>
    <mergeCell ref="T7:X7"/>
    <mergeCell ref="K8:O8"/>
    <mergeCell ref="B4:D4"/>
    <mergeCell ref="B5:D5"/>
    <mergeCell ref="E1:F1"/>
    <mergeCell ref="I10:I14"/>
    <mergeCell ref="Q10:Q14"/>
    <mergeCell ref="A7:G7"/>
    <mergeCell ref="C8:G8"/>
    <mergeCell ref="A10:A14"/>
  </mergeCells>
  <conditionalFormatting sqref="D15:E29">
    <cfRule type="cellIs" dxfId="45" priority="1" operator="equal">
      <formula>$S$14</formula>
    </cfRule>
    <cfRule type="cellIs" dxfId="44" priority="2" operator="equal">
      <formula>$S$13</formula>
    </cfRule>
    <cfRule type="cellIs" dxfId="43" priority="3" operator="equal">
      <formula>$S$12</formula>
    </cfRule>
    <cfRule type="cellIs" dxfId="42" priority="4" operator="equal">
      <formula>$S$11</formula>
    </cfRule>
    <cfRule type="cellIs" dxfId="41" priority="5" operator="equal">
      <formula>$S$10</formula>
    </cfRule>
  </conditionalFormatting>
  <conditionalFormatting sqref="F15:F29">
    <cfRule type="cellIs" dxfId="40" priority="6" operator="equal">
      <formula>$T$9</formula>
    </cfRule>
    <cfRule type="cellIs" dxfId="39" priority="7" operator="equal">
      <formula>$U$9</formula>
    </cfRule>
    <cfRule type="cellIs" dxfId="38" priority="8" operator="equal">
      <formula>$V$9</formula>
    </cfRule>
    <cfRule type="cellIs" dxfId="37" priority="9" operator="equal">
      <formula>$W$9</formula>
    </cfRule>
    <cfRule type="cellIs" dxfId="36" priority="10" operator="equal">
      <formula>$X$9</formula>
    </cfRule>
  </conditionalFormatting>
  <conditionalFormatting sqref="G15:G29">
    <cfRule type="cellIs" dxfId="35" priority="16" operator="equal">
      <formula>$T$17</formula>
    </cfRule>
    <cfRule type="cellIs" dxfId="34" priority="17" operator="equal">
      <formula>$T$18</formula>
    </cfRule>
    <cfRule type="cellIs" dxfId="33" priority="18" operator="equal">
      <formula>$T$19</formula>
    </cfRule>
    <cfRule type="cellIs" dxfId="32" priority="19" operator="equal">
      <formula>$T$20</formula>
    </cfRule>
  </conditionalFormatting>
  <dataValidations disablePrompts="1" count="3">
    <dataValidation type="list" allowBlank="1" showInputMessage="1" showErrorMessage="1" sqref="JD10:JJ17">
      <formula1>#REF!</formula1>
    </dataValidation>
    <dataValidation allowBlank="1" showInputMessage="1" showErrorMessage="1" prompt="La probabilidad se encuentra determinada por una escala de 1 a 3, siendo 1 la menor probabilidad de ocurrencia del riesgo y 3 la mayor probabilidad de  ocurrencia." sqref="JC9"/>
    <dataValidation allowBlank="1" showInputMessage="1" showErrorMessage="1" prompt="Es la materialización del riesgo y las consecuencias de su aparición. Su escala es: 5 bajo impacto, 10 medio, 20 alto impacto._x000a_" sqref="JD9:JJ9"/>
  </dataValidations>
  <printOptions horizontalCentered="1" verticalCentered="1"/>
  <pageMargins left="0.23622047244094491" right="0.23622047244094491" top="0.74803149606299213" bottom="0.74803149606299213" header="0.31496062992125984" footer="0.31496062992125984"/>
  <pageSetup scale="65" orientation="landscape" r:id="rId1"/>
  <headerFooter alignWithMargins="0"/>
  <colBreaks count="1" manualBreakCount="1">
    <brk id="16" max="1048575" man="1"/>
  </colBreaks>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T35"/>
  <sheetViews>
    <sheetView showGridLines="0" zoomScale="65" zoomScaleNormal="65" workbookViewId="0">
      <pane xSplit="1" ySplit="8" topLeftCell="B9" activePane="bottomRight" state="frozen"/>
      <selection pane="topRight" activeCell="B1" sqref="B1"/>
      <selection pane="bottomLeft" activeCell="A7" sqref="A7"/>
      <selection pane="bottomRight" activeCell="Z9" sqref="Z9"/>
    </sheetView>
  </sheetViews>
  <sheetFormatPr baseColWidth="10" defaultColWidth="0" defaultRowHeight="13.2"/>
  <cols>
    <col min="1" max="1" width="11.44140625" style="63" customWidth="1"/>
    <col min="2" max="2" width="39.77734375" style="68" customWidth="1"/>
    <col min="3" max="4" width="14.109375" style="68" customWidth="1"/>
    <col min="5" max="5" width="16.44140625" style="68" customWidth="1"/>
    <col min="6" max="6" width="16.77734375" style="68" customWidth="1"/>
    <col min="7" max="7" width="12.44140625" style="68" customWidth="1"/>
    <col min="8" max="8" width="15.44140625" style="68" customWidth="1"/>
    <col min="9" max="9" width="13" style="68" customWidth="1"/>
    <col min="10" max="10" width="16.44140625" style="68" customWidth="1"/>
    <col min="11" max="11" width="11.77734375" style="68" customWidth="1"/>
    <col min="12" max="12" width="13.77734375" style="68" customWidth="1"/>
    <col min="13" max="13" width="16.77734375" style="68" customWidth="1"/>
    <col min="14" max="14" width="15.44140625" style="68" customWidth="1"/>
    <col min="15" max="15" width="16.44140625" style="68" customWidth="1"/>
    <col min="16" max="16" width="16.44140625" style="68" hidden="1" customWidth="1"/>
    <col min="17" max="17" width="29.77734375" style="68" customWidth="1"/>
    <col min="18" max="18" width="20.77734375" style="68" customWidth="1"/>
    <col min="19" max="19" width="13.109375" style="119" customWidth="1"/>
    <col min="20" max="20" width="13.44140625" style="119" customWidth="1"/>
    <col min="21" max="23" width="20.44140625" style="68" customWidth="1"/>
    <col min="24" max="25" width="30.44140625" style="68" customWidth="1"/>
    <col min="26" max="26" width="18" style="68" customWidth="1"/>
    <col min="27" max="28" width="15.44140625" style="68" customWidth="1"/>
    <col min="29" max="29" width="4.77734375" style="63" customWidth="1"/>
    <col min="30" max="30" width="5.44140625" style="63" bestFit="1" customWidth="1"/>
    <col min="31" max="32" width="14" style="63" customWidth="1"/>
    <col min="33" max="33" width="18.44140625" style="63" customWidth="1"/>
    <col min="34" max="34" width="19.44140625" style="63" customWidth="1"/>
    <col min="35" max="35" width="14" style="63" customWidth="1"/>
    <col min="36" max="36" width="17" style="63" bestFit="1" customWidth="1"/>
    <col min="37" max="37" width="11.44140625" style="63" customWidth="1"/>
    <col min="38" max="41" width="11.44140625" style="63" hidden="1" customWidth="1"/>
    <col min="42" max="42" width="5.44140625" style="63" hidden="1" customWidth="1"/>
    <col min="43" max="43" width="26.77734375" style="63" hidden="1" customWidth="1"/>
    <col min="44" max="48" width="22.77734375" style="68" hidden="1" customWidth="1"/>
    <col min="49" max="49" width="23.44140625" style="63" hidden="1" customWidth="1"/>
    <col min="50" max="277" width="11.44140625" style="63" hidden="1" customWidth="1"/>
    <col min="278" max="278" width="12.44140625" style="63" hidden="1" customWidth="1"/>
    <col min="279" max="279" width="47" style="63" hidden="1" customWidth="1"/>
    <col min="280" max="280" width="35" style="63" hidden="1" customWidth="1"/>
    <col min="281" max="16384" width="14.44140625" style="63" hidden="1"/>
  </cols>
  <sheetData>
    <row r="1" spans="1:50" s="51" customFormat="1" ht="36" customHeight="1">
      <c r="A1" s="653"/>
      <c r="B1" s="659" t="str">
        <f>+'2 CONTEXTO E IDENTIFICACIÓN'!A1</f>
        <v>MAPA DE RIESGOS</v>
      </c>
      <c r="C1" s="37"/>
      <c r="D1" s="107"/>
      <c r="E1" s="52"/>
      <c r="F1" s="382" t="str">
        <f>+'2 CONTEXTO E IDENTIFICACIÓN'!$J$4</f>
        <v>Elaboración o Actualización:</v>
      </c>
      <c r="G1" s="347">
        <f>'2 CONTEXTO E IDENTIFICACIÓN'!K4</f>
        <v>45991</v>
      </c>
      <c r="H1" s="344"/>
      <c r="I1" s="344"/>
      <c r="J1" s="52"/>
      <c r="K1" s="52"/>
      <c r="L1" s="52"/>
      <c r="M1" s="52"/>
      <c r="N1" s="52"/>
      <c r="O1" s="52"/>
      <c r="P1" s="55"/>
      <c r="R1" s="55"/>
      <c r="U1" s="114"/>
      <c r="V1" s="114"/>
      <c r="Z1" s="55"/>
      <c r="AR1" s="52"/>
      <c r="AS1" s="52"/>
      <c r="AT1" s="52"/>
      <c r="AU1" s="52"/>
      <c r="AV1" s="52"/>
    </row>
    <row r="2" spans="1:50" s="51" customFormat="1" ht="36" customHeight="1">
      <c r="A2" s="653"/>
      <c r="B2" s="659"/>
      <c r="C2" s="37" t="str">
        <f>+'2 CONTEXTO E IDENTIFICACIÓN'!A2</f>
        <v>VERSIÓN:</v>
      </c>
      <c r="D2" s="107">
        <f>'2 CONTEXTO E IDENTIFICACIÓN'!B2</f>
        <v>1</v>
      </c>
      <c r="E2" s="52"/>
      <c r="F2" s="107" t="str">
        <f>+'2 CONTEXTO E IDENTIFICACIÓN'!$E$5</f>
        <v xml:space="preserve">Vigencia: </v>
      </c>
      <c r="G2" s="347">
        <f>'2 CONTEXTO E IDENTIFICACIÓN'!H5</f>
        <v>46023</v>
      </c>
      <c r="H2" s="206" t="s">
        <v>99</v>
      </c>
      <c r="I2" s="347">
        <f>'2 CONTEXTO E IDENTIFICACIÓN'!K5</f>
        <v>46387</v>
      </c>
      <c r="J2" s="52"/>
      <c r="K2" s="52"/>
      <c r="L2" s="53"/>
      <c r="M2" s="52"/>
      <c r="N2" s="53"/>
      <c r="O2" s="53"/>
      <c r="P2" s="53"/>
      <c r="Q2" s="53"/>
      <c r="R2" s="53"/>
      <c r="S2" s="115"/>
      <c r="T2" s="115"/>
      <c r="U2" s="53"/>
      <c r="V2" s="53"/>
      <c r="W2" s="53"/>
      <c r="X2" s="53"/>
      <c r="Y2" s="53"/>
      <c r="Z2" s="53"/>
      <c r="AA2" s="53"/>
      <c r="AB2" s="53"/>
      <c r="AR2" s="52"/>
      <c r="AS2" s="52"/>
      <c r="AT2" s="52"/>
      <c r="AU2" s="52"/>
      <c r="AV2" s="52"/>
    </row>
    <row r="3" spans="1:50" s="51" customFormat="1">
      <c r="A3" s="55"/>
      <c r="B3" s="53"/>
      <c r="C3" s="208"/>
      <c r="D3" s="208"/>
      <c r="E3" s="52"/>
      <c r="F3" s="52"/>
      <c r="G3" s="53"/>
      <c r="H3" s="52"/>
      <c r="I3" s="52"/>
      <c r="J3" s="52"/>
      <c r="K3" s="52"/>
      <c r="L3" s="53"/>
      <c r="M3" s="52"/>
      <c r="N3" s="53"/>
      <c r="O3" s="53"/>
      <c r="P3" s="53"/>
      <c r="Q3" s="53"/>
      <c r="R3" s="53"/>
      <c r="S3" s="115"/>
      <c r="T3" s="115"/>
      <c r="U3" s="53"/>
      <c r="V3" s="53"/>
      <c r="W3" s="53"/>
      <c r="X3" s="53"/>
      <c r="Y3" s="53"/>
      <c r="Z3" s="53"/>
      <c r="AA3" s="53"/>
      <c r="AB3" s="53"/>
      <c r="AR3" s="52"/>
      <c r="AS3" s="52"/>
      <c r="AT3" s="52"/>
      <c r="AU3" s="52"/>
      <c r="AV3" s="52"/>
    </row>
    <row r="4" spans="1:50" s="51" customFormat="1" ht="14.4" thickBot="1">
      <c r="A4" s="10" t="s">
        <v>95</v>
      </c>
      <c r="B4" s="666">
        <f>'2 CONTEXTO E IDENTIFICACIÓN'!B4</f>
        <v>0</v>
      </c>
      <c r="C4" s="666"/>
      <c r="D4" s="666"/>
      <c r="E4" s="383"/>
      <c r="F4" s="383"/>
      <c r="G4" s="383"/>
      <c r="H4" s="383"/>
      <c r="I4" s="383"/>
      <c r="J4" s="383"/>
      <c r="K4" s="53"/>
      <c r="L4" s="52"/>
      <c r="M4" s="52"/>
      <c r="N4" s="52"/>
      <c r="O4" s="52"/>
      <c r="P4" s="55"/>
      <c r="R4" s="55"/>
      <c r="S4" s="114"/>
      <c r="T4" s="114"/>
      <c r="Z4" s="55"/>
      <c r="AR4" s="52"/>
      <c r="AS4" s="52"/>
      <c r="AT4" s="52"/>
      <c r="AU4" s="52"/>
      <c r="AV4" s="52"/>
    </row>
    <row r="5" spans="1:50" s="51" customFormat="1" ht="27.6">
      <c r="A5" s="10" t="s">
        <v>96</v>
      </c>
      <c r="B5" s="666">
        <f>'2 CONTEXTO E IDENTIFICACIÓN'!F4</f>
        <v>0</v>
      </c>
      <c r="C5" s="667"/>
      <c r="D5" s="667"/>
      <c r="E5" s="208"/>
      <c r="F5" s="53"/>
      <c r="G5" s="52"/>
      <c r="H5" s="53"/>
      <c r="I5" s="53"/>
      <c r="J5" s="208"/>
      <c r="K5" s="53"/>
      <c r="L5" s="52"/>
      <c r="M5" s="52"/>
      <c r="N5" s="52"/>
      <c r="O5" s="52"/>
      <c r="P5" s="55"/>
      <c r="R5" s="55"/>
      <c r="S5" s="114"/>
      <c r="T5" s="114"/>
      <c r="Z5" s="55"/>
      <c r="AD5" s="56"/>
      <c r="AE5" s="57"/>
      <c r="AF5" s="727" t="s">
        <v>174</v>
      </c>
      <c r="AG5" s="728"/>
      <c r="AH5" s="728"/>
      <c r="AI5" s="728"/>
      <c r="AJ5" s="729"/>
      <c r="AR5" s="52"/>
      <c r="AS5" s="52"/>
      <c r="AT5" s="52"/>
      <c r="AU5" s="52"/>
      <c r="AV5" s="52"/>
    </row>
    <row r="6" spans="1:50" s="51" customFormat="1" ht="5.55" customHeight="1">
      <c r="A6" s="211"/>
      <c r="B6" s="210"/>
      <c r="C6" s="210"/>
      <c r="D6" s="53"/>
      <c r="E6" s="208"/>
      <c r="F6" s="53"/>
      <c r="G6" s="52"/>
      <c r="H6" s="53"/>
      <c r="I6" s="53"/>
      <c r="J6" s="208"/>
      <c r="K6" s="53"/>
      <c r="L6" s="52"/>
      <c r="M6" s="52"/>
      <c r="N6" s="52"/>
      <c r="O6" s="52"/>
      <c r="P6" s="55"/>
      <c r="R6" s="55"/>
      <c r="S6" s="114"/>
      <c r="T6" s="114"/>
      <c r="Z6" s="55"/>
      <c r="AD6" s="221"/>
      <c r="AF6" s="222"/>
      <c r="AG6" s="223"/>
      <c r="AH6" s="223"/>
      <c r="AI6" s="223"/>
      <c r="AJ6" s="224"/>
      <c r="AR6" s="52"/>
      <c r="AS6" s="52"/>
      <c r="AT6" s="52"/>
      <c r="AU6" s="52"/>
      <c r="AV6" s="52"/>
    </row>
    <row r="7" spans="1:50" ht="14.55" customHeight="1">
      <c r="A7" s="110"/>
      <c r="B7" s="110"/>
      <c r="C7" s="110"/>
      <c r="D7" s="110"/>
      <c r="E7" s="654" t="s">
        <v>307</v>
      </c>
      <c r="F7" s="654"/>
      <c r="G7" s="654"/>
      <c r="H7" s="60"/>
      <c r="I7" s="60"/>
      <c r="J7" s="654" t="s">
        <v>333</v>
      </c>
      <c r="K7" s="654"/>
      <c r="L7" s="654"/>
      <c r="M7" s="60"/>
      <c r="N7" s="60"/>
      <c r="O7" s="60"/>
      <c r="P7" s="60"/>
      <c r="Q7" s="654" t="s">
        <v>336</v>
      </c>
      <c r="R7" s="654"/>
      <c r="S7" s="654"/>
      <c r="T7" s="654"/>
      <c r="U7" s="654" t="s">
        <v>77</v>
      </c>
      <c r="V7" s="654"/>
      <c r="W7" s="654"/>
      <c r="X7" s="60"/>
      <c r="Y7" s="60"/>
      <c r="Z7" s="60"/>
      <c r="AA7" s="60"/>
      <c r="AB7" s="60"/>
      <c r="AD7" s="64"/>
      <c r="AF7" s="65">
        <v>0.2</v>
      </c>
      <c r="AG7" s="65">
        <v>0.4</v>
      </c>
      <c r="AH7" s="65">
        <v>0.6</v>
      </c>
      <c r="AI7" s="65">
        <v>0.8</v>
      </c>
      <c r="AJ7" s="66">
        <v>1</v>
      </c>
      <c r="AK7" s="67"/>
      <c r="AL7" s="67"/>
      <c r="AM7" s="67"/>
      <c r="AN7" s="67"/>
      <c r="AO7" s="67"/>
      <c r="AP7" s="67"/>
      <c r="AQ7" s="67"/>
    </row>
    <row r="8" spans="1:50" ht="52.8">
      <c r="A8" s="71" t="s">
        <v>308</v>
      </c>
      <c r="B8" s="71" t="s">
        <v>309</v>
      </c>
      <c r="C8" s="71" t="s">
        <v>337</v>
      </c>
      <c r="D8" s="71" t="s">
        <v>338</v>
      </c>
      <c r="E8" s="71" t="s">
        <v>265</v>
      </c>
      <c r="F8" s="71" t="s">
        <v>266</v>
      </c>
      <c r="G8" s="72" t="s">
        <v>69</v>
      </c>
      <c r="H8" s="71" t="s">
        <v>339</v>
      </c>
      <c r="I8" s="71" t="s">
        <v>340</v>
      </c>
      <c r="J8" s="71" t="s">
        <v>265</v>
      </c>
      <c r="K8" s="71" t="s">
        <v>266</v>
      </c>
      <c r="L8" s="71" t="s">
        <v>69</v>
      </c>
      <c r="M8" s="71" t="s">
        <v>73</v>
      </c>
      <c r="N8" s="71" t="s">
        <v>71</v>
      </c>
      <c r="O8" s="71" t="s">
        <v>341</v>
      </c>
      <c r="P8" s="71" t="s">
        <v>342</v>
      </c>
      <c r="Q8" s="71" t="s">
        <v>343</v>
      </c>
      <c r="R8" s="71" t="s">
        <v>344</v>
      </c>
      <c r="S8" s="116" t="s">
        <v>345</v>
      </c>
      <c r="T8" s="116" t="s">
        <v>346</v>
      </c>
      <c r="U8" s="71" t="s">
        <v>347</v>
      </c>
      <c r="V8" s="71" t="s">
        <v>348</v>
      </c>
      <c r="W8" s="71" t="s">
        <v>349</v>
      </c>
      <c r="X8" s="71" t="s">
        <v>350</v>
      </c>
      <c r="Y8" s="71" t="s">
        <v>351</v>
      </c>
      <c r="Z8" s="71" t="s">
        <v>83</v>
      </c>
      <c r="AA8" s="60"/>
      <c r="AB8" s="60"/>
      <c r="AD8" s="64"/>
      <c r="AE8" s="76"/>
      <c r="AF8" s="77" t="s">
        <v>284</v>
      </c>
      <c r="AG8" s="77" t="s">
        <v>288</v>
      </c>
      <c r="AH8" s="77" t="s">
        <v>292</v>
      </c>
      <c r="AI8" s="77" t="s">
        <v>297</v>
      </c>
      <c r="AJ8" s="78" t="s">
        <v>302</v>
      </c>
      <c r="AM8" s="67"/>
      <c r="AN8" s="67"/>
      <c r="AO8" s="79"/>
      <c r="AP8" s="79"/>
      <c r="AQ8" s="79"/>
      <c r="AR8" s="79"/>
      <c r="AS8" s="79"/>
      <c r="AT8" s="79"/>
      <c r="AU8" s="79"/>
      <c r="AV8" s="79"/>
      <c r="AW8" s="79"/>
      <c r="AX8" s="79"/>
    </row>
    <row r="9" spans="1:50" ht="93" customHeight="1">
      <c r="A9" s="80" t="str">
        <f>'2 CONTEXTO E IDENTIFICACIÓN'!A9</f>
        <v>R1</v>
      </c>
      <c r="B9" s="81" t="str">
        <f>+'2 CONTEXTO E IDENTIFICACIÓN'!K9</f>
        <v>Posibilidad de perdida de Disponibilidad, confidencialidad e integridad de la información por fallas en el sistema  debido a deficiencias en la infraestructura tecnológica, ausencia o insuficiencia de mantenimiento preventivo y correctivo</v>
      </c>
      <c r="C9" s="117">
        <f>+'3 PROBABIL E IMPACTO INHERENTE'!E9</f>
        <v>0.8</v>
      </c>
      <c r="D9" s="117">
        <f>+'3 PROBABIL E IMPACTO INHERENTE'!M9</f>
        <v>0.4</v>
      </c>
      <c r="E9" s="82" t="str">
        <f>+'4 MAPA CALOR INHERENTE'!C9</f>
        <v>Alta</v>
      </c>
      <c r="F9" s="82" t="str">
        <f>+'4 MAPA CALOR INHERENTE'!D9</f>
        <v>Menor</v>
      </c>
      <c r="G9" s="337" t="str">
        <f>+'4 MAPA CALOR INHERENTE'!E9</f>
        <v>Moderado</v>
      </c>
      <c r="H9" s="111">
        <f>+'6 MAPA CALOR RESIDUAL'!C9</f>
        <v>0.33599999999999997</v>
      </c>
      <c r="I9" s="82">
        <f>+'6 MAPA CALOR RESIDUAL'!D9</f>
        <v>0.4</v>
      </c>
      <c r="J9" s="82" t="str">
        <f>+'6 MAPA CALOR RESIDUAL'!E9</f>
        <v>Baja</v>
      </c>
      <c r="K9" s="753" t="str">
        <f>+'6 MAPA CALOR RESIDUAL'!F9</f>
        <v>Menor</v>
      </c>
      <c r="L9" s="337" t="str">
        <f>+'6 MAPA CALOR RESIDUAL'!G9</f>
        <v>Moderado</v>
      </c>
      <c r="M9" s="337" t="str">
        <f t="shared" ref="M9:M28" si="0">+IF($N9="","",IF($N9=$AG$16,$AH$16,IF($N9=$AG$19,$AH$19)))</f>
        <v>Requiere Plan de Acción</v>
      </c>
      <c r="N9" s="337" t="str">
        <f t="shared" ref="N9:N28" si="1">+IF(L9="","",IF(OR(L9=$AF$16,L9=$AF$17,L9=$AF$18),$AG$16,IF(L9=$AF$19,$AG$19)))</f>
        <v>Reducir_mitigar_Transferir_Evitar</v>
      </c>
      <c r="O9" s="380" t="s">
        <v>156</v>
      </c>
      <c r="P9" s="337" t="str">
        <f t="shared" ref="P9:P28" si="2">+IF($M9="","",IF($M9=$AH$19,$AG$19,$O9))</f>
        <v>Mitigar</v>
      </c>
      <c r="Q9" s="196" t="s">
        <v>786</v>
      </c>
      <c r="R9" s="380" t="s">
        <v>769</v>
      </c>
      <c r="S9" s="381">
        <v>46204</v>
      </c>
      <c r="T9" s="381">
        <v>46387</v>
      </c>
      <c r="U9" s="196"/>
      <c r="V9" s="196"/>
      <c r="W9" s="196"/>
      <c r="X9" s="196"/>
      <c r="Y9" s="196"/>
      <c r="Z9" s="380"/>
      <c r="AA9" s="83"/>
      <c r="AB9" s="83"/>
      <c r="AC9" s="724" t="s">
        <v>155</v>
      </c>
      <c r="AD9" s="86">
        <v>1</v>
      </c>
      <c r="AE9" s="77" t="s">
        <v>300</v>
      </c>
      <c r="AF9" s="84" t="s">
        <v>310</v>
      </c>
      <c r="AG9" s="84" t="s">
        <v>310</v>
      </c>
      <c r="AH9" s="84" t="s">
        <v>310</v>
      </c>
      <c r="AI9" s="84" t="s">
        <v>310</v>
      </c>
      <c r="AJ9" s="85" t="s">
        <v>311</v>
      </c>
      <c r="AM9" s="67"/>
      <c r="AN9" s="67"/>
      <c r="AO9" s="79"/>
      <c r="AP9" s="79"/>
      <c r="AQ9" s="79"/>
      <c r="AR9" s="87"/>
      <c r="AS9" s="87"/>
      <c r="AT9" s="87"/>
      <c r="AU9" s="87"/>
      <c r="AV9" s="87"/>
      <c r="AW9" s="79"/>
      <c r="AX9" s="79"/>
    </row>
    <row r="10" spans="1:50" ht="93" customHeight="1">
      <c r="A10" s="80" t="str">
        <f>'2 CONTEXTO E IDENTIFICACIÓN'!A10</f>
        <v>R2</v>
      </c>
      <c r="B10" s="81" t="str">
        <f>+'2 CONTEXTO E IDENTIFICACIÓN'!K10</f>
        <v>Posibilidad de perdida de Disponibilidad, confidencialidad e integridad de la información por accesos no autorizados, hackeos o fallas en el servicio  debido a controles de seguridad y autenticación de usuarios, falta de actualización o  monitoreo de la plataforma</v>
      </c>
      <c r="C10" s="117">
        <f>+'3 PROBABIL E IMPACTO INHERENTE'!E10</f>
        <v>0.8</v>
      </c>
      <c r="D10" s="117">
        <f>+'3 PROBABIL E IMPACTO INHERENTE'!M10</f>
        <v>0.8</v>
      </c>
      <c r="E10" s="82" t="str">
        <f>+'4 MAPA CALOR INHERENTE'!C10</f>
        <v>Alta</v>
      </c>
      <c r="F10" s="82" t="str">
        <f>+'4 MAPA CALOR INHERENTE'!D10</f>
        <v>Mayor</v>
      </c>
      <c r="G10" s="337" t="str">
        <f>+'4 MAPA CALOR INHERENTE'!E10</f>
        <v>Alto</v>
      </c>
      <c r="H10" s="111">
        <f>+'5 VALORACIÓN DEL CONTROL'!T19</f>
        <v>0.28799999999999998</v>
      </c>
      <c r="I10" s="82">
        <f>+'5 VALORACIÓN DEL CONTROL'!U19</f>
        <v>0.8</v>
      </c>
      <c r="J10" s="82" t="str">
        <f t="shared" ref="J10:J28" si="3">+IF(H10=0,"",IF(H10&lt;=$AD$13,$AE$13,IF(H10&lt;=$AD$12,$AE$12,IF(H10&lt;=$AD$11,$AE$11,IF(H10&lt;=$AD$10,$AE$10,IF(H10&lt;=$AD$9,$AE$9,""))))))</f>
        <v>Baja</v>
      </c>
      <c r="K10" s="82" t="str">
        <f t="shared" ref="K10:K28" si="4">+IF(I10=0,"",IF(I10&lt;=$AF$7,$AF$8,IF(I10&lt;=$AG$7,$AG$8,IF(I10&lt;=$AH$7,$AH$8,IF(I10&lt;=$AI$7,$AI$8,IF(I10&lt;=$AJ$7,$AJ$8,""))))))</f>
        <v>Mayor</v>
      </c>
      <c r="L10" s="337" t="str">
        <f t="shared" ref="L10:L28" si="5">+IF(J10=$AE$9,IF(K10=$AF$8,$AF$9,IF(K10=$AG$8,$AG$9,IF(K10=$AH$8,$AH$9,IF(K10=$AI$8,$AI$9,IF(K10=$AJ$8,$AJ$9))))),IF(J10=$AE$10,IF(K10=$AF$8,$AF$10,IF(K10=$AG$8,$AG$10,IF(K10=$AH$8,$AH$10,IF(K10=$AI$8,$AI$10,IF(K10=$AJ$8,$AJ$10))))),IF(J10=$AE$11,IF(K10=$AF$8,$AF$11,IF(K10=$AG$8,$AG$11,IF(K10=$AH$8,$AH$11,IF(K10=$AI$8,$AI$11,IF(K10=$AJ$8,$AJ$11))))),IF(J10=$AE$12,IF(K10=$AF$8,$AF$12,IF(K10=$AG$8,$AG$12,IF(K10=$AH$8,$AH$12,IF(K10=$AI$8,$AI$12,IF(K10=$AJ$8,$AJ$12))))),IF(J10=$AE$13,IF(K10=$AF$8,$AF$13,IF(K10=$AG$8,$AG$13,IF(K10=$AH$8,$AH$13,IF(K10=$AI$8,$AI$13,IF(K10=$AJ$8,$AJ$13))))),"")))))</f>
        <v>Alto</v>
      </c>
      <c r="M10" s="337" t="str">
        <f t="shared" si="0"/>
        <v>Requiere Plan de Acción</v>
      </c>
      <c r="N10" s="337" t="str">
        <f t="shared" si="1"/>
        <v>Reducir_mitigar_Transferir_Evitar</v>
      </c>
      <c r="O10" s="380" t="s">
        <v>156</v>
      </c>
      <c r="P10" s="337" t="str">
        <f t="shared" si="2"/>
        <v>Mitigar</v>
      </c>
      <c r="Q10" s="196" t="s">
        <v>787</v>
      </c>
      <c r="R10" s="380" t="s">
        <v>751</v>
      </c>
      <c r="S10" s="381">
        <v>46204</v>
      </c>
      <c r="T10" s="381">
        <v>46387</v>
      </c>
      <c r="U10" s="196"/>
      <c r="V10" s="196"/>
      <c r="W10" s="196"/>
      <c r="X10" s="196"/>
      <c r="Y10" s="196"/>
      <c r="Z10" s="380"/>
      <c r="AA10" s="83"/>
      <c r="AB10" s="83"/>
      <c r="AC10" s="725"/>
      <c r="AD10" s="86">
        <v>0.8</v>
      </c>
      <c r="AE10" s="77" t="s">
        <v>295</v>
      </c>
      <c r="AF10" s="88" t="s">
        <v>292</v>
      </c>
      <c r="AG10" s="88" t="s">
        <v>292</v>
      </c>
      <c r="AH10" s="84" t="s">
        <v>310</v>
      </c>
      <c r="AI10" s="84" t="s">
        <v>310</v>
      </c>
      <c r="AJ10" s="85" t="s">
        <v>311</v>
      </c>
      <c r="AM10" s="67"/>
      <c r="AN10" s="67"/>
      <c r="AO10" s="79"/>
      <c r="AP10" s="89"/>
      <c r="AQ10" s="90"/>
      <c r="AR10" s="87"/>
      <c r="AS10" s="87"/>
      <c r="AT10" s="87"/>
      <c r="AU10" s="87"/>
      <c r="AV10" s="87"/>
      <c r="AW10" s="79"/>
      <c r="AX10" s="79"/>
    </row>
    <row r="11" spans="1:50" ht="93" customHeight="1">
      <c r="A11" s="80" t="str">
        <f>'2 CONTEXTO E IDENTIFICACIÓN'!A11</f>
        <v>R3</v>
      </c>
      <c r="B11" s="81" t="str">
        <f>+'2 CONTEXTO E IDENTIFICACIÓN'!K11</f>
        <v>Posibilidad de perdida de Disponibilidad, confidencialidad e integridad de la información por eliminación accidental de archivos,  fallas en el sistema o accesos no autorizados     a causa de deficiencias en copias de seguridad, controles de accesos o ausencia de politicas de preservación digital</v>
      </c>
      <c r="C11" s="117">
        <f>+'3 PROBABIL E IMPACTO INHERENTE'!E11</f>
        <v>0.8</v>
      </c>
      <c r="D11" s="117">
        <f>+'3 PROBABIL E IMPACTO INHERENTE'!M11</f>
        <v>0.8</v>
      </c>
      <c r="E11" s="82" t="str">
        <f>+'4 MAPA CALOR INHERENTE'!C11</f>
        <v>Alta</v>
      </c>
      <c r="F11" s="82" t="str">
        <f>+'4 MAPA CALOR INHERENTE'!D11</f>
        <v>Mayor</v>
      </c>
      <c r="G11" s="337" t="str">
        <f>+'4 MAPA CALOR INHERENTE'!E11</f>
        <v>Alto</v>
      </c>
      <c r="H11" s="111">
        <f>+'5 VALORACIÓN DEL CONTROL'!T25</f>
        <v>0.4</v>
      </c>
      <c r="I11" s="82">
        <f>+'5 VALORACIÓN DEL CONTROL'!U25</f>
        <v>0.52</v>
      </c>
      <c r="J11" s="82" t="str">
        <f t="shared" si="3"/>
        <v>Baja</v>
      </c>
      <c r="K11" s="82" t="str">
        <f t="shared" si="4"/>
        <v>Moderado</v>
      </c>
      <c r="L11" s="337" t="str">
        <f>+IF(J11=$AE$9,IF(K11=$AF$8,$AF$9,IF(K11=$AG$8,$AG$9,IF(K11=$AH$8,$AH$9,IF(K11=$AI$8,$AI$9,IF(K11=$AJ$8,$AJ$9))))),IF(J11=$AE$10,IF(K11=$AF$8,$AF$10,IF(K11=$AG$8,$AG$10,IF(K11=$AH$8,$AH$10,IF(K11=$AI$8,$AI$10,IF(K11=$AJ$8,$AJ$10))))),IF(J11=$AE$11,IF(K11=$AF$8,$AF$11,IF(K11=$AG$8,$AG$11,IF(K11=$AH$8,$AH$11,IF(K11=$AI$8,$AI$11,IF(K11=$AJ$8,$AJ$11))))),IF(J11=$AE$12,IF(K11=$AF$8,$AF$12,IF(K11=$AG$8,$AG$12,IF(K11=$AH$8,$AH$12,IF(K11=$AI$8,$AI$12,IF(K11=$AJ$8,$AJ$12))))),IF(J11=$AE$13,IF(K11=$AF$8,$AF$13,IF(K11=$AG$8,$AG$13,IF(K11=$AH$8,$AH$13,IF(K11=$AI$8,$AI$13,IF(K11=$AJ$8,$AJ$13))))),"")))))</f>
        <v>Moderado</v>
      </c>
      <c r="M11" s="337" t="str">
        <f t="shared" si="0"/>
        <v>Requiere Plan de Acción</v>
      </c>
      <c r="N11" s="337" t="str">
        <f t="shared" si="1"/>
        <v>Reducir_mitigar_Transferir_Evitar</v>
      </c>
      <c r="O11" s="380" t="s">
        <v>156</v>
      </c>
      <c r="P11" s="337" t="str">
        <f t="shared" si="2"/>
        <v>Mitigar</v>
      </c>
      <c r="Q11" s="196" t="s">
        <v>788</v>
      </c>
      <c r="R11" s="380" t="s">
        <v>751</v>
      </c>
      <c r="S11" s="381">
        <v>46204</v>
      </c>
      <c r="T11" s="381">
        <v>46387</v>
      </c>
      <c r="U11" s="196"/>
      <c r="V11" s="196"/>
      <c r="W11" s="196"/>
      <c r="X11" s="196"/>
      <c r="Y11" s="196"/>
      <c r="Z11" s="380"/>
      <c r="AA11" s="83"/>
      <c r="AB11" s="83"/>
      <c r="AC11" s="725"/>
      <c r="AD11" s="86">
        <v>0.6</v>
      </c>
      <c r="AE11" s="77" t="s">
        <v>290</v>
      </c>
      <c r="AF11" s="88" t="s">
        <v>292</v>
      </c>
      <c r="AG11" s="88" t="s">
        <v>292</v>
      </c>
      <c r="AH11" s="88" t="s">
        <v>292</v>
      </c>
      <c r="AI11" s="84" t="s">
        <v>310</v>
      </c>
      <c r="AJ11" s="85" t="s">
        <v>311</v>
      </c>
      <c r="AM11" s="67"/>
      <c r="AN11" s="67"/>
      <c r="AO11" s="79"/>
      <c r="AP11" s="89"/>
      <c r="AQ11" s="90"/>
      <c r="AR11" s="87"/>
      <c r="AS11" s="87"/>
      <c r="AT11" s="87"/>
      <c r="AU11" s="87"/>
      <c r="AV11" s="91"/>
      <c r="AW11" s="79"/>
      <c r="AX11" s="79"/>
    </row>
    <row r="12" spans="1:50" ht="93" customHeight="1">
      <c r="A12" s="80" t="str">
        <f>'2 CONTEXTO E IDENTIFICACIÓN'!A12</f>
        <v>R4</v>
      </c>
      <c r="B12" s="81" t="str">
        <f>+'2 CONTEXTO E IDENTIFICACIÓN'!K12</f>
        <v>Posibilidad de perdida de Disponibilidad, confidencialidad e integridad de la información por fallas tecnológicas y manipulación indebida de la información o interrupciones del servicio  debido a falta de actualización tecnólogica, vulnerabilidades en la administración de la plataforma o controles de seguridad avanzados</v>
      </c>
      <c r="C12" s="117">
        <f>+'3 PROBABIL E IMPACTO INHERENTE'!E12</f>
        <v>0.8</v>
      </c>
      <c r="D12" s="117">
        <f>+'3 PROBABIL E IMPACTO INHERENTE'!M12</f>
        <v>0.4</v>
      </c>
      <c r="E12" s="82" t="str">
        <f>+'4 MAPA CALOR INHERENTE'!C12</f>
        <v>Alta</v>
      </c>
      <c r="F12" s="82" t="str">
        <f>+'4 MAPA CALOR INHERENTE'!D12</f>
        <v>Menor</v>
      </c>
      <c r="G12" s="337" t="str">
        <f>+'4 MAPA CALOR INHERENTE'!E12</f>
        <v>Moderado</v>
      </c>
      <c r="H12" s="111">
        <f>+'5 VALORACIÓN DEL CONTROL'!T31</f>
        <v>0.33599999999999997</v>
      </c>
      <c r="I12" s="82">
        <f>+'5 VALORACIÓN DEL CONTROL'!U31</f>
        <v>0.4</v>
      </c>
      <c r="J12" s="82" t="str">
        <f t="shared" si="3"/>
        <v>Baja</v>
      </c>
      <c r="K12" s="82" t="str">
        <f t="shared" si="4"/>
        <v>Menor</v>
      </c>
      <c r="L12" s="337" t="str">
        <f t="shared" si="5"/>
        <v>Moderado</v>
      </c>
      <c r="M12" s="337" t="str">
        <f t="shared" si="0"/>
        <v>Requiere Plan de Acción</v>
      </c>
      <c r="N12" s="337" t="str">
        <f t="shared" si="1"/>
        <v>Reducir_mitigar_Transferir_Evitar</v>
      </c>
      <c r="O12" s="380" t="s">
        <v>156</v>
      </c>
      <c r="P12" s="337" t="str">
        <f t="shared" si="2"/>
        <v>Mitigar</v>
      </c>
      <c r="Q12" s="196" t="s">
        <v>789</v>
      </c>
      <c r="R12" s="380" t="s">
        <v>769</v>
      </c>
      <c r="S12" s="381">
        <v>46204</v>
      </c>
      <c r="T12" s="381">
        <v>46387</v>
      </c>
      <c r="U12" s="196"/>
      <c r="V12" s="196"/>
      <c r="W12" s="196"/>
      <c r="X12" s="196"/>
      <c r="Y12" s="196"/>
      <c r="Z12" s="380"/>
      <c r="AA12" s="83"/>
      <c r="AB12" s="83"/>
      <c r="AC12" s="725"/>
      <c r="AD12" s="86">
        <v>0.4</v>
      </c>
      <c r="AE12" s="77" t="s">
        <v>286</v>
      </c>
      <c r="AF12" s="92" t="s">
        <v>312</v>
      </c>
      <c r="AG12" s="88" t="s">
        <v>292</v>
      </c>
      <c r="AH12" s="88" t="s">
        <v>292</v>
      </c>
      <c r="AI12" s="84" t="s">
        <v>310</v>
      </c>
      <c r="AJ12" s="85" t="s">
        <v>311</v>
      </c>
      <c r="AM12" s="67"/>
      <c r="AN12" s="67"/>
      <c r="AO12" s="79"/>
      <c r="AP12" s="89"/>
      <c r="AQ12" s="90"/>
      <c r="AR12" s="87"/>
      <c r="AS12" s="87"/>
      <c r="AT12" s="87"/>
      <c r="AU12" s="91"/>
      <c r="AV12" s="87"/>
      <c r="AW12" s="79"/>
      <c r="AX12" s="79"/>
    </row>
    <row r="13" spans="1:50" ht="93" customHeight="1" thickBot="1">
      <c r="A13" s="80" t="str">
        <f>'2 CONTEXTO E IDENTIFICACIÓN'!A13</f>
        <v>R5</v>
      </c>
      <c r="B13" s="81" t="str">
        <f>+'2 CONTEXTO E IDENTIFICACIÓN'!K13</f>
        <v>Posibilidad de perdida de disponibilidad e integridad de la información por ataques cibernéticos, modificaciones no autorizadas o fallas del servidor   debido a ausencia de monitoreo permanente y mantenimiento de la plataforma o deficiencias en la implementación de controles de seguridad</v>
      </c>
      <c r="C13" s="117">
        <f>+'3 PROBABIL E IMPACTO INHERENTE'!E13</f>
        <v>0.6</v>
      </c>
      <c r="D13" s="117">
        <f>+'3 PROBABIL E IMPACTO INHERENTE'!M13</f>
        <v>0.6</v>
      </c>
      <c r="E13" s="82" t="str">
        <f>+'4 MAPA CALOR INHERENTE'!C13</f>
        <v>Media</v>
      </c>
      <c r="F13" s="82" t="str">
        <f>+'4 MAPA CALOR INHERENTE'!D13</f>
        <v>Moderado</v>
      </c>
      <c r="G13" s="337" t="str">
        <f>+'4 MAPA CALOR INHERENTE'!E13</f>
        <v>Moderado</v>
      </c>
      <c r="H13" s="111">
        <f>+'5 VALORACIÓN DEL CONTROL'!T37</f>
        <v>0.36</v>
      </c>
      <c r="I13" s="82">
        <f>+'5 VALORACIÓN DEL CONTROL'!U37</f>
        <v>0.44999999999999996</v>
      </c>
      <c r="J13" s="82" t="str">
        <f t="shared" si="3"/>
        <v>Baja</v>
      </c>
      <c r="K13" s="82" t="str">
        <f t="shared" si="4"/>
        <v>Moderado</v>
      </c>
      <c r="L13" s="337" t="str">
        <f t="shared" si="5"/>
        <v>Moderado</v>
      </c>
      <c r="M13" s="337" t="str">
        <f t="shared" si="0"/>
        <v>Requiere Plan de Acción</v>
      </c>
      <c r="N13" s="337" t="str">
        <f t="shared" si="1"/>
        <v>Reducir_mitigar_Transferir_Evitar</v>
      </c>
      <c r="O13" s="380" t="s">
        <v>156</v>
      </c>
      <c r="P13" s="337" t="str">
        <f t="shared" si="2"/>
        <v>Mitigar</v>
      </c>
      <c r="Q13" s="196" t="s">
        <v>790</v>
      </c>
      <c r="R13" s="380" t="s">
        <v>751</v>
      </c>
      <c r="S13" s="381">
        <v>46204</v>
      </c>
      <c r="T13" s="381">
        <v>46387</v>
      </c>
      <c r="U13" s="196"/>
      <c r="V13" s="196"/>
      <c r="W13" s="196"/>
      <c r="X13" s="196"/>
      <c r="Y13" s="196"/>
      <c r="Z13" s="380"/>
      <c r="AA13" s="83"/>
      <c r="AB13" s="83"/>
      <c r="AC13" s="726"/>
      <c r="AD13" s="98">
        <v>0.2</v>
      </c>
      <c r="AE13" s="99" t="s">
        <v>282</v>
      </c>
      <c r="AF13" s="94" t="s">
        <v>312</v>
      </c>
      <c r="AG13" s="94" t="s">
        <v>312</v>
      </c>
      <c r="AH13" s="95" t="s">
        <v>292</v>
      </c>
      <c r="AI13" s="96" t="s">
        <v>310</v>
      </c>
      <c r="AJ13" s="97" t="s">
        <v>311</v>
      </c>
      <c r="AM13" s="67"/>
      <c r="AN13" s="67"/>
      <c r="AO13" s="79"/>
      <c r="AP13" s="89"/>
      <c r="AQ13" s="90"/>
      <c r="AR13" s="87"/>
      <c r="AS13" s="87"/>
      <c r="AT13" s="87"/>
      <c r="AU13" s="100"/>
      <c r="AV13" s="87"/>
      <c r="AW13" s="79"/>
      <c r="AX13" s="79"/>
    </row>
    <row r="14" spans="1:50" ht="93" customHeight="1">
      <c r="A14" s="80" t="str">
        <f>'2 CONTEXTO E IDENTIFICACIÓN'!A14</f>
        <v>R6</v>
      </c>
      <c r="B14" s="81" t="str">
        <f>+'2 CONTEXTO E IDENTIFICACIÓN'!K14</f>
        <v xml:space="preserve">   </v>
      </c>
      <c r="C14" s="117" t="str">
        <f>+'3 PROBABIL E IMPACTO INHERENTE'!E14</f>
        <v/>
      </c>
      <c r="D14" s="117" t="str">
        <f>+'3 PROBABIL E IMPACTO INHERENTE'!M14</f>
        <v/>
      </c>
      <c r="E14" s="82" t="str">
        <f>+'4 MAPA CALOR INHERENTE'!C14</f>
        <v/>
      </c>
      <c r="F14" s="82" t="str">
        <f>+'4 MAPA CALOR INHERENTE'!D14</f>
        <v/>
      </c>
      <c r="G14" s="337" t="str">
        <f>+'4 MAPA CALOR INHERENTE'!E14</f>
        <v/>
      </c>
      <c r="H14" s="111" t="str">
        <f>+'5 VALORACIÓN DEL CONTROL'!T43</f>
        <v/>
      </c>
      <c r="I14" s="82" t="str">
        <f>+'5 VALORACIÓN DEL CONTROL'!U43</f>
        <v/>
      </c>
      <c r="J14" s="82" t="str">
        <f t="shared" si="3"/>
        <v/>
      </c>
      <c r="K14" s="82" t="str">
        <f t="shared" si="4"/>
        <v/>
      </c>
      <c r="L14" s="337" t="str">
        <f t="shared" si="5"/>
        <v/>
      </c>
      <c r="M14" s="337" t="str">
        <f t="shared" si="0"/>
        <v/>
      </c>
      <c r="N14" s="337" t="str">
        <f t="shared" si="1"/>
        <v/>
      </c>
      <c r="O14" s="380"/>
      <c r="P14" s="337" t="str">
        <f t="shared" si="2"/>
        <v/>
      </c>
      <c r="Q14" s="196"/>
      <c r="R14" s="380"/>
      <c r="S14" s="197"/>
      <c r="T14" s="197"/>
      <c r="U14" s="196"/>
      <c r="V14" s="196"/>
      <c r="W14" s="196"/>
      <c r="X14" s="196"/>
      <c r="Y14" s="196"/>
      <c r="Z14" s="380"/>
      <c r="AA14" s="83"/>
      <c r="AB14" s="83"/>
      <c r="AM14" s="67"/>
      <c r="AN14" s="67"/>
      <c r="AO14" s="79"/>
      <c r="AP14" s="89"/>
      <c r="AQ14" s="90"/>
      <c r="AR14" s="87"/>
      <c r="AS14" s="87"/>
      <c r="AT14" s="87"/>
      <c r="AU14" s="87"/>
      <c r="AV14" s="87"/>
      <c r="AW14" s="79"/>
      <c r="AX14" s="79"/>
    </row>
    <row r="15" spans="1:50" ht="93" customHeight="1">
      <c r="A15" s="80" t="str">
        <f>'2 CONTEXTO E IDENTIFICACIÓN'!A15</f>
        <v>R7</v>
      </c>
      <c r="B15" s="81" t="str">
        <f>+'2 CONTEXTO E IDENTIFICACIÓN'!K15</f>
        <v xml:space="preserve">   </v>
      </c>
      <c r="C15" s="117" t="str">
        <f>+'3 PROBABIL E IMPACTO INHERENTE'!E15</f>
        <v/>
      </c>
      <c r="D15" s="117" t="str">
        <f>+'3 PROBABIL E IMPACTO INHERENTE'!M15</f>
        <v/>
      </c>
      <c r="E15" s="82" t="str">
        <f>+'4 MAPA CALOR INHERENTE'!C15</f>
        <v/>
      </c>
      <c r="F15" s="82" t="str">
        <f>+'4 MAPA CALOR INHERENTE'!D15</f>
        <v/>
      </c>
      <c r="G15" s="337" t="str">
        <f>+'4 MAPA CALOR INHERENTE'!E15</f>
        <v/>
      </c>
      <c r="H15" s="111" t="str">
        <f>+'5 VALORACIÓN DEL CONTROL'!T49</f>
        <v/>
      </c>
      <c r="I15" s="82">
        <f>+'5 VALORACIÓN DEL CONTROL'!U49</f>
        <v>0.6</v>
      </c>
      <c r="J15" s="82" t="str">
        <f t="shared" si="3"/>
        <v/>
      </c>
      <c r="K15" s="82" t="str">
        <f t="shared" si="4"/>
        <v>Moderado</v>
      </c>
      <c r="L15" s="337" t="str">
        <f t="shared" si="5"/>
        <v/>
      </c>
      <c r="M15" s="337" t="str">
        <f t="shared" si="0"/>
        <v/>
      </c>
      <c r="N15" s="337" t="str">
        <f t="shared" si="1"/>
        <v/>
      </c>
      <c r="O15" s="380"/>
      <c r="P15" s="337" t="str">
        <f t="shared" si="2"/>
        <v/>
      </c>
      <c r="Q15" s="196"/>
      <c r="R15" s="380"/>
      <c r="S15" s="197"/>
      <c r="T15" s="197"/>
      <c r="U15" s="196"/>
      <c r="V15" s="196"/>
      <c r="W15" s="196"/>
      <c r="X15" s="196"/>
      <c r="Y15" s="196"/>
      <c r="Z15" s="380"/>
      <c r="AA15" s="83"/>
      <c r="AB15" s="83"/>
      <c r="AF15" s="71" t="s">
        <v>313</v>
      </c>
      <c r="AG15" s="71" t="s">
        <v>71</v>
      </c>
      <c r="AH15" s="71" t="s">
        <v>73</v>
      </c>
      <c r="AJ15" s="76" t="s">
        <v>353</v>
      </c>
      <c r="AK15" s="67"/>
      <c r="AL15" s="67"/>
      <c r="AM15" s="67"/>
      <c r="AN15" s="67"/>
      <c r="AO15" s="79"/>
      <c r="AP15" s="89"/>
      <c r="AQ15" s="79"/>
      <c r="AR15" s="90"/>
      <c r="AS15" s="90"/>
      <c r="AT15" s="90"/>
      <c r="AU15" s="90"/>
      <c r="AV15" s="90"/>
      <c r="AW15" s="79"/>
      <c r="AX15" s="79"/>
    </row>
    <row r="16" spans="1:50" ht="93" customHeight="1">
      <c r="A16" s="80" t="str">
        <f>'2 CONTEXTO E IDENTIFICACIÓN'!A16</f>
        <v>R8</v>
      </c>
      <c r="B16" s="81" t="str">
        <f>+'2 CONTEXTO E IDENTIFICACIÓN'!K16</f>
        <v xml:space="preserve">   </v>
      </c>
      <c r="C16" s="117" t="str">
        <f>+'3 PROBABIL E IMPACTO INHERENTE'!E16</f>
        <v/>
      </c>
      <c r="D16" s="117" t="str">
        <f>+'3 PROBABIL E IMPACTO INHERENTE'!M16</f>
        <v/>
      </c>
      <c r="E16" s="82" t="str">
        <f>+'4 MAPA CALOR INHERENTE'!C16</f>
        <v/>
      </c>
      <c r="F16" s="82" t="str">
        <f>+'4 MAPA CALOR INHERENTE'!D16</f>
        <v/>
      </c>
      <c r="G16" s="337" t="str">
        <f>+'4 MAPA CALOR INHERENTE'!E16</f>
        <v/>
      </c>
      <c r="H16" s="111" t="str">
        <f>+'5 VALORACIÓN DEL CONTROL'!T55</f>
        <v/>
      </c>
      <c r="I16" s="82">
        <f>+'5 VALORACIÓN DEL CONTROL'!U55</f>
        <v>0.6</v>
      </c>
      <c r="J16" s="82" t="str">
        <f t="shared" si="3"/>
        <v/>
      </c>
      <c r="K16" s="82" t="str">
        <f t="shared" si="4"/>
        <v>Moderado</v>
      </c>
      <c r="L16" s="337" t="str">
        <f t="shared" si="5"/>
        <v/>
      </c>
      <c r="M16" s="337" t="str">
        <f t="shared" si="0"/>
        <v/>
      </c>
      <c r="N16" s="337" t="str">
        <f t="shared" si="1"/>
        <v/>
      </c>
      <c r="O16" s="380"/>
      <c r="P16" s="337" t="str">
        <f t="shared" si="2"/>
        <v/>
      </c>
      <c r="Q16" s="196"/>
      <c r="R16" s="380"/>
      <c r="S16" s="197"/>
      <c r="T16" s="197"/>
      <c r="U16" s="196"/>
      <c r="V16" s="196"/>
      <c r="W16" s="196"/>
      <c r="X16" s="196"/>
      <c r="Y16" s="196"/>
      <c r="Z16" s="380"/>
      <c r="AA16" s="83"/>
      <c r="AB16" s="83"/>
      <c r="AF16" s="101" t="s">
        <v>311</v>
      </c>
      <c r="AG16" s="76" t="s">
        <v>353</v>
      </c>
      <c r="AH16" s="76" t="s">
        <v>354</v>
      </c>
      <c r="AI16" s="67"/>
      <c r="AJ16" s="282" t="s">
        <v>352</v>
      </c>
      <c r="AM16" s="67"/>
      <c r="AN16" s="67"/>
      <c r="AO16" s="79"/>
      <c r="AP16" s="79"/>
      <c r="AQ16" s="79"/>
      <c r="AR16" s="87"/>
      <c r="AS16" s="87"/>
      <c r="AT16" s="87"/>
      <c r="AU16" s="87"/>
      <c r="AV16" s="87"/>
      <c r="AW16" s="79"/>
      <c r="AX16" s="79"/>
    </row>
    <row r="17" spans="1:50" ht="93" customHeight="1">
      <c r="A17" s="80" t="str">
        <f>'2 CONTEXTO E IDENTIFICACIÓN'!A17</f>
        <v>R9</v>
      </c>
      <c r="B17" s="81" t="str">
        <f>+'2 CONTEXTO E IDENTIFICACIÓN'!K17</f>
        <v xml:space="preserve">   </v>
      </c>
      <c r="C17" s="117" t="str">
        <f>+'3 PROBABIL E IMPACTO INHERENTE'!E17</f>
        <v/>
      </c>
      <c r="D17" s="117" t="str">
        <f>+'3 PROBABIL E IMPACTO INHERENTE'!M17</f>
        <v/>
      </c>
      <c r="E17" s="82" t="str">
        <f>+'4 MAPA CALOR INHERENTE'!C17</f>
        <v/>
      </c>
      <c r="F17" s="82" t="str">
        <f>+'4 MAPA CALOR INHERENTE'!D17</f>
        <v/>
      </c>
      <c r="G17" s="337" t="str">
        <f>+'4 MAPA CALOR INHERENTE'!E17</f>
        <v/>
      </c>
      <c r="H17" s="111" t="str">
        <f>+'5 VALORACIÓN DEL CONTROL'!T61</f>
        <v/>
      </c>
      <c r="I17" s="82">
        <f>+'5 VALORACIÓN DEL CONTROL'!U61</f>
        <v>0.6</v>
      </c>
      <c r="J17" s="82" t="str">
        <f t="shared" si="3"/>
        <v/>
      </c>
      <c r="K17" s="82" t="str">
        <f t="shared" si="4"/>
        <v>Moderado</v>
      </c>
      <c r="L17" s="337" t="str">
        <f t="shared" si="5"/>
        <v/>
      </c>
      <c r="M17" s="337" t="str">
        <f t="shared" si="0"/>
        <v/>
      </c>
      <c r="N17" s="337" t="str">
        <f t="shared" si="1"/>
        <v/>
      </c>
      <c r="O17" s="380"/>
      <c r="P17" s="337" t="str">
        <f t="shared" si="2"/>
        <v/>
      </c>
      <c r="Q17" s="196"/>
      <c r="R17" s="380"/>
      <c r="S17" s="197"/>
      <c r="T17" s="197"/>
      <c r="U17" s="196"/>
      <c r="V17" s="196"/>
      <c r="W17" s="196"/>
      <c r="X17" s="196"/>
      <c r="Y17" s="196"/>
      <c r="Z17" s="380"/>
      <c r="AA17" s="83"/>
      <c r="AB17" s="83"/>
      <c r="AF17" s="84" t="s">
        <v>310</v>
      </c>
      <c r="AG17" s="76" t="s">
        <v>353</v>
      </c>
      <c r="AH17" s="76" t="s">
        <v>354</v>
      </c>
      <c r="AI17" s="67"/>
      <c r="AJ17" s="282" t="s">
        <v>355</v>
      </c>
      <c r="AK17" s="67"/>
      <c r="AL17" s="67"/>
      <c r="AM17" s="67"/>
      <c r="AN17" s="67"/>
      <c r="AO17" s="79"/>
      <c r="AP17" s="79"/>
      <c r="AQ17" s="79"/>
      <c r="AR17" s="87"/>
      <c r="AS17" s="87"/>
      <c r="AT17" s="87"/>
      <c r="AU17" s="87"/>
      <c r="AV17" s="87"/>
      <c r="AW17" s="79"/>
      <c r="AX17" s="79"/>
    </row>
    <row r="18" spans="1:50" ht="93" customHeight="1">
      <c r="A18" s="80" t="str">
        <f>'2 CONTEXTO E IDENTIFICACIÓN'!A18</f>
        <v>R10</v>
      </c>
      <c r="B18" s="81" t="str">
        <f>+'2 CONTEXTO E IDENTIFICACIÓN'!K18</f>
        <v xml:space="preserve">   </v>
      </c>
      <c r="C18" s="117" t="str">
        <f>+'3 PROBABIL E IMPACTO INHERENTE'!E18</f>
        <v/>
      </c>
      <c r="D18" s="117" t="str">
        <f>+'3 PROBABIL E IMPACTO INHERENTE'!M18</f>
        <v/>
      </c>
      <c r="E18" s="82" t="str">
        <f>+'4 MAPA CALOR INHERENTE'!C18</f>
        <v/>
      </c>
      <c r="F18" s="82" t="str">
        <f>+'4 MAPA CALOR INHERENTE'!D18</f>
        <v/>
      </c>
      <c r="G18" s="337" t="str">
        <f>+'4 MAPA CALOR INHERENTE'!E18</f>
        <v/>
      </c>
      <c r="H18" s="111" t="str">
        <f>+'5 VALORACIÓN DEL CONTROL'!T67</f>
        <v/>
      </c>
      <c r="I18" s="82">
        <f>+'5 VALORACIÓN DEL CONTROL'!U67</f>
        <v>0.6</v>
      </c>
      <c r="J18" s="82" t="str">
        <f t="shared" si="3"/>
        <v/>
      </c>
      <c r="K18" s="82" t="str">
        <f t="shared" si="4"/>
        <v>Moderado</v>
      </c>
      <c r="L18" s="337" t="str">
        <f t="shared" si="5"/>
        <v/>
      </c>
      <c r="M18" s="337" t="str">
        <f t="shared" si="0"/>
        <v/>
      </c>
      <c r="N18" s="337" t="str">
        <f t="shared" si="1"/>
        <v/>
      </c>
      <c r="O18" s="380"/>
      <c r="P18" s="337" t="str">
        <f t="shared" si="2"/>
        <v/>
      </c>
      <c r="Q18" s="196"/>
      <c r="R18" s="380"/>
      <c r="S18" s="197"/>
      <c r="T18" s="197"/>
      <c r="U18" s="196"/>
      <c r="V18" s="196"/>
      <c r="W18" s="196"/>
      <c r="X18" s="196"/>
      <c r="Y18" s="196"/>
      <c r="Z18" s="380"/>
      <c r="AA18" s="83"/>
      <c r="AB18" s="83"/>
      <c r="AE18" s="102"/>
      <c r="AF18" s="88" t="s">
        <v>292</v>
      </c>
      <c r="AG18" s="76" t="s">
        <v>353</v>
      </c>
      <c r="AH18" s="76" t="s">
        <v>354</v>
      </c>
      <c r="AI18" s="102"/>
      <c r="AJ18" s="282" t="s">
        <v>178</v>
      </c>
      <c r="AK18" s="102"/>
      <c r="AL18" s="102"/>
      <c r="AM18" s="102"/>
      <c r="AN18" s="102"/>
      <c r="AO18" s="79"/>
      <c r="AP18" s="79"/>
      <c r="AQ18" s="103"/>
      <c r="AR18" s="103"/>
      <c r="AS18" s="103"/>
      <c r="AT18" s="103"/>
      <c r="AU18" s="103"/>
      <c r="AV18" s="103"/>
      <c r="AW18" s="79"/>
      <c r="AX18" s="79"/>
    </row>
    <row r="19" spans="1:50" ht="93" customHeight="1">
      <c r="A19" s="80" t="str">
        <f>'2 CONTEXTO E IDENTIFICACIÓN'!A19</f>
        <v>R11</v>
      </c>
      <c r="B19" s="81" t="str">
        <f>+'2 CONTEXTO E IDENTIFICACIÓN'!K19</f>
        <v xml:space="preserve">   </v>
      </c>
      <c r="C19" s="117" t="str">
        <f>+'3 PROBABIL E IMPACTO INHERENTE'!E19</f>
        <v/>
      </c>
      <c r="D19" s="117" t="str">
        <f>+'3 PROBABIL E IMPACTO INHERENTE'!M19</f>
        <v/>
      </c>
      <c r="E19" s="82" t="str">
        <f>+'4 MAPA CALOR INHERENTE'!C19</f>
        <v/>
      </c>
      <c r="F19" s="82" t="str">
        <f>+'4 MAPA CALOR INHERENTE'!D19</f>
        <v/>
      </c>
      <c r="G19" s="337" t="str">
        <f>+'4 MAPA CALOR INHERENTE'!E19</f>
        <v/>
      </c>
      <c r="H19" s="111" t="str">
        <f>+'5 VALORACIÓN DEL CONTROL'!T73</f>
        <v/>
      </c>
      <c r="I19" s="82">
        <f>+'5 VALORACIÓN DEL CONTROL'!U73</f>
        <v>0.6</v>
      </c>
      <c r="J19" s="82" t="str">
        <f t="shared" si="3"/>
        <v/>
      </c>
      <c r="K19" s="82" t="str">
        <f t="shared" si="4"/>
        <v>Moderado</v>
      </c>
      <c r="L19" s="337" t="str">
        <f t="shared" si="5"/>
        <v/>
      </c>
      <c r="M19" s="337" t="str">
        <f t="shared" si="0"/>
        <v/>
      </c>
      <c r="N19" s="337" t="str">
        <f t="shared" si="1"/>
        <v/>
      </c>
      <c r="O19" s="380"/>
      <c r="P19" s="337" t="str">
        <f t="shared" si="2"/>
        <v/>
      </c>
      <c r="Q19" s="196"/>
      <c r="R19" s="380"/>
      <c r="S19" s="197"/>
      <c r="T19" s="197"/>
      <c r="U19" s="196"/>
      <c r="V19" s="196"/>
      <c r="W19" s="196"/>
      <c r="X19" s="196"/>
      <c r="Y19" s="196"/>
      <c r="Z19" s="380"/>
      <c r="AA19" s="83"/>
      <c r="AB19" s="83"/>
      <c r="AE19" s="102"/>
      <c r="AF19" s="92" t="s">
        <v>312</v>
      </c>
      <c r="AG19" s="76" t="s">
        <v>175</v>
      </c>
      <c r="AH19" s="76" t="s">
        <v>356</v>
      </c>
      <c r="AM19" s="102"/>
      <c r="AN19" s="102"/>
      <c r="AO19" s="79"/>
      <c r="AP19" s="79"/>
      <c r="AQ19" s="79"/>
      <c r="AR19" s="87"/>
      <c r="AS19" s="87"/>
      <c r="AT19" s="87"/>
      <c r="AU19" s="87"/>
      <c r="AV19" s="87"/>
      <c r="AW19" s="79"/>
      <c r="AX19" s="79"/>
    </row>
    <row r="20" spans="1:50" ht="93" customHeight="1">
      <c r="A20" s="80" t="str">
        <f>'2 CONTEXTO E IDENTIFICACIÓN'!A20</f>
        <v>R12</v>
      </c>
      <c r="B20" s="81" t="str">
        <f>+'2 CONTEXTO E IDENTIFICACIÓN'!K20</f>
        <v xml:space="preserve">   </v>
      </c>
      <c r="C20" s="117" t="str">
        <f>+'3 PROBABIL E IMPACTO INHERENTE'!E20</f>
        <v/>
      </c>
      <c r="D20" s="117" t="str">
        <f>+'3 PROBABIL E IMPACTO INHERENTE'!M20</f>
        <v/>
      </c>
      <c r="E20" s="82" t="str">
        <f>+'4 MAPA CALOR INHERENTE'!C20</f>
        <v/>
      </c>
      <c r="F20" s="82" t="str">
        <f>+'4 MAPA CALOR INHERENTE'!D20</f>
        <v/>
      </c>
      <c r="G20" s="337" t="str">
        <f>+'4 MAPA CALOR INHERENTE'!E20</f>
        <v/>
      </c>
      <c r="H20" s="111" t="str">
        <f>+'5 VALORACIÓN DEL CONTROL'!T79</f>
        <v/>
      </c>
      <c r="I20" s="82">
        <f>+'5 VALORACIÓN DEL CONTROL'!U79</f>
        <v>0.6</v>
      </c>
      <c r="J20" s="82" t="str">
        <f t="shared" si="3"/>
        <v/>
      </c>
      <c r="K20" s="82" t="str">
        <f t="shared" si="4"/>
        <v>Moderado</v>
      </c>
      <c r="L20" s="337" t="str">
        <f t="shared" si="5"/>
        <v/>
      </c>
      <c r="M20" s="337" t="str">
        <f t="shared" si="0"/>
        <v/>
      </c>
      <c r="N20" s="337" t="str">
        <f t="shared" si="1"/>
        <v/>
      </c>
      <c r="O20" s="380"/>
      <c r="P20" s="337" t="str">
        <f t="shared" si="2"/>
        <v/>
      </c>
      <c r="Q20" s="196"/>
      <c r="R20" s="380"/>
      <c r="S20" s="197"/>
      <c r="T20" s="197"/>
      <c r="U20" s="196"/>
      <c r="V20" s="196"/>
      <c r="W20" s="196"/>
      <c r="X20" s="196"/>
      <c r="Y20" s="196"/>
      <c r="Z20" s="380"/>
      <c r="AA20" s="83"/>
      <c r="AB20" s="83"/>
      <c r="AC20" s="104"/>
      <c r="AD20" s="104"/>
      <c r="AE20" s="102"/>
      <c r="AF20" s="176"/>
      <c r="AM20" s="102"/>
      <c r="AN20" s="102"/>
      <c r="AO20" s="79"/>
      <c r="AP20" s="79"/>
      <c r="AQ20" s="79"/>
      <c r="AR20" s="87"/>
      <c r="AS20" s="87"/>
      <c r="AT20" s="87"/>
      <c r="AU20" s="87"/>
      <c r="AV20" s="87"/>
      <c r="AW20" s="79"/>
      <c r="AX20" s="79"/>
    </row>
    <row r="21" spans="1:50" ht="93" customHeight="1">
      <c r="A21" s="80" t="str">
        <f>'2 CONTEXTO E IDENTIFICACIÓN'!A21</f>
        <v>R13</v>
      </c>
      <c r="B21" s="81" t="str">
        <f>+'2 CONTEXTO E IDENTIFICACIÓN'!K21</f>
        <v xml:space="preserve">   </v>
      </c>
      <c r="C21" s="117" t="str">
        <f>+'3 PROBABIL E IMPACTO INHERENTE'!E21</f>
        <v/>
      </c>
      <c r="D21" s="117" t="str">
        <f>+'3 PROBABIL E IMPACTO INHERENTE'!M21</f>
        <v/>
      </c>
      <c r="E21" s="82" t="str">
        <f>+'4 MAPA CALOR INHERENTE'!C21</f>
        <v/>
      </c>
      <c r="F21" s="82" t="str">
        <f>+'4 MAPA CALOR INHERENTE'!D21</f>
        <v/>
      </c>
      <c r="G21" s="337" t="str">
        <f>+'4 MAPA CALOR INHERENTE'!E21</f>
        <v/>
      </c>
      <c r="H21" s="111" t="str">
        <f>+'5 VALORACIÓN DEL CONTROL'!T85</f>
        <v/>
      </c>
      <c r="I21" s="82">
        <f>+'5 VALORACIÓN DEL CONTROL'!U85</f>
        <v>0.6</v>
      </c>
      <c r="J21" s="82" t="str">
        <f t="shared" si="3"/>
        <v/>
      </c>
      <c r="K21" s="82" t="str">
        <f t="shared" si="4"/>
        <v>Moderado</v>
      </c>
      <c r="L21" s="337" t="str">
        <f t="shared" si="5"/>
        <v/>
      </c>
      <c r="M21" s="337" t="str">
        <f t="shared" si="0"/>
        <v/>
      </c>
      <c r="N21" s="337" t="str">
        <f t="shared" si="1"/>
        <v/>
      </c>
      <c r="O21" s="380"/>
      <c r="P21" s="337" t="str">
        <f t="shared" si="2"/>
        <v/>
      </c>
      <c r="Q21" s="196"/>
      <c r="R21" s="380"/>
      <c r="S21" s="197"/>
      <c r="T21" s="197"/>
      <c r="U21" s="196"/>
      <c r="V21" s="196"/>
      <c r="W21" s="196"/>
      <c r="X21" s="196"/>
      <c r="Y21" s="196"/>
      <c r="Z21" s="380"/>
      <c r="AA21" s="83"/>
      <c r="AB21" s="83"/>
      <c r="AC21" s="104"/>
      <c r="AD21" s="104"/>
      <c r="AE21" s="105"/>
      <c r="AM21" s="102"/>
      <c r="AN21" s="102"/>
      <c r="AO21" s="79"/>
      <c r="AP21" s="100"/>
      <c r="AQ21" s="100"/>
      <c r="AR21" s="100"/>
      <c r="AS21" s="100"/>
      <c r="AT21" s="100"/>
      <c r="AU21" s="100"/>
      <c r="AV21" s="87"/>
      <c r="AW21" s="79"/>
      <c r="AX21" s="79"/>
    </row>
    <row r="22" spans="1:50" ht="93" customHeight="1">
      <c r="A22" s="80" t="str">
        <f>'2 CONTEXTO E IDENTIFICACIÓN'!A22</f>
        <v>R14</v>
      </c>
      <c r="B22" s="81" t="str">
        <f>+'2 CONTEXTO E IDENTIFICACIÓN'!K22</f>
        <v xml:space="preserve">   </v>
      </c>
      <c r="C22" s="117" t="str">
        <f>+'3 PROBABIL E IMPACTO INHERENTE'!E22</f>
        <v/>
      </c>
      <c r="D22" s="117" t="str">
        <f>+'3 PROBABIL E IMPACTO INHERENTE'!M22</f>
        <v/>
      </c>
      <c r="E22" s="82" t="str">
        <f>+'4 MAPA CALOR INHERENTE'!C22</f>
        <v/>
      </c>
      <c r="F22" s="82" t="str">
        <f>+'4 MAPA CALOR INHERENTE'!D22</f>
        <v/>
      </c>
      <c r="G22" s="337" t="str">
        <f>+'4 MAPA CALOR INHERENTE'!E22</f>
        <v/>
      </c>
      <c r="H22" s="111" t="str">
        <f>+'5 VALORACIÓN DEL CONTROL'!T91</f>
        <v/>
      </c>
      <c r="I22" s="82">
        <f>+'5 VALORACIÓN DEL CONTROL'!U91</f>
        <v>0.6</v>
      </c>
      <c r="J22" s="82" t="str">
        <f t="shared" si="3"/>
        <v/>
      </c>
      <c r="K22" s="82" t="str">
        <f t="shared" si="4"/>
        <v>Moderado</v>
      </c>
      <c r="L22" s="337" t="str">
        <f t="shared" si="5"/>
        <v/>
      </c>
      <c r="M22" s="337" t="str">
        <f t="shared" si="0"/>
        <v/>
      </c>
      <c r="N22" s="337" t="str">
        <f t="shared" si="1"/>
        <v/>
      </c>
      <c r="O22" s="380"/>
      <c r="P22" s="337" t="str">
        <f t="shared" si="2"/>
        <v/>
      </c>
      <c r="Q22" s="196"/>
      <c r="R22" s="380"/>
      <c r="S22" s="197"/>
      <c r="T22" s="197"/>
      <c r="U22" s="196"/>
      <c r="V22" s="196"/>
      <c r="W22" s="196"/>
      <c r="X22" s="196"/>
      <c r="Y22" s="196"/>
      <c r="Z22" s="380"/>
      <c r="AA22" s="83"/>
      <c r="AB22" s="83"/>
      <c r="AC22" s="104"/>
      <c r="AD22" s="104"/>
      <c r="AO22" s="79"/>
      <c r="AP22" s="106"/>
      <c r="AQ22" s="106"/>
      <c r="AR22" s="106"/>
      <c r="AS22" s="106"/>
      <c r="AT22" s="106"/>
      <c r="AU22" s="106"/>
      <c r="AV22" s="87"/>
      <c r="AW22" s="79"/>
      <c r="AX22" s="79"/>
    </row>
    <row r="23" spans="1:50" ht="93" customHeight="1">
      <c r="A23" s="80" t="str">
        <f>'2 CONTEXTO E IDENTIFICACIÓN'!A23</f>
        <v>R15</v>
      </c>
      <c r="B23" s="81" t="str">
        <f>+'2 CONTEXTO E IDENTIFICACIÓN'!K23</f>
        <v xml:space="preserve">   </v>
      </c>
      <c r="C23" s="117" t="str">
        <f>+'3 PROBABIL E IMPACTO INHERENTE'!E23</f>
        <v/>
      </c>
      <c r="D23" s="117" t="str">
        <f>+'3 PROBABIL E IMPACTO INHERENTE'!M23</f>
        <v/>
      </c>
      <c r="E23" s="82" t="str">
        <f>+'4 MAPA CALOR INHERENTE'!C23</f>
        <v/>
      </c>
      <c r="F23" s="82" t="str">
        <f>+'4 MAPA CALOR INHERENTE'!D23</f>
        <v/>
      </c>
      <c r="G23" s="337" t="str">
        <f>+'4 MAPA CALOR INHERENTE'!E23</f>
        <v/>
      </c>
      <c r="H23" s="111" t="str">
        <f>+'5 VALORACIÓN DEL CONTROL'!T97</f>
        <v/>
      </c>
      <c r="I23" s="82">
        <f>+'5 VALORACIÓN DEL CONTROL'!U97</f>
        <v>0.6</v>
      </c>
      <c r="J23" s="82" t="str">
        <f t="shared" si="3"/>
        <v/>
      </c>
      <c r="K23" s="82" t="str">
        <f t="shared" si="4"/>
        <v>Moderado</v>
      </c>
      <c r="L23" s="337" t="str">
        <f t="shared" si="5"/>
        <v/>
      </c>
      <c r="M23" s="337" t="str">
        <f t="shared" si="0"/>
        <v/>
      </c>
      <c r="N23" s="337" t="str">
        <f t="shared" si="1"/>
        <v/>
      </c>
      <c r="O23" s="380"/>
      <c r="P23" s="337" t="str">
        <f t="shared" si="2"/>
        <v/>
      </c>
      <c r="Q23" s="196"/>
      <c r="R23" s="380"/>
      <c r="S23" s="197"/>
      <c r="T23" s="197"/>
      <c r="U23" s="196"/>
      <c r="V23" s="196"/>
      <c r="W23" s="196"/>
      <c r="X23" s="196"/>
      <c r="Y23" s="196"/>
      <c r="Z23" s="380"/>
      <c r="AA23" s="83"/>
      <c r="AB23" s="83"/>
      <c r="AC23" s="104"/>
      <c r="AD23" s="104"/>
      <c r="AO23" s="79"/>
      <c r="AP23" s="100"/>
      <c r="AQ23" s="100"/>
      <c r="AR23" s="100"/>
      <c r="AS23" s="100"/>
      <c r="AT23" s="100"/>
      <c r="AU23" s="100"/>
      <c r="AV23" s="87"/>
      <c r="AW23" s="79"/>
      <c r="AX23" s="79"/>
    </row>
    <row r="24" spans="1:50" ht="93" customHeight="1">
      <c r="A24" s="80" t="str">
        <f>'2 CONTEXTO E IDENTIFICACIÓN'!A24</f>
        <v>R16</v>
      </c>
      <c r="B24" s="81" t="str">
        <f>+'2 CONTEXTO E IDENTIFICACIÓN'!K24</f>
        <v xml:space="preserve">   </v>
      </c>
      <c r="C24" s="117" t="str">
        <f>+'3 PROBABIL E IMPACTO INHERENTE'!E24</f>
        <v/>
      </c>
      <c r="D24" s="117" t="str">
        <f>+'3 PROBABIL E IMPACTO INHERENTE'!M24</f>
        <v/>
      </c>
      <c r="E24" s="82" t="str">
        <f>+'4 MAPA CALOR INHERENTE'!C24</f>
        <v/>
      </c>
      <c r="F24" s="82" t="str">
        <f>+'4 MAPA CALOR INHERENTE'!D24</f>
        <v/>
      </c>
      <c r="G24" s="337" t="str">
        <f>+'4 MAPA CALOR INHERENTE'!E24</f>
        <v/>
      </c>
      <c r="H24" s="111" t="str">
        <f>+'5 VALORACIÓN DEL CONTROL'!T103</f>
        <v/>
      </c>
      <c r="I24" s="82">
        <f>+'5 VALORACIÓN DEL CONTROL'!U103</f>
        <v>0.6</v>
      </c>
      <c r="J24" s="82" t="str">
        <f t="shared" si="3"/>
        <v/>
      </c>
      <c r="K24" s="82" t="str">
        <f t="shared" si="4"/>
        <v>Moderado</v>
      </c>
      <c r="L24" s="337" t="str">
        <f t="shared" si="5"/>
        <v/>
      </c>
      <c r="M24" s="337" t="str">
        <f t="shared" si="0"/>
        <v/>
      </c>
      <c r="N24" s="337" t="str">
        <f t="shared" si="1"/>
        <v/>
      </c>
      <c r="O24" s="380"/>
      <c r="P24" s="337" t="str">
        <f t="shared" si="2"/>
        <v/>
      </c>
      <c r="Q24" s="196"/>
      <c r="R24" s="380"/>
      <c r="S24" s="197"/>
      <c r="T24" s="197"/>
      <c r="U24" s="196"/>
      <c r="V24" s="196"/>
      <c r="W24" s="196"/>
      <c r="X24" s="196"/>
      <c r="Y24" s="196"/>
      <c r="Z24" s="380"/>
      <c r="AA24" s="83"/>
      <c r="AB24" s="83"/>
      <c r="AO24" s="79"/>
      <c r="AP24" s="100"/>
      <c r="AQ24" s="100"/>
      <c r="AR24" s="100"/>
      <c r="AS24" s="100"/>
      <c r="AT24" s="100"/>
      <c r="AU24" s="100"/>
      <c r="AV24" s="87"/>
      <c r="AW24" s="79"/>
      <c r="AX24" s="79"/>
    </row>
    <row r="25" spans="1:50" ht="93" customHeight="1">
      <c r="A25" s="80" t="str">
        <f>'2 CONTEXTO E IDENTIFICACIÓN'!A25</f>
        <v>R17</v>
      </c>
      <c r="B25" s="81" t="str">
        <f>+'2 CONTEXTO E IDENTIFICACIÓN'!K25</f>
        <v xml:space="preserve">   </v>
      </c>
      <c r="C25" s="117" t="str">
        <f>+'3 PROBABIL E IMPACTO INHERENTE'!E25</f>
        <v/>
      </c>
      <c r="D25" s="117" t="str">
        <f>+'3 PROBABIL E IMPACTO INHERENTE'!M25</f>
        <v/>
      </c>
      <c r="E25" s="82" t="str">
        <f>+'4 MAPA CALOR INHERENTE'!C25</f>
        <v/>
      </c>
      <c r="F25" s="82" t="str">
        <f>+'4 MAPA CALOR INHERENTE'!D25</f>
        <v/>
      </c>
      <c r="G25" s="337" t="str">
        <f>+'4 MAPA CALOR INHERENTE'!E25</f>
        <v/>
      </c>
      <c r="H25" s="111" t="str">
        <f>+'5 VALORACIÓN DEL CONTROL'!T109</f>
        <v/>
      </c>
      <c r="I25" s="82">
        <f>+'5 VALORACIÓN DEL CONTROL'!U109</f>
        <v>0.6</v>
      </c>
      <c r="J25" s="82" t="str">
        <f t="shared" si="3"/>
        <v/>
      </c>
      <c r="K25" s="82" t="str">
        <f t="shared" si="4"/>
        <v>Moderado</v>
      </c>
      <c r="L25" s="337" t="str">
        <f t="shared" si="5"/>
        <v/>
      </c>
      <c r="M25" s="337" t="str">
        <f t="shared" si="0"/>
        <v/>
      </c>
      <c r="N25" s="337" t="str">
        <f t="shared" si="1"/>
        <v/>
      </c>
      <c r="O25" s="380"/>
      <c r="P25" s="337" t="str">
        <f t="shared" si="2"/>
        <v/>
      </c>
      <c r="Q25" s="196"/>
      <c r="R25" s="380"/>
      <c r="S25" s="197"/>
      <c r="T25" s="197"/>
      <c r="U25" s="196"/>
      <c r="V25" s="196"/>
      <c r="W25" s="196"/>
      <c r="X25" s="196"/>
      <c r="Y25" s="196"/>
      <c r="Z25" s="380"/>
      <c r="AA25" s="83"/>
      <c r="AB25" s="83"/>
    </row>
    <row r="26" spans="1:50" ht="93" customHeight="1">
      <c r="A26" s="80" t="str">
        <f>'2 CONTEXTO E IDENTIFICACIÓN'!A26</f>
        <v>R18</v>
      </c>
      <c r="B26" s="81" t="str">
        <f>+'2 CONTEXTO E IDENTIFICACIÓN'!K26</f>
        <v xml:space="preserve">   </v>
      </c>
      <c r="C26" s="117" t="str">
        <f>+'3 PROBABIL E IMPACTO INHERENTE'!E26</f>
        <v/>
      </c>
      <c r="D26" s="117" t="str">
        <f>+'3 PROBABIL E IMPACTO INHERENTE'!M26</f>
        <v/>
      </c>
      <c r="E26" s="82" t="str">
        <f>+'4 MAPA CALOR INHERENTE'!C26</f>
        <v/>
      </c>
      <c r="F26" s="82" t="str">
        <f>+'4 MAPA CALOR INHERENTE'!D26</f>
        <v/>
      </c>
      <c r="G26" s="337" t="str">
        <f>+'4 MAPA CALOR INHERENTE'!E26</f>
        <v/>
      </c>
      <c r="H26" s="111" t="str">
        <f>+'5 VALORACIÓN DEL CONTROL'!T115</f>
        <v/>
      </c>
      <c r="I26" s="82">
        <f>+'5 VALORACIÓN DEL CONTROL'!U115</f>
        <v>0.6</v>
      </c>
      <c r="J26" s="82" t="str">
        <f t="shared" si="3"/>
        <v/>
      </c>
      <c r="K26" s="82" t="str">
        <f t="shared" si="4"/>
        <v>Moderado</v>
      </c>
      <c r="L26" s="337" t="str">
        <f t="shared" si="5"/>
        <v/>
      </c>
      <c r="M26" s="337" t="str">
        <f t="shared" si="0"/>
        <v/>
      </c>
      <c r="N26" s="337" t="str">
        <f t="shared" si="1"/>
        <v/>
      </c>
      <c r="O26" s="380"/>
      <c r="P26" s="337" t="str">
        <f t="shared" si="2"/>
        <v/>
      </c>
      <c r="Q26" s="196"/>
      <c r="R26" s="380"/>
      <c r="S26" s="197"/>
      <c r="T26" s="197"/>
      <c r="U26" s="196"/>
      <c r="V26" s="196"/>
      <c r="W26" s="196"/>
      <c r="X26" s="196"/>
      <c r="Y26" s="196"/>
      <c r="Z26" s="380"/>
      <c r="AA26" s="83"/>
      <c r="AB26" s="83"/>
    </row>
    <row r="27" spans="1:50" ht="93" customHeight="1">
      <c r="A27" s="80" t="str">
        <f>'2 CONTEXTO E IDENTIFICACIÓN'!A27</f>
        <v>R19</v>
      </c>
      <c r="B27" s="81" t="str">
        <f>+'2 CONTEXTO E IDENTIFICACIÓN'!K27</f>
        <v xml:space="preserve">   </v>
      </c>
      <c r="C27" s="117" t="str">
        <f>+'3 PROBABIL E IMPACTO INHERENTE'!E27</f>
        <v/>
      </c>
      <c r="D27" s="117" t="str">
        <f>+'3 PROBABIL E IMPACTO INHERENTE'!M27</f>
        <v/>
      </c>
      <c r="E27" s="82" t="str">
        <f>+'4 MAPA CALOR INHERENTE'!C27</f>
        <v/>
      </c>
      <c r="F27" s="82" t="str">
        <f>+'4 MAPA CALOR INHERENTE'!D27</f>
        <v/>
      </c>
      <c r="G27" s="337" t="str">
        <f>+'4 MAPA CALOR INHERENTE'!E27</f>
        <v/>
      </c>
      <c r="H27" s="111" t="str">
        <f>+'5 VALORACIÓN DEL CONTROL'!T121</f>
        <v/>
      </c>
      <c r="I27" s="82">
        <f>+'5 VALORACIÓN DEL CONTROL'!U121</f>
        <v>0.6</v>
      </c>
      <c r="J27" s="82" t="str">
        <f t="shared" si="3"/>
        <v/>
      </c>
      <c r="K27" s="82" t="str">
        <f t="shared" si="4"/>
        <v>Moderado</v>
      </c>
      <c r="L27" s="337" t="str">
        <f t="shared" si="5"/>
        <v/>
      </c>
      <c r="M27" s="337" t="str">
        <f t="shared" si="0"/>
        <v/>
      </c>
      <c r="N27" s="337" t="str">
        <f t="shared" si="1"/>
        <v/>
      </c>
      <c r="O27" s="380"/>
      <c r="P27" s="337" t="str">
        <f t="shared" si="2"/>
        <v/>
      </c>
      <c r="Q27" s="196"/>
      <c r="R27" s="380"/>
      <c r="S27" s="197"/>
      <c r="T27" s="197"/>
      <c r="U27" s="196"/>
      <c r="V27" s="196"/>
      <c r="W27" s="196"/>
      <c r="X27" s="196"/>
      <c r="Y27" s="196"/>
      <c r="Z27" s="380"/>
      <c r="AA27" s="83"/>
      <c r="AB27" s="83"/>
    </row>
    <row r="28" spans="1:50" ht="93" customHeight="1">
      <c r="A28" s="80" t="str">
        <f>'2 CONTEXTO E IDENTIFICACIÓN'!A28</f>
        <v>R20</v>
      </c>
      <c r="B28" s="81" t="str">
        <f>+'2 CONTEXTO E IDENTIFICACIÓN'!K28</f>
        <v xml:space="preserve">   </v>
      </c>
      <c r="C28" s="117" t="str">
        <f>+'3 PROBABIL E IMPACTO INHERENTE'!E28</f>
        <v/>
      </c>
      <c r="D28" s="117" t="str">
        <f>+'3 PROBABIL E IMPACTO INHERENTE'!M28</f>
        <v/>
      </c>
      <c r="E28" s="82" t="str">
        <f>+'4 MAPA CALOR INHERENTE'!C28</f>
        <v/>
      </c>
      <c r="F28" s="82" t="str">
        <f>+'4 MAPA CALOR INHERENTE'!D28</f>
        <v/>
      </c>
      <c r="G28" s="337" t="str">
        <f>+'4 MAPA CALOR INHERENTE'!E28</f>
        <v/>
      </c>
      <c r="H28" s="111" t="str">
        <f>+'5 VALORACIÓN DEL CONTROL'!T127</f>
        <v/>
      </c>
      <c r="I28" s="82">
        <f>+'5 VALORACIÓN DEL CONTROL'!U127</f>
        <v>0.6</v>
      </c>
      <c r="J28" s="82" t="str">
        <f t="shared" si="3"/>
        <v/>
      </c>
      <c r="K28" s="82" t="str">
        <f t="shared" si="4"/>
        <v>Moderado</v>
      </c>
      <c r="L28" s="337" t="str">
        <f t="shared" si="5"/>
        <v/>
      </c>
      <c r="M28" s="337" t="str">
        <f t="shared" si="0"/>
        <v/>
      </c>
      <c r="N28" s="337" t="str">
        <f t="shared" si="1"/>
        <v/>
      </c>
      <c r="O28" s="380"/>
      <c r="P28" s="337" t="str">
        <f t="shared" si="2"/>
        <v/>
      </c>
      <c r="Q28" s="196"/>
      <c r="R28" s="380"/>
      <c r="S28" s="197"/>
      <c r="T28" s="197"/>
      <c r="U28" s="196"/>
      <c r="V28" s="196"/>
      <c r="W28" s="196"/>
      <c r="X28" s="196"/>
      <c r="Y28" s="196"/>
      <c r="Z28" s="380"/>
      <c r="AA28" s="83"/>
      <c r="AB28" s="83"/>
    </row>
    <row r="29" spans="1:50" ht="14.55" customHeight="1">
      <c r="B29" s="63"/>
      <c r="C29" s="63"/>
      <c r="D29" s="63"/>
      <c r="Q29" s="63"/>
      <c r="S29" s="118"/>
      <c r="T29" s="118"/>
      <c r="U29" s="63"/>
      <c r="V29" s="63"/>
      <c r="W29" s="63"/>
      <c r="X29" s="63"/>
      <c r="Y29" s="63"/>
      <c r="AA29" s="63"/>
      <c r="AB29" s="63"/>
      <c r="AM29" s="68"/>
      <c r="AN29" s="68"/>
      <c r="AO29" s="68"/>
      <c r="AP29" s="68"/>
      <c r="AQ29" s="68"/>
      <c r="AR29" s="63"/>
      <c r="AS29" s="63"/>
      <c r="AT29" s="63"/>
      <c r="AU29" s="63"/>
      <c r="AV29" s="63"/>
    </row>
    <row r="30" spans="1:50" ht="39" customHeight="1">
      <c r="B30" s="63"/>
      <c r="C30" s="63"/>
      <c r="D30" s="63"/>
      <c r="Q30" s="63"/>
      <c r="S30" s="118"/>
      <c r="T30" s="118"/>
      <c r="U30" s="63"/>
      <c r="V30" s="63"/>
      <c r="W30" s="63"/>
      <c r="X30" s="63"/>
      <c r="Y30" s="63"/>
      <c r="AA30" s="63"/>
      <c r="AB30" s="63"/>
      <c r="AM30" s="68"/>
      <c r="AN30" s="68"/>
      <c r="AO30" s="68"/>
      <c r="AP30" s="68"/>
      <c r="AQ30" s="68"/>
      <c r="AR30" s="63"/>
      <c r="AS30" s="63"/>
      <c r="AT30" s="63"/>
      <c r="AU30" s="63"/>
      <c r="AV30" s="63"/>
    </row>
    <row r="31" spans="1:50" ht="19.5" customHeight="1">
      <c r="B31" s="63"/>
      <c r="C31" s="63"/>
      <c r="D31" s="63"/>
      <c r="Q31" s="63"/>
      <c r="S31" s="118"/>
      <c r="T31" s="118"/>
      <c r="U31" s="63"/>
      <c r="V31" s="63"/>
      <c r="W31" s="63"/>
      <c r="X31" s="63"/>
      <c r="Y31" s="63"/>
      <c r="AA31" s="63"/>
      <c r="AB31" s="63"/>
      <c r="AM31" s="68"/>
      <c r="AN31" s="68"/>
      <c r="AO31" s="68"/>
      <c r="AP31" s="68"/>
      <c r="AQ31" s="68"/>
      <c r="AR31" s="63"/>
      <c r="AS31" s="63"/>
      <c r="AT31" s="63"/>
      <c r="AU31" s="63"/>
      <c r="AV31" s="63"/>
    </row>
    <row r="32" spans="1:50" ht="19.5" customHeight="1">
      <c r="B32" s="63"/>
      <c r="C32" s="63"/>
      <c r="D32" s="63"/>
      <c r="Q32" s="63"/>
      <c r="S32" s="118"/>
      <c r="T32" s="118"/>
      <c r="U32" s="63"/>
      <c r="V32" s="63"/>
      <c r="W32" s="63"/>
      <c r="X32" s="63"/>
      <c r="Y32" s="63"/>
      <c r="AA32" s="63"/>
      <c r="AB32" s="63"/>
      <c r="AM32" s="68"/>
      <c r="AN32" s="68"/>
      <c r="AO32" s="68"/>
      <c r="AP32" s="68"/>
      <c r="AQ32" s="68"/>
      <c r="AR32" s="63"/>
      <c r="AS32" s="63"/>
      <c r="AT32" s="63"/>
      <c r="AU32" s="63"/>
      <c r="AV32" s="63"/>
    </row>
    <row r="33" spans="5:43" s="63" customFormat="1" ht="19.5" customHeight="1">
      <c r="E33" s="68"/>
      <c r="F33" s="68"/>
      <c r="G33" s="68"/>
      <c r="H33" s="68"/>
      <c r="I33" s="68"/>
      <c r="J33" s="68"/>
      <c r="K33" s="68"/>
      <c r="L33" s="68"/>
      <c r="M33" s="68"/>
      <c r="N33" s="68"/>
      <c r="O33" s="68"/>
      <c r="P33" s="68"/>
      <c r="R33" s="68"/>
      <c r="S33" s="118"/>
      <c r="T33" s="118"/>
      <c r="Z33" s="68"/>
      <c r="AM33" s="68"/>
      <c r="AN33" s="68"/>
      <c r="AO33" s="68"/>
      <c r="AP33" s="68"/>
      <c r="AQ33" s="68"/>
    </row>
    <row r="34" spans="5:43" s="63" customFormat="1" ht="19.5" customHeight="1">
      <c r="E34" s="68"/>
      <c r="F34" s="68"/>
      <c r="G34" s="68"/>
      <c r="H34" s="68"/>
      <c r="I34" s="68"/>
      <c r="J34" s="68"/>
      <c r="K34" s="68"/>
      <c r="L34" s="68"/>
      <c r="M34" s="68"/>
      <c r="N34" s="68"/>
      <c r="O34" s="68"/>
      <c r="P34" s="68"/>
      <c r="R34" s="68"/>
      <c r="S34" s="118"/>
      <c r="T34" s="118"/>
      <c r="Z34" s="68"/>
      <c r="AM34" s="68"/>
      <c r="AN34" s="68"/>
      <c r="AO34" s="68"/>
      <c r="AP34" s="68"/>
      <c r="AQ34" s="68"/>
    </row>
    <row r="35" spans="5:43" s="63" customFormat="1" ht="19.5" customHeight="1">
      <c r="E35" s="68"/>
      <c r="F35" s="68"/>
      <c r="G35" s="68"/>
      <c r="H35" s="68"/>
      <c r="I35" s="68"/>
      <c r="J35" s="68"/>
      <c r="K35" s="68"/>
      <c r="L35" s="68"/>
      <c r="M35" s="68"/>
      <c r="N35" s="68"/>
      <c r="O35" s="68"/>
      <c r="P35" s="68"/>
      <c r="R35" s="68"/>
      <c r="S35" s="118"/>
      <c r="T35" s="118"/>
      <c r="Z35" s="68"/>
      <c r="AM35" s="68"/>
      <c r="AN35" s="68"/>
      <c r="AO35" s="68"/>
      <c r="AP35" s="68"/>
      <c r="AQ35" s="68"/>
    </row>
  </sheetData>
  <dataConsolidate/>
  <mergeCells count="10">
    <mergeCell ref="AC9:AC13"/>
    <mergeCell ref="E7:G7"/>
    <mergeCell ref="AF5:AJ5"/>
    <mergeCell ref="A1:A2"/>
    <mergeCell ref="B1:B2"/>
    <mergeCell ref="J7:L7"/>
    <mergeCell ref="U7:W7"/>
    <mergeCell ref="Q7:T7"/>
    <mergeCell ref="B4:D4"/>
    <mergeCell ref="B5:D5"/>
  </mergeCells>
  <conditionalFormatting sqref="E9:E28">
    <cfRule type="cellIs" dxfId="31" priority="6" operator="equal">
      <formula>$AE$13</formula>
    </cfRule>
    <cfRule type="cellIs" dxfId="30" priority="7" operator="equal">
      <formula>$AE$12</formula>
    </cfRule>
    <cfRule type="cellIs" dxfId="29" priority="8" operator="equal">
      <formula>$AE$11</formula>
    </cfRule>
    <cfRule type="cellIs" dxfId="28" priority="9" operator="equal">
      <formula>$AE$10</formula>
    </cfRule>
    <cfRule type="cellIs" dxfId="27" priority="10" operator="equal">
      <formula>$AE$9</formula>
    </cfRule>
  </conditionalFormatting>
  <conditionalFormatting sqref="F9:F28">
    <cfRule type="cellIs" dxfId="26" priority="1" operator="equal">
      <formula>$AF$8</formula>
    </cfRule>
    <cfRule type="cellIs" dxfId="25" priority="2" operator="equal">
      <formula>$AG$8</formula>
    </cfRule>
    <cfRule type="cellIs" dxfId="24" priority="3" operator="equal">
      <formula>$AH$8</formula>
    </cfRule>
    <cfRule type="cellIs" dxfId="23" priority="4" operator="equal">
      <formula>$AI$8</formula>
    </cfRule>
    <cfRule type="cellIs" dxfId="22" priority="5" operator="equal">
      <formula>$AJ$8</formula>
    </cfRule>
  </conditionalFormatting>
  <conditionalFormatting sqref="G9:G28">
    <cfRule type="cellIs" dxfId="21" priority="11" operator="equal">
      <formula>$AF$16</formula>
    </cfRule>
    <cfRule type="cellIs" dxfId="20" priority="12" operator="equal">
      <formula>$AF$17</formula>
    </cfRule>
    <cfRule type="cellIs" dxfId="19" priority="13" operator="equal">
      <formula>$AF$18</formula>
    </cfRule>
    <cfRule type="cellIs" dxfId="18" priority="14" operator="equal">
      <formula>$AF$19</formula>
    </cfRule>
  </conditionalFormatting>
  <conditionalFormatting sqref="I9:J28 K9">
    <cfRule type="cellIs" dxfId="17" priority="15" operator="equal">
      <formula>$AE$13</formula>
    </cfRule>
    <cfRule type="cellIs" dxfId="16" priority="16" operator="equal">
      <formula>$AE$12</formula>
    </cfRule>
    <cfRule type="cellIs" dxfId="15" priority="17" operator="equal">
      <formula>$AE$11</formula>
    </cfRule>
    <cfRule type="cellIs" dxfId="14" priority="18" operator="equal">
      <formula>$AE$10</formula>
    </cfRule>
    <cfRule type="cellIs" dxfId="13" priority="19" operator="equal">
      <formula>$AE$9</formula>
    </cfRule>
  </conditionalFormatting>
  <conditionalFormatting sqref="K10:K28">
    <cfRule type="cellIs" dxfId="12" priority="20" operator="equal">
      <formula>$AF$8</formula>
    </cfRule>
    <cfRule type="cellIs" dxfId="11" priority="21" operator="equal">
      <formula>$AG$8</formula>
    </cfRule>
    <cfRule type="cellIs" dxfId="10" priority="22" operator="equal">
      <formula>$AH$8</formula>
    </cfRule>
    <cfRule type="cellIs" dxfId="9" priority="23" operator="equal">
      <formula>$AI$8</formula>
    </cfRule>
    <cfRule type="cellIs" dxfId="8" priority="24" operator="equal">
      <formula>$AJ$8</formula>
    </cfRule>
  </conditionalFormatting>
  <conditionalFormatting sqref="L9:L28">
    <cfRule type="cellIs" dxfId="7" priority="30" operator="equal">
      <formula>$AF$16</formula>
    </cfRule>
    <cfRule type="cellIs" dxfId="6" priority="31" operator="equal">
      <formula>$AF$17</formula>
    </cfRule>
    <cfRule type="cellIs" dxfId="5" priority="32" operator="equal">
      <formula>$AF$18</formula>
    </cfRule>
    <cfRule type="cellIs" dxfId="4" priority="33" operator="equal">
      <formula>$AF$19</formula>
    </cfRule>
  </conditionalFormatting>
  <dataValidations count="3">
    <dataValidation type="list" allowBlank="1" showInputMessage="1" showErrorMessage="1" sqref="JP9:JV16">
      <formula1>#REF!</formula1>
    </dataValidation>
    <dataValidation allowBlank="1" showInputMessage="1" showErrorMessage="1" prompt="La probabilidad se encuentra determinada por una escala de 1 a 3, siendo 1 la menor probabilidad de ocurrencia del riesgo y 3 la mayor probabilidad de  ocurrencia." sqref="JO8"/>
    <dataValidation allowBlank="1" showInputMessage="1" showErrorMessage="1" prompt="Es la materialización del riesgo y las consecuencias de su aparición. Su escala es: 5 bajo impacto, 10 medio, 20 alto impacto._x000a_" sqref="JP8:JV8"/>
  </dataValidations>
  <printOptions horizontalCentered="1" verticalCentered="1"/>
  <pageMargins left="0.31496062992125984" right="0.27559055118110237" top="0.23622047244094491" bottom="0.15748031496062992" header="0" footer="0"/>
  <pageSetup paperSize="5" scale="65" orientation="landscape" r:id="rId1"/>
  <headerFooter alignWithMargins="0">
    <oddFooter>&amp;LMatriz de propiedad y autoría de: Olga Yaneth Aragón Sánchez</oddFooter>
  </headerFooter>
  <extLst>
    <ext xmlns:x14="http://schemas.microsoft.com/office/spreadsheetml/2009/9/main" uri="{CCE6A557-97BC-4b89-ADB6-D9C93CAAB3DF}">
      <x14:dataValidations xmlns:xm="http://schemas.microsoft.com/office/excel/2006/main" count="2">
        <x14:dataValidation type="list" allowBlank="1" showInputMessage="1" showErrorMessage="1">
          <x14:formula1>
            <xm:f>'11 FORMULAS'!$W$3:$W$6</xm:f>
          </x14:formula1>
          <xm:sqref>Z9:Z28</xm:sqref>
        </x14:dataValidation>
        <x14:dataValidation type="list" allowBlank="1" showInputMessage="1" showErrorMessage="1">
          <x14:formula1>
            <xm:f>'11 FORMULAS'!$S$3:$S$7</xm:f>
          </x14:formula1>
          <xm:sqref>O9:O28</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3"/>
  <sheetViews>
    <sheetView showGridLines="0" zoomScale="85" zoomScaleNormal="85" workbookViewId="0">
      <selection activeCell="A11" sqref="A11:K11"/>
    </sheetView>
  </sheetViews>
  <sheetFormatPr baseColWidth="10" defaultColWidth="0" defaultRowHeight="14.4" zeroHeight="1"/>
  <cols>
    <col min="1" max="1" width="26.44140625" customWidth="1"/>
    <col min="2" max="2" width="29.44140625" customWidth="1"/>
    <col min="3" max="3" width="10.77734375" customWidth="1"/>
    <col min="4" max="4" width="27.44140625" customWidth="1"/>
    <col min="5" max="5" width="10.77734375" customWidth="1"/>
    <col min="6" max="6" width="14.44140625" customWidth="1"/>
    <col min="7" max="12" width="10.77734375" customWidth="1"/>
    <col min="13" max="16384" width="10.77734375" hidden="1"/>
  </cols>
  <sheetData>
    <row r="1" spans="1:11" s="2" customFormat="1" ht="37.5" customHeight="1">
      <c r="A1" s="638"/>
      <c r="B1" s="679" t="str">
        <f>+'2 CONTEXTO E IDENTIFICACIÓN'!A1</f>
        <v>MAPA DE RIESGOS</v>
      </c>
      <c r="C1" s="649"/>
      <c r="D1" s="650"/>
      <c r="F1" s="204" t="str">
        <f>+'2 CONTEXTO E IDENTIFICACIÓN'!$J$4</f>
        <v>Elaboración o Actualización:</v>
      </c>
      <c r="G1" s="215">
        <f>'2 CONTEXTO E IDENTIFICACIÓN'!K4</f>
        <v>45991</v>
      </c>
      <c r="H1" s="11"/>
      <c r="I1" s="11"/>
    </row>
    <row r="2" spans="1:11" s="2" customFormat="1" ht="37.5" customHeight="1">
      <c r="A2" s="638"/>
      <c r="B2" s="680"/>
      <c r="C2" s="37" t="str">
        <f>+'2 CONTEXTO E IDENTIFICACIÓN'!A2</f>
        <v>VERSIÓN:</v>
      </c>
      <c r="D2" s="37">
        <f>'2 CONTEXTO E IDENTIFICACIÓN'!B2</f>
        <v>1</v>
      </c>
      <c r="F2" s="207" t="str">
        <f>+'2 CONTEXTO E IDENTIFICACIÓN'!$E$5</f>
        <v xml:space="preserve">Vigencia: </v>
      </c>
      <c r="G2" s="205">
        <f>'2 CONTEXTO E IDENTIFICACIÓN'!H5</f>
        <v>46023</v>
      </c>
      <c r="H2" s="206" t="s">
        <v>99</v>
      </c>
      <c r="I2" s="203">
        <f>'2 CONTEXTO E IDENTIFICACIÓN'!K5</f>
        <v>46387</v>
      </c>
    </row>
    <row r="3" spans="1:11" s="2" customFormat="1" ht="8.25" customHeight="1">
      <c r="A3" s="13"/>
      <c r="B3" s="13"/>
      <c r="C3" s="13"/>
      <c r="D3" s="39"/>
      <c r="F3" s="42"/>
    </row>
    <row r="4" spans="1:11" s="3" customFormat="1" ht="14.55" customHeight="1">
      <c r="A4" s="18" t="s">
        <v>95</v>
      </c>
      <c r="B4" s="666">
        <f>'2 CONTEXTO E IDENTIFICACIÓN'!B4</f>
        <v>0</v>
      </c>
      <c r="C4" s="666"/>
      <c r="D4" s="666"/>
      <c r="E4" s="120"/>
      <c r="F4" s="121"/>
    </row>
    <row r="5" spans="1:11" ht="15" thickBot="1">
      <c r="A5" s="18" t="s">
        <v>96</v>
      </c>
      <c r="B5" s="666">
        <f>'2 CONTEXTO E IDENTIFICACIÓN'!F4</f>
        <v>0</v>
      </c>
      <c r="C5" s="667"/>
      <c r="D5" s="667"/>
    </row>
    <row r="6" spans="1:11" ht="15" thickBot="1">
      <c r="A6" s="730" t="s">
        <v>357</v>
      </c>
      <c r="B6" s="731"/>
      <c r="C6" s="731"/>
      <c r="D6" s="731"/>
      <c r="E6" s="731"/>
      <c r="F6" s="731"/>
      <c r="G6" s="731"/>
      <c r="H6" s="731"/>
      <c r="I6" s="731"/>
      <c r="J6" s="731"/>
      <c r="K6" s="732"/>
    </row>
    <row r="7" spans="1:11" ht="6" customHeight="1" thickBot="1">
      <c r="A7" s="730"/>
      <c r="B7" s="731"/>
      <c r="C7" s="731"/>
      <c r="D7" s="731"/>
      <c r="E7" s="731"/>
      <c r="F7" s="731"/>
      <c r="G7" s="731"/>
      <c r="H7" s="731"/>
      <c r="I7" s="731"/>
      <c r="J7" s="731"/>
      <c r="K7" s="732"/>
    </row>
    <row r="8" spans="1:11" ht="34.5" customHeight="1">
      <c r="A8" s="733" t="s">
        <v>358</v>
      </c>
      <c r="B8" s="734"/>
      <c r="C8" s="734"/>
      <c r="D8" s="734"/>
      <c r="E8" s="734"/>
      <c r="F8" s="734"/>
      <c r="G8" s="734"/>
      <c r="H8" s="734"/>
      <c r="I8" s="734"/>
      <c r="J8" s="734"/>
      <c r="K8" s="735"/>
    </row>
    <row r="9" spans="1:11" ht="18.75" customHeight="1">
      <c r="A9" s="739" t="s">
        <v>359</v>
      </c>
      <c r="B9" s="740"/>
      <c r="C9" s="740"/>
      <c r="D9" s="740"/>
      <c r="E9" s="740"/>
      <c r="F9" s="740"/>
      <c r="G9" s="740"/>
      <c r="H9" s="740"/>
      <c r="I9" s="740"/>
      <c r="J9" s="740"/>
      <c r="K9" s="741"/>
    </row>
    <row r="10" spans="1:11" ht="34.5" customHeight="1">
      <c r="A10" s="736" t="s">
        <v>360</v>
      </c>
      <c r="B10" s="737"/>
      <c r="C10" s="737"/>
      <c r="D10" s="737"/>
      <c r="E10" s="737"/>
      <c r="F10" s="737"/>
      <c r="G10" s="737"/>
      <c r="H10" s="737"/>
      <c r="I10" s="737"/>
      <c r="J10" s="737"/>
      <c r="K10" s="738"/>
    </row>
    <row r="11" spans="1:11" ht="50.25" customHeight="1" thickBot="1">
      <c r="A11" s="745" t="s">
        <v>361</v>
      </c>
      <c r="B11" s="746"/>
      <c r="C11" s="746"/>
      <c r="D11" s="746"/>
      <c r="E11" s="746"/>
      <c r="F11" s="746"/>
      <c r="G11" s="746"/>
      <c r="H11" s="746"/>
      <c r="I11" s="746"/>
      <c r="J11" s="746"/>
      <c r="K11" s="747"/>
    </row>
    <row r="12" spans="1:11">
      <c r="A12" s="122"/>
      <c r="B12" s="122"/>
      <c r="C12" s="122"/>
      <c r="D12" s="122"/>
      <c r="E12" s="122"/>
      <c r="F12" s="122"/>
      <c r="G12" s="122"/>
      <c r="H12" s="122"/>
      <c r="I12" s="122"/>
      <c r="J12" s="122"/>
      <c r="K12" s="122"/>
    </row>
    <row r="13" spans="1:11" s="124" customFormat="1" ht="39.6">
      <c r="A13" s="123"/>
      <c r="B13" s="742" t="s">
        <v>362</v>
      </c>
      <c r="C13" s="743"/>
      <c r="D13" s="744" t="s">
        <v>363</v>
      </c>
      <c r="E13" s="744"/>
      <c r="G13" s="71" t="s">
        <v>313</v>
      </c>
    </row>
    <row r="14" spans="1:11">
      <c r="A14" s="125" t="s">
        <v>364</v>
      </c>
      <c r="B14" s="126">
        <f>+COUNTIF('8 MAPA RIESGOS'!$G$9:$G$28,G14)</f>
        <v>0</v>
      </c>
      <c r="C14" s="127">
        <f>+B14/$B$18</f>
        <v>0</v>
      </c>
      <c r="D14" s="126">
        <f>+COUNTIF('8 MAPA RIESGOS'!$L$9:$L$28,G14)</f>
        <v>0</v>
      </c>
      <c r="E14" s="127">
        <f>+D14/$D$18</f>
        <v>0</v>
      </c>
      <c r="G14" s="101" t="s">
        <v>311</v>
      </c>
    </row>
    <row r="15" spans="1:11">
      <c r="A15" s="125" t="s">
        <v>365</v>
      </c>
      <c r="B15" s="126">
        <f>+COUNTIF('8 MAPA RIESGOS'!$G$9:$G$28,G15)</f>
        <v>2</v>
      </c>
      <c r="C15" s="127">
        <f t="shared" ref="C15:C18" si="0">+B15/$B$18</f>
        <v>0.4</v>
      </c>
      <c r="D15" s="126">
        <f>+COUNTIF('8 MAPA RIESGOS'!$L$9:$L$28,G15)</f>
        <v>1</v>
      </c>
      <c r="E15" s="127">
        <f t="shared" ref="E15:E18" si="1">+D15/$D$18</f>
        <v>0.2</v>
      </c>
      <c r="G15" s="84" t="s">
        <v>310</v>
      </c>
    </row>
    <row r="16" spans="1:11">
      <c r="A16" s="125" t="s">
        <v>366</v>
      </c>
      <c r="B16" s="126">
        <f>+COUNTIF('8 MAPA RIESGOS'!$G$9:$G$28,G16)</f>
        <v>3</v>
      </c>
      <c r="C16" s="127">
        <f t="shared" si="0"/>
        <v>0.6</v>
      </c>
      <c r="D16" s="126">
        <f>+COUNTIF('8 MAPA RIESGOS'!$L$9:$L$28,G16)</f>
        <v>4</v>
      </c>
      <c r="E16" s="127">
        <f t="shared" si="1"/>
        <v>0.8</v>
      </c>
      <c r="G16" s="88" t="s">
        <v>292</v>
      </c>
    </row>
    <row r="17" spans="1:7">
      <c r="A17" s="125" t="s">
        <v>367</v>
      </c>
      <c r="B17" s="126">
        <f>+COUNTIF('8 MAPA RIESGOS'!$G$9:$G$28,G17)</f>
        <v>0</v>
      </c>
      <c r="C17" s="127">
        <f t="shared" si="0"/>
        <v>0</v>
      </c>
      <c r="D17" s="126">
        <f>+COUNTIF('8 MAPA RIESGOS'!$L$9:$L$28,G17)</f>
        <v>0</v>
      </c>
      <c r="E17" s="127">
        <f t="shared" si="1"/>
        <v>0</v>
      </c>
      <c r="G17" s="92" t="s">
        <v>312</v>
      </c>
    </row>
    <row r="18" spans="1:7">
      <c r="A18" s="125" t="s">
        <v>368</v>
      </c>
      <c r="B18" s="126">
        <f>+SUM(B14:B17)</f>
        <v>5</v>
      </c>
      <c r="C18" s="127">
        <f t="shared" si="0"/>
        <v>1</v>
      </c>
      <c r="D18" s="126">
        <f>+SUM(D14:D17)</f>
        <v>5</v>
      </c>
      <c r="E18" s="127">
        <f t="shared" si="1"/>
        <v>1</v>
      </c>
    </row>
    <row r="19" spans="1:7"/>
    <row r="20" spans="1:7" s="128" customFormat="1">
      <c r="B20" s="129" t="s">
        <v>362</v>
      </c>
      <c r="D20" s="129" t="s">
        <v>363</v>
      </c>
    </row>
    <row r="21" spans="1:7" s="128" customFormat="1" ht="41.55" customHeight="1">
      <c r="B21" s="130" t="str">
        <f>+IF((B14/B18)&gt;=0.2,G14,+IF(((B14/B18)+(B15/B18))&gt;=0.3,G15,+IF(((B14/B18)+(B15/B18)+(B16/B18))&gt;=0.4,G16,+IF((B14/B18)+(B15/B18)+(B16/B18)+(B17/B18)&gt;=0.5,G17,""))))</f>
        <v>Alto</v>
      </c>
      <c r="D21" s="130" t="str">
        <f>+IF((D14/D18)&gt;=0.2,G14,+IF(((D14/D18)+(D15/D18))&gt;=0.3,G15,+IF(((D14/D18)+(D15/D18)+(D16/D18))&gt;=0.4,G16,+IF((D14/D18)+(D15/D18)+(D16/D18)+(D17/D18)&gt;=0.5,G17,""))))</f>
        <v>Moderado</v>
      </c>
    </row>
    <row r="22" spans="1:7"/>
    <row r="23" spans="1:7"/>
  </sheetData>
  <sheetProtection sheet="1" objects="1" scenarios="1"/>
  <mergeCells count="13">
    <mergeCell ref="B13:C13"/>
    <mergeCell ref="D13:E13"/>
    <mergeCell ref="A11:K11"/>
    <mergeCell ref="A6:K6"/>
    <mergeCell ref="B4:D4"/>
    <mergeCell ref="B5:D5"/>
    <mergeCell ref="A1:A2"/>
    <mergeCell ref="A7:K7"/>
    <mergeCell ref="A8:K8"/>
    <mergeCell ref="A10:K10"/>
    <mergeCell ref="A9:K9"/>
    <mergeCell ref="B1:B2"/>
    <mergeCell ref="C1:D1"/>
  </mergeCells>
  <conditionalFormatting sqref="B21:D21">
    <cfRule type="containsText" dxfId="3" priority="1" operator="containsText" text="Bajo">
      <formula>NOT(ISERROR(SEARCH("Bajo",B21)))</formula>
    </cfRule>
    <cfRule type="containsText" dxfId="2" priority="2" operator="containsText" text="Moderado">
      <formula>NOT(ISERROR(SEARCH("Moderado",B21)))</formula>
    </cfRule>
    <cfRule type="containsText" dxfId="1" priority="3" operator="containsText" text="Alto">
      <formula>NOT(ISERROR(SEARCH("Alto",B21)))</formula>
    </cfRule>
    <cfRule type="containsText" dxfId="0" priority="4" operator="containsText" text="Extremo">
      <formula>NOT(ISERROR(SEARCH("Extremo",B21)))</formula>
    </cfRule>
  </conditionalFormatting>
  <pageMargins left="0.7" right="0.7" top="0.75" bottom="0.75" header="0.3" footer="0.3"/>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5"/>
  <dimension ref="A1:D23"/>
  <sheetViews>
    <sheetView view="pageBreakPreview" zoomScale="110" zoomScaleNormal="100" zoomScaleSheetLayoutView="110" workbookViewId="0">
      <selection activeCell="F7" sqref="F7"/>
    </sheetView>
  </sheetViews>
  <sheetFormatPr baseColWidth="10" defaultColWidth="11.44140625" defaultRowHeight="14.4"/>
  <cols>
    <col min="1" max="1" width="17.44140625" style="272" customWidth="1"/>
    <col min="2" max="2" width="23.44140625" customWidth="1"/>
    <col min="3" max="3" width="12.44140625" customWidth="1"/>
    <col min="4" max="4" width="16.44140625" customWidth="1"/>
    <col min="257" max="257" width="17.44140625" customWidth="1"/>
    <col min="258" max="258" width="23.44140625" customWidth="1"/>
    <col min="260" max="260" width="12.44140625" customWidth="1"/>
    <col min="513" max="513" width="17.44140625" customWidth="1"/>
    <col min="514" max="514" width="23.44140625" customWidth="1"/>
    <col min="516" max="516" width="12.44140625" customWidth="1"/>
    <col min="769" max="769" width="17.44140625" customWidth="1"/>
    <col min="770" max="770" width="23.44140625" customWidth="1"/>
    <col min="772" max="772" width="12.44140625" customWidth="1"/>
    <col min="1025" max="1025" width="17.44140625" customWidth="1"/>
    <col min="1026" max="1026" width="23.44140625" customWidth="1"/>
    <col min="1028" max="1028" width="12.44140625" customWidth="1"/>
    <col min="1281" max="1281" width="17.44140625" customWidth="1"/>
    <col min="1282" max="1282" width="23.44140625" customWidth="1"/>
    <col min="1284" max="1284" width="12.44140625" customWidth="1"/>
    <col min="1537" max="1537" width="17.44140625" customWidth="1"/>
    <col min="1538" max="1538" width="23.44140625" customWidth="1"/>
    <col min="1540" max="1540" width="12.44140625" customWidth="1"/>
    <col min="1793" max="1793" width="17.44140625" customWidth="1"/>
    <col min="1794" max="1794" width="23.44140625" customWidth="1"/>
    <col min="1796" max="1796" width="12.44140625" customWidth="1"/>
    <col min="2049" max="2049" width="17.44140625" customWidth="1"/>
    <col min="2050" max="2050" width="23.44140625" customWidth="1"/>
    <col min="2052" max="2052" width="12.44140625" customWidth="1"/>
    <col min="2305" max="2305" width="17.44140625" customWidth="1"/>
    <col min="2306" max="2306" width="23.44140625" customWidth="1"/>
    <col min="2308" max="2308" width="12.44140625" customWidth="1"/>
    <col min="2561" max="2561" width="17.44140625" customWidth="1"/>
    <col min="2562" max="2562" width="23.44140625" customWidth="1"/>
    <col min="2564" max="2564" width="12.44140625" customWidth="1"/>
    <col min="2817" max="2817" width="17.44140625" customWidth="1"/>
    <col min="2818" max="2818" width="23.44140625" customWidth="1"/>
    <col min="2820" max="2820" width="12.44140625" customWidth="1"/>
    <col min="3073" max="3073" width="17.44140625" customWidth="1"/>
    <col min="3074" max="3074" width="23.44140625" customWidth="1"/>
    <col min="3076" max="3076" width="12.44140625" customWidth="1"/>
    <col min="3329" max="3329" width="17.44140625" customWidth="1"/>
    <col min="3330" max="3330" width="23.44140625" customWidth="1"/>
    <col min="3332" max="3332" width="12.44140625" customWidth="1"/>
    <col min="3585" max="3585" width="17.44140625" customWidth="1"/>
    <col min="3586" max="3586" width="23.44140625" customWidth="1"/>
    <col min="3588" max="3588" width="12.44140625" customWidth="1"/>
    <col min="3841" max="3841" width="17.44140625" customWidth="1"/>
    <col min="3842" max="3842" width="23.44140625" customWidth="1"/>
    <col min="3844" max="3844" width="12.44140625" customWidth="1"/>
    <col min="4097" max="4097" width="17.44140625" customWidth="1"/>
    <col min="4098" max="4098" width="23.44140625" customWidth="1"/>
    <col min="4100" max="4100" width="12.44140625" customWidth="1"/>
    <col min="4353" max="4353" width="17.44140625" customWidth="1"/>
    <col min="4354" max="4354" width="23.44140625" customWidth="1"/>
    <col min="4356" max="4356" width="12.44140625" customWidth="1"/>
    <col min="4609" max="4609" width="17.44140625" customWidth="1"/>
    <col min="4610" max="4610" width="23.44140625" customWidth="1"/>
    <col min="4612" max="4612" width="12.44140625" customWidth="1"/>
    <col min="4865" max="4865" width="17.44140625" customWidth="1"/>
    <col min="4866" max="4866" width="23.44140625" customWidth="1"/>
    <col min="4868" max="4868" width="12.44140625" customWidth="1"/>
    <col min="5121" max="5121" width="17.44140625" customWidth="1"/>
    <col min="5122" max="5122" width="23.44140625" customWidth="1"/>
    <col min="5124" max="5124" width="12.44140625" customWidth="1"/>
    <col min="5377" max="5377" width="17.44140625" customWidth="1"/>
    <col min="5378" max="5378" width="23.44140625" customWidth="1"/>
    <col min="5380" max="5380" width="12.44140625" customWidth="1"/>
    <col min="5633" max="5633" width="17.44140625" customWidth="1"/>
    <col min="5634" max="5634" width="23.44140625" customWidth="1"/>
    <col min="5636" max="5636" width="12.44140625" customWidth="1"/>
    <col min="5889" max="5889" width="17.44140625" customWidth="1"/>
    <col min="5890" max="5890" width="23.44140625" customWidth="1"/>
    <col min="5892" max="5892" width="12.44140625" customWidth="1"/>
    <col min="6145" max="6145" width="17.44140625" customWidth="1"/>
    <col min="6146" max="6146" width="23.44140625" customWidth="1"/>
    <col min="6148" max="6148" width="12.44140625" customWidth="1"/>
    <col min="6401" max="6401" width="17.44140625" customWidth="1"/>
    <col min="6402" max="6402" width="23.44140625" customWidth="1"/>
    <col min="6404" max="6404" width="12.44140625" customWidth="1"/>
    <col min="6657" max="6657" width="17.44140625" customWidth="1"/>
    <col min="6658" max="6658" width="23.44140625" customWidth="1"/>
    <col min="6660" max="6660" width="12.44140625" customWidth="1"/>
    <col min="6913" max="6913" width="17.44140625" customWidth="1"/>
    <col min="6914" max="6914" width="23.44140625" customWidth="1"/>
    <col min="6916" max="6916" width="12.44140625" customWidth="1"/>
    <col min="7169" max="7169" width="17.44140625" customWidth="1"/>
    <col min="7170" max="7170" width="23.44140625" customWidth="1"/>
    <col min="7172" max="7172" width="12.44140625" customWidth="1"/>
    <col min="7425" max="7425" width="17.44140625" customWidth="1"/>
    <col min="7426" max="7426" width="23.44140625" customWidth="1"/>
    <col min="7428" max="7428" width="12.44140625" customWidth="1"/>
    <col min="7681" max="7681" width="17.44140625" customWidth="1"/>
    <col min="7682" max="7682" width="23.44140625" customWidth="1"/>
    <col min="7684" max="7684" width="12.44140625" customWidth="1"/>
    <col min="7937" max="7937" width="17.44140625" customWidth="1"/>
    <col min="7938" max="7938" width="23.44140625" customWidth="1"/>
    <col min="7940" max="7940" width="12.44140625" customWidth="1"/>
    <col min="8193" max="8193" width="17.44140625" customWidth="1"/>
    <col min="8194" max="8194" width="23.44140625" customWidth="1"/>
    <col min="8196" max="8196" width="12.44140625" customWidth="1"/>
    <col min="8449" max="8449" width="17.44140625" customWidth="1"/>
    <col min="8450" max="8450" width="23.44140625" customWidth="1"/>
    <col min="8452" max="8452" width="12.44140625" customWidth="1"/>
    <col min="8705" max="8705" width="17.44140625" customWidth="1"/>
    <col min="8706" max="8706" width="23.44140625" customWidth="1"/>
    <col min="8708" max="8708" width="12.44140625" customWidth="1"/>
    <col min="8961" max="8961" width="17.44140625" customWidth="1"/>
    <col min="8962" max="8962" width="23.44140625" customWidth="1"/>
    <col min="8964" max="8964" width="12.44140625" customWidth="1"/>
    <col min="9217" max="9217" width="17.44140625" customWidth="1"/>
    <col min="9218" max="9218" width="23.44140625" customWidth="1"/>
    <col min="9220" max="9220" width="12.44140625" customWidth="1"/>
    <col min="9473" max="9473" width="17.44140625" customWidth="1"/>
    <col min="9474" max="9474" width="23.44140625" customWidth="1"/>
    <col min="9476" max="9476" width="12.44140625" customWidth="1"/>
    <col min="9729" max="9729" width="17.44140625" customWidth="1"/>
    <col min="9730" max="9730" width="23.44140625" customWidth="1"/>
    <col min="9732" max="9732" width="12.44140625" customWidth="1"/>
    <col min="9985" max="9985" width="17.44140625" customWidth="1"/>
    <col min="9986" max="9986" width="23.44140625" customWidth="1"/>
    <col min="9988" max="9988" width="12.44140625" customWidth="1"/>
    <col min="10241" max="10241" width="17.44140625" customWidth="1"/>
    <col min="10242" max="10242" width="23.44140625" customWidth="1"/>
    <col min="10244" max="10244" width="12.44140625" customWidth="1"/>
    <col min="10497" max="10497" width="17.44140625" customWidth="1"/>
    <col min="10498" max="10498" width="23.44140625" customWidth="1"/>
    <col min="10500" max="10500" width="12.44140625" customWidth="1"/>
    <col min="10753" max="10753" width="17.44140625" customWidth="1"/>
    <col min="10754" max="10754" width="23.44140625" customWidth="1"/>
    <col min="10756" max="10756" width="12.44140625" customWidth="1"/>
    <col min="11009" max="11009" width="17.44140625" customWidth="1"/>
    <col min="11010" max="11010" width="23.44140625" customWidth="1"/>
    <col min="11012" max="11012" width="12.44140625" customWidth="1"/>
    <col min="11265" max="11265" width="17.44140625" customWidth="1"/>
    <col min="11266" max="11266" width="23.44140625" customWidth="1"/>
    <col min="11268" max="11268" width="12.44140625" customWidth="1"/>
    <col min="11521" max="11521" width="17.44140625" customWidth="1"/>
    <col min="11522" max="11522" width="23.44140625" customWidth="1"/>
    <col min="11524" max="11524" width="12.44140625" customWidth="1"/>
    <col min="11777" max="11777" width="17.44140625" customWidth="1"/>
    <col min="11778" max="11778" width="23.44140625" customWidth="1"/>
    <col min="11780" max="11780" width="12.44140625" customWidth="1"/>
    <col min="12033" max="12033" width="17.44140625" customWidth="1"/>
    <col min="12034" max="12034" width="23.44140625" customWidth="1"/>
    <col min="12036" max="12036" width="12.44140625" customWidth="1"/>
    <col min="12289" max="12289" width="17.44140625" customWidth="1"/>
    <col min="12290" max="12290" width="23.44140625" customWidth="1"/>
    <col min="12292" max="12292" width="12.44140625" customWidth="1"/>
    <col min="12545" max="12545" width="17.44140625" customWidth="1"/>
    <col min="12546" max="12546" width="23.44140625" customWidth="1"/>
    <col min="12548" max="12548" width="12.44140625" customWidth="1"/>
    <col min="12801" max="12801" width="17.44140625" customWidth="1"/>
    <col min="12802" max="12802" width="23.44140625" customWidth="1"/>
    <col min="12804" max="12804" width="12.44140625" customWidth="1"/>
    <col min="13057" max="13057" width="17.44140625" customWidth="1"/>
    <col min="13058" max="13058" width="23.44140625" customWidth="1"/>
    <col min="13060" max="13060" width="12.44140625" customWidth="1"/>
    <col min="13313" max="13313" width="17.44140625" customWidth="1"/>
    <col min="13314" max="13314" width="23.44140625" customWidth="1"/>
    <col min="13316" max="13316" width="12.44140625" customWidth="1"/>
    <col min="13569" max="13569" width="17.44140625" customWidth="1"/>
    <col min="13570" max="13570" width="23.44140625" customWidth="1"/>
    <col min="13572" max="13572" width="12.44140625" customWidth="1"/>
    <col min="13825" max="13825" width="17.44140625" customWidth="1"/>
    <col min="13826" max="13826" width="23.44140625" customWidth="1"/>
    <col min="13828" max="13828" width="12.44140625" customWidth="1"/>
    <col min="14081" max="14081" width="17.44140625" customWidth="1"/>
    <col min="14082" max="14082" width="23.44140625" customWidth="1"/>
    <col min="14084" max="14084" width="12.44140625" customWidth="1"/>
    <col min="14337" max="14337" width="17.44140625" customWidth="1"/>
    <col min="14338" max="14338" width="23.44140625" customWidth="1"/>
    <col min="14340" max="14340" width="12.44140625" customWidth="1"/>
    <col min="14593" max="14593" width="17.44140625" customWidth="1"/>
    <col min="14594" max="14594" width="23.44140625" customWidth="1"/>
    <col min="14596" max="14596" width="12.44140625" customWidth="1"/>
    <col min="14849" max="14849" width="17.44140625" customWidth="1"/>
    <col min="14850" max="14850" width="23.44140625" customWidth="1"/>
    <col min="14852" max="14852" width="12.44140625" customWidth="1"/>
    <col min="15105" max="15105" width="17.44140625" customWidth="1"/>
    <col min="15106" max="15106" width="23.44140625" customWidth="1"/>
    <col min="15108" max="15108" width="12.44140625" customWidth="1"/>
    <col min="15361" max="15361" width="17.44140625" customWidth="1"/>
    <col min="15362" max="15362" width="23.44140625" customWidth="1"/>
    <col min="15364" max="15364" width="12.44140625" customWidth="1"/>
    <col min="15617" max="15617" width="17.44140625" customWidth="1"/>
    <col min="15618" max="15618" width="23.44140625" customWidth="1"/>
    <col min="15620" max="15620" width="12.44140625" customWidth="1"/>
    <col min="15873" max="15873" width="17.44140625" customWidth="1"/>
    <col min="15874" max="15874" width="23.44140625" customWidth="1"/>
    <col min="15876" max="15876" width="12.44140625" customWidth="1"/>
    <col min="16129" max="16129" width="17.44140625" customWidth="1"/>
    <col min="16130" max="16130" width="23.44140625" customWidth="1"/>
    <col min="16132" max="16132" width="12.44140625" customWidth="1"/>
  </cols>
  <sheetData>
    <row r="1" spans="1:4" ht="36.75" customHeight="1">
      <c r="A1" s="748"/>
      <c r="B1" s="638" t="str">
        <f>+'2 CONTEXTO E IDENTIFICACIÓN'!A1</f>
        <v>MAPA DE RIESGOS</v>
      </c>
      <c r="C1" s="649"/>
      <c r="D1" s="650"/>
    </row>
    <row r="2" spans="1:4" ht="36.75" customHeight="1">
      <c r="A2" s="748"/>
      <c r="B2" s="638"/>
      <c r="C2" s="37" t="str">
        <f>+'2 CONTEXTO E IDENTIFICACIÓN'!A2</f>
        <v>VERSIÓN:</v>
      </c>
      <c r="D2" s="141">
        <f>'2 CONTEXTO E IDENTIFICACIÓN'!B2</f>
        <v>1</v>
      </c>
    </row>
    <row r="3" spans="1:4" s="198" customFormat="1">
      <c r="A3" s="371" t="s">
        <v>369</v>
      </c>
      <c r="B3" s="750" t="s">
        <v>370</v>
      </c>
      <c r="C3" s="750"/>
      <c r="D3" s="750"/>
    </row>
    <row r="4" spans="1:4">
      <c r="A4" s="269"/>
      <c r="B4" s="751"/>
      <c r="C4" s="751"/>
      <c r="D4" s="751"/>
    </row>
    <row r="5" spans="1:4" s="199" customFormat="1">
      <c r="A5" s="269"/>
      <c r="B5" s="751"/>
      <c r="C5" s="751"/>
      <c r="D5" s="751"/>
    </row>
    <row r="6" spans="1:4">
      <c r="A6" s="270"/>
      <c r="B6" s="749"/>
      <c r="C6" s="749"/>
      <c r="D6" s="749"/>
    </row>
    <row r="7" spans="1:4">
      <c r="A7" s="270"/>
      <c r="B7" s="749"/>
      <c r="C7" s="749"/>
      <c r="D7" s="749"/>
    </row>
    <row r="8" spans="1:4">
      <c r="A8" s="270"/>
      <c r="B8" s="752"/>
      <c r="C8" s="752"/>
      <c r="D8" s="752"/>
    </row>
    <row r="9" spans="1:4">
      <c r="A9" s="270"/>
      <c r="B9" s="749"/>
      <c r="C9" s="749"/>
      <c r="D9" s="749"/>
    </row>
    <row r="10" spans="1:4">
      <c r="A10" s="271"/>
      <c r="B10" s="200"/>
      <c r="C10" s="200"/>
      <c r="D10" s="200"/>
    </row>
    <row r="11" spans="1:4">
      <c r="A11" s="271"/>
      <c r="B11" s="200"/>
      <c r="C11" s="200"/>
      <c r="D11" s="200"/>
    </row>
    <row r="12" spans="1:4">
      <c r="A12" s="271"/>
      <c r="B12" s="200"/>
      <c r="C12" s="200"/>
      <c r="D12" s="200"/>
    </row>
    <row r="13" spans="1:4">
      <c r="A13" s="271"/>
      <c r="B13" s="200"/>
      <c r="C13" s="200"/>
      <c r="D13" s="200"/>
    </row>
    <row r="14" spans="1:4">
      <c r="A14" s="271"/>
      <c r="B14" s="200"/>
      <c r="C14" s="200"/>
      <c r="D14" s="200"/>
    </row>
    <row r="15" spans="1:4">
      <c r="A15" s="271"/>
      <c r="B15" s="200"/>
      <c r="C15" s="200"/>
      <c r="D15" s="200"/>
    </row>
    <row r="16" spans="1:4">
      <c r="A16" s="271"/>
      <c r="B16" s="200"/>
      <c r="C16" s="200"/>
      <c r="D16" s="200"/>
    </row>
    <row r="17" spans="1:4">
      <c r="A17" s="271"/>
      <c r="B17" s="200"/>
      <c r="C17" s="200"/>
      <c r="D17" s="200"/>
    </row>
    <row r="18" spans="1:4">
      <c r="A18" s="271"/>
      <c r="B18" s="200"/>
      <c r="C18" s="200"/>
      <c r="D18" s="200"/>
    </row>
    <row r="19" spans="1:4">
      <c r="A19" s="271"/>
      <c r="B19" s="200"/>
      <c r="C19" s="200"/>
      <c r="D19" s="200"/>
    </row>
    <row r="20" spans="1:4">
      <c r="A20" s="271"/>
      <c r="B20" s="200"/>
      <c r="C20" s="200"/>
      <c r="D20" s="200"/>
    </row>
    <row r="21" spans="1:4">
      <c r="A21" s="271"/>
      <c r="B21" s="200"/>
      <c r="C21" s="200"/>
      <c r="D21" s="200"/>
    </row>
    <row r="22" spans="1:4">
      <c r="A22" s="271"/>
      <c r="B22" s="200"/>
      <c r="C22" s="200"/>
      <c r="D22" s="200"/>
    </row>
    <row r="23" spans="1:4">
      <c r="A23" s="271"/>
      <c r="B23" s="200"/>
      <c r="C23" s="200"/>
      <c r="D23" s="200"/>
    </row>
  </sheetData>
  <mergeCells count="10">
    <mergeCell ref="A1:A2"/>
    <mergeCell ref="B9:D9"/>
    <mergeCell ref="B3:D3"/>
    <mergeCell ref="B5:D5"/>
    <mergeCell ref="B8:D8"/>
    <mergeCell ref="B4:D4"/>
    <mergeCell ref="B7:D7"/>
    <mergeCell ref="B6:D6"/>
    <mergeCell ref="B1:B2"/>
    <mergeCell ref="C1:D1"/>
  </mergeCells>
  <pageMargins left="0.7" right="0.7" top="0.75" bottom="0.75" header="0.3" footer="0.3"/>
  <pageSetup scale="77"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activity xmlns="cadaebf9-c45c-4928-a835-b6d2640c562f"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FD4D2EEEC4B4E74A87FC85627C51577C" ma:contentTypeVersion="18" ma:contentTypeDescription="Crear nuevo documento." ma:contentTypeScope="" ma:versionID="f6b903d6eaa4549956840f4e5a055564">
  <xsd:schema xmlns:xsd="http://www.w3.org/2001/XMLSchema" xmlns:xs="http://www.w3.org/2001/XMLSchema" xmlns:p="http://schemas.microsoft.com/office/2006/metadata/properties" xmlns:ns3="cadaebf9-c45c-4928-a835-b6d2640c562f" xmlns:ns4="eb8db8e2-9e38-4af2-b3f2-f3ede193e57b" targetNamespace="http://schemas.microsoft.com/office/2006/metadata/properties" ma:root="true" ma:fieldsID="e46afc2328b4dafc6fdb89274f8ecc2a" ns3:_="" ns4:_="">
    <xsd:import namespace="cadaebf9-c45c-4928-a835-b6d2640c562f"/>
    <xsd:import namespace="eb8db8e2-9e38-4af2-b3f2-f3ede193e57b"/>
    <xsd:element name="properties">
      <xsd:complexType>
        <xsd:sequence>
          <xsd:element name="documentManagement">
            <xsd:complexType>
              <xsd:all>
                <xsd:element ref="ns3:MediaServiceMetadata" minOccurs="0"/>
                <xsd:element ref="ns3:MediaServiceFastMetadata" minOccurs="0"/>
                <xsd:element ref="ns3:MediaServiceAutoTags" minOccurs="0"/>
                <xsd:element ref="ns3:MediaServiceOCR" minOccurs="0"/>
                <xsd:element ref="ns3:MediaServiceGenerationTime" minOccurs="0"/>
                <xsd:element ref="ns3:MediaServiceEventHashCode" minOccurs="0"/>
                <xsd:element ref="ns3:MediaServiceDateTaken" minOccurs="0"/>
                <xsd:element ref="ns4:SharedWithUsers" minOccurs="0"/>
                <xsd:element ref="ns4:SharedWithDetails" minOccurs="0"/>
                <xsd:element ref="ns4:SharingHintHash" minOccurs="0"/>
                <xsd:element ref="ns3:MediaServiceAutoKeyPoints" minOccurs="0"/>
                <xsd:element ref="ns3:MediaServiceKeyPoints" minOccurs="0"/>
                <xsd:element ref="ns3:MediaLengthInSeconds" minOccurs="0"/>
                <xsd:element ref="ns3:MediaServiceLocation" minOccurs="0"/>
                <xsd:element ref="ns3:_activity" minOccurs="0"/>
                <xsd:element ref="ns3:MediaServiceObjectDetectorVersions" minOccurs="0"/>
                <xsd:element ref="ns3:MediaServiceSystemTag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adaebf9-c45c-4928-a835-b6d2640c562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4" nillable="true" ma:displayName="MediaServiceDateTaken" ma:hidden="true" ma:internalName="MediaServiceDateTaken" ma:readOnly="true">
      <xsd:simpleType>
        <xsd:restriction base="dms:Text"/>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MediaLengthInSeconds" ma:index="20" nillable="true" ma:displayName="Length (seconds)" ma:internalName="MediaLengthInSeconds" ma:readOnly="true">
      <xsd:simpleType>
        <xsd:restriction base="dms:Unknown"/>
      </xsd:simpleType>
    </xsd:element>
    <xsd:element name="MediaServiceLocation" ma:index="21" nillable="true" ma:displayName="Location" ma:internalName="MediaServiceLocation" ma:readOnly="true">
      <xsd:simpleType>
        <xsd:restriction base="dms:Text"/>
      </xsd:simpleType>
    </xsd:element>
    <xsd:element name="_activity" ma:index="22" nillable="true" ma:displayName="_activity" ma:hidden="true" ma:internalName="_activity">
      <xsd:simpleType>
        <xsd:restriction base="dms:Note"/>
      </xsd:simple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ServiceSystemTags" ma:index="24" nillable="true" ma:displayName="MediaServiceSystemTags" ma:hidden="true" ma:internalName="MediaServiceSystemTags" ma:readOnly="true">
      <xsd:simpleType>
        <xsd:restriction base="dms:Note"/>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eb8db8e2-9e38-4af2-b3f2-f3ede193e57b" elementFormDefault="qualified">
    <xsd:import namespace="http://schemas.microsoft.com/office/2006/documentManagement/types"/>
    <xsd:import namespace="http://schemas.microsoft.com/office/infopath/2007/PartnerControls"/>
    <xsd:element name="SharedWithUsers" ma:index="15"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Detalles de uso compartido" ma:internalName="SharedWithDetails" ma:readOnly="true">
      <xsd:simpleType>
        <xsd:restriction base="dms:Note">
          <xsd:maxLength value="255"/>
        </xsd:restriction>
      </xsd:simpleType>
    </xsd:element>
    <xsd:element name="SharingHintHash" ma:index="17" nillable="true" ma:displayName="Hash de la sugerencia para compartir"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6957C31-191E-418B-87E7-1B7431F1D449}">
  <ds:schemaRefs>
    <ds:schemaRef ds:uri="http://schemas.microsoft.com/sharepoint/v3/contenttype/forms"/>
  </ds:schemaRefs>
</ds:datastoreItem>
</file>

<file path=customXml/itemProps2.xml><?xml version="1.0" encoding="utf-8"?>
<ds:datastoreItem xmlns:ds="http://schemas.openxmlformats.org/officeDocument/2006/customXml" ds:itemID="{A14D0167-1D94-443D-9441-36E43987C786}">
  <ds:schemaRefs>
    <ds:schemaRef ds:uri="http://schemas.microsoft.com/office/2006/documentManagement/types"/>
    <ds:schemaRef ds:uri="http://purl.org/dc/dcmitype/"/>
    <ds:schemaRef ds:uri="http://www.w3.org/XML/1998/namespace"/>
    <ds:schemaRef ds:uri="http://purl.org/dc/terms/"/>
    <ds:schemaRef ds:uri="http://purl.org/dc/elements/1.1/"/>
    <ds:schemaRef ds:uri="http://schemas.microsoft.com/office/2006/metadata/properties"/>
    <ds:schemaRef ds:uri="eb8db8e2-9e38-4af2-b3f2-f3ede193e57b"/>
    <ds:schemaRef ds:uri="http://schemas.microsoft.com/office/infopath/2007/PartnerControls"/>
    <ds:schemaRef ds:uri="http://schemas.openxmlformats.org/package/2006/metadata/core-properties"/>
    <ds:schemaRef ds:uri="cadaebf9-c45c-4928-a835-b6d2640c562f"/>
  </ds:schemaRefs>
</ds:datastoreItem>
</file>

<file path=customXml/itemProps3.xml><?xml version="1.0" encoding="utf-8"?>
<ds:datastoreItem xmlns:ds="http://schemas.openxmlformats.org/officeDocument/2006/customXml" ds:itemID="{54E8C36A-3A29-4C39-A3AE-76FAE994647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adaebf9-c45c-4928-a835-b6d2640c562f"/>
    <ds:schemaRef ds:uri="eb8db8e2-9e38-4af2-b3f2-f3ede193e57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14</vt:i4>
      </vt:variant>
      <vt:variant>
        <vt:lpstr>Rangos con nombre</vt:lpstr>
      </vt:variant>
      <vt:variant>
        <vt:i4>39</vt:i4>
      </vt:variant>
    </vt:vector>
  </HeadingPairs>
  <TitlesOfParts>
    <vt:vector size="53" baseType="lpstr">
      <vt:lpstr>INSTRUCTIVO ACTIVOS</vt:lpstr>
      <vt:lpstr>ACTIVOS DE INFORMACIÓN</vt:lpstr>
      <vt:lpstr> 1 INSTRUCTIVO</vt:lpstr>
      <vt:lpstr>2 CONTEXTO E IDENTIFICACIÓN</vt:lpstr>
      <vt:lpstr>H1</vt:lpstr>
      <vt:lpstr>11 FORMULAS</vt:lpstr>
      <vt:lpstr>3 PROBABIL E IMPACTO INHERENTE</vt:lpstr>
      <vt:lpstr>4 MAPA CALOR INHERENTE</vt:lpstr>
      <vt:lpstr>5 VALORACIÓN DEL CONTROL</vt:lpstr>
      <vt:lpstr>6 MAPA CALOR RESIDUAL</vt:lpstr>
      <vt:lpstr>7 MAPA CALOR INHEREN Y RESIDUAL</vt:lpstr>
      <vt:lpstr>8 MAPA RIESGOS</vt:lpstr>
      <vt:lpstr>9 RIESGO DEL PROCESO</vt:lpstr>
      <vt:lpstr>10 CONTROL DE CAMBIOS</vt:lpstr>
      <vt:lpstr>Afectación_Económica</vt:lpstr>
      <vt:lpstr>AFECTACIÓN_ECONÓMICA_EXTENDIDA</vt:lpstr>
      <vt:lpstr>'10 CONTROL DE CAMBIOS'!Área_de_impresión</vt:lpstr>
      <vt:lpstr>'3 PROBABIL E IMPACTO INHERENTE'!Área_de_impresión</vt:lpstr>
      <vt:lpstr>E_Relaciones_Laborales</vt:lpstr>
      <vt:lpstr>Ejecución_administración_de_procesos</vt:lpstr>
      <vt:lpstr>Evento_externo</vt:lpstr>
      <vt:lpstr>F_Usuarios_Productos_y_Prácticas_Organizacionales</vt:lpstr>
      <vt:lpstr>Fiscal</vt:lpstr>
      <vt:lpstr>G_Daños_Activos_Físicos</vt:lpstr>
      <vt:lpstr>Gestión</vt:lpstr>
      <vt:lpstr>Infraestructura</vt:lpstr>
      <vt:lpstr>Integridad_Pública_Corrupción</vt:lpstr>
      <vt:lpstr>Integridad_Pública_LA_FT_FP</vt:lpstr>
      <vt:lpstr>IP_CANALES_LA_FT_FP</vt:lpstr>
      <vt:lpstr>IP_CONTRAPARTES_LA_FT_FP</vt:lpstr>
      <vt:lpstr>IP_JURISDICCION_LA_FT_FP</vt:lpstr>
      <vt:lpstr>IP_PRODUCTOS__LA_FT_FP</vt:lpstr>
      <vt:lpstr>NO_APLICA</vt:lpstr>
      <vt:lpstr>Reducir_mitigar_Transferir_Evitar</vt:lpstr>
      <vt:lpstr>Reputacional</vt:lpstr>
      <vt:lpstr>REPUTACIONAL_EXTENDIDA</vt:lpstr>
      <vt:lpstr>Requiere_Plan_de_Acción</vt:lpstr>
      <vt:lpstr>Seguridad_Información</vt:lpstr>
      <vt:lpstr>Soborno_entrante</vt:lpstr>
      <vt:lpstr>Soborno_saliente</vt:lpstr>
      <vt:lpstr>Talento_Humano</vt:lpstr>
      <vt:lpstr>Tecnología</vt:lpstr>
      <vt:lpstr>TH_C_CORRUPCION</vt:lpstr>
      <vt:lpstr>TH_CI_CORRUPCION</vt:lpstr>
      <vt:lpstr>TH_FI_CORRUPCION</vt:lpstr>
      <vt:lpstr>TH_H_CORRUPCION</vt:lpstr>
      <vt:lpstr>TH_SE_CORRUPCION</vt:lpstr>
      <vt:lpstr>TH_SS_CORRUPCION</vt:lpstr>
      <vt:lpstr>Tipo</vt:lpstr>
      <vt:lpstr>'2 CONTEXTO E IDENTIFICACIÓN'!Títulos_a_imprimir</vt:lpstr>
      <vt:lpstr>'3 PROBABIL E IMPACTO INHERENTE'!Títulos_a_imprimir</vt:lpstr>
      <vt:lpstr>'5 VALORACIÓN DEL CONTROL'!Títulos_a_imprimir</vt:lpstr>
      <vt:lpstr>Transacción_u_Operación_aplica_para_LA_FT_FP</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BENAVIDES SALAS</dc:creator>
  <cp:keywords/>
  <dc:description/>
  <cp:lastModifiedBy>Gloria Mejia Espinosa</cp:lastModifiedBy>
  <cp:revision/>
  <dcterms:created xsi:type="dcterms:W3CDTF">2006-09-16T00:00:00Z</dcterms:created>
  <dcterms:modified xsi:type="dcterms:W3CDTF">2026-06-23T21:20:35Z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0x010100FD4D2EEEC4B4E74A87FC85627C51577C</vt:lpwstr>
  </property>
</Properties>
</file>